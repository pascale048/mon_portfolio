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U:\Pascale\EN051-Q Contrôle des masses production V6\"/>
    </mc:Choice>
  </mc:AlternateContent>
  <xr:revisionPtr revIDLastSave="0" documentId="13_ncr:1_{52788D1C-D61B-4989-9B5A-D0D20212CB8C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Feuille1" sheetId="1" r:id="rId1"/>
    <sheet name="archive" sheetId="2" r:id="rId2"/>
    <sheet name="poids_échantillon" sheetId="3" r:id="rId3"/>
    <sheet name="notice" sheetId="4" r:id="rId4"/>
    <sheet name="g_annexe" sheetId="5" r:id="rId5"/>
    <sheet name="contrôle" sheetId="6" r:id="rId6"/>
    <sheet name="liste" sheetId="7" r:id="rId7"/>
    <sheet name="tolérance" sheetId="8" r:id="rId8"/>
    <sheet name="A_imprimer" sheetId="9" r:id="rId9"/>
  </sheets>
  <definedNames>
    <definedName name="_xlnm._FilterDatabase" localSheetId="1" hidden="1">archive!$A$3:$CK$8</definedName>
    <definedName name="_xlnm._FilterDatabase" localSheetId="2" hidden="1">poids_échantillon!$A$3:$T$3</definedName>
    <definedName name="mdp_archivage">"""Qualitemenet"""</definedName>
    <definedName name="Tare">notice!$I$6:$J$13</definedName>
    <definedName name="Valeur_g">g_annexe!$A$2:$B$300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39" i="4" l="1"/>
  <c r="D38" i="4"/>
  <c r="E37" i="4"/>
  <c r="F19" i="4"/>
  <c r="F18" i="4"/>
  <c r="I2724" i="3"/>
  <c r="H2724" i="3"/>
  <c r="G2724" i="3"/>
  <c r="F2724" i="3"/>
  <c r="C2724" i="3"/>
  <c r="B2724" i="3"/>
  <c r="A2724" i="3"/>
  <c r="I2723" i="3"/>
  <c r="H2723" i="3"/>
  <c r="G2723" i="3"/>
  <c r="F2723" i="3"/>
  <c r="C2723" i="3"/>
  <c r="B2723" i="3"/>
  <c r="A2723" i="3"/>
  <c r="I2722" i="3"/>
  <c r="H2722" i="3"/>
  <c r="G2722" i="3"/>
  <c r="F2722" i="3"/>
  <c r="C2722" i="3"/>
  <c r="B2722" i="3"/>
  <c r="A2722" i="3"/>
  <c r="I2721" i="3"/>
  <c r="H2721" i="3"/>
  <c r="G2721" i="3"/>
  <c r="F2721" i="3"/>
  <c r="C2721" i="3"/>
  <c r="B2721" i="3"/>
  <c r="A2721" i="3"/>
  <c r="I2720" i="3"/>
  <c r="H2720" i="3"/>
  <c r="G2720" i="3"/>
  <c r="F2720" i="3"/>
  <c r="C2720" i="3"/>
  <c r="B2720" i="3"/>
  <c r="A2720" i="3"/>
  <c r="I2719" i="3"/>
  <c r="H2719" i="3"/>
  <c r="G2719" i="3"/>
  <c r="F2719" i="3"/>
  <c r="C2719" i="3"/>
  <c r="B2719" i="3"/>
  <c r="A2719" i="3"/>
  <c r="I2718" i="3"/>
  <c r="H2718" i="3"/>
  <c r="G2718" i="3"/>
  <c r="F2718" i="3"/>
  <c r="C2718" i="3"/>
  <c r="B2718" i="3"/>
  <c r="A2718" i="3"/>
  <c r="I2717" i="3"/>
  <c r="H2717" i="3"/>
  <c r="G2717" i="3"/>
  <c r="F2717" i="3"/>
  <c r="C2717" i="3"/>
  <c r="B2717" i="3"/>
  <c r="A2717" i="3"/>
  <c r="I2716" i="3"/>
  <c r="H2716" i="3"/>
  <c r="G2716" i="3"/>
  <c r="F2716" i="3"/>
  <c r="C2716" i="3"/>
  <c r="B2716" i="3"/>
  <c r="A2716" i="3"/>
  <c r="I2715" i="3"/>
  <c r="H2715" i="3"/>
  <c r="G2715" i="3"/>
  <c r="F2715" i="3"/>
  <c r="C2715" i="3"/>
  <c r="B2715" i="3"/>
  <c r="A2715" i="3"/>
  <c r="I2714" i="3"/>
  <c r="H2714" i="3"/>
  <c r="G2714" i="3"/>
  <c r="F2714" i="3"/>
  <c r="C2714" i="3"/>
  <c r="B2714" i="3"/>
  <c r="A2714" i="3"/>
  <c r="I2713" i="3"/>
  <c r="H2713" i="3"/>
  <c r="G2713" i="3"/>
  <c r="F2713" i="3"/>
  <c r="C2713" i="3"/>
  <c r="B2713" i="3"/>
  <c r="A2713" i="3"/>
  <c r="I2712" i="3"/>
  <c r="H2712" i="3"/>
  <c r="G2712" i="3"/>
  <c r="F2712" i="3"/>
  <c r="C2712" i="3"/>
  <c r="B2712" i="3"/>
  <c r="A2712" i="3"/>
  <c r="I2711" i="3"/>
  <c r="H2711" i="3"/>
  <c r="G2711" i="3"/>
  <c r="F2711" i="3"/>
  <c r="C2711" i="3"/>
  <c r="B2711" i="3"/>
  <c r="A2711" i="3"/>
  <c r="I2710" i="3"/>
  <c r="H2710" i="3"/>
  <c r="G2710" i="3"/>
  <c r="F2710" i="3"/>
  <c r="C2710" i="3"/>
  <c r="B2710" i="3"/>
  <c r="A2710" i="3"/>
  <c r="I2709" i="3"/>
  <c r="H2709" i="3"/>
  <c r="G2709" i="3"/>
  <c r="F2709" i="3"/>
  <c r="C2709" i="3"/>
  <c r="B2709" i="3"/>
  <c r="A2709" i="3"/>
  <c r="I2708" i="3"/>
  <c r="H2708" i="3"/>
  <c r="G2708" i="3"/>
  <c r="F2708" i="3"/>
  <c r="C2708" i="3"/>
  <c r="B2708" i="3"/>
  <c r="A2708" i="3"/>
  <c r="I2707" i="3"/>
  <c r="H2707" i="3"/>
  <c r="G2707" i="3"/>
  <c r="F2707" i="3"/>
  <c r="C2707" i="3"/>
  <c r="B2707" i="3"/>
  <c r="A2707" i="3"/>
  <c r="I2706" i="3"/>
  <c r="H2706" i="3"/>
  <c r="G2706" i="3"/>
  <c r="F2706" i="3"/>
  <c r="C2706" i="3"/>
  <c r="B2706" i="3"/>
  <c r="A2706" i="3"/>
  <c r="I2705" i="3"/>
  <c r="H2705" i="3"/>
  <c r="G2705" i="3"/>
  <c r="F2705" i="3"/>
  <c r="C2705" i="3"/>
  <c r="B2705" i="3"/>
  <c r="A2705" i="3"/>
  <c r="I2704" i="3"/>
  <c r="H2704" i="3"/>
  <c r="G2704" i="3"/>
  <c r="F2704" i="3"/>
  <c r="C2704" i="3"/>
  <c r="B2704" i="3"/>
  <c r="A2704" i="3"/>
  <c r="I2703" i="3"/>
  <c r="H2703" i="3"/>
  <c r="G2703" i="3"/>
  <c r="F2703" i="3"/>
  <c r="C2703" i="3"/>
  <c r="B2703" i="3"/>
  <c r="A2703" i="3"/>
  <c r="I2702" i="3"/>
  <c r="H2702" i="3"/>
  <c r="G2702" i="3"/>
  <c r="F2702" i="3"/>
  <c r="C2702" i="3"/>
  <c r="B2702" i="3"/>
  <c r="A2702" i="3"/>
  <c r="I2701" i="3"/>
  <c r="H2701" i="3"/>
  <c r="G2701" i="3"/>
  <c r="F2701" i="3"/>
  <c r="C2701" i="3"/>
  <c r="B2701" i="3"/>
  <c r="A2701" i="3"/>
  <c r="I2700" i="3"/>
  <c r="H2700" i="3"/>
  <c r="G2700" i="3"/>
  <c r="F2700" i="3"/>
  <c r="C2700" i="3"/>
  <c r="B2700" i="3"/>
  <c r="A2700" i="3"/>
  <c r="I2699" i="3"/>
  <c r="H2699" i="3"/>
  <c r="G2699" i="3"/>
  <c r="F2699" i="3"/>
  <c r="C2699" i="3"/>
  <c r="B2699" i="3"/>
  <c r="A2699" i="3"/>
  <c r="I2698" i="3"/>
  <c r="H2698" i="3"/>
  <c r="G2698" i="3"/>
  <c r="F2698" i="3"/>
  <c r="C2698" i="3"/>
  <c r="B2698" i="3"/>
  <c r="A2698" i="3"/>
  <c r="I2697" i="3"/>
  <c r="H2697" i="3"/>
  <c r="G2697" i="3"/>
  <c r="F2697" i="3"/>
  <c r="C2697" i="3"/>
  <c r="B2697" i="3"/>
  <c r="A2697" i="3"/>
  <c r="I2696" i="3"/>
  <c r="H2696" i="3"/>
  <c r="G2696" i="3"/>
  <c r="F2696" i="3"/>
  <c r="C2696" i="3"/>
  <c r="B2696" i="3"/>
  <c r="A2696" i="3"/>
  <c r="I2695" i="3"/>
  <c r="H2695" i="3"/>
  <c r="G2695" i="3"/>
  <c r="F2695" i="3"/>
  <c r="C2695" i="3"/>
  <c r="B2695" i="3"/>
  <c r="A2695" i="3"/>
  <c r="I2694" i="3"/>
  <c r="H2694" i="3"/>
  <c r="G2694" i="3"/>
  <c r="F2694" i="3"/>
  <c r="C2694" i="3"/>
  <c r="B2694" i="3"/>
  <c r="A2694" i="3"/>
  <c r="I2693" i="3"/>
  <c r="H2693" i="3"/>
  <c r="G2693" i="3"/>
  <c r="F2693" i="3"/>
  <c r="C2693" i="3"/>
  <c r="B2693" i="3"/>
  <c r="A2693" i="3"/>
  <c r="I2692" i="3"/>
  <c r="H2692" i="3"/>
  <c r="G2692" i="3"/>
  <c r="F2692" i="3"/>
  <c r="C2692" i="3"/>
  <c r="B2692" i="3"/>
  <c r="A2692" i="3"/>
  <c r="I2691" i="3"/>
  <c r="H2691" i="3"/>
  <c r="G2691" i="3"/>
  <c r="F2691" i="3"/>
  <c r="C2691" i="3"/>
  <c r="B2691" i="3"/>
  <c r="A2691" i="3"/>
  <c r="I2690" i="3"/>
  <c r="H2690" i="3"/>
  <c r="G2690" i="3"/>
  <c r="F2690" i="3"/>
  <c r="C2690" i="3"/>
  <c r="B2690" i="3"/>
  <c r="A2690" i="3"/>
  <c r="I2689" i="3"/>
  <c r="H2689" i="3"/>
  <c r="G2689" i="3"/>
  <c r="F2689" i="3"/>
  <c r="C2689" i="3"/>
  <c r="B2689" i="3"/>
  <c r="A2689" i="3"/>
  <c r="I2688" i="3"/>
  <c r="H2688" i="3"/>
  <c r="G2688" i="3"/>
  <c r="F2688" i="3"/>
  <c r="C2688" i="3"/>
  <c r="B2688" i="3"/>
  <c r="A2688" i="3"/>
  <c r="I2687" i="3"/>
  <c r="H2687" i="3"/>
  <c r="G2687" i="3"/>
  <c r="F2687" i="3"/>
  <c r="C2687" i="3"/>
  <c r="B2687" i="3"/>
  <c r="A2687" i="3"/>
  <c r="I2686" i="3"/>
  <c r="H2686" i="3"/>
  <c r="G2686" i="3"/>
  <c r="F2686" i="3"/>
  <c r="C2686" i="3"/>
  <c r="B2686" i="3"/>
  <c r="A2686" i="3"/>
  <c r="I2685" i="3"/>
  <c r="H2685" i="3"/>
  <c r="G2685" i="3"/>
  <c r="F2685" i="3"/>
  <c r="C2685" i="3"/>
  <c r="B2685" i="3"/>
  <c r="A2685" i="3"/>
  <c r="I2684" i="3"/>
  <c r="H2684" i="3"/>
  <c r="G2684" i="3"/>
  <c r="F2684" i="3"/>
  <c r="C2684" i="3"/>
  <c r="B2684" i="3"/>
  <c r="A2684" i="3"/>
  <c r="I2683" i="3"/>
  <c r="H2683" i="3"/>
  <c r="G2683" i="3"/>
  <c r="F2683" i="3"/>
  <c r="C2683" i="3"/>
  <c r="B2683" i="3"/>
  <c r="A2683" i="3"/>
  <c r="I2682" i="3"/>
  <c r="H2682" i="3"/>
  <c r="G2682" i="3"/>
  <c r="F2682" i="3"/>
  <c r="C2682" i="3"/>
  <c r="B2682" i="3"/>
  <c r="A2682" i="3"/>
  <c r="I2681" i="3"/>
  <c r="H2681" i="3"/>
  <c r="G2681" i="3"/>
  <c r="F2681" i="3"/>
  <c r="C2681" i="3"/>
  <c r="B2681" i="3"/>
  <c r="A2681" i="3"/>
  <c r="I2680" i="3"/>
  <c r="H2680" i="3"/>
  <c r="G2680" i="3"/>
  <c r="F2680" i="3"/>
  <c r="C2680" i="3"/>
  <c r="B2680" i="3"/>
  <c r="A2680" i="3"/>
  <c r="I2679" i="3"/>
  <c r="H2679" i="3"/>
  <c r="G2679" i="3"/>
  <c r="F2679" i="3"/>
  <c r="C2679" i="3"/>
  <c r="B2679" i="3"/>
  <c r="A2679" i="3"/>
  <c r="I2678" i="3"/>
  <c r="H2678" i="3"/>
  <c r="G2678" i="3"/>
  <c r="F2678" i="3"/>
  <c r="C2678" i="3"/>
  <c r="B2678" i="3"/>
  <c r="A2678" i="3"/>
  <c r="I2677" i="3"/>
  <c r="H2677" i="3"/>
  <c r="G2677" i="3"/>
  <c r="F2677" i="3"/>
  <c r="C2677" i="3"/>
  <c r="B2677" i="3"/>
  <c r="A2677" i="3"/>
  <c r="I2676" i="3"/>
  <c r="H2676" i="3"/>
  <c r="G2676" i="3"/>
  <c r="F2676" i="3"/>
  <c r="C2676" i="3"/>
  <c r="B2676" i="3"/>
  <c r="A2676" i="3"/>
  <c r="I2675" i="3"/>
  <c r="H2675" i="3"/>
  <c r="G2675" i="3"/>
  <c r="F2675" i="3"/>
  <c r="C2675" i="3"/>
  <c r="B2675" i="3"/>
  <c r="A2675" i="3"/>
  <c r="I2674" i="3"/>
  <c r="H2674" i="3"/>
  <c r="G2674" i="3"/>
  <c r="F2674" i="3"/>
  <c r="C2674" i="3"/>
  <c r="B2674" i="3"/>
  <c r="A2674" i="3"/>
  <c r="I2673" i="3"/>
  <c r="H2673" i="3"/>
  <c r="G2673" i="3"/>
  <c r="F2673" i="3"/>
  <c r="C2673" i="3"/>
  <c r="B2673" i="3"/>
  <c r="A2673" i="3"/>
  <c r="I2672" i="3"/>
  <c r="H2672" i="3"/>
  <c r="G2672" i="3"/>
  <c r="F2672" i="3"/>
  <c r="C2672" i="3"/>
  <c r="B2672" i="3"/>
  <c r="A2672" i="3"/>
  <c r="I2671" i="3"/>
  <c r="H2671" i="3"/>
  <c r="G2671" i="3"/>
  <c r="F2671" i="3"/>
  <c r="C2671" i="3"/>
  <c r="B2671" i="3"/>
  <c r="A2671" i="3"/>
  <c r="I2670" i="3"/>
  <c r="H2670" i="3"/>
  <c r="G2670" i="3"/>
  <c r="F2670" i="3"/>
  <c r="C2670" i="3"/>
  <c r="B2670" i="3"/>
  <c r="A2670" i="3"/>
  <c r="I2669" i="3"/>
  <c r="H2669" i="3"/>
  <c r="G2669" i="3"/>
  <c r="F2669" i="3"/>
  <c r="C2669" i="3"/>
  <c r="B2669" i="3"/>
  <c r="A2669" i="3"/>
  <c r="I2668" i="3"/>
  <c r="H2668" i="3"/>
  <c r="G2668" i="3"/>
  <c r="F2668" i="3"/>
  <c r="C2668" i="3"/>
  <c r="B2668" i="3"/>
  <c r="A2668" i="3"/>
  <c r="I2667" i="3"/>
  <c r="H2667" i="3"/>
  <c r="G2667" i="3"/>
  <c r="F2667" i="3"/>
  <c r="C2667" i="3"/>
  <c r="B2667" i="3"/>
  <c r="A2667" i="3"/>
  <c r="I2666" i="3"/>
  <c r="H2666" i="3"/>
  <c r="G2666" i="3"/>
  <c r="F2666" i="3"/>
  <c r="C2666" i="3"/>
  <c r="B2666" i="3"/>
  <c r="A2666" i="3"/>
  <c r="I2665" i="3"/>
  <c r="H2665" i="3"/>
  <c r="G2665" i="3"/>
  <c r="F2665" i="3"/>
  <c r="C2665" i="3"/>
  <c r="B2665" i="3"/>
  <c r="A2665" i="3"/>
  <c r="I2664" i="3"/>
  <c r="H2664" i="3"/>
  <c r="G2664" i="3"/>
  <c r="F2664" i="3"/>
  <c r="C2664" i="3"/>
  <c r="B2664" i="3"/>
  <c r="A2664" i="3"/>
  <c r="I2663" i="3"/>
  <c r="H2663" i="3"/>
  <c r="G2663" i="3"/>
  <c r="F2663" i="3"/>
  <c r="C2663" i="3"/>
  <c r="B2663" i="3"/>
  <c r="A2663" i="3"/>
  <c r="I2662" i="3"/>
  <c r="H2662" i="3"/>
  <c r="G2662" i="3"/>
  <c r="F2662" i="3"/>
  <c r="C2662" i="3"/>
  <c r="B2662" i="3"/>
  <c r="A2662" i="3"/>
  <c r="I2661" i="3"/>
  <c r="H2661" i="3"/>
  <c r="G2661" i="3"/>
  <c r="F2661" i="3"/>
  <c r="C2661" i="3"/>
  <c r="B2661" i="3"/>
  <c r="A2661" i="3"/>
  <c r="I2660" i="3"/>
  <c r="H2660" i="3"/>
  <c r="G2660" i="3"/>
  <c r="F2660" i="3"/>
  <c r="C2660" i="3"/>
  <c r="B2660" i="3"/>
  <c r="A2660" i="3"/>
  <c r="I2659" i="3"/>
  <c r="H2659" i="3"/>
  <c r="G2659" i="3"/>
  <c r="F2659" i="3"/>
  <c r="C2659" i="3"/>
  <c r="B2659" i="3"/>
  <c r="A2659" i="3"/>
  <c r="I2658" i="3"/>
  <c r="H2658" i="3"/>
  <c r="G2658" i="3"/>
  <c r="F2658" i="3"/>
  <c r="C2658" i="3"/>
  <c r="B2658" i="3"/>
  <c r="A2658" i="3"/>
  <c r="I2657" i="3"/>
  <c r="H2657" i="3"/>
  <c r="G2657" i="3"/>
  <c r="F2657" i="3"/>
  <c r="C2657" i="3"/>
  <c r="B2657" i="3"/>
  <c r="A2657" i="3"/>
  <c r="I2656" i="3"/>
  <c r="H2656" i="3"/>
  <c r="G2656" i="3"/>
  <c r="F2656" i="3"/>
  <c r="C2656" i="3"/>
  <c r="B2656" i="3"/>
  <c r="A2656" i="3"/>
  <c r="I2655" i="3"/>
  <c r="H2655" i="3"/>
  <c r="G2655" i="3"/>
  <c r="F2655" i="3"/>
  <c r="C2655" i="3"/>
  <c r="B2655" i="3"/>
  <c r="A2655" i="3"/>
  <c r="I2654" i="3"/>
  <c r="H2654" i="3"/>
  <c r="G2654" i="3"/>
  <c r="F2654" i="3"/>
  <c r="C2654" i="3"/>
  <c r="B2654" i="3"/>
  <c r="A2654" i="3"/>
  <c r="I2653" i="3"/>
  <c r="H2653" i="3"/>
  <c r="G2653" i="3"/>
  <c r="F2653" i="3"/>
  <c r="C2653" i="3"/>
  <c r="B2653" i="3"/>
  <c r="A2653" i="3"/>
  <c r="I2652" i="3"/>
  <c r="H2652" i="3"/>
  <c r="G2652" i="3"/>
  <c r="F2652" i="3"/>
  <c r="C2652" i="3"/>
  <c r="B2652" i="3"/>
  <c r="A2652" i="3"/>
  <c r="I2651" i="3"/>
  <c r="H2651" i="3"/>
  <c r="G2651" i="3"/>
  <c r="F2651" i="3"/>
  <c r="C2651" i="3"/>
  <c r="B2651" i="3"/>
  <c r="A2651" i="3"/>
  <c r="I2650" i="3"/>
  <c r="H2650" i="3"/>
  <c r="G2650" i="3"/>
  <c r="F2650" i="3"/>
  <c r="C2650" i="3"/>
  <c r="B2650" i="3"/>
  <c r="A2650" i="3"/>
  <c r="I2649" i="3"/>
  <c r="H2649" i="3"/>
  <c r="G2649" i="3"/>
  <c r="F2649" i="3"/>
  <c r="C2649" i="3"/>
  <c r="B2649" i="3"/>
  <c r="A2649" i="3"/>
  <c r="I2648" i="3"/>
  <c r="H2648" i="3"/>
  <c r="G2648" i="3"/>
  <c r="F2648" i="3"/>
  <c r="C2648" i="3"/>
  <c r="B2648" i="3"/>
  <c r="A2648" i="3"/>
  <c r="I2647" i="3"/>
  <c r="H2647" i="3"/>
  <c r="G2647" i="3"/>
  <c r="F2647" i="3"/>
  <c r="C2647" i="3"/>
  <c r="B2647" i="3"/>
  <c r="A2647" i="3"/>
  <c r="I2646" i="3"/>
  <c r="H2646" i="3"/>
  <c r="G2646" i="3"/>
  <c r="F2646" i="3"/>
  <c r="C2646" i="3"/>
  <c r="B2646" i="3"/>
  <c r="A2646" i="3"/>
  <c r="I2645" i="3"/>
  <c r="H2645" i="3"/>
  <c r="G2645" i="3"/>
  <c r="F2645" i="3"/>
  <c r="C2645" i="3"/>
  <c r="B2645" i="3"/>
  <c r="A2645" i="3"/>
  <c r="I2644" i="3"/>
  <c r="H2644" i="3"/>
  <c r="G2644" i="3"/>
  <c r="F2644" i="3"/>
  <c r="C2644" i="3"/>
  <c r="B2644" i="3"/>
  <c r="A2644" i="3"/>
  <c r="I2643" i="3"/>
  <c r="H2643" i="3"/>
  <c r="G2643" i="3"/>
  <c r="F2643" i="3"/>
  <c r="C2643" i="3"/>
  <c r="B2643" i="3"/>
  <c r="A2643" i="3"/>
  <c r="I2642" i="3"/>
  <c r="H2642" i="3"/>
  <c r="G2642" i="3"/>
  <c r="F2642" i="3"/>
  <c r="C2642" i="3"/>
  <c r="B2642" i="3"/>
  <c r="A2642" i="3"/>
  <c r="I2641" i="3"/>
  <c r="H2641" i="3"/>
  <c r="G2641" i="3"/>
  <c r="F2641" i="3"/>
  <c r="C2641" i="3"/>
  <c r="B2641" i="3"/>
  <c r="A2641" i="3"/>
  <c r="I2640" i="3"/>
  <c r="H2640" i="3"/>
  <c r="G2640" i="3"/>
  <c r="F2640" i="3"/>
  <c r="C2640" i="3"/>
  <c r="B2640" i="3"/>
  <c r="A2640" i="3"/>
  <c r="I2639" i="3"/>
  <c r="H2639" i="3"/>
  <c r="G2639" i="3"/>
  <c r="F2639" i="3"/>
  <c r="C2639" i="3"/>
  <c r="B2639" i="3"/>
  <c r="A2639" i="3"/>
  <c r="I2638" i="3"/>
  <c r="H2638" i="3"/>
  <c r="G2638" i="3"/>
  <c r="F2638" i="3"/>
  <c r="C2638" i="3"/>
  <c r="B2638" i="3"/>
  <c r="A2638" i="3"/>
  <c r="I2637" i="3"/>
  <c r="H2637" i="3"/>
  <c r="G2637" i="3"/>
  <c r="F2637" i="3"/>
  <c r="C2637" i="3"/>
  <c r="B2637" i="3"/>
  <c r="A2637" i="3"/>
  <c r="I2636" i="3"/>
  <c r="H2636" i="3"/>
  <c r="G2636" i="3"/>
  <c r="F2636" i="3"/>
  <c r="C2636" i="3"/>
  <c r="B2636" i="3"/>
  <c r="A2636" i="3"/>
  <c r="I2635" i="3"/>
  <c r="H2635" i="3"/>
  <c r="G2635" i="3"/>
  <c r="F2635" i="3"/>
  <c r="C2635" i="3"/>
  <c r="B2635" i="3"/>
  <c r="A2635" i="3"/>
  <c r="I2634" i="3"/>
  <c r="H2634" i="3"/>
  <c r="G2634" i="3"/>
  <c r="F2634" i="3"/>
  <c r="C2634" i="3"/>
  <c r="B2634" i="3"/>
  <c r="A2634" i="3"/>
  <c r="I2633" i="3"/>
  <c r="H2633" i="3"/>
  <c r="G2633" i="3"/>
  <c r="F2633" i="3"/>
  <c r="C2633" i="3"/>
  <c r="B2633" i="3"/>
  <c r="A2633" i="3"/>
  <c r="I2632" i="3"/>
  <c r="H2632" i="3"/>
  <c r="G2632" i="3"/>
  <c r="F2632" i="3"/>
  <c r="C2632" i="3"/>
  <c r="B2632" i="3"/>
  <c r="A2632" i="3"/>
  <c r="I2631" i="3"/>
  <c r="H2631" i="3"/>
  <c r="G2631" i="3"/>
  <c r="F2631" i="3"/>
  <c r="C2631" i="3"/>
  <c r="B2631" i="3"/>
  <c r="A2631" i="3"/>
  <c r="I2630" i="3"/>
  <c r="H2630" i="3"/>
  <c r="G2630" i="3"/>
  <c r="F2630" i="3"/>
  <c r="C2630" i="3"/>
  <c r="B2630" i="3"/>
  <c r="A2630" i="3"/>
  <c r="I2629" i="3"/>
  <c r="H2629" i="3"/>
  <c r="G2629" i="3"/>
  <c r="F2629" i="3"/>
  <c r="C2629" i="3"/>
  <c r="B2629" i="3"/>
  <c r="A2629" i="3"/>
  <c r="I2628" i="3"/>
  <c r="H2628" i="3"/>
  <c r="G2628" i="3"/>
  <c r="F2628" i="3"/>
  <c r="C2628" i="3"/>
  <c r="B2628" i="3"/>
  <c r="A2628" i="3"/>
  <c r="I2627" i="3"/>
  <c r="H2627" i="3"/>
  <c r="G2627" i="3"/>
  <c r="F2627" i="3"/>
  <c r="C2627" i="3"/>
  <c r="B2627" i="3"/>
  <c r="A2627" i="3"/>
  <c r="I2626" i="3"/>
  <c r="H2626" i="3"/>
  <c r="G2626" i="3"/>
  <c r="F2626" i="3"/>
  <c r="C2626" i="3"/>
  <c r="B2626" i="3"/>
  <c r="A2626" i="3"/>
  <c r="I2625" i="3"/>
  <c r="H2625" i="3"/>
  <c r="G2625" i="3"/>
  <c r="F2625" i="3"/>
  <c r="C2625" i="3"/>
  <c r="B2625" i="3"/>
  <c r="A2625" i="3"/>
  <c r="I2624" i="3"/>
  <c r="H2624" i="3"/>
  <c r="G2624" i="3"/>
  <c r="F2624" i="3"/>
  <c r="C2624" i="3"/>
  <c r="B2624" i="3"/>
  <c r="A2624" i="3"/>
  <c r="I2623" i="3"/>
  <c r="H2623" i="3"/>
  <c r="G2623" i="3"/>
  <c r="F2623" i="3"/>
  <c r="C2623" i="3"/>
  <c r="B2623" i="3"/>
  <c r="A2623" i="3"/>
  <c r="I2622" i="3"/>
  <c r="H2622" i="3"/>
  <c r="G2622" i="3"/>
  <c r="F2622" i="3"/>
  <c r="C2622" i="3"/>
  <c r="B2622" i="3"/>
  <c r="A2622" i="3"/>
  <c r="I2621" i="3"/>
  <c r="H2621" i="3"/>
  <c r="G2621" i="3"/>
  <c r="F2621" i="3"/>
  <c r="C2621" i="3"/>
  <c r="B2621" i="3"/>
  <c r="A2621" i="3"/>
  <c r="I2620" i="3"/>
  <c r="H2620" i="3"/>
  <c r="G2620" i="3"/>
  <c r="F2620" i="3"/>
  <c r="C2620" i="3"/>
  <c r="B2620" i="3"/>
  <c r="A2620" i="3"/>
  <c r="I2619" i="3"/>
  <c r="H2619" i="3"/>
  <c r="G2619" i="3"/>
  <c r="F2619" i="3"/>
  <c r="C2619" i="3"/>
  <c r="B2619" i="3"/>
  <c r="A2619" i="3"/>
  <c r="I2618" i="3"/>
  <c r="H2618" i="3"/>
  <c r="G2618" i="3"/>
  <c r="F2618" i="3"/>
  <c r="C2618" i="3"/>
  <c r="B2618" i="3"/>
  <c r="A2618" i="3"/>
  <c r="I2617" i="3"/>
  <c r="H2617" i="3"/>
  <c r="G2617" i="3"/>
  <c r="F2617" i="3"/>
  <c r="C2617" i="3"/>
  <c r="B2617" i="3"/>
  <c r="A2617" i="3"/>
  <c r="I2616" i="3"/>
  <c r="H2616" i="3"/>
  <c r="G2616" i="3"/>
  <c r="F2616" i="3"/>
  <c r="C2616" i="3"/>
  <c r="B2616" i="3"/>
  <c r="A2616" i="3"/>
  <c r="I2615" i="3"/>
  <c r="H2615" i="3"/>
  <c r="G2615" i="3"/>
  <c r="F2615" i="3"/>
  <c r="C2615" i="3"/>
  <c r="B2615" i="3"/>
  <c r="A2615" i="3"/>
  <c r="I2614" i="3"/>
  <c r="H2614" i="3"/>
  <c r="G2614" i="3"/>
  <c r="F2614" i="3"/>
  <c r="C2614" i="3"/>
  <c r="B2614" i="3"/>
  <c r="A2614" i="3"/>
  <c r="I2613" i="3"/>
  <c r="H2613" i="3"/>
  <c r="G2613" i="3"/>
  <c r="F2613" i="3"/>
  <c r="C2613" i="3"/>
  <c r="B2613" i="3"/>
  <c r="A2613" i="3"/>
  <c r="I2612" i="3"/>
  <c r="H2612" i="3"/>
  <c r="G2612" i="3"/>
  <c r="F2612" i="3"/>
  <c r="C2612" i="3"/>
  <c r="B2612" i="3"/>
  <c r="A2612" i="3"/>
  <c r="I2611" i="3"/>
  <c r="H2611" i="3"/>
  <c r="G2611" i="3"/>
  <c r="F2611" i="3"/>
  <c r="C2611" i="3"/>
  <c r="B2611" i="3"/>
  <c r="A2611" i="3"/>
  <c r="I2610" i="3"/>
  <c r="H2610" i="3"/>
  <c r="G2610" i="3"/>
  <c r="F2610" i="3"/>
  <c r="C2610" i="3"/>
  <c r="B2610" i="3"/>
  <c r="A2610" i="3"/>
  <c r="I2609" i="3"/>
  <c r="H2609" i="3"/>
  <c r="G2609" i="3"/>
  <c r="F2609" i="3"/>
  <c r="C2609" i="3"/>
  <c r="B2609" i="3"/>
  <c r="A2609" i="3"/>
  <c r="I2608" i="3"/>
  <c r="H2608" i="3"/>
  <c r="G2608" i="3"/>
  <c r="F2608" i="3"/>
  <c r="C2608" i="3"/>
  <c r="B2608" i="3"/>
  <c r="A2608" i="3"/>
  <c r="I2607" i="3"/>
  <c r="H2607" i="3"/>
  <c r="G2607" i="3"/>
  <c r="F2607" i="3"/>
  <c r="C2607" i="3"/>
  <c r="B2607" i="3"/>
  <c r="A2607" i="3"/>
  <c r="I2606" i="3"/>
  <c r="H2606" i="3"/>
  <c r="G2606" i="3"/>
  <c r="F2606" i="3"/>
  <c r="C2606" i="3"/>
  <c r="B2606" i="3"/>
  <c r="A2606" i="3"/>
  <c r="I2605" i="3"/>
  <c r="H2605" i="3"/>
  <c r="G2605" i="3"/>
  <c r="F2605" i="3"/>
  <c r="C2605" i="3"/>
  <c r="B2605" i="3"/>
  <c r="A2605" i="3"/>
  <c r="I2604" i="3"/>
  <c r="H2604" i="3"/>
  <c r="G2604" i="3"/>
  <c r="F2604" i="3"/>
  <c r="C2604" i="3"/>
  <c r="B2604" i="3"/>
  <c r="A2604" i="3"/>
  <c r="I2603" i="3"/>
  <c r="H2603" i="3"/>
  <c r="G2603" i="3"/>
  <c r="F2603" i="3"/>
  <c r="C2603" i="3"/>
  <c r="B2603" i="3"/>
  <c r="A2603" i="3"/>
  <c r="I2602" i="3"/>
  <c r="H2602" i="3"/>
  <c r="G2602" i="3"/>
  <c r="F2602" i="3"/>
  <c r="C2602" i="3"/>
  <c r="B2602" i="3"/>
  <c r="A2602" i="3"/>
  <c r="I2601" i="3"/>
  <c r="H2601" i="3"/>
  <c r="G2601" i="3"/>
  <c r="F2601" i="3"/>
  <c r="C2601" i="3"/>
  <c r="B2601" i="3"/>
  <c r="A2601" i="3"/>
  <c r="I2600" i="3"/>
  <c r="H2600" i="3"/>
  <c r="G2600" i="3"/>
  <c r="F2600" i="3"/>
  <c r="C2600" i="3"/>
  <c r="B2600" i="3"/>
  <c r="A2600" i="3"/>
  <c r="I2599" i="3"/>
  <c r="H2599" i="3"/>
  <c r="G2599" i="3"/>
  <c r="F2599" i="3"/>
  <c r="C2599" i="3"/>
  <c r="B2599" i="3"/>
  <c r="A2599" i="3"/>
  <c r="I2598" i="3"/>
  <c r="H2598" i="3"/>
  <c r="G2598" i="3"/>
  <c r="F2598" i="3"/>
  <c r="C2598" i="3"/>
  <c r="B2598" i="3"/>
  <c r="A2598" i="3"/>
  <c r="I2597" i="3"/>
  <c r="H2597" i="3"/>
  <c r="G2597" i="3"/>
  <c r="F2597" i="3"/>
  <c r="C2597" i="3"/>
  <c r="B2597" i="3"/>
  <c r="A2597" i="3"/>
  <c r="I2596" i="3"/>
  <c r="H2596" i="3"/>
  <c r="G2596" i="3"/>
  <c r="F2596" i="3"/>
  <c r="C2596" i="3"/>
  <c r="B2596" i="3"/>
  <c r="A2596" i="3"/>
  <c r="I2595" i="3"/>
  <c r="H2595" i="3"/>
  <c r="G2595" i="3"/>
  <c r="F2595" i="3"/>
  <c r="C2595" i="3"/>
  <c r="B2595" i="3"/>
  <c r="A2595" i="3"/>
  <c r="I2594" i="3"/>
  <c r="H2594" i="3"/>
  <c r="G2594" i="3"/>
  <c r="F2594" i="3"/>
  <c r="C2594" i="3"/>
  <c r="B2594" i="3"/>
  <c r="A2594" i="3"/>
  <c r="I2593" i="3"/>
  <c r="H2593" i="3"/>
  <c r="G2593" i="3"/>
  <c r="F2593" i="3"/>
  <c r="C2593" i="3"/>
  <c r="B2593" i="3"/>
  <c r="A2593" i="3"/>
  <c r="I2592" i="3"/>
  <c r="H2592" i="3"/>
  <c r="G2592" i="3"/>
  <c r="F2592" i="3"/>
  <c r="C2592" i="3"/>
  <c r="B2592" i="3"/>
  <c r="A2592" i="3"/>
  <c r="I2591" i="3"/>
  <c r="H2591" i="3"/>
  <c r="G2591" i="3"/>
  <c r="F2591" i="3"/>
  <c r="C2591" i="3"/>
  <c r="B2591" i="3"/>
  <c r="A2591" i="3"/>
  <c r="I2590" i="3"/>
  <c r="H2590" i="3"/>
  <c r="G2590" i="3"/>
  <c r="F2590" i="3"/>
  <c r="C2590" i="3"/>
  <c r="B2590" i="3"/>
  <c r="A2590" i="3"/>
  <c r="I2589" i="3"/>
  <c r="H2589" i="3"/>
  <c r="G2589" i="3"/>
  <c r="F2589" i="3"/>
  <c r="C2589" i="3"/>
  <c r="B2589" i="3"/>
  <c r="A2589" i="3"/>
  <c r="I2588" i="3"/>
  <c r="H2588" i="3"/>
  <c r="G2588" i="3"/>
  <c r="F2588" i="3"/>
  <c r="C2588" i="3"/>
  <c r="B2588" i="3"/>
  <c r="A2588" i="3"/>
  <c r="I2587" i="3"/>
  <c r="H2587" i="3"/>
  <c r="G2587" i="3"/>
  <c r="F2587" i="3"/>
  <c r="C2587" i="3"/>
  <c r="B2587" i="3"/>
  <c r="A2587" i="3"/>
  <c r="I2586" i="3"/>
  <c r="H2586" i="3"/>
  <c r="G2586" i="3"/>
  <c r="F2586" i="3"/>
  <c r="C2586" i="3"/>
  <c r="B2586" i="3"/>
  <c r="A2586" i="3"/>
  <c r="I2585" i="3"/>
  <c r="H2585" i="3"/>
  <c r="G2585" i="3"/>
  <c r="F2585" i="3"/>
  <c r="C2585" i="3"/>
  <c r="B2585" i="3"/>
  <c r="A2585" i="3"/>
  <c r="I2584" i="3"/>
  <c r="H2584" i="3"/>
  <c r="G2584" i="3"/>
  <c r="F2584" i="3"/>
  <c r="C2584" i="3"/>
  <c r="B2584" i="3"/>
  <c r="A2584" i="3"/>
  <c r="I2583" i="3"/>
  <c r="H2583" i="3"/>
  <c r="G2583" i="3"/>
  <c r="F2583" i="3"/>
  <c r="C2583" i="3"/>
  <c r="B2583" i="3"/>
  <c r="A2583" i="3"/>
  <c r="I2582" i="3"/>
  <c r="H2582" i="3"/>
  <c r="G2582" i="3"/>
  <c r="F2582" i="3"/>
  <c r="C2582" i="3"/>
  <c r="B2582" i="3"/>
  <c r="A2582" i="3"/>
  <c r="I2581" i="3"/>
  <c r="H2581" i="3"/>
  <c r="G2581" i="3"/>
  <c r="F2581" i="3"/>
  <c r="C2581" i="3"/>
  <c r="B2581" i="3"/>
  <c r="A2581" i="3"/>
  <c r="I2580" i="3"/>
  <c r="H2580" i="3"/>
  <c r="G2580" i="3"/>
  <c r="F2580" i="3"/>
  <c r="C2580" i="3"/>
  <c r="B2580" i="3"/>
  <c r="A2580" i="3"/>
  <c r="I2579" i="3"/>
  <c r="H2579" i="3"/>
  <c r="G2579" i="3"/>
  <c r="F2579" i="3"/>
  <c r="C2579" i="3"/>
  <c r="B2579" i="3"/>
  <c r="A2579" i="3"/>
  <c r="I2578" i="3"/>
  <c r="H2578" i="3"/>
  <c r="G2578" i="3"/>
  <c r="F2578" i="3"/>
  <c r="C2578" i="3"/>
  <c r="B2578" i="3"/>
  <c r="A2578" i="3"/>
  <c r="I2577" i="3"/>
  <c r="H2577" i="3"/>
  <c r="G2577" i="3"/>
  <c r="F2577" i="3"/>
  <c r="C2577" i="3"/>
  <c r="B2577" i="3"/>
  <c r="A2577" i="3"/>
  <c r="I2576" i="3"/>
  <c r="H2576" i="3"/>
  <c r="G2576" i="3"/>
  <c r="F2576" i="3"/>
  <c r="C2576" i="3"/>
  <c r="B2576" i="3"/>
  <c r="A2576" i="3"/>
  <c r="I2575" i="3"/>
  <c r="H2575" i="3"/>
  <c r="G2575" i="3"/>
  <c r="F2575" i="3"/>
  <c r="C2575" i="3"/>
  <c r="B2575" i="3"/>
  <c r="A2575" i="3"/>
  <c r="I2574" i="3"/>
  <c r="H2574" i="3"/>
  <c r="G2574" i="3"/>
  <c r="F2574" i="3"/>
  <c r="C2574" i="3"/>
  <c r="B2574" i="3"/>
  <c r="A2574" i="3"/>
  <c r="I2573" i="3"/>
  <c r="H2573" i="3"/>
  <c r="G2573" i="3"/>
  <c r="F2573" i="3"/>
  <c r="C2573" i="3"/>
  <c r="B2573" i="3"/>
  <c r="A2573" i="3"/>
  <c r="I2572" i="3"/>
  <c r="H2572" i="3"/>
  <c r="G2572" i="3"/>
  <c r="F2572" i="3"/>
  <c r="C2572" i="3"/>
  <c r="B2572" i="3"/>
  <c r="A2572" i="3"/>
  <c r="I2571" i="3"/>
  <c r="H2571" i="3"/>
  <c r="G2571" i="3"/>
  <c r="F2571" i="3"/>
  <c r="C2571" i="3"/>
  <c r="B2571" i="3"/>
  <c r="A2571" i="3"/>
  <c r="I2570" i="3"/>
  <c r="H2570" i="3"/>
  <c r="G2570" i="3"/>
  <c r="F2570" i="3"/>
  <c r="C2570" i="3"/>
  <c r="B2570" i="3"/>
  <c r="A2570" i="3"/>
  <c r="I2569" i="3"/>
  <c r="H2569" i="3"/>
  <c r="G2569" i="3"/>
  <c r="F2569" i="3"/>
  <c r="C2569" i="3"/>
  <c r="B2569" i="3"/>
  <c r="A2569" i="3"/>
  <c r="I2568" i="3"/>
  <c r="H2568" i="3"/>
  <c r="G2568" i="3"/>
  <c r="F2568" i="3"/>
  <c r="C2568" i="3"/>
  <c r="B2568" i="3"/>
  <c r="A2568" i="3"/>
  <c r="I2567" i="3"/>
  <c r="H2567" i="3"/>
  <c r="G2567" i="3"/>
  <c r="F2567" i="3"/>
  <c r="C2567" i="3"/>
  <c r="B2567" i="3"/>
  <c r="A2567" i="3"/>
  <c r="I2566" i="3"/>
  <c r="H2566" i="3"/>
  <c r="G2566" i="3"/>
  <c r="F2566" i="3"/>
  <c r="C2566" i="3"/>
  <c r="B2566" i="3"/>
  <c r="A2566" i="3"/>
  <c r="I2565" i="3"/>
  <c r="H2565" i="3"/>
  <c r="G2565" i="3"/>
  <c r="F2565" i="3"/>
  <c r="C2565" i="3"/>
  <c r="B2565" i="3"/>
  <c r="A2565" i="3"/>
  <c r="I2564" i="3"/>
  <c r="H2564" i="3"/>
  <c r="G2564" i="3"/>
  <c r="F2564" i="3"/>
  <c r="C2564" i="3"/>
  <c r="B2564" i="3"/>
  <c r="A2564" i="3"/>
  <c r="I2563" i="3"/>
  <c r="H2563" i="3"/>
  <c r="G2563" i="3"/>
  <c r="F2563" i="3"/>
  <c r="C2563" i="3"/>
  <c r="B2563" i="3"/>
  <c r="A2563" i="3"/>
  <c r="I2562" i="3"/>
  <c r="H2562" i="3"/>
  <c r="G2562" i="3"/>
  <c r="F2562" i="3"/>
  <c r="C2562" i="3"/>
  <c r="B2562" i="3"/>
  <c r="A2562" i="3"/>
  <c r="I2561" i="3"/>
  <c r="H2561" i="3"/>
  <c r="G2561" i="3"/>
  <c r="F2561" i="3"/>
  <c r="C2561" i="3"/>
  <c r="B2561" i="3"/>
  <c r="A2561" i="3"/>
  <c r="I2560" i="3"/>
  <c r="H2560" i="3"/>
  <c r="G2560" i="3"/>
  <c r="F2560" i="3"/>
  <c r="C2560" i="3"/>
  <c r="B2560" i="3"/>
  <c r="A2560" i="3"/>
  <c r="I2559" i="3"/>
  <c r="H2559" i="3"/>
  <c r="G2559" i="3"/>
  <c r="F2559" i="3"/>
  <c r="C2559" i="3"/>
  <c r="B2559" i="3"/>
  <c r="A2559" i="3"/>
  <c r="I2558" i="3"/>
  <c r="H2558" i="3"/>
  <c r="G2558" i="3"/>
  <c r="F2558" i="3"/>
  <c r="C2558" i="3"/>
  <c r="B2558" i="3"/>
  <c r="A2558" i="3"/>
  <c r="I2557" i="3"/>
  <c r="H2557" i="3"/>
  <c r="G2557" i="3"/>
  <c r="F2557" i="3"/>
  <c r="C2557" i="3"/>
  <c r="B2557" i="3"/>
  <c r="A2557" i="3"/>
  <c r="I2556" i="3"/>
  <c r="H2556" i="3"/>
  <c r="G2556" i="3"/>
  <c r="F2556" i="3"/>
  <c r="C2556" i="3"/>
  <c r="B2556" i="3"/>
  <c r="A2556" i="3"/>
  <c r="I2555" i="3"/>
  <c r="H2555" i="3"/>
  <c r="G2555" i="3"/>
  <c r="F2555" i="3"/>
  <c r="C2555" i="3"/>
  <c r="B2555" i="3"/>
  <c r="A2555" i="3"/>
  <c r="I2554" i="3"/>
  <c r="H2554" i="3"/>
  <c r="G2554" i="3"/>
  <c r="F2554" i="3"/>
  <c r="C2554" i="3"/>
  <c r="B2554" i="3"/>
  <c r="A2554" i="3"/>
  <c r="I2553" i="3"/>
  <c r="H2553" i="3"/>
  <c r="G2553" i="3"/>
  <c r="F2553" i="3"/>
  <c r="C2553" i="3"/>
  <c r="B2553" i="3"/>
  <c r="A2553" i="3"/>
  <c r="I2552" i="3"/>
  <c r="H2552" i="3"/>
  <c r="G2552" i="3"/>
  <c r="F2552" i="3"/>
  <c r="C2552" i="3"/>
  <c r="B2552" i="3"/>
  <c r="A2552" i="3"/>
  <c r="I2551" i="3"/>
  <c r="H2551" i="3"/>
  <c r="G2551" i="3"/>
  <c r="F2551" i="3"/>
  <c r="C2551" i="3"/>
  <c r="B2551" i="3"/>
  <c r="A2551" i="3"/>
  <c r="I2550" i="3"/>
  <c r="H2550" i="3"/>
  <c r="G2550" i="3"/>
  <c r="F2550" i="3"/>
  <c r="C2550" i="3"/>
  <c r="B2550" i="3"/>
  <c r="A2550" i="3"/>
  <c r="I2549" i="3"/>
  <c r="H2549" i="3"/>
  <c r="G2549" i="3"/>
  <c r="F2549" i="3"/>
  <c r="C2549" i="3"/>
  <c r="B2549" i="3"/>
  <c r="A2549" i="3"/>
  <c r="I2548" i="3"/>
  <c r="H2548" i="3"/>
  <c r="G2548" i="3"/>
  <c r="F2548" i="3"/>
  <c r="C2548" i="3"/>
  <c r="B2548" i="3"/>
  <c r="A2548" i="3"/>
  <c r="I2547" i="3"/>
  <c r="H2547" i="3"/>
  <c r="G2547" i="3"/>
  <c r="F2547" i="3"/>
  <c r="C2547" i="3"/>
  <c r="B2547" i="3"/>
  <c r="A2547" i="3"/>
  <c r="I2546" i="3"/>
  <c r="H2546" i="3"/>
  <c r="G2546" i="3"/>
  <c r="F2546" i="3"/>
  <c r="C2546" i="3"/>
  <c r="B2546" i="3"/>
  <c r="A2546" i="3"/>
  <c r="I2545" i="3"/>
  <c r="H2545" i="3"/>
  <c r="G2545" i="3"/>
  <c r="F2545" i="3"/>
  <c r="C2545" i="3"/>
  <c r="B2545" i="3"/>
  <c r="A2545" i="3"/>
  <c r="I2544" i="3"/>
  <c r="H2544" i="3"/>
  <c r="G2544" i="3"/>
  <c r="F2544" i="3"/>
  <c r="C2544" i="3"/>
  <c r="B2544" i="3"/>
  <c r="A2544" i="3"/>
  <c r="I2543" i="3"/>
  <c r="H2543" i="3"/>
  <c r="G2543" i="3"/>
  <c r="F2543" i="3"/>
  <c r="C2543" i="3"/>
  <c r="B2543" i="3"/>
  <c r="A2543" i="3"/>
  <c r="I2542" i="3"/>
  <c r="H2542" i="3"/>
  <c r="G2542" i="3"/>
  <c r="F2542" i="3"/>
  <c r="C2542" i="3"/>
  <c r="B2542" i="3"/>
  <c r="A2542" i="3"/>
  <c r="I2541" i="3"/>
  <c r="H2541" i="3"/>
  <c r="G2541" i="3"/>
  <c r="F2541" i="3"/>
  <c r="C2541" i="3"/>
  <c r="B2541" i="3"/>
  <c r="A2541" i="3"/>
  <c r="I2540" i="3"/>
  <c r="H2540" i="3"/>
  <c r="G2540" i="3"/>
  <c r="F2540" i="3"/>
  <c r="C2540" i="3"/>
  <c r="B2540" i="3"/>
  <c r="A2540" i="3"/>
  <c r="I2539" i="3"/>
  <c r="H2539" i="3"/>
  <c r="G2539" i="3"/>
  <c r="F2539" i="3"/>
  <c r="C2539" i="3"/>
  <c r="B2539" i="3"/>
  <c r="A2539" i="3"/>
  <c r="I2538" i="3"/>
  <c r="H2538" i="3"/>
  <c r="G2538" i="3"/>
  <c r="F2538" i="3"/>
  <c r="C2538" i="3"/>
  <c r="B2538" i="3"/>
  <c r="A2538" i="3"/>
  <c r="I2537" i="3"/>
  <c r="H2537" i="3"/>
  <c r="G2537" i="3"/>
  <c r="F2537" i="3"/>
  <c r="C2537" i="3"/>
  <c r="B2537" i="3"/>
  <c r="A2537" i="3"/>
  <c r="I2536" i="3"/>
  <c r="H2536" i="3"/>
  <c r="G2536" i="3"/>
  <c r="F2536" i="3"/>
  <c r="C2536" i="3"/>
  <c r="B2536" i="3"/>
  <c r="A2536" i="3"/>
  <c r="I2535" i="3"/>
  <c r="H2535" i="3"/>
  <c r="G2535" i="3"/>
  <c r="F2535" i="3"/>
  <c r="C2535" i="3"/>
  <c r="B2535" i="3"/>
  <c r="A2535" i="3"/>
  <c r="I2534" i="3"/>
  <c r="H2534" i="3"/>
  <c r="G2534" i="3"/>
  <c r="F2534" i="3"/>
  <c r="C2534" i="3"/>
  <c r="B2534" i="3"/>
  <c r="A2534" i="3"/>
  <c r="I2533" i="3"/>
  <c r="H2533" i="3"/>
  <c r="G2533" i="3"/>
  <c r="F2533" i="3"/>
  <c r="C2533" i="3"/>
  <c r="B2533" i="3"/>
  <c r="A2533" i="3"/>
  <c r="I2532" i="3"/>
  <c r="H2532" i="3"/>
  <c r="G2532" i="3"/>
  <c r="F2532" i="3"/>
  <c r="C2532" i="3"/>
  <c r="B2532" i="3"/>
  <c r="A2532" i="3"/>
  <c r="I2531" i="3"/>
  <c r="H2531" i="3"/>
  <c r="G2531" i="3"/>
  <c r="F2531" i="3"/>
  <c r="C2531" i="3"/>
  <c r="B2531" i="3"/>
  <c r="A2531" i="3"/>
  <c r="I2530" i="3"/>
  <c r="H2530" i="3"/>
  <c r="G2530" i="3"/>
  <c r="F2530" i="3"/>
  <c r="C2530" i="3"/>
  <c r="B2530" i="3"/>
  <c r="A2530" i="3"/>
  <c r="I2529" i="3"/>
  <c r="H2529" i="3"/>
  <c r="G2529" i="3"/>
  <c r="F2529" i="3"/>
  <c r="C2529" i="3"/>
  <c r="B2529" i="3"/>
  <c r="A2529" i="3"/>
  <c r="I2528" i="3"/>
  <c r="H2528" i="3"/>
  <c r="G2528" i="3"/>
  <c r="F2528" i="3"/>
  <c r="C2528" i="3"/>
  <c r="B2528" i="3"/>
  <c r="A2528" i="3"/>
  <c r="I2527" i="3"/>
  <c r="H2527" i="3"/>
  <c r="G2527" i="3"/>
  <c r="F2527" i="3"/>
  <c r="C2527" i="3"/>
  <c r="B2527" i="3"/>
  <c r="A2527" i="3"/>
  <c r="I2526" i="3"/>
  <c r="H2526" i="3"/>
  <c r="G2526" i="3"/>
  <c r="F2526" i="3"/>
  <c r="C2526" i="3"/>
  <c r="B2526" i="3"/>
  <c r="A2526" i="3"/>
  <c r="I2525" i="3"/>
  <c r="H2525" i="3"/>
  <c r="G2525" i="3"/>
  <c r="F2525" i="3"/>
  <c r="C2525" i="3"/>
  <c r="B2525" i="3"/>
  <c r="A2525" i="3"/>
  <c r="I2524" i="3"/>
  <c r="H2524" i="3"/>
  <c r="G2524" i="3"/>
  <c r="F2524" i="3"/>
  <c r="C2524" i="3"/>
  <c r="B2524" i="3"/>
  <c r="A2524" i="3"/>
  <c r="I2523" i="3"/>
  <c r="H2523" i="3"/>
  <c r="G2523" i="3"/>
  <c r="F2523" i="3"/>
  <c r="C2523" i="3"/>
  <c r="B2523" i="3"/>
  <c r="A2523" i="3"/>
  <c r="I2522" i="3"/>
  <c r="H2522" i="3"/>
  <c r="G2522" i="3"/>
  <c r="F2522" i="3"/>
  <c r="C2522" i="3"/>
  <c r="B2522" i="3"/>
  <c r="A2522" i="3"/>
  <c r="I2521" i="3"/>
  <c r="H2521" i="3"/>
  <c r="G2521" i="3"/>
  <c r="F2521" i="3"/>
  <c r="C2521" i="3"/>
  <c r="B2521" i="3"/>
  <c r="A2521" i="3"/>
  <c r="I2520" i="3"/>
  <c r="H2520" i="3"/>
  <c r="G2520" i="3"/>
  <c r="F2520" i="3"/>
  <c r="C2520" i="3"/>
  <c r="B2520" i="3"/>
  <c r="A2520" i="3"/>
  <c r="I2519" i="3"/>
  <c r="H2519" i="3"/>
  <c r="G2519" i="3"/>
  <c r="F2519" i="3"/>
  <c r="C2519" i="3"/>
  <c r="B2519" i="3"/>
  <c r="A2519" i="3"/>
  <c r="I2518" i="3"/>
  <c r="H2518" i="3"/>
  <c r="G2518" i="3"/>
  <c r="F2518" i="3"/>
  <c r="C2518" i="3"/>
  <c r="B2518" i="3"/>
  <c r="A2518" i="3"/>
  <c r="I2517" i="3"/>
  <c r="H2517" i="3"/>
  <c r="G2517" i="3"/>
  <c r="F2517" i="3"/>
  <c r="C2517" i="3"/>
  <c r="B2517" i="3"/>
  <c r="A2517" i="3"/>
  <c r="I2516" i="3"/>
  <c r="H2516" i="3"/>
  <c r="G2516" i="3"/>
  <c r="F2516" i="3"/>
  <c r="C2516" i="3"/>
  <c r="B2516" i="3"/>
  <c r="A2516" i="3"/>
  <c r="I2515" i="3"/>
  <c r="H2515" i="3"/>
  <c r="G2515" i="3"/>
  <c r="F2515" i="3"/>
  <c r="C2515" i="3"/>
  <c r="B2515" i="3"/>
  <c r="A2515" i="3"/>
  <c r="I2514" i="3"/>
  <c r="H2514" i="3"/>
  <c r="G2514" i="3"/>
  <c r="F2514" i="3"/>
  <c r="C2514" i="3"/>
  <c r="B2514" i="3"/>
  <c r="A2514" i="3"/>
  <c r="I2513" i="3"/>
  <c r="H2513" i="3"/>
  <c r="G2513" i="3"/>
  <c r="F2513" i="3"/>
  <c r="C2513" i="3"/>
  <c r="B2513" i="3"/>
  <c r="A2513" i="3"/>
  <c r="I2512" i="3"/>
  <c r="H2512" i="3"/>
  <c r="G2512" i="3"/>
  <c r="F2512" i="3"/>
  <c r="C2512" i="3"/>
  <c r="B2512" i="3"/>
  <c r="A2512" i="3"/>
  <c r="I2511" i="3"/>
  <c r="H2511" i="3"/>
  <c r="G2511" i="3"/>
  <c r="F2511" i="3"/>
  <c r="C2511" i="3"/>
  <c r="B2511" i="3"/>
  <c r="A2511" i="3"/>
  <c r="I2510" i="3"/>
  <c r="H2510" i="3"/>
  <c r="G2510" i="3"/>
  <c r="F2510" i="3"/>
  <c r="C2510" i="3"/>
  <c r="B2510" i="3"/>
  <c r="A2510" i="3"/>
  <c r="I2509" i="3"/>
  <c r="H2509" i="3"/>
  <c r="G2509" i="3"/>
  <c r="F2509" i="3"/>
  <c r="C2509" i="3"/>
  <c r="B2509" i="3"/>
  <c r="A2509" i="3"/>
  <c r="I2508" i="3"/>
  <c r="H2508" i="3"/>
  <c r="G2508" i="3"/>
  <c r="F2508" i="3"/>
  <c r="C2508" i="3"/>
  <c r="B2508" i="3"/>
  <c r="A2508" i="3"/>
  <c r="I2507" i="3"/>
  <c r="H2507" i="3"/>
  <c r="G2507" i="3"/>
  <c r="F2507" i="3"/>
  <c r="C2507" i="3"/>
  <c r="B2507" i="3"/>
  <c r="A2507" i="3"/>
  <c r="I2506" i="3"/>
  <c r="H2506" i="3"/>
  <c r="G2506" i="3"/>
  <c r="F2506" i="3"/>
  <c r="C2506" i="3"/>
  <c r="B2506" i="3"/>
  <c r="A2506" i="3"/>
  <c r="I2505" i="3"/>
  <c r="H2505" i="3"/>
  <c r="G2505" i="3"/>
  <c r="F2505" i="3"/>
  <c r="C2505" i="3"/>
  <c r="B2505" i="3"/>
  <c r="A2505" i="3"/>
  <c r="I2504" i="3"/>
  <c r="H2504" i="3"/>
  <c r="G2504" i="3"/>
  <c r="F2504" i="3"/>
  <c r="C2504" i="3"/>
  <c r="B2504" i="3"/>
  <c r="A2504" i="3"/>
  <c r="I2503" i="3"/>
  <c r="H2503" i="3"/>
  <c r="G2503" i="3"/>
  <c r="F2503" i="3"/>
  <c r="C2503" i="3"/>
  <c r="B2503" i="3"/>
  <c r="A2503" i="3"/>
  <c r="I2502" i="3"/>
  <c r="H2502" i="3"/>
  <c r="G2502" i="3"/>
  <c r="F2502" i="3"/>
  <c r="C2502" i="3"/>
  <c r="B2502" i="3"/>
  <c r="A2502" i="3"/>
  <c r="I2501" i="3"/>
  <c r="H2501" i="3"/>
  <c r="G2501" i="3"/>
  <c r="F2501" i="3"/>
  <c r="C2501" i="3"/>
  <c r="B2501" i="3"/>
  <c r="A2501" i="3"/>
  <c r="I2500" i="3"/>
  <c r="H2500" i="3"/>
  <c r="G2500" i="3"/>
  <c r="F2500" i="3"/>
  <c r="C2500" i="3"/>
  <c r="B2500" i="3"/>
  <c r="A2500" i="3"/>
  <c r="I2499" i="3"/>
  <c r="H2499" i="3"/>
  <c r="G2499" i="3"/>
  <c r="F2499" i="3"/>
  <c r="C2499" i="3"/>
  <c r="B2499" i="3"/>
  <c r="A2499" i="3"/>
  <c r="I2498" i="3"/>
  <c r="H2498" i="3"/>
  <c r="G2498" i="3"/>
  <c r="F2498" i="3"/>
  <c r="C2498" i="3"/>
  <c r="B2498" i="3"/>
  <c r="A2498" i="3"/>
  <c r="I2497" i="3"/>
  <c r="H2497" i="3"/>
  <c r="G2497" i="3"/>
  <c r="F2497" i="3"/>
  <c r="C2497" i="3"/>
  <c r="B2497" i="3"/>
  <c r="A2497" i="3"/>
  <c r="I2496" i="3"/>
  <c r="H2496" i="3"/>
  <c r="G2496" i="3"/>
  <c r="F2496" i="3"/>
  <c r="C2496" i="3"/>
  <c r="B2496" i="3"/>
  <c r="A2496" i="3"/>
  <c r="I2495" i="3"/>
  <c r="H2495" i="3"/>
  <c r="G2495" i="3"/>
  <c r="F2495" i="3"/>
  <c r="C2495" i="3"/>
  <c r="B2495" i="3"/>
  <c r="A2495" i="3"/>
  <c r="I2494" i="3"/>
  <c r="H2494" i="3"/>
  <c r="G2494" i="3"/>
  <c r="F2494" i="3"/>
  <c r="C2494" i="3"/>
  <c r="B2494" i="3"/>
  <c r="A2494" i="3"/>
  <c r="I2493" i="3"/>
  <c r="H2493" i="3"/>
  <c r="G2493" i="3"/>
  <c r="F2493" i="3"/>
  <c r="C2493" i="3"/>
  <c r="B2493" i="3"/>
  <c r="A2493" i="3"/>
  <c r="I2492" i="3"/>
  <c r="H2492" i="3"/>
  <c r="G2492" i="3"/>
  <c r="F2492" i="3"/>
  <c r="C2492" i="3"/>
  <c r="B2492" i="3"/>
  <c r="A2492" i="3"/>
  <c r="I2491" i="3"/>
  <c r="H2491" i="3"/>
  <c r="G2491" i="3"/>
  <c r="F2491" i="3"/>
  <c r="C2491" i="3"/>
  <c r="B2491" i="3"/>
  <c r="A2491" i="3"/>
  <c r="I2490" i="3"/>
  <c r="H2490" i="3"/>
  <c r="G2490" i="3"/>
  <c r="F2490" i="3"/>
  <c r="C2490" i="3"/>
  <c r="B2490" i="3"/>
  <c r="A2490" i="3"/>
  <c r="I2489" i="3"/>
  <c r="H2489" i="3"/>
  <c r="G2489" i="3"/>
  <c r="F2489" i="3"/>
  <c r="C2489" i="3"/>
  <c r="B2489" i="3"/>
  <c r="A2489" i="3"/>
  <c r="I2488" i="3"/>
  <c r="H2488" i="3"/>
  <c r="G2488" i="3"/>
  <c r="F2488" i="3"/>
  <c r="C2488" i="3"/>
  <c r="B2488" i="3"/>
  <c r="A2488" i="3"/>
  <c r="I2487" i="3"/>
  <c r="H2487" i="3"/>
  <c r="G2487" i="3"/>
  <c r="F2487" i="3"/>
  <c r="C2487" i="3"/>
  <c r="B2487" i="3"/>
  <c r="A2487" i="3"/>
  <c r="I2486" i="3"/>
  <c r="H2486" i="3"/>
  <c r="G2486" i="3"/>
  <c r="F2486" i="3"/>
  <c r="C2486" i="3"/>
  <c r="B2486" i="3"/>
  <c r="A2486" i="3"/>
  <c r="I2485" i="3"/>
  <c r="H2485" i="3"/>
  <c r="G2485" i="3"/>
  <c r="F2485" i="3"/>
  <c r="C2485" i="3"/>
  <c r="B2485" i="3"/>
  <c r="A2485" i="3"/>
  <c r="I2484" i="3"/>
  <c r="H2484" i="3"/>
  <c r="G2484" i="3"/>
  <c r="F2484" i="3"/>
  <c r="C2484" i="3"/>
  <c r="B2484" i="3"/>
  <c r="A2484" i="3"/>
  <c r="I2483" i="3"/>
  <c r="H2483" i="3"/>
  <c r="G2483" i="3"/>
  <c r="F2483" i="3"/>
  <c r="C2483" i="3"/>
  <c r="B2483" i="3"/>
  <c r="A2483" i="3"/>
  <c r="I2482" i="3"/>
  <c r="H2482" i="3"/>
  <c r="G2482" i="3"/>
  <c r="F2482" i="3"/>
  <c r="C2482" i="3"/>
  <c r="B2482" i="3"/>
  <c r="A2482" i="3"/>
  <c r="I2481" i="3"/>
  <c r="H2481" i="3"/>
  <c r="G2481" i="3"/>
  <c r="F2481" i="3"/>
  <c r="C2481" i="3"/>
  <c r="B2481" i="3"/>
  <c r="A2481" i="3"/>
  <c r="I2480" i="3"/>
  <c r="H2480" i="3"/>
  <c r="G2480" i="3"/>
  <c r="F2480" i="3"/>
  <c r="C2480" i="3"/>
  <c r="B2480" i="3"/>
  <c r="A2480" i="3"/>
  <c r="I2479" i="3"/>
  <c r="H2479" i="3"/>
  <c r="G2479" i="3"/>
  <c r="F2479" i="3"/>
  <c r="C2479" i="3"/>
  <c r="B2479" i="3"/>
  <c r="A2479" i="3"/>
  <c r="I2478" i="3"/>
  <c r="H2478" i="3"/>
  <c r="G2478" i="3"/>
  <c r="F2478" i="3"/>
  <c r="C2478" i="3"/>
  <c r="B2478" i="3"/>
  <c r="A2478" i="3"/>
  <c r="I2477" i="3"/>
  <c r="H2477" i="3"/>
  <c r="G2477" i="3"/>
  <c r="F2477" i="3"/>
  <c r="C2477" i="3"/>
  <c r="B2477" i="3"/>
  <c r="A2477" i="3"/>
  <c r="I2476" i="3"/>
  <c r="H2476" i="3"/>
  <c r="G2476" i="3"/>
  <c r="F2476" i="3"/>
  <c r="C2476" i="3"/>
  <c r="B2476" i="3"/>
  <c r="A2476" i="3"/>
  <c r="I2475" i="3"/>
  <c r="H2475" i="3"/>
  <c r="G2475" i="3"/>
  <c r="F2475" i="3"/>
  <c r="C2475" i="3"/>
  <c r="B2475" i="3"/>
  <c r="A2475" i="3"/>
  <c r="I2474" i="3"/>
  <c r="H2474" i="3"/>
  <c r="G2474" i="3"/>
  <c r="F2474" i="3"/>
  <c r="C2474" i="3"/>
  <c r="B2474" i="3"/>
  <c r="A2474" i="3"/>
  <c r="I2473" i="3"/>
  <c r="H2473" i="3"/>
  <c r="G2473" i="3"/>
  <c r="F2473" i="3"/>
  <c r="C2473" i="3"/>
  <c r="B2473" i="3"/>
  <c r="A2473" i="3"/>
  <c r="I2472" i="3"/>
  <c r="H2472" i="3"/>
  <c r="G2472" i="3"/>
  <c r="F2472" i="3"/>
  <c r="C2472" i="3"/>
  <c r="B2472" i="3"/>
  <c r="A2472" i="3"/>
  <c r="I2471" i="3"/>
  <c r="H2471" i="3"/>
  <c r="G2471" i="3"/>
  <c r="F2471" i="3"/>
  <c r="C2471" i="3"/>
  <c r="B2471" i="3"/>
  <c r="A2471" i="3"/>
  <c r="I2470" i="3"/>
  <c r="H2470" i="3"/>
  <c r="G2470" i="3"/>
  <c r="F2470" i="3"/>
  <c r="C2470" i="3"/>
  <c r="B2470" i="3"/>
  <c r="A2470" i="3"/>
  <c r="I2469" i="3"/>
  <c r="H2469" i="3"/>
  <c r="G2469" i="3"/>
  <c r="F2469" i="3"/>
  <c r="C2469" i="3"/>
  <c r="B2469" i="3"/>
  <c r="A2469" i="3"/>
  <c r="I2468" i="3"/>
  <c r="H2468" i="3"/>
  <c r="G2468" i="3"/>
  <c r="F2468" i="3"/>
  <c r="C2468" i="3"/>
  <c r="B2468" i="3"/>
  <c r="A2468" i="3"/>
  <c r="I2467" i="3"/>
  <c r="H2467" i="3"/>
  <c r="G2467" i="3"/>
  <c r="F2467" i="3"/>
  <c r="C2467" i="3"/>
  <c r="B2467" i="3"/>
  <c r="A2467" i="3"/>
  <c r="I2466" i="3"/>
  <c r="H2466" i="3"/>
  <c r="G2466" i="3"/>
  <c r="F2466" i="3"/>
  <c r="C2466" i="3"/>
  <c r="B2466" i="3"/>
  <c r="A2466" i="3"/>
  <c r="I2465" i="3"/>
  <c r="H2465" i="3"/>
  <c r="G2465" i="3"/>
  <c r="F2465" i="3"/>
  <c r="C2465" i="3"/>
  <c r="B2465" i="3"/>
  <c r="A2465" i="3"/>
  <c r="I2464" i="3"/>
  <c r="H2464" i="3"/>
  <c r="G2464" i="3"/>
  <c r="F2464" i="3"/>
  <c r="C2464" i="3"/>
  <c r="B2464" i="3"/>
  <c r="A2464" i="3"/>
  <c r="I2463" i="3"/>
  <c r="H2463" i="3"/>
  <c r="G2463" i="3"/>
  <c r="F2463" i="3"/>
  <c r="C2463" i="3"/>
  <c r="B2463" i="3"/>
  <c r="A2463" i="3"/>
  <c r="I2462" i="3"/>
  <c r="H2462" i="3"/>
  <c r="G2462" i="3"/>
  <c r="F2462" i="3"/>
  <c r="C2462" i="3"/>
  <c r="B2462" i="3"/>
  <c r="A2462" i="3"/>
  <c r="I2461" i="3"/>
  <c r="H2461" i="3"/>
  <c r="G2461" i="3"/>
  <c r="F2461" i="3"/>
  <c r="C2461" i="3"/>
  <c r="B2461" i="3"/>
  <c r="A2461" i="3"/>
  <c r="I2460" i="3"/>
  <c r="H2460" i="3"/>
  <c r="G2460" i="3"/>
  <c r="F2460" i="3"/>
  <c r="C2460" i="3"/>
  <c r="B2460" i="3"/>
  <c r="A2460" i="3"/>
  <c r="I2459" i="3"/>
  <c r="H2459" i="3"/>
  <c r="G2459" i="3"/>
  <c r="F2459" i="3"/>
  <c r="C2459" i="3"/>
  <c r="B2459" i="3"/>
  <c r="A2459" i="3"/>
  <c r="I2458" i="3"/>
  <c r="H2458" i="3"/>
  <c r="G2458" i="3"/>
  <c r="F2458" i="3"/>
  <c r="C2458" i="3"/>
  <c r="B2458" i="3"/>
  <c r="A2458" i="3"/>
  <c r="I2457" i="3"/>
  <c r="H2457" i="3"/>
  <c r="G2457" i="3"/>
  <c r="F2457" i="3"/>
  <c r="C2457" i="3"/>
  <c r="B2457" i="3"/>
  <c r="A2457" i="3"/>
  <c r="I2456" i="3"/>
  <c r="H2456" i="3"/>
  <c r="G2456" i="3"/>
  <c r="F2456" i="3"/>
  <c r="C2456" i="3"/>
  <c r="B2456" i="3"/>
  <c r="A2456" i="3"/>
  <c r="I2455" i="3"/>
  <c r="H2455" i="3"/>
  <c r="G2455" i="3"/>
  <c r="F2455" i="3"/>
  <c r="C2455" i="3"/>
  <c r="B2455" i="3"/>
  <c r="A2455" i="3"/>
  <c r="I2454" i="3"/>
  <c r="H2454" i="3"/>
  <c r="G2454" i="3"/>
  <c r="F2454" i="3"/>
  <c r="C2454" i="3"/>
  <c r="B2454" i="3"/>
  <c r="A2454" i="3"/>
  <c r="I2453" i="3"/>
  <c r="H2453" i="3"/>
  <c r="G2453" i="3"/>
  <c r="F2453" i="3"/>
  <c r="C2453" i="3"/>
  <c r="B2453" i="3"/>
  <c r="A2453" i="3"/>
  <c r="I2452" i="3"/>
  <c r="H2452" i="3"/>
  <c r="G2452" i="3"/>
  <c r="F2452" i="3"/>
  <c r="C2452" i="3"/>
  <c r="B2452" i="3"/>
  <c r="A2452" i="3"/>
  <c r="I2451" i="3"/>
  <c r="H2451" i="3"/>
  <c r="G2451" i="3"/>
  <c r="F2451" i="3"/>
  <c r="C2451" i="3"/>
  <c r="B2451" i="3"/>
  <c r="A2451" i="3"/>
  <c r="I2450" i="3"/>
  <c r="H2450" i="3"/>
  <c r="G2450" i="3"/>
  <c r="F2450" i="3"/>
  <c r="C2450" i="3"/>
  <c r="B2450" i="3"/>
  <c r="A2450" i="3"/>
  <c r="I2449" i="3"/>
  <c r="H2449" i="3"/>
  <c r="G2449" i="3"/>
  <c r="F2449" i="3"/>
  <c r="C2449" i="3"/>
  <c r="B2449" i="3"/>
  <c r="A2449" i="3"/>
  <c r="I2448" i="3"/>
  <c r="H2448" i="3"/>
  <c r="G2448" i="3"/>
  <c r="F2448" i="3"/>
  <c r="C2448" i="3"/>
  <c r="B2448" i="3"/>
  <c r="A2448" i="3"/>
  <c r="I2447" i="3"/>
  <c r="H2447" i="3"/>
  <c r="G2447" i="3"/>
  <c r="F2447" i="3"/>
  <c r="C2447" i="3"/>
  <c r="B2447" i="3"/>
  <c r="A2447" i="3"/>
  <c r="I2446" i="3"/>
  <c r="H2446" i="3"/>
  <c r="G2446" i="3"/>
  <c r="F2446" i="3"/>
  <c r="C2446" i="3"/>
  <c r="B2446" i="3"/>
  <c r="A2446" i="3"/>
  <c r="I2445" i="3"/>
  <c r="H2445" i="3"/>
  <c r="G2445" i="3"/>
  <c r="F2445" i="3"/>
  <c r="C2445" i="3"/>
  <c r="B2445" i="3"/>
  <c r="A2445" i="3"/>
  <c r="I2444" i="3"/>
  <c r="H2444" i="3"/>
  <c r="G2444" i="3"/>
  <c r="F2444" i="3"/>
  <c r="C2444" i="3"/>
  <c r="B2444" i="3"/>
  <c r="A2444" i="3"/>
  <c r="I2443" i="3"/>
  <c r="H2443" i="3"/>
  <c r="G2443" i="3"/>
  <c r="F2443" i="3"/>
  <c r="C2443" i="3"/>
  <c r="B2443" i="3"/>
  <c r="A2443" i="3"/>
  <c r="I2442" i="3"/>
  <c r="H2442" i="3"/>
  <c r="G2442" i="3"/>
  <c r="F2442" i="3"/>
  <c r="C2442" i="3"/>
  <c r="B2442" i="3"/>
  <c r="A2442" i="3"/>
  <c r="I2441" i="3"/>
  <c r="H2441" i="3"/>
  <c r="G2441" i="3"/>
  <c r="F2441" i="3"/>
  <c r="C2441" i="3"/>
  <c r="B2441" i="3"/>
  <c r="A2441" i="3"/>
  <c r="I2440" i="3"/>
  <c r="H2440" i="3"/>
  <c r="G2440" i="3"/>
  <c r="F2440" i="3"/>
  <c r="C2440" i="3"/>
  <c r="B2440" i="3"/>
  <c r="A2440" i="3"/>
  <c r="I2439" i="3"/>
  <c r="H2439" i="3"/>
  <c r="G2439" i="3"/>
  <c r="F2439" i="3"/>
  <c r="C2439" i="3"/>
  <c r="B2439" i="3"/>
  <c r="A2439" i="3"/>
  <c r="I2438" i="3"/>
  <c r="H2438" i="3"/>
  <c r="G2438" i="3"/>
  <c r="F2438" i="3"/>
  <c r="C2438" i="3"/>
  <c r="B2438" i="3"/>
  <c r="A2438" i="3"/>
  <c r="I2437" i="3"/>
  <c r="H2437" i="3"/>
  <c r="G2437" i="3"/>
  <c r="F2437" i="3"/>
  <c r="C2437" i="3"/>
  <c r="B2437" i="3"/>
  <c r="A2437" i="3"/>
  <c r="I2436" i="3"/>
  <c r="H2436" i="3"/>
  <c r="G2436" i="3"/>
  <c r="F2436" i="3"/>
  <c r="C2436" i="3"/>
  <c r="B2436" i="3"/>
  <c r="A2436" i="3"/>
  <c r="I2435" i="3"/>
  <c r="H2435" i="3"/>
  <c r="G2435" i="3"/>
  <c r="F2435" i="3"/>
  <c r="C2435" i="3"/>
  <c r="B2435" i="3"/>
  <c r="A2435" i="3"/>
  <c r="I2434" i="3"/>
  <c r="H2434" i="3"/>
  <c r="G2434" i="3"/>
  <c r="F2434" i="3"/>
  <c r="C2434" i="3"/>
  <c r="B2434" i="3"/>
  <c r="A2434" i="3"/>
  <c r="I2433" i="3"/>
  <c r="H2433" i="3"/>
  <c r="G2433" i="3"/>
  <c r="F2433" i="3"/>
  <c r="C2433" i="3"/>
  <c r="B2433" i="3"/>
  <c r="A2433" i="3"/>
  <c r="I2432" i="3"/>
  <c r="H2432" i="3"/>
  <c r="G2432" i="3"/>
  <c r="F2432" i="3"/>
  <c r="C2432" i="3"/>
  <c r="B2432" i="3"/>
  <c r="A2432" i="3"/>
  <c r="I2431" i="3"/>
  <c r="H2431" i="3"/>
  <c r="G2431" i="3"/>
  <c r="F2431" i="3"/>
  <c r="C2431" i="3"/>
  <c r="B2431" i="3"/>
  <c r="A2431" i="3"/>
  <c r="I2430" i="3"/>
  <c r="H2430" i="3"/>
  <c r="G2430" i="3"/>
  <c r="F2430" i="3"/>
  <c r="C2430" i="3"/>
  <c r="B2430" i="3"/>
  <c r="A2430" i="3"/>
  <c r="I2429" i="3"/>
  <c r="H2429" i="3"/>
  <c r="G2429" i="3"/>
  <c r="F2429" i="3"/>
  <c r="C2429" i="3"/>
  <c r="B2429" i="3"/>
  <c r="A2429" i="3"/>
  <c r="I2428" i="3"/>
  <c r="H2428" i="3"/>
  <c r="G2428" i="3"/>
  <c r="F2428" i="3"/>
  <c r="C2428" i="3"/>
  <c r="B2428" i="3"/>
  <c r="A2428" i="3"/>
  <c r="I2427" i="3"/>
  <c r="H2427" i="3"/>
  <c r="G2427" i="3"/>
  <c r="F2427" i="3"/>
  <c r="C2427" i="3"/>
  <c r="B2427" i="3"/>
  <c r="A2427" i="3"/>
  <c r="I2426" i="3"/>
  <c r="H2426" i="3"/>
  <c r="G2426" i="3"/>
  <c r="F2426" i="3"/>
  <c r="C2426" i="3"/>
  <c r="B2426" i="3"/>
  <c r="A2426" i="3"/>
  <c r="I2425" i="3"/>
  <c r="H2425" i="3"/>
  <c r="G2425" i="3"/>
  <c r="F2425" i="3"/>
  <c r="C2425" i="3"/>
  <c r="B2425" i="3"/>
  <c r="A2425" i="3"/>
  <c r="I2424" i="3"/>
  <c r="H2424" i="3"/>
  <c r="G2424" i="3"/>
  <c r="F2424" i="3"/>
  <c r="C2424" i="3"/>
  <c r="B2424" i="3"/>
  <c r="A2424" i="3"/>
  <c r="I2423" i="3"/>
  <c r="H2423" i="3"/>
  <c r="G2423" i="3"/>
  <c r="F2423" i="3"/>
  <c r="C2423" i="3"/>
  <c r="B2423" i="3"/>
  <c r="A2423" i="3"/>
  <c r="I2422" i="3"/>
  <c r="H2422" i="3"/>
  <c r="G2422" i="3"/>
  <c r="F2422" i="3"/>
  <c r="C2422" i="3"/>
  <c r="B2422" i="3"/>
  <c r="A2422" i="3"/>
  <c r="I2421" i="3"/>
  <c r="H2421" i="3"/>
  <c r="G2421" i="3"/>
  <c r="F2421" i="3"/>
  <c r="C2421" i="3"/>
  <c r="B2421" i="3"/>
  <c r="A2421" i="3"/>
  <c r="I2420" i="3"/>
  <c r="H2420" i="3"/>
  <c r="G2420" i="3"/>
  <c r="F2420" i="3"/>
  <c r="C2420" i="3"/>
  <c r="B2420" i="3"/>
  <c r="A2420" i="3"/>
  <c r="I2419" i="3"/>
  <c r="H2419" i="3"/>
  <c r="G2419" i="3"/>
  <c r="F2419" i="3"/>
  <c r="C2419" i="3"/>
  <c r="B2419" i="3"/>
  <c r="A2419" i="3"/>
  <c r="I2418" i="3"/>
  <c r="H2418" i="3"/>
  <c r="G2418" i="3"/>
  <c r="F2418" i="3"/>
  <c r="C2418" i="3"/>
  <c r="B2418" i="3"/>
  <c r="A2418" i="3"/>
  <c r="I2417" i="3"/>
  <c r="H2417" i="3"/>
  <c r="G2417" i="3"/>
  <c r="F2417" i="3"/>
  <c r="C2417" i="3"/>
  <c r="B2417" i="3"/>
  <c r="A2417" i="3"/>
  <c r="I2416" i="3"/>
  <c r="H2416" i="3"/>
  <c r="G2416" i="3"/>
  <c r="F2416" i="3"/>
  <c r="C2416" i="3"/>
  <c r="B2416" i="3"/>
  <c r="A2416" i="3"/>
  <c r="I2415" i="3"/>
  <c r="H2415" i="3"/>
  <c r="G2415" i="3"/>
  <c r="F2415" i="3"/>
  <c r="C2415" i="3"/>
  <c r="B2415" i="3"/>
  <c r="A2415" i="3"/>
  <c r="I2414" i="3"/>
  <c r="H2414" i="3"/>
  <c r="G2414" i="3"/>
  <c r="F2414" i="3"/>
  <c r="C2414" i="3"/>
  <c r="B2414" i="3"/>
  <c r="A2414" i="3"/>
  <c r="I2413" i="3"/>
  <c r="H2413" i="3"/>
  <c r="G2413" i="3"/>
  <c r="F2413" i="3"/>
  <c r="C2413" i="3"/>
  <c r="B2413" i="3"/>
  <c r="A2413" i="3"/>
  <c r="I2412" i="3"/>
  <c r="H2412" i="3"/>
  <c r="G2412" i="3"/>
  <c r="F2412" i="3"/>
  <c r="C2412" i="3"/>
  <c r="B2412" i="3"/>
  <c r="A2412" i="3"/>
  <c r="I2411" i="3"/>
  <c r="H2411" i="3"/>
  <c r="G2411" i="3"/>
  <c r="F2411" i="3"/>
  <c r="C2411" i="3"/>
  <c r="B2411" i="3"/>
  <c r="A2411" i="3"/>
  <c r="I2410" i="3"/>
  <c r="H2410" i="3"/>
  <c r="G2410" i="3"/>
  <c r="F2410" i="3"/>
  <c r="C2410" i="3"/>
  <c r="B2410" i="3"/>
  <c r="A2410" i="3"/>
  <c r="I2409" i="3"/>
  <c r="H2409" i="3"/>
  <c r="G2409" i="3"/>
  <c r="F2409" i="3"/>
  <c r="C2409" i="3"/>
  <c r="B2409" i="3"/>
  <c r="A2409" i="3"/>
  <c r="I2408" i="3"/>
  <c r="H2408" i="3"/>
  <c r="G2408" i="3"/>
  <c r="F2408" i="3"/>
  <c r="C2408" i="3"/>
  <c r="B2408" i="3"/>
  <c r="A2408" i="3"/>
  <c r="I2407" i="3"/>
  <c r="H2407" i="3"/>
  <c r="G2407" i="3"/>
  <c r="F2407" i="3"/>
  <c r="C2407" i="3"/>
  <c r="B2407" i="3"/>
  <c r="A2407" i="3"/>
  <c r="I2406" i="3"/>
  <c r="H2406" i="3"/>
  <c r="G2406" i="3"/>
  <c r="F2406" i="3"/>
  <c r="C2406" i="3"/>
  <c r="B2406" i="3"/>
  <c r="A2406" i="3"/>
  <c r="I2405" i="3"/>
  <c r="H2405" i="3"/>
  <c r="G2405" i="3"/>
  <c r="F2405" i="3"/>
  <c r="C2405" i="3"/>
  <c r="B2405" i="3"/>
  <c r="A2405" i="3"/>
  <c r="I2404" i="3"/>
  <c r="H2404" i="3"/>
  <c r="G2404" i="3"/>
  <c r="F2404" i="3"/>
  <c r="C2404" i="3"/>
  <c r="B2404" i="3"/>
  <c r="A2404" i="3"/>
  <c r="I2403" i="3"/>
  <c r="H2403" i="3"/>
  <c r="G2403" i="3"/>
  <c r="F2403" i="3"/>
  <c r="C2403" i="3"/>
  <c r="B2403" i="3"/>
  <c r="A2403" i="3"/>
  <c r="I2402" i="3"/>
  <c r="H2402" i="3"/>
  <c r="G2402" i="3"/>
  <c r="F2402" i="3"/>
  <c r="C2402" i="3"/>
  <c r="B2402" i="3"/>
  <c r="A2402" i="3"/>
  <c r="I2401" i="3"/>
  <c r="H2401" i="3"/>
  <c r="G2401" i="3"/>
  <c r="F2401" i="3"/>
  <c r="C2401" i="3"/>
  <c r="B2401" i="3"/>
  <c r="A2401" i="3"/>
  <c r="I2400" i="3"/>
  <c r="H2400" i="3"/>
  <c r="G2400" i="3"/>
  <c r="F2400" i="3"/>
  <c r="C2400" i="3"/>
  <c r="B2400" i="3"/>
  <c r="A2400" i="3"/>
  <c r="I2399" i="3"/>
  <c r="H2399" i="3"/>
  <c r="G2399" i="3"/>
  <c r="F2399" i="3"/>
  <c r="C2399" i="3"/>
  <c r="B2399" i="3"/>
  <c r="A2399" i="3"/>
  <c r="I2398" i="3"/>
  <c r="H2398" i="3"/>
  <c r="G2398" i="3"/>
  <c r="F2398" i="3"/>
  <c r="C2398" i="3"/>
  <c r="B2398" i="3"/>
  <c r="A2398" i="3"/>
  <c r="I2397" i="3"/>
  <c r="H2397" i="3"/>
  <c r="G2397" i="3"/>
  <c r="F2397" i="3"/>
  <c r="C2397" i="3"/>
  <c r="B2397" i="3"/>
  <c r="A2397" i="3"/>
  <c r="I2396" i="3"/>
  <c r="H2396" i="3"/>
  <c r="G2396" i="3"/>
  <c r="F2396" i="3"/>
  <c r="C2396" i="3"/>
  <c r="B2396" i="3"/>
  <c r="A2396" i="3"/>
  <c r="I2395" i="3"/>
  <c r="H2395" i="3"/>
  <c r="G2395" i="3"/>
  <c r="F2395" i="3"/>
  <c r="C2395" i="3"/>
  <c r="B2395" i="3"/>
  <c r="A2395" i="3"/>
  <c r="I2394" i="3"/>
  <c r="H2394" i="3"/>
  <c r="G2394" i="3"/>
  <c r="F2394" i="3"/>
  <c r="C2394" i="3"/>
  <c r="B2394" i="3"/>
  <c r="A2394" i="3"/>
  <c r="I2393" i="3"/>
  <c r="H2393" i="3"/>
  <c r="G2393" i="3"/>
  <c r="F2393" i="3"/>
  <c r="C2393" i="3"/>
  <c r="B2393" i="3"/>
  <c r="A2393" i="3"/>
  <c r="I2392" i="3"/>
  <c r="H2392" i="3"/>
  <c r="G2392" i="3"/>
  <c r="F2392" i="3"/>
  <c r="C2392" i="3"/>
  <c r="B2392" i="3"/>
  <c r="A2392" i="3"/>
  <c r="I2391" i="3"/>
  <c r="H2391" i="3"/>
  <c r="G2391" i="3"/>
  <c r="F2391" i="3"/>
  <c r="C2391" i="3"/>
  <c r="B2391" i="3"/>
  <c r="A2391" i="3"/>
  <c r="I2390" i="3"/>
  <c r="H2390" i="3"/>
  <c r="G2390" i="3"/>
  <c r="F2390" i="3"/>
  <c r="C2390" i="3"/>
  <c r="B2390" i="3"/>
  <c r="A2390" i="3"/>
  <c r="I2389" i="3"/>
  <c r="H2389" i="3"/>
  <c r="G2389" i="3"/>
  <c r="F2389" i="3"/>
  <c r="C2389" i="3"/>
  <c r="B2389" i="3"/>
  <c r="A2389" i="3"/>
  <c r="I2388" i="3"/>
  <c r="H2388" i="3"/>
  <c r="G2388" i="3"/>
  <c r="F2388" i="3"/>
  <c r="C2388" i="3"/>
  <c r="B2388" i="3"/>
  <c r="A2388" i="3"/>
  <c r="I2387" i="3"/>
  <c r="H2387" i="3"/>
  <c r="G2387" i="3"/>
  <c r="F2387" i="3"/>
  <c r="C2387" i="3"/>
  <c r="B2387" i="3"/>
  <c r="A2387" i="3"/>
  <c r="I2386" i="3"/>
  <c r="H2386" i="3"/>
  <c r="G2386" i="3"/>
  <c r="F2386" i="3"/>
  <c r="C2386" i="3"/>
  <c r="B2386" i="3"/>
  <c r="A2386" i="3"/>
  <c r="I2385" i="3"/>
  <c r="H2385" i="3"/>
  <c r="G2385" i="3"/>
  <c r="F2385" i="3"/>
  <c r="C2385" i="3"/>
  <c r="B2385" i="3"/>
  <c r="A2385" i="3"/>
  <c r="I2384" i="3"/>
  <c r="H2384" i="3"/>
  <c r="G2384" i="3"/>
  <c r="F2384" i="3"/>
  <c r="C2384" i="3"/>
  <c r="B2384" i="3"/>
  <c r="A2384" i="3"/>
  <c r="I2383" i="3"/>
  <c r="H2383" i="3"/>
  <c r="G2383" i="3"/>
  <c r="F2383" i="3"/>
  <c r="C2383" i="3"/>
  <c r="B2383" i="3"/>
  <c r="A2383" i="3"/>
  <c r="I2382" i="3"/>
  <c r="H2382" i="3"/>
  <c r="G2382" i="3"/>
  <c r="F2382" i="3"/>
  <c r="C2382" i="3"/>
  <c r="B2382" i="3"/>
  <c r="A2382" i="3"/>
  <c r="I2381" i="3"/>
  <c r="H2381" i="3"/>
  <c r="G2381" i="3"/>
  <c r="F2381" i="3"/>
  <c r="C2381" i="3"/>
  <c r="B2381" i="3"/>
  <c r="A2381" i="3"/>
  <c r="I2380" i="3"/>
  <c r="H2380" i="3"/>
  <c r="G2380" i="3"/>
  <c r="F2380" i="3"/>
  <c r="C2380" i="3"/>
  <c r="B2380" i="3"/>
  <c r="A2380" i="3"/>
  <c r="I2379" i="3"/>
  <c r="H2379" i="3"/>
  <c r="G2379" i="3"/>
  <c r="F2379" i="3"/>
  <c r="C2379" i="3"/>
  <c r="B2379" i="3"/>
  <c r="A2379" i="3"/>
  <c r="I2378" i="3"/>
  <c r="H2378" i="3"/>
  <c r="G2378" i="3"/>
  <c r="F2378" i="3"/>
  <c r="C2378" i="3"/>
  <c r="B2378" i="3"/>
  <c r="A2378" i="3"/>
  <c r="I2377" i="3"/>
  <c r="H2377" i="3"/>
  <c r="G2377" i="3"/>
  <c r="F2377" i="3"/>
  <c r="C2377" i="3"/>
  <c r="B2377" i="3"/>
  <c r="A2377" i="3"/>
  <c r="I2376" i="3"/>
  <c r="H2376" i="3"/>
  <c r="G2376" i="3"/>
  <c r="F2376" i="3"/>
  <c r="C2376" i="3"/>
  <c r="B2376" i="3"/>
  <c r="A2376" i="3"/>
  <c r="I2375" i="3"/>
  <c r="H2375" i="3"/>
  <c r="G2375" i="3"/>
  <c r="F2375" i="3"/>
  <c r="C2375" i="3"/>
  <c r="B2375" i="3"/>
  <c r="A2375" i="3"/>
  <c r="I2374" i="3"/>
  <c r="H2374" i="3"/>
  <c r="G2374" i="3"/>
  <c r="F2374" i="3"/>
  <c r="C2374" i="3"/>
  <c r="B2374" i="3"/>
  <c r="A2374" i="3"/>
  <c r="I2373" i="3"/>
  <c r="H2373" i="3"/>
  <c r="G2373" i="3"/>
  <c r="F2373" i="3"/>
  <c r="C2373" i="3"/>
  <c r="B2373" i="3"/>
  <c r="A2373" i="3"/>
  <c r="I2372" i="3"/>
  <c r="H2372" i="3"/>
  <c r="G2372" i="3"/>
  <c r="F2372" i="3"/>
  <c r="C2372" i="3"/>
  <c r="B2372" i="3"/>
  <c r="A2372" i="3"/>
  <c r="I2371" i="3"/>
  <c r="H2371" i="3"/>
  <c r="G2371" i="3"/>
  <c r="F2371" i="3"/>
  <c r="C2371" i="3"/>
  <c r="B2371" i="3"/>
  <c r="A2371" i="3"/>
  <c r="I2370" i="3"/>
  <c r="H2370" i="3"/>
  <c r="G2370" i="3"/>
  <c r="F2370" i="3"/>
  <c r="C2370" i="3"/>
  <c r="B2370" i="3"/>
  <c r="A2370" i="3"/>
  <c r="I2369" i="3"/>
  <c r="H2369" i="3"/>
  <c r="G2369" i="3"/>
  <c r="F2369" i="3"/>
  <c r="C2369" i="3"/>
  <c r="B2369" i="3"/>
  <c r="A2369" i="3"/>
  <c r="I2368" i="3"/>
  <c r="H2368" i="3"/>
  <c r="G2368" i="3"/>
  <c r="F2368" i="3"/>
  <c r="C2368" i="3"/>
  <c r="B2368" i="3"/>
  <c r="A2368" i="3"/>
  <c r="I2367" i="3"/>
  <c r="H2367" i="3"/>
  <c r="G2367" i="3"/>
  <c r="F2367" i="3"/>
  <c r="C2367" i="3"/>
  <c r="B2367" i="3"/>
  <c r="A2367" i="3"/>
  <c r="I2366" i="3"/>
  <c r="H2366" i="3"/>
  <c r="G2366" i="3"/>
  <c r="F2366" i="3"/>
  <c r="C2366" i="3"/>
  <c r="B2366" i="3"/>
  <c r="A2366" i="3"/>
  <c r="I2365" i="3"/>
  <c r="H2365" i="3"/>
  <c r="G2365" i="3"/>
  <c r="F2365" i="3"/>
  <c r="C2365" i="3"/>
  <c r="B2365" i="3"/>
  <c r="A2365" i="3"/>
  <c r="I2364" i="3"/>
  <c r="H2364" i="3"/>
  <c r="G2364" i="3"/>
  <c r="F2364" i="3"/>
  <c r="C2364" i="3"/>
  <c r="B2364" i="3"/>
  <c r="A2364" i="3"/>
  <c r="I2363" i="3"/>
  <c r="H2363" i="3"/>
  <c r="G2363" i="3"/>
  <c r="F2363" i="3"/>
  <c r="C2363" i="3"/>
  <c r="B2363" i="3"/>
  <c r="A2363" i="3"/>
  <c r="I2362" i="3"/>
  <c r="H2362" i="3"/>
  <c r="G2362" i="3"/>
  <c r="F2362" i="3"/>
  <c r="C2362" i="3"/>
  <c r="B2362" i="3"/>
  <c r="A2362" i="3"/>
  <c r="I2361" i="3"/>
  <c r="H2361" i="3"/>
  <c r="G2361" i="3"/>
  <c r="F2361" i="3"/>
  <c r="C2361" i="3"/>
  <c r="B2361" i="3"/>
  <c r="A2361" i="3"/>
  <c r="I2360" i="3"/>
  <c r="H2360" i="3"/>
  <c r="G2360" i="3"/>
  <c r="F2360" i="3"/>
  <c r="C2360" i="3"/>
  <c r="B2360" i="3"/>
  <c r="A2360" i="3"/>
  <c r="I2359" i="3"/>
  <c r="H2359" i="3"/>
  <c r="G2359" i="3"/>
  <c r="F2359" i="3"/>
  <c r="C2359" i="3"/>
  <c r="B2359" i="3"/>
  <c r="A2359" i="3"/>
  <c r="I2358" i="3"/>
  <c r="H2358" i="3"/>
  <c r="G2358" i="3"/>
  <c r="F2358" i="3"/>
  <c r="C2358" i="3"/>
  <c r="B2358" i="3"/>
  <c r="A2358" i="3"/>
  <c r="I2357" i="3"/>
  <c r="H2357" i="3"/>
  <c r="G2357" i="3"/>
  <c r="F2357" i="3"/>
  <c r="C2357" i="3"/>
  <c r="B2357" i="3"/>
  <c r="A2357" i="3"/>
  <c r="I2356" i="3"/>
  <c r="H2356" i="3"/>
  <c r="G2356" i="3"/>
  <c r="F2356" i="3"/>
  <c r="C2356" i="3"/>
  <c r="B2356" i="3"/>
  <c r="A2356" i="3"/>
  <c r="I2355" i="3"/>
  <c r="H2355" i="3"/>
  <c r="G2355" i="3"/>
  <c r="F2355" i="3"/>
  <c r="C2355" i="3"/>
  <c r="B2355" i="3"/>
  <c r="A2355" i="3"/>
  <c r="I2354" i="3"/>
  <c r="H2354" i="3"/>
  <c r="G2354" i="3"/>
  <c r="F2354" i="3"/>
  <c r="C2354" i="3"/>
  <c r="B2354" i="3"/>
  <c r="A2354" i="3"/>
  <c r="I2353" i="3"/>
  <c r="H2353" i="3"/>
  <c r="G2353" i="3"/>
  <c r="F2353" i="3"/>
  <c r="C2353" i="3"/>
  <c r="B2353" i="3"/>
  <c r="A2353" i="3"/>
  <c r="I2352" i="3"/>
  <c r="H2352" i="3"/>
  <c r="G2352" i="3"/>
  <c r="F2352" i="3"/>
  <c r="C2352" i="3"/>
  <c r="B2352" i="3"/>
  <c r="A2352" i="3"/>
  <c r="I2351" i="3"/>
  <c r="H2351" i="3"/>
  <c r="G2351" i="3"/>
  <c r="F2351" i="3"/>
  <c r="C2351" i="3"/>
  <c r="B2351" i="3"/>
  <c r="A2351" i="3"/>
  <c r="I2350" i="3"/>
  <c r="H2350" i="3"/>
  <c r="G2350" i="3"/>
  <c r="F2350" i="3"/>
  <c r="C2350" i="3"/>
  <c r="B2350" i="3"/>
  <c r="A2350" i="3"/>
  <c r="I2349" i="3"/>
  <c r="H2349" i="3"/>
  <c r="G2349" i="3"/>
  <c r="F2349" i="3"/>
  <c r="C2349" i="3"/>
  <c r="B2349" i="3"/>
  <c r="A2349" i="3"/>
  <c r="I2348" i="3"/>
  <c r="H2348" i="3"/>
  <c r="G2348" i="3"/>
  <c r="F2348" i="3"/>
  <c r="C2348" i="3"/>
  <c r="B2348" i="3"/>
  <c r="A2348" i="3"/>
  <c r="I2347" i="3"/>
  <c r="H2347" i="3"/>
  <c r="G2347" i="3"/>
  <c r="F2347" i="3"/>
  <c r="C2347" i="3"/>
  <c r="B2347" i="3"/>
  <c r="A2347" i="3"/>
  <c r="I2346" i="3"/>
  <c r="H2346" i="3"/>
  <c r="G2346" i="3"/>
  <c r="F2346" i="3"/>
  <c r="C2346" i="3"/>
  <c r="B2346" i="3"/>
  <c r="A2346" i="3"/>
  <c r="I2345" i="3"/>
  <c r="H2345" i="3"/>
  <c r="G2345" i="3"/>
  <c r="F2345" i="3"/>
  <c r="C2345" i="3"/>
  <c r="B2345" i="3"/>
  <c r="A2345" i="3"/>
  <c r="I2344" i="3"/>
  <c r="H2344" i="3"/>
  <c r="G2344" i="3"/>
  <c r="F2344" i="3"/>
  <c r="C2344" i="3"/>
  <c r="B2344" i="3"/>
  <c r="A2344" i="3"/>
  <c r="I2343" i="3"/>
  <c r="H2343" i="3"/>
  <c r="G2343" i="3"/>
  <c r="F2343" i="3"/>
  <c r="C2343" i="3"/>
  <c r="B2343" i="3"/>
  <c r="A2343" i="3"/>
  <c r="I2342" i="3"/>
  <c r="H2342" i="3"/>
  <c r="G2342" i="3"/>
  <c r="F2342" i="3"/>
  <c r="C2342" i="3"/>
  <c r="B2342" i="3"/>
  <c r="A2342" i="3"/>
  <c r="I2341" i="3"/>
  <c r="H2341" i="3"/>
  <c r="G2341" i="3"/>
  <c r="F2341" i="3"/>
  <c r="C2341" i="3"/>
  <c r="B2341" i="3"/>
  <c r="A2341" i="3"/>
  <c r="I2340" i="3"/>
  <c r="H2340" i="3"/>
  <c r="G2340" i="3"/>
  <c r="F2340" i="3"/>
  <c r="C2340" i="3"/>
  <c r="B2340" i="3"/>
  <c r="A2340" i="3"/>
  <c r="I2339" i="3"/>
  <c r="H2339" i="3"/>
  <c r="G2339" i="3"/>
  <c r="F2339" i="3"/>
  <c r="C2339" i="3"/>
  <c r="B2339" i="3"/>
  <c r="A2339" i="3"/>
  <c r="I2338" i="3"/>
  <c r="H2338" i="3"/>
  <c r="G2338" i="3"/>
  <c r="F2338" i="3"/>
  <c r="C2338" i="3"/>
  <c r="B2338" i="3"/>
  <c r="A2338" i="3"/>
  <c r="I2337" i="3"/>
  <c r="H2337" i="3"/>
  <c r="G2337" i="3"/>
  <c r="F2337" i="3"/>
  <c r="C2337" i="3"/>
  <c r="B2337" i="3"/>
  <c r="A2337" i="3"/>
  <c r="I2336" i="3"/>
  <c r="H2336" i="3"/>
  <c r="G2336" i="3"/>
  <c r="F2336" i="3"/>
  <c r="C2336" i="3"/>
  <c r="B2336" i="3"/>
  <c r="A2336" i="3"/>
  <c r="I2335" i="3"/>
  <c r="H2335" i="3"/>
  <c r="G2335" i="3"/>
  <c r="F2335" i="3"/>
  <c r="C2335" i="3"/>
  <c r="B2335" i="3"/>
  <c r="A2335" i="3"/>
  <c r="I2334" i="3"/>
  <c r="H2334" i="3"/>
  <c r="G2334" i="3"/>
  <c r="F2334" i="3"/>
  <c r="C2334" i="3"/>
  <c r="B2334" i="3"/>
  <c r="A2334" i="3"/>
  <c r="I2333" i="3"/>
  <c r="H2333" i="3"/>
  <c r="G2333" i="3"/>
  <c r="F2333" i="3"/>
  <c r="C2333" i="3"/>
  <c r="B2333" i="3"/>
  <c r="A2333" i="3"/>
  <c r="I2332" i="3"/>
  <c r="H2332" i="3"/>
  <c r="G2332" i="3"/>
  <c r="F2332" i="3"/>
  <c r="C2332" i="3"/>
  <c r="B2332" i="3"/>
  <c r="A2332" i="3"/>
  <c r="I2331" i="3"/>
  <c r="H2331" i="3"/>
  <c r="G2331" i="3"/>
  <c r="F2331" i="3"/>
  <c r="C2331" i="3"/>
  <c r="B2331" i="3"/>
  <c r="A2331" i="3"/>
  <c r="I2330" i="3"/>
  <c r="H2330" i="3"/>
  <c r="G2330" i="3"/>
  <c r="F2330" i="3"/>
  <c r="C2330" i="3"/>
  <c r="B2330" i="3"/>
  <c r="A2330" i="3"/>
  <c r="I2329" i="3"/>
  <c r="H2329" i="3"/>
  <c r="G2329" i="3"/>
  <c r="F2329" i="3"/>
  <c r="C2329" i="3"/>
  <c r="B2329" i="3"/>
  <c r="A2329" i="3"/>
  <c r="I2328" i="3"/>
  <c r="H2328" i="3"/>
  <c r="G2328" i="3"/>
  <c r="F2328" i="3"/>
  <c r="C2328" i="3"/>
  <c r="B2328" i="3"/>
  <c r="A2328" i="3"/>
  <c r="I2327" i="3"/>
  <c r="H2327" i="3"/>
  <c r="G2327" i="3"/>
  <c r="F2327" i="3"/>
  <c r="C2327" i="3"/>
  <c r="B2327" i="3"/>
  <c r="A2327" i="3"/>
  <c r="I2326" i="3"/>
  <c r="H2326" i="3"/>
  <c r="G2326" i="3"/>
  <c r="F2326" i="3"/>
  <c r="C2326" i="3"/>
  <c r="B2326" i="3"/>
  <c r="A2326" i="3"/>
  <c r="I2325" i="3"/>
  <c r="H2325" i="3"/>
  <c r="G2325" i="3"/>
  <c r="F2325" i="3"/>
  <c r="C2325" i="3"/>
  <c r="B2325" i="3"/>
  <c r="A2325" i="3"/>
  <c r="I2324" i="3"/>
  <c r="H2324" i="3"/>
  <c r="G2324" i="3"/>
  <c r="F2324" i="3"/>
  <c r="C2324" i="3"/>
  <c r="B2324" i="3"/>
  <c r="A2324" i="3"/>
  <c r="I2323" i="3"/>
  <c r="H2323" i="3"/>
  <c r="G2323" i="3"/>
  <c r="F2323" i="3"/>
  <c r="C2323" i="3"/>
  <c r="B2323" i="3"/>
  <c r="A2323" i="3"/>
  <c r="I2322" i="3"/>
  <c r="H2322" i="3"/>
  <c r="G2322" i="3"/>
  <c r="F2322" i="3"/>
  <c r="C2322" i="3"/>
  <c r="B2322" i="3"/>
  <c r="A2322" i="3"/>
  <c r="I2321" i="3"/>
  <c r="H2321" i="3"/>
  <c r="G2321" i="3"/>
  <c r="F2321" i="3"/>
  <c r="C2321" i="3"/>
  <c r="B2321" i="3"/>
  <c r="A2321" i="3"/>
  <c r="I2320" i="3"/>
  <c r="H2320" i="3"/>
  <c r="G2320" i="3"/>
  <c r="F2320" i="3"/>
  <c r="C2320" i="3"/>
  <c r="B2320" i="3"/>
  <c r="A2320" i="3"/>
  <c r="I2319" i="3"/>
  <c r="H2319" i="3"/>
  <c r="G2319" i="3"/>
  <c r="F2319" i="3"/>
  <c r="C2319" i="3"/>
  <c r="B2319" i="3"/>
  <c r="A2319" i="3"/>
  <c r="I2318" i="3"/>
  <c r="H2318" i="3"/>
  <c r="G2318" i="3"/>
  <c r="F2318" i="3"/>
  <c r="C2318" i="3"/>
  <c r="B2318" i="3"/>
  <c r="A2318" i="3"/>
  <c r="I2317" i="3"/>
  <c r="H2317" i="3"/>
  <c r="G2317" i="3"/>
  <c r="F2317" i="3"/>
  <c r="C2317" i="3"/>
  <c r="B2317" i="3"/>
  <c r="A2317" i="3"/>
  <c r="I2316" i="3"/>
  <c r="H2316" i="3"/>
  <c r="G2316" i="3"/>
  <c r="F2316" i="3"/>
  <c r="C2316" i="3"/>
  <c r="B2316" i="3"/>
  <c r="A2316" i="3"/>
  <c r="I2315" i="3"/>
  <c r="H2315" i="3"/>
  <c r="G2315" i="3"/>
  <c r="F2315" i="3"/>
  <c r="C2315" i="3"/>
  <c r="B2315" i="3"/>
  <c r="A2315" i="3"/>
  <c r="I2314" i="3"/>
  <c r="H2314" i="3"/>
  <c r="G2314" i="3"/>
  <c r="F2314" i="3"/>
  <c r="C2314" i="3"/>
  <c r="B2314" i="3"/>
  <c r="A2314" i="3"/>
  <c r="I2313" i="3"/>
  <c r="H2313" i="3"/>
  <c r="G2313" i="3"/>
  <c r="F2313" i="3"/>
  <c r="C2313" i="3"/>
  <c r="B2313" i="3"/>
  <c r="A2313" i="3"/>
  <c r="I2312" i="3"/>
  <c r="H2312" i="3"/>
  <c r="G2312" i="3"/>
  <c r="F2312" i="3"/>
  <c r="C2312" i="3"/>
  <c r="B2312" i="3"/>
  <c r="A2312" i="3"/>
  <c r="I2311" i="3"/>
  <c r="H2311" i="3"/>
  <c r="G2311" i="3"/>
  <c r="F2311" i="3"/>
  <c r="C2311" i="3"/>
  <c r="B2311" i="3"/>
  <c r="A2311" i="3"/>
  <c r="I2310" i="3"/>
  <c r="H2310" i="3"/>
  <c r="G2310" i="3"/>
  <c r="F2310" i="3"/>
  <c r="C2310" i="3"/>
  <c r="B2310" i="3"/>
  <c r="A2310" i="3"/>
  <c r="I2309" i="3"/>
  <c r="H2309" i="3"/>
  <c r="G2309" i="3"/>
  <c r="F2309" i="3"/>
  <c r="C2309" i="3"/>
  <c r="B2309" i="3"/>
  <c r="A2309" i="3"/>
  <c r="I2308" i="3"/>
  <c r="H2308" i="3"/>
  <c r="G2308" i="3"/>
  <c r="F2308" i="3"/>
  <c r="C2308" i="3"/>
  <c r="B2308" i="3"/>
  <c r="A2308" i="3"/>
  <c r="I2307" i="3"/>
  <c r="H2307" i="3"/>
  <c r="G2307" i="3"/>
  <c r="F2307" i="3"/>
  <c r="C2307" i="3"/>
  <c r="B2307" i="3"/>
  <c r="A2307" i="3"/>
  <c r="I2306" i="3"/>
  <c r="H2306" i="3"/>
  <c r="G2306" i="3"/>
  <c r="F2306" i="3"/>
  <c r="C2306" i="3"/>
  <c r="B2306" i="3"/>
  <c r="A2306" i="3"/>
  <c r="I2305" i="3"/>
  <c r="H2305" i="3"/>
  <c r="G2305" i="3"/>
  <c r="F2305" i="3"/>
  <c r="C2305" i="3"/>
  <c r="B2305" i="3"/>
  <c r="A2305" i="3"/>
  <c r="I2304" i="3"/>
  <c r="H2304" i="3"/>
  <c r="G2304" i="3"/>
  <c r="F2304" i="3"/>
  <c r="C2304" i="3"/>
  <c r="B2304" i="3"/>
  <c r="A2304" i="3"/>
  <c r="I2303" i="3"/>
  <c r="H2303" i="3"/>
  <c r="G2303" i="3"/>
  <c r="F2303" i="3"/>
  <c r="C2303" i="3"/>
  <c r="B2303" i="3"/>
  <c r="A2303" i="3"/>
  <c r="I2302" i="3"/>
  <c r="H2302" i="3"/>
  <c r="G2302" i="3"/>
  <c r="F2302" i="3"/>
  <c r="C2302" i="3"/>
  <c r="B2302" i="3"/>
  <c r="A2302" i="3"/>
  <c r="I2301" i="3"/>
  <c r="H2301" i="3"/>
  <c r="G2301" i="3"/>
  <c r="F2301" i="3"/>
  <c r="C2301" i="3"/>
  <c r="B2301" i="3"/>
  <c r="A2301" i="3"/>
  <c r="I2300" i="3"/>
  <c r="H2300" i="3"/>
  <c r="G2300" i="3"/>
  <c r="F2300" i="3"/>
  <c r="C2300" i="3"/>
  <c r="B2300" i="3"/>
  <c r="A2300" i="3"/>
  <c r="I2299" i="3"/>
  <c r="H2299" i="3"/>
  <c r="G2299" i="3"/>
  <c r="F2299" i="3"/>
  <c r="C2299" i="3"/>
  <c r="B2299" i="3"/>
  <c r="A2299" i="3"/>
  <c r="I2298" i="3"/>
  <c r="H2298" i="3"/>
  <c r="G2298" i="3"/>
  <c r="F2298" i="3"/>
  <c r="C2298" i="3"/>
  <c r="B2298" i="3"/>
  <c r="A2298" i="3"/>
  <c r="I2297" i="3"/>
  <c r="H2297" i="3"/>
  <c r="G2297" i="3"/>
  <c r="F2297" i="3"/>
  <c r="C2297" i="3"/>
  <c r="B2297" i="3"/>
  <c r="A2297" i="3"/>
  <c r="I2296" i="3"/>
  <c r="H2296" i="3"/>
  <c r="G2296" i="3"/>
  <c r="F2296" i="3"/>
  <c r="C2296" i="3"/>
  <c r="B2296" i="3"/>
  <c r="A2296" i="3"/>
  <c r="I2295" i="3"/>
  <c r="H2295" i="3"/>
  <c r="G2295" i="3"/>
  <c r="F2295" i="3"/>
  <c r="C2295" i="3"/>
  <c r="B2295" i="3"/>
  <c r="A2295" i="3"/>
  <c r="I2294" i="3"/>
  <c r="H2294" i="3"/>
  <c r="G2294" i="3"/>
  <c r="F2294" i="3"/>
  <c r="C2294" i="3"/>
  <c r="B2294" i="3"/>
  <c r="A2294" i="3"/>
  <c r="I2293" i="3"/>
  <c r="H2293" i="3"/>
  <c r="G2293" i="3"/>
  <c r="F2293" i="3"/>
  <c r="C2293" i="3"/>
  <c r="B2293" i="3"/>
  <c r="A2293" i="3"/>
  <c r="I2292" i="3"/>
  <c r="H2292" i="3"/>
  <c r="G2292" i="3"/>
  <c r="F2292" i="3"/>
  <c r="C2292" i="3"/>
  <c r="B2292" i="3"/>
  <c r="A2292" i="3"/>
  <c r="I2291" i="3"/>
  <c r="H2291" i="3"/>
  <c r="G2291" i="3"/>
  <c r="F2291" i="3"/>
  <c r="C2291" i="3"/>
  <c r="B2291" i="3"/>
  <c r="A2291" i="3"/>
  <c r="I2290" i="3"/>
  <c r="H2290" i="3"/>
  <c r="G2290" i="3"/>
  <c r="F2290" i="3"/>
  <c r="C2290" i="3"/>
  <c r="B2290" i="3"/>
  <c r="A2290" i="3"/>
  <c r="I2289" i="3"/>
  <c r="H2289" i="3"/>
  <c r="G2289" i="3"/>
  <c r="F2289" i="3"/>
  <c r="C2289" i="3"/>
  <c r="B2289" i="3"/>
  <c r="A2289" i="3"/>
  <c r="I2288" i="3"/>
  <c r="H2288" i="3"/>
  <c r="G2288" i="3"/>
  <c r="F2288" i="3"/>
  <c r="C2288" i="3"/>
  <c r="B2288" i="3"/>
  <c r="A2288" i="3"/>
  <c r="I2287" i="3"/>
  <c r="H2287" i="3"/>
  <c r="G2287" i="3"/>
  <c r="F2287" i="3"/>
  <c r="C2287" i="3"/>
  <c r="B2287" i="3"/>
  <c r="A2287" i="3"/>
  <c r="I2286" i="3"/>
  <c r="H2286" i="3"/>
  <c r="G2286" i="3"/>
  <c r="F2286" i="3"/>
  <c r="C2286" i="3"/>
  <c r="B2286" i="3"/>
  <c r="A2286" i="3"/>
  <c r="I2285" i="3"/>
  <c r="H2285" i="3"/>
  <c r="G2285" i="3"/>
  <c r="F2285" i="3"/>
  <c r="C2285" i="3"/>
  <c r="B2285" i="3"/>
  <c r="A2285" i="3"/>
  <c r="I2284" i="3"/>
  <c r="H2284" i="3"/>
  <c r="G2284" i="3"/>
  <c r="F2284" i="3"/>
  <c r="C2284" i="3"/>
  <c r="B2284" i="3"/>
  <c r="A2284" i="3"/>
  <c r="I2283" i="3"/>
  <c r="H2283" i="3"/>
  <c r="G2283" i="3"/>
  <c r="F2283" i="3"/>
  <c r="C2283" i="3"/>
  <c r="B2283" i="3"/>
  <c r="A2283" i="3"/>
  <c r="I2282" i="3"/>
  <c r="H2282" i="3"/>
  <c r="G2282" i="3"/>
  <c r="F2282" i="3"/>
  <c r="C2282" i="3"/>
  <c r="B2282" i="3"/>
  <c r="A2282" i="3"/>
  <c r="I2281" i="3"/>
  <c r="H2281" i="3"/>
  <c r="G2281" i="3"/>
  <c r="F2281" i="3"/>
  <c r="C2281" i="3"/>
  <c r="B2281" i="3"/>
  <c r="A2281" i="3"/>
  <c r="I2280" i="3"/>
  <c r="H2280" i="3"/>
  <c r="G2280" i="3"/>
  <c r="F2280" i="3"/>
  <c r="C2280" i="3"/>
  <c r="B2280" i="3"/>
  <c r="A2280" i="3"/>
  <c r="I2279" i="3"/>
  <c r="H2279" i="3"/>
  <c r="G2279" i="3"/>
  <c r="F2279" i="3"/>
  <c r="C2279" i="3"/>
  <c r="B2279" i="3"/>
  <c r="A2279" i="3"/>
  <c r="I2278" i="3"/>
  <c r="H2278" i="3"/>
  <c r="G2278" i="3"/>
  <c r="F2278" i="3"/>
  <c r="C2278" i="3"/>
  <c r="B2278" i="3"/>
  <c r="A2278" i="3"/>
  <c r="I2277" i="3"/>
  <c r="H2277" i="3"/>
  <c r="G2277" i="3"/>
  <c r="F2277" i="3"/>
  <c r="C2277" i="3"/>
  <c r="B2277" i="3"/>
  <c r="A2277" i="3"/>
  <c r="I2276" i="3"/>
  <c r="H2276" i="3"/>
  <c r="G2276" i="3"/>
  <c r="F2276" i="3"/>
  <c r="C2276" i="3"/>
  <c r="B2276" i="3"/>
  <c r="A2276" i="3"/>
  <c r="I2275" i="3"/>
  <c r="H2275" i="3"/>
  <c r="G2275" i="3"/>
  <c r="F2275" i="3"/>
  <c r="C2275" i="3"/>
  <c r="B2275" i="3"/>
  <c r="A2275" i="3"/>
  <c r="I2274" i="3"/>
  <c r="H2274" i="3"/>
  <c r="G2274" i="3"/>
  <c r="F2274" i="3"/>
  <c r="C2274" i="3"/>
  <c r="B2274" i="3"/>
  <c r="A2274" i="3"/>
  <c r="I2273" i="3"/>
  <c r="H2273" i="3"/>
  <c r="G2273" i="3"/>
  <c r="F2273" i="3"/>
  <c r="C2273" i="3"/>
  <c r="B2273" i="3"/>
  <c r="A2273" i="3"/>
  <c r="I2272" i="3"/>
  <c r="H2272" i="3"/>
  <c r="G2272" i="3"/>
  <c r="F2272" i="3"/>
  <c r="C2272" i="3"/>
  <c r="B2272" i="3"/>
  <c r="A2272" i="3"/>
  <c r="T2271" i="3"/>
  <c r="S2271" i="3"/>
  <c r="R2271" i="3"/>
  <c r="Q2271" i="3"/>
  <c r="P2271" i="3"/>
  <c r="O2271" i="3"/>
  <c r="M2271" i="3"/>
  <c r="L2271" i="3"/>
  <c r="K2271" i="3"/>
  <c r="J2271" i="3"/>
  <c r="I2271" i="3"/>
  <c r="H2271" i="3"/>
  <c r="G2271" i="3"/>
  <c r="F2271" i="3"/>
  <c r="C2271" i="3"/>
  <c r="B2271" i="3"/>
  <c r="A2271" i="3"/>
  <c r="I2270" i="3"/>
  <c r="H2270" i="3"/>
  <c r="G2270" i="3"/>
  <c r="F2270" i="3"/>
  <c r="C2270" i="3"/>
  <c r="B2270" i="3"/>
  <c r="A2270" i="3"/>
  <c r="I2269" i="3"/>
  <c r="H2269" i="3"/>
  <c r="G2269" i="3"/>
  <c r="F2269" i="3"/>
  <c r="C2269" i="3"/>
  <c r="B2269" i="3"/>
  <c r="A2269" i="3"/>
  <c r="I2268" i="3"/>
  <c r="H2268" i="3"/>
  <c r="G2268" i="3"/>
  <c r="F2268" i="3"/>
  <c r="C2268" i="3"/>
  <c r="B2268" i="3"/>
  <c r="A2268" i="3"/>
  <c r="I2267" i="3"/>
  <c r="H2267" i="3"/>
  <c r="G2267" i="3"/>
  <c r="F2267" i="3"/>
  <c r="C2267" i="3"/>
  <c r="B2267" i="3"/>
  <c r="A2267" i="3"/>
  <c r="I2266" i="3"/>
  <c r="H2266" i="3"/>
  <c r="G2266" i="3"/>
  <c r="F2266" i="3"/>
  <c r="C2266" i="3"/>
  <c r="B2266" i="3"/>
  <c r="A2266" i="3"/>
  <c r="I2265" i="3"/>
  <c r="H2265" i="3"/>
  <c r="G2265" i="3"/>
  <c r="F2265" i="3"/>
  <c r="C2265" i="3"/>
  <c r="B2265" i="3"/>
  <c r="A2265" i="3"/>
  <c r="I2264" i="3"/>
  <c r="H2264" i="3"/>
  <c r="G2264" i="3"/>
  <c r="F2264" i="3"/>
  <c r="C2264" i="3"/>
  <c r="B2264" i="3"/>
  <c r="A2264" i="3"/>
  <c r="I2263" i="3"/>
  <c r="H2263" i="3"/>
  <c r="G2263" i="3"/>
  <c r="F2263" i="3"/>
  <c r="C2263" i="3"/>
  <c r="B2263" i="3"/>
  <c r="A2263" i="3"/>
  <c r="I2262" i="3"/>
  <c r="H2262" i="3"/>
  <c r="G2262" i="3"/>
  <c r="F2262" i="3"/>
  <c r="C2262" i="3"/>
  <c r="B2262" i="3"/>
  <c r="A2262" i="3"/>
  <c r="I2261" i="3"/>
  <c r="H2261" i="3"/>
  <c r="G2261" i="3"/>
  <c r="F2261" i="3"/>
  <c r="C2261" i="3"/>
  <c r="B2261" i="3"/>
  <c r="A2261" i="3"/>
  <c r="I2260" i="3"/>
  <c r="H2260" i="3"/>
  <c r="G2260" i="3"/>
  <c r="F2260" i="3"/>
  <c r="C2260" i="3"/>
  <c r="B2260" i="3"/>
  <c r="A2260" i="3"/>
  <c r="I2259" i="3"/>
  <c r="H2259" i="3"/>
  <c r="G2259" i="3"/>
  <c r="F2259" i="3"/>
  <c r="C2259" i="3"/>
  <c r="B2259" i="3"/>
  <c r="A2259" i="3"/>
  <c r="I2258" i="3"/>
  <c r="H2258" i="3"/>
  <c r="G2258" i="3"/>
  <c r="F2258" i="3"/>
  <c r="C2258" i="3"/>
  <c r="B2258" i="3"/>
  <c r="A2258" i="3"/>
  <c r="I2257" i="3"/>
  <c r="H2257" i="3"/>
  <c r="G2257" i="3"/>
  <c r="F2257" i="3"/>
  <c r="C2257" i="3"/>
  <c r="B2257" i="3"/>
  <c r="A2257" i="3"/>
  <c r="I2256" i="3"/>
  <c r="H2256" i="3"/>
  <c r="G2256" i="3"/>
  <c r="F2256" i="3"/>
  <c r="C2256" i="3"/>
  <c r="B2256" i="3"/>
  <c r="A2256" i="3"/>
  <c r="I2255" i="3"/>
  <c r="H2255" i="3"/>
  <c r="G2255" i="3"/>
  <c r="F2255" i="3"/>
  <c r="C2255" i="3"/>
  <c r="B2255" i="3"/>
  <c r="A2255" i="3"/>
  <c r="I2254" i="3"/>
  <c r="H2254" i="3"/>
  <c r="G2254" i="3"/>
  <c r="F2254" i="3"/>
  <c r="C2254" i="3"/>
  <c r="B2254" i="3"/>
  <c r="A2254" i="3"/>
  <c r="I2253" i="3"/>
  <c r="H2253" i="3"/>
  <c r="G2253" i="3"/>
  <c r="F2253" i="3"/>
  <c r="C2253" i="3"/>
  <c r="B2253" i="3"/>
  <c r="A2253" i="3"/>
  <c r="I2252" i="3"/>
  <c r="H2252" i="3"/>
  <c r="G2252" i="3"/>
  <c r="F2252" i="3"/>
  <c r="C2252" i="3"/>
  <c r="B2252" i="3"/>
  <c r="A2252" i="3"/>
  <c r="I2251" i="3"/>
  <c r="H2251" i="3"/>
  <c r="G2251" i="3"/>
  <c r="F2251" i="3"/>
  <c r="C2251" i="3"/>
  <c r="B2251" i="3"/>
  <c r="A2251" i="3"/>
  <c r="I2250" i="3"/>
  <c r="H2250" i="3"/>
  <c r="G2250" i="3"/>
  <c r="F2250" i="3"/>
  <c r="C2250" i="3"/>
  <c r="B2250" i="3"/>
  <c r="A2250" i="3"/>
  <c r="I2249" i="3"/>
  <c r="H2249" i="3"/>
  <c r="G2249" i="3"/>
  <c r="F2249" i="3"/>
  <c r="C2249" i="3"/>
  <c r="B2249" i="3"/>
  <c r="A2249" i="3"/>
  <c r="I2248" i="3"/>
  <c r="H2248" i="3"/>
  <c r="G2248" i="3"/>
  <c r="F2248" i="3"/>
  <c r="C2248" i="3"/>
  <c r="B2248" i="3"/>
  <c r="A2248" i="3"/>
  <c r="I2247" i="3"/>
  <c r="H2247" i="3"/>
  <c r="G2247" i="3"/>
  <c r="F2247" i="3"/>
  <c r="C2247" i="3"/>
  <c r="B2247" i="3"/>
  <c r="A2247" i="3"/>
  <c r="I2246" i="3"/>
  <c r="H2246" i="3"/>
  <c r="G2246" i="3"/>
  <c r="F2246" i="3"/>
  <c r="C2246" i="3"/>
  <c r="B2246" i="3"/>
  <c r="A2246" i="3"/>
  <c r="I2245" i="3"/>
  <c r="H2245" i="3"/>
  <c r="G2245" i="3"/>
  <c r="F2245" i="3"/>
  <c r="C2245" i="3"/>
  <c r="B2245" i="3"/>
  <c r="A2245" i="3"/>
  <c r="I2244" i="3"/>
  <c r="H2244" i="3"/>
  <c r="G2244" i="3"/>
  <c r="F2244" i="3"/>
  <c r="C2244" i="3"/>
  <c r="B2244" i="3"/>
  <c r="A2244" i="3"/>
  <c r="I2243" i="3"/>
  <c r="H2243" i="3"/>
  <c r="G2243" i="3"/>
  <c r="F2243" i="3"/>
  <c r="C2243" i="3"/>
  <c r="B2243" i="3"/>
  <c r="A2243" i="3"/>
  <c r="I2242" i="3"/>
  <c r="H2242" i="3"/>
  <c r="G2242" i="3"/>
  <c r="F2242" i="3"/>
  <c r="C2242" i="3"/>
  <c r="B2242" i="3"/>
  <c r="A2242" i="3"/>
  <c r="I2241" i="3"/>
  <c r="H2241" i="3"/>
  <c r="G2241" i="3"/>
  <c r="F2241" i="3"/>
  <c r="C2241" i="3"/>
  <c r="B2241" i="3"/>
  <c r="A2241" i="3"/>
  <c r="I2240" i="3"/>
  <c r="H2240" i="3"/>
  <c r="G2240" i="3"/>
  <c r="F2240" i="3"/>
  <c r="C2240" i="3"/>
  <c r="B2240" i="3"/>
  <c r="A2240" i="3"/>
  <c r="I2239" i="3"/>
  <c r="H2239" i="3"/>
  <c r="G2239" i="3"/>
  <c r="F2239" i="3"/>
  <c r="C2239" i="3"/>
  <c r="B2239" i="3"/>
  <c r="A2239" i="3"/>
  <c r="I2238" i="3"/>
  <c r="H2238" i="3"/>
  <c r="G2238" i="3"/>
  <c r="F2238" i="3"/>
  <c r="C2238" i="3"/>
  <c r="B2238" i="3"/>
  <c r="A2238" i="3"/>
  <c r="I2237" i="3"/>
  <c r="H2237" i="3"/>
  <c r="G2237" i="3"/>
  <c r="F2237" i="3"/>
  <c r="C2237" i="3"/>
  <c r="B2237" i="3"/>
  <c r="A2237" i="3"/>
  <c r="I2236" i="3"/>
  <c r="H2236" i="3"/>
  <c r="G2236" i="3"/>
  <c r="F2236" i="3"/>
  <c r="C2236" i="3"/>
  <c r="B2236" i="3"/>
  <c r="A2236" i="3"/>
  <c r="I2235" i="3"/>
  <c r="H2235" i="3"/>
  <c r="G2235" i="3"/>
  <c r="F2235" i="3"/>
  <c r="C2235" i="3"/>
  <c r="B2235" i="3"/>
  <c r="A2235" i="3"/>
  <c r="I2234" i="3"/>
  <c r="H2234" i="3"/>
  <c r="G2234" i="3"/>
  <c r="F2234" i="3"/>
  <c r="C2234" i="3"/>
  <c r="B2234" i="3"/>
  <c r="A2234" i="3"/>
  <c r="I2233" i="3"/>
  <c r="H2233" i="3"/>
  <c r="G2233" i="3"/>
  <c r="F2233" i="3"/>
  <c r="C2233" i="3"/>
  <c r="B2233" i="3"/>
  <c r="A2233" i="3"/>
  <c r="I2232" i="3"/>
  <c r="H2232" i="3"/>
  <c r="G2232" i="3"/>
  <c r="F2232" i="3"/>
  <c r="C2232" i="3"/>
  <c r="B2232" i="3"/>
  <c r="A2232" i="3"/>
  <c r="I2231" i="3"/>
  <c r="H2231" i="3"/>
  <c r="G2231" i="3"/>
  <c r="F2231" i="3"/>
  <c r="C2231" i="3"/>
  <c r="B2231" i="3"/>
  <c r="A2231" i="3"/>
  <c r="I2230" i="3"/>
  <c r="H2230" i="3"/>
  <c r="G2230" i="3"/>
  <c r="F2230" i="3"/>
  <c r="C2230" i="3"/>
  <c r="B2230" i="3"/>
  <c r="A2230" i="3"/>
  <c r="I2229" i="3"/>
  <c r="H2229" i="3"/>
  <c r="G2229" i="3"/>
  <c r="F2229" i="3"/>
  <c r="C2229" i="3"/>
  <c r="B2229" i="3"/>
  <c r="A2229" i="3"/>
  <c r="I2228" i="3"/>
  <c r="H2228" i="3"/>
  <c r="G2228" i="3"/>
  <c r="F2228" i="3"/>
  <c r="C2228" i="3"/>
  <c r="B2228" i="3"/>
  <c r="A2228" i="3"/>
  <c r="I2227" i="3"/>
  <c r="H2227" i="3"/>
  <c r="G2227" i="3"/>
  <c r="F2227" i="3"/>
  <c r="C2227" i="3"/>
  <c r="B2227" i="3"/>
  <c r="A2227" i="3"/>
  <c r="I2226" i="3"/>
  <c r="H2226" i="3"/>
  <c r="G2226" i="3"/>
  <c r="F2226" i="3"/>
  <c r="C2226" i="3"/>
  <c r="B2226" i="3"/>
  <c r="A2226" i="3"/>
  <c r="I2225" i="3"/>
  <c r="H2225" i="3"/>
  <c r="G2225" i="3"/>
  <c r="F2225" i="3"/>
  <c r="C2225" i="3"/>
  <c r="B2225" i="3"/>
  <c r="A2225" i="3"/>
  <c r="I2224" i="3"/>
  <c r="H2224" i="3"/>
  <c r="G2224" i="3"/>
  <c r="F2224" i="3"/>
  <c r="C2224" i="3"/>
  <c r="B2224" i="3"/>
  <c r="A2224" i="3"/>
  <c r="I2223" i="3"/>
  <c r="H2223" i="3"/>
  <c r="G2223" i="3"/>
  <c r="F2223" i="3"/>
  <c r="C2223" i="3"/>
  <c r="B2223" i="3"/>
  <c r="A2223" i="3"/>
  <c r="I2222" i="3"/>
  <c r="H2222" i="3"/>
  <c r="G2222" i="3"/>
  <c r="F2222" i="3"/>
  <c r="C2222" i="3"/>
  <c r="B2222" i="3"/>
  <c r="A2222" i="3"/>
  <c r="I2221" i="3"/>
  <c r="H2221" i="3"/>
  <c r="G2221" i="3"/>
  <c r="F2221" i="3"/>
  <c r="C2221" i="3"/>
  <c r="B2221" i="3"/>
  <c r="A2221" i="3"/>
  <c r="I2220" i="3"/>
  <c r="H2220" i="3"/>
  <c r="G2220" i="3"/>
  <c r="F2220" i="3"/>
  <c r="C2220" i="3"/>
  <c r="B2220" i="3"/>
  <c r="A2220" i="3"/>
  <c r="I2219" i="3"/>
  <c r="H2219" i="3"/>
  <c r="G2219" i="3"/>
  <c r="F2219" i="3"/>
  <c r="C2219" i="3"/>
  <c r="B2219" i="3"/>
  <c r="A2219" i="3"/>
  <c r="I2218" i="3"/>
  <c r="H2218" i="3"/>
  <c r="G2218" i="3"/>
  <c r="F2218" i="3"/>
  <c r="C2218" i="3"/>
  <c r="B2218" i="3"/>
  <c r="A2218" i="3"/>
  <c r="I2217" i="3"/>
  <c r="H2217" i="3"/>
  <c r="G2217" i="3"/>
  <c r="F2217" i="3"/>
  <c r="C2217" i="3"/>
  <c r="B2217" i="3"/>
  <c r="A2217" i="3"/>
  <c r="I2216" i="3"/>
  <c r="H2216" i="3"/>
  <c r="G2216" i="3"/>
  <c r="F2216" i="3"/>
  <c r="C2216" i="3"/>
  <c r="B2216" i="3"/>
  <c r="A2216" i="3"/>
  <c r="I2215" i="3"/>
  <c r="H2215" i="3"/>
  <c r="G2215" i="3"/>
  <c r="F2215" i="3"/>
  <c r="C2215" i="3"/>
  <c r="B2215" i="3"/>
  <c r="A2215" i="3"/>
  <c r="I2214" i="3"/>
  <c r="H2214" i="3"/>
  <c r="G2214" i="3"/>
  <c r="F2214" i="3"/>
  <c r="C2214" i="3"/>
  <c r="B2214" i="3"/>
  <c r="A2214" i="3"/>
  <c r="I2213" i="3"/>
  <c r="H2213" i="3"/>
  <c r="G2213" i="3"/>
  <c r="F2213" i="3"/>
  <c r="C2213" i="3"/>
  <c r="B2213" i="3"/>
  <c r="A2213" i="3"/>
  <c r="I2212" i="3"/>
  <c r="H2212" i="3"/>
  <c r="G2212" i="3"/>
  <c r="F2212" i="3"/>
  <c r="C2212" i="3"/>
  <c r="B2212" i="3"/>
  <c r="A2212" i="3"/>
  <c r="I2211" i="3"/>
  <c r="H2211" i="3"/>
  <c r="G2211" i="3"/>
  <c r="F2211" i="3"/>
  <c r="C2211" i="3"/>
  <c r="B2211" i="3"/>
  <c r="A2211" i="3"/>
  <c r="I2210" i="3"/>
  <c r="H2210" i="3"/>
  <c r="G2210" i="3"/>
  <c r="F2210" i="3"/>
  <c r="C2210" i="3"/>
  <c r="B2210" i="3"/>
  <c r="A2210" i="3"/>
  <c r="I2209" i="3"/>
  <c r="H2209" i="3"/>
  <c r="G2209" i="3"/>
  <c r="F2209" i="3"/>
  <c r="C2209" i="3"/>
  <c r="B2209" i="3"/>
  <c r="A2209" i="3"/>
  <c r="I2208" i="3"/>
  <c r="H2208" i="3"/>
  <c r="G2208" i="3"/>
  <c r="F2208" i="3"/>
  <c r="C2208" i="3"/>
  <c r="B2208" i="3"/>
  <c r="A2208" i="3"/>
  <c r="I2207" i="3"/>
  <c r="H2207" i="3"/>
  <c r="G2207" i="3"/>
  <c r="F2207" i="3"/>
  <c r="C2207" i="3"/>
  <c r="B2207" i="3"/>
  <c r="A2207" i="3"/>
  <c r="I2206" i="3"/>
  <c r="H2206" i="3"/>
  <c r="G2206" i="3"/>
  <c r="F2206" i="3"/>
  <c r="C2206" i="3"/>
  <c r="B2206" i="3"/>
  <c r="A2206" i="3"/>
  <c r="I2205" i="3"/>
  <c r="H2205" i="3"/>
  <c r="G2205" i="3"/>
  <c r="F2205" i="3"/>
  <c r="C2205" i="3"/>
  <c r="B2205" i="3"/>
  <c r="A2205" i="3"/>
  <c r="I2204" i="3"/>
  <c r="H2204" i="3"/>
  <c r="G2204" i="3"/>
  <c r="F2204" i="3"/>
  <c r="C2204" i="3"/>
  <c r="B2204" i="3"/>
  <c r="A2204" i="3"/>
  <c r="I2203" i="3"/>
  <c r="H2203" i="3"/>
  <c r="G2203" i="3"/>
  <c r="F2203" i="3"/>
  <c r="C2203" i="3"/>
  <c r="B2203" i="3"/>
  <c r="A2203" i="3"/>
  <c r="I2202" i="3"/>
  <c r="H2202" i="3"/>
  <c r="G2202" i="3"/>
  <c r="F2202" i="3"/>
  <c r="C2202" i="3"/>
  <c r="B2202" i="3"/>
  <c r="A2202" i="3"/>
  <c r="I2201" i="3"/>
  <c r="H2201" i="3"/>
  <c r="G2201" i="3"/>
  <c r="F2201" i="3"/>
  <c r="C2201" i="3"/>
  <c r="B2201" i="3"/>
  <c r="A2201" i="3"/>
  <c r="I2200" i="3"/>
  <c r="H2200" i="3"/>
  <c r="G2200" i="3"/>
  <c r="F2200" i="3"/>
  <c r="C2200" i="3"/>
  <c r="B2200" i="3"/>
  <c r="A2200" i="3"/>
  <c r="I2199" i="3"/>
  <c r="H2199" i="3"/>
  <c r="G2199" i="3"/>
  <c r="F2199" i="3"/>
  <c r="C2199" i="3"/>
  <c r="B2199" i="3"/>
  <c r="A2199" i="3"/>
  <c r="I2198" i="3"/>
  <c r="H2198" i="3"/>
  <c r="G2198" i="3"/>
  <c r="F2198" i="3"/>
  <c r="C2198" i="3"/>
  <c r="B2198" i="3"/>
  <c r="A2198" i="3"/>
  <c r="I2197" i="3"/>
  <c r="H2197" i="3"/>
  <c r="G2197" i="3"/>
  <c r="F2197" i="3"/>
  <c r="C2197" i="3"/>
  <c r="B2197" i="3"/>
  <c r="A2197" i="3"/>
  <c r="I2196" i="3"/>
  <c r="H2196" i="3"/>
  <c r="G2196" i="3"/>
  <c r="F2196" i="3"/>
  <c r="C2196" i="3"/>
  <c r="B2196" i="3"/>
  <c r="A2196" i="3"/>
  <c r="I2195" i="3"/>
  <c r="H2195" i="3"/>
  <c r="G2195" i="3"/>
  <c r="F2195" i="3"/>
  <c r="C2195" i="3"/>
  <c r="B2195" i="3"/>
  <c r="A2195" i="3"/>
  <c r="I2194" i="3"/>
  <c r="H2194" i="3"/>
  <c r="G2194" i="3"/>
  <c r="F2194" i="3"/>
  <c r="C2194" i="3"/>
  <c r="B2194" i="3"/>
  <c r="A2194" i="3"/>
  <c r="I2193" i="3"/>
  <c r="H2193" i="3"/>
  <c r="G2193" i="3"/>
  <c r="F2193" i="3"/>
  <c r="C2193" i="3"/>
  <c r="B2193" i="3"/>
  <c r="A2193" i="3"/>
  <c r="I2192" i="3"/>
  <c r="H2192" i="3"/>
  <c r="G2192" i="3"/>
  <c r="F2192" i="3"/>
  <c r="C2192" i="3"/>
  <c r="B2192" i="3"/>
  <c r="A2192" i="3"/>
  <c r="I2191" i="3"/>
  <c r="H2191" i="3"/>
  <c r="G2191" i="3"/>
  <c r="F2191" i="3"/>
  <c r="C2191" i="3"/>
  <c r="B2191" i="3"/>
  <c r="A2191" i="3"/>
  <c r="I2190" i="3"/>
  <c r="H2190" i="3"/>
  <c r="G2190" i="3"/>
  <c r="F2190" i="3"/>
  <c r="C2190" i="3"/>
  <c r="B2190" i="3"/>
  <c r="A2190" i="3"/>
  <c r="I2189" i="3"/>
  <c r="H2189" i="3"/>
  <c r="G2189" i="3"/>
  <c r="F2189" i="3"/>
  <c r="C2189" i="3"/>
  <c r="B2189" i="3"/>
  <c r="A2189" i="3"/>
  <c r="I2188" i="3"/>
  <c r="H2188" i="3"/>
  <c r="G2188" i="3"/>
  <c r="F2188" i="3"/>
  <c r="C2188" i="3"/>
  <c r="B2188" i="3"/>
  <c r="A2188" i="3"/>
  <c r="I2187" i="3"/>
  <c r="H2187" i="3"/>
  <c r="G2187" i="3"/>
  <c r="F2187" i="3"/>
  <c r="C2187" i="3"/>
  <c r="B2187" i="3"/>
  <c r="A2187" i="3"/>
  <c r="I2186" i="3"/>
  <c r="H2186" i="3"/>
  <c r="G2186" i="3"/>
  <c r="F2186" i="3"/>
  <c r="C2186" i="3"/>
  <c r="B2186" i="3"/>
  <c r="A2186" i="3"/>
  <c r="I2185" i="3"/>
  <c r="H2185" i="3"/>
  <c r="G2185" i="3"/>
  <c r="F2185" i="3"/>
  <c r="C2185" i="3"/>
  <c r="B2185" i="3"/>
  <c r="A2185" i="3"/>
  <c r="I2184" i="3"/>
  <c r="H2184" i="3"/>
  <c r="G2184" i="3"/>
  <c r="F2184" i="3"/>
  <c r="C2184" i="3"/>
  <c r="B2184" i="3"/>
  <c r="A2184" i="3"/>
  <c r="I2183" i="3"/>
  <c r="H2183" i="3"/>
  <c r="G2183" i="3"/>
  <c r="F2183" i="3"/>
  <c r="C2183" i="3"/>
  <c r="B2183" i="3"/>
  <c r="A2183" i="3"/>
  <c r="I2182" i="3"/>
  <c r="H2182" i="3"/>
  <c r="G2182" i="3"/>
  <c r="F2182" i="3"/>
  <c r="C2182" i="3"/>
  <c r="B2182" i="3"/>
  <c r="A2182" i="3"/>
  <c r="I2181" i="3"/>
  <c r="H2181" i="3"/>
  <c r="G2181" i="3"/>
  <c r="F2181" i="3"/>
  <c r="C2181" i="3"/>
  <c r="B2181" i="3"/>
  <c r="A2181" i="3"/>
  <c r="I2180" i="3"/>
  <c r="H2180" i="3"/>
  <c r="G2180" i="3"/>
  <c r="F2180" i="3"/>
  <c r="C2180" i="3"/>
  <c r="B2180" i="3"/>
  <c r="A2180" i="3"/>
  <c r="I2179" i="3"/>
  <c r="H2179" i="3"/>
  <c r="G2179" i="3"/>
  <c r="F2179" i="3"/>
  <c r="C2179" i="3"/>
  <c r="B2179" i="3"/>
  <c r="A2179" i="3"/>
  <c r="I2178" i="3"/>
  <c r="H2178" i="3"/>
  <c r="G2178" i="3"/>
  <c r="F2178" i="3"/>
  <c r="C2178" i="3"/>
  <c r="B2178" i="3"/>
  <c r="A2178" i="3"/>
  <c r="I2177" i="3"/>
  <c r="H2177" i="3"/>
  <c r="G2177" i="3"/>
  <c r="F2177" i="3"/>
  <c r="C2177" i="3"/>
  <c r="B2177" i="3"/>
  <c r="A2177" i="3"/>
  <c r="I2176" i="3"/>
  <c r="H2176" i="3"/>
  <c r="G2176" i="3"/>
  <c r="F2176" i="3"/>
  <c r="C2176" i="3"/>
  <c r="B2176" i="3"/>
  <c r="A2176" i="3"/>
  <c r="I2175" i="3"/>
  <c r="H2175" i="3"/>
  <c r="G2175" i="3"/>
  <c r="F2175" i="3"/>
  <c r="C2175" i="3"/>
  <c r="B2175" i="3"/>
  <c r="A2175" i="3"/>
  <c r="I2174" i="3"/>
  <c r="H2174" i="3"/>
  <c r="G2174" i="3"/>
  <c r="F2174" i="3"/>
  <c r="C2174" i="3"/>
  <c r="B2174" i="3"/>
  <c r="A2174" i="3"/>
  <c r="I2173" i="3"/>
  <c r="H2173" i="3"/>
  <c r="G2173" i="3"/>
  <c r="F2173" i="3"/>
  <c r="C2173" i="3"/>
  <c r="B2173" i="3"/>
  <c r="A2173" i="3"/>
  <c r="I2172" i="3"/>
  <c r="H2172" i="3"/>
  <c r="G2172" i="3"/>
  <c r="F2172" i="3"/>
  <c r="C2172" i="3"/>
  <c r="B2172" i="3"/>
  <c r="A2172" i="3"/>
  <c r="I2171" i="3"/>
  <c r="H2171" i="3"/>
  <c r="G2171" i="3"/>
  <c r="F2171" i="3"/>
  <c r="C2171" i="3"/>
  <c r="B2171" i="3"/>
  <c r="A2171" i="3"/>
  <c r="I2170" i="3"/>
  <c r="H2170" i="3"/>
  <c r="G2170" i="3"/>
  <c r="F2170" i="3"/>
  <c r="C2170" i="3"/>
  <c r="B2170" i="3"/>
  <c r="A2170" i="3"/>
  <c r="I2169" i="3"/>
  <c r="H2169" i="3"/>
  <c r="G2169" i="3"/>
  <c r="F2169" i="3"/>
  <c r="C2169" i="3"/>
  <c r="B2169" i="3"/>
  <c r="A2169" i="3"/>
  <c r="I2168" i="3"/>
  <c r="H2168" i="3"/>
  <c r="G2168" i="3"/>
  <c r="F2168" i="3"/>
  <c r="C2168" i="3"/>
  <c r="B2168" i="3"/>
  <c r="A2168" i="3"/>
  <c r="I2167" i="3"/>
  <c r="H2167" i="3"/>
  <c r="G2167" i="3"/>
  <c r="F2167" i="3"/>
  <c r="C2167" i="3"/>
  <c r="B2167" i="3"/>
  <c r="A2167" i="3"/>
  <c r="I2166" i="3"/>
  <c r="H2166" i="3"/>
  <c r="G2166" i="3"/>
  <c r="F2166" i="3"/>
  <c r="C2166" i="3"/>
  <c r="B2166" i="3"/>
  <c r="A2166" i="3"/>
  <c r="I2165" i="3"/>
  <c r="H2165" i="3"/>
  <c r="G2165" i="3"/>
  <c r="F2165" i="3"/>
  <c r="C2165" i="3"/>
  <c r="B2165" i="3"/>
  <c r="A2165" i="3"/>
  <c r="I2164" i="3"/>
  <c r="H2164" i="3"/>
  <c r="G2164" i="3"/>
  <c r="F2164" i="3"/>
  <c r="C2164" i="3"/>
  <c r="B2164" i="3"/>
  <c r="A2164" i="3"/>
  <c r="I2163" i="3"/>
  <c r="H2163" i="3"/>
  <c r="G2163" i="3"/>
  <c r="F2163" i="3"/>
  <c r="C2163" i="3"/>
  <c r="B2163" i="3"/>
  <c r="A2163" i="3"/>
  <c r="I2162" i="3"/>
  <c r="H2162" i="3"/>
  <c r="G2162" i="3"/>
  <c r="F2162" i="3"/>
  <c r="C2162" i="3"/>
  <c r="B2162" i="3"/>
  <c r="A2162" i="3"/>
  <c r="I2161" i="3"/>
  <c r="H2161" i="3"/>
  <c r="G2161" i="3"/>
  <c r="F2161" i="3"/>
  <c r="C2161" i="3"/>
  <c r="B2161" i="3"/>
  <c r="A2161" i="3"/>
  <c r="I2160" i="3"/>
  <c r="H2160" i="3"/>
  <c r="G2160" i="3"/>
  <c r="F2160" i="3"/>
  <c r="C2160" i="3"/>
  <c r="B2160" i="3"/>
  <c r="A2160" i="3"/>
  <c r="I2159" i="3"/>
  <c r="H2159" i="3"/>
  <c r="G2159" i="3"/>
  <c r="F2159" i="3"/>
  <c r="C2159" i="3"/>
  <c r="B2159" i="3"/>
  <c r="A2159" i="3"/>
  <c r="I2158" i="3"/>
  <c r="H2158" i="3"/>
  <c r="G2158" i="3"/>
  <c r="F2158" i="3"/>
  <c r="C2158" i="3"/>
  <c r="B2158" i="3"/>
  <c r="A2158" i="3"/>
  <c r="I2157" i="3"/>
  <c r="H2157" i="3"/>
  <c r="G2157" i="3"/>
  <c r="F2157" i="3"/>
  <c r="C2157" i="3"/>
  <c r="B2157" i="3"/>
  <c r="A2157" i="3"/>
  <c r="I2156" i="3"/>
  <c r="H2156" i="3"/>
  <c r="G2156" i="3"/>
  <c r="F2156" i="3"/>
  <c r="C2156" i="3"/>
  <c r="B2156" i="3"/>
  <c r="A2156" i="3"/>
  <c r="I2155" i="3"/>
  <c r="H2155" i="3"/>
  <c r="G2155" i="3"/>
  <c r="F2155" i="3"/>
  <c r="C2155" i="3"/>
  <c r="B2155" i="3"/>
  <c r="A2155" i="3"/>
  <c r="I2154" i="3"/>
  <c r="H2154" i="3"/>
  <c r="G2154" i="3"/>
  <c r="F2154" i="3"/>
  <c r="C2154" i="3"/>
  <c r="B2154" i="3"/>
  <c r="A2154" i="3"/>
  <c r="I2153" i="3"/>
  <c r="H2153" i="3"/>
  <c r="G2153" i="3"/>
  <c r="F2153" i="3"/>
  <c r="C2153" i="3"/>
  <c r="B2153" i="3"/>
  <c r="A2153" i="3"/>
  <c r="I2152" i="3"/>
  <c r="H2152" i="3"/>
  <c r="G2152" i="3"/>
  <c r="F2152" i="3"/>
  <c r="C2152" i="3"/>
  <c r="B2152" i="3"/>
  <c r="A2152" i="3"/>
  <c r="I2151" i="3"/>
  <c r="H2151" i="3"/>
  <c r="G2151" i="3"/>
  <c r="F2151" i="3"/>
  <c r="C2151" i="3"/>
  <c r="B2151" i="3"/>
  <c r="A2151" i="3"/>
  <c r="I2150" i="3"/>
  <c r="H2150" i="3"/>
  <c r="G2150" i="3"/>
  <c r="F2150" i="3"/>
  <c r="C2150" i="3"/>
  <c r="B2150" i="3"/>
  <c r="A2150" i="3"/>
  <c r="I2149" i="3"/>
  <c r="H2149" i="3"/>
  <c r="G2149" i="3"/>
  <c r="F2149" i="3"/>
  <c r="C2149" i="3"/>
  <c r="B2149" i="3"/>
  <c r="A2149" i="3"/>
  <c r="I2148" i="3"/>
  <c r="H2148" i="3"/>
  <c r="G2148" i="3"/>
  <c r="F2148" i="3"/>
  <c r="C2148" i="3"/>
  <c r="B2148" i="3"/>
  <c r="A2148" i="3"/>
  <c r="I2147" i="3"/>
  <c r="H2147" i="3"/>
  <c r="G2147" i="3"/>
  <c r="F2147" i="3"/>
  <c r="C2147" i="3"/>
  <c r="B2147" i="3"/>
  <c r="A2147" i="3"/>
  <c r="I2146" i="3"/>
  <c r="H2146" i="3"/>
  <c r="G2146" i="3"/>
  <c r="F2146" i="3"/>
  <c r="C2146" i="3"/>
  <c r="B2146" i="3"/>
  <c r="A2146" i="3"/>
  <c r="I2145" i="3"/>
  <c r="H2145" i="3"/>
  <c r="G2145" i="3"/>
  <c r="F2145" i="3"/>
  <c r="C2145" i="3"/>
  <c r="B2145" i="3"/>
  <c r="A2145" i="3"/>
  <c r="I2144" i="3"/>
  <c r="H2144" i="3"/>
  <c r="G2144" i="3"/>
  <c r="F2144" i="3"/>
  <c r="C2144" i="3"/>
  <c r="B2144" i="3"/>
  <c r="A2144" i="3"/>
  <c r="I2143" i="3"/>
  <c r="H2143" i="3"/>
  <c r="G2143" i="3"/>
  <c r="F2143" i="3"/>
  <c r="C2143" i="3"/>
  <c r="B2143" i="3"/>
  <c r="A2143" i="3"/>
  <c r="I2142" i="3"/>
  <c r="H2142" i="3"/>
  <c r="G2142" i="3"/>
  <c r="F2142" i="3"/>
  <c r="C2142" i="3"/>
  <c r="B2142" i="3"/>
  <c r="A2142" i="3"/>
  <c r="I2141" i="3"/>
  <c r="H2141" i="3"/>
  <c r="G2141" i="3"/>
  <c r="F2141" i="3"/>
  <c r="C2141" i="3"/>
  <c r="B2141" i="3"/>
  <c r="A2141" i="3"/>
  <c r="I2140" i="3"/>
  <c r="H2140" i="3"/>
  <c r="G2140" i="3"/>
  <c r="F2140" i="3"/>
  <c r="C2140" i="3"/>
  <c r="B2140" i="3"/>
  <c r="A2140" i="3"/>
  <c r="I2139" i="3"/>
  <c r="H2139" i="3"/>
  <c r="G2139" i="3"/>
  <c r="F2139" i="3"/>
  <c r="C2139" i="3"/>
  <c r="B2139" i="3"/>
  <c r="A2139" i="3"/>
  <c r="I2138" i="3"/>
  <c r="H2138" i="3"/>
  <c r="G2138" i="3"/>
  <c r="F2138" i="3"/>
  <c r="C2138" i="3"/>
  <c r="B2138" i="3"/>
  <c r="A2138" i="3"/>
  <c r="I2137" i="3"/>
  <c r="H2137" i="3"/>
  <c r="G2137" i="3"/>
  <c r="F2137" i="3"/>
  <c r="C2137" i="3"/>
  <c r="B2137" i="3"/>
  <c r="A2137" i="3"/>
  <c r="I2136" i="3"/>
  <c r="H2136" i="3"/>
  <c r="G2136" i="3"/>
  <c r="F2136" i="3"/>
  <c r="C2136" i="3"/>
  <c r="B2136" i="3"/>
  <c r="A2136" i="3"/>
  <c r="I2135" i="3"/>
  <c r="H2135" i="3"/>
  <c r="G2135" i="3"/>
  <c r="F2135" i="3"/>
  <c r="C2135" i="3"/>
  <c r="B2135" i="3"/>
  <c r="A2135" i="3"/>
  <c r="I2134" i="3"/>
  <c r="H2134" i="3"/>
  <c r="G2134" i="3"/>
  <c r="F2134" i="3"/>
  <c r="C2134" i="3"/>
  <c r="B2134" i="3"/>
  <c r="A2134" i="3"/>
  <c r="I2133" i="3"/>
  <c r="H2133" i="3"/>
  <c r="G2133" i="3"/>
  <c r="F2133" i="3"/>
  <c r="C2133" i="3"/>
  <c r="B2133" i="3"/>
  <c r="A2133" i="3"/>
  <c r="I2132" i="3"/>
  <c r="H2132" i="3"/>
  <c r="G2132" i="3"/>
  <c r="F2132" i="3"/>
  <c r="C2132" i="3"/>
  <c r="B2132" i="3"/>
  <c r="A2132" i="3"/>
  <c r="I2131" i="3"/>
  <c r="H2131" i="3"/>
  <c r="G2131" i="3"/>
  <c r="F2131" i="3"/>
  <c r="C2131" i="3"/>
  <c r="B2131" i="3"/>
  <c r="A2131" i="3"/>
  <c r="I2130" i="3"/>
  <c r="H2130" i="3"/>
  <c r="G2130" i="3"/>
  <c r="F2130" i="3"/>
  <c r="C2130" i="3"/>
  <c r="B2130" i="3"/>
  <c r="A2130" i="3"/>
  <c r="I2129" i="3"/>
  <c r="H2129" i="3"/>
  <c r="G2129" i="3"/>
  <c r="F2129" i="3"/>
  <c r="C2129" i="3"/>
  <c r="B2129" i="3"/>
  <c r="A2129" i="3"/>
  <c r="I2128" i="3"/>
  <c r="H2128" i="3"/>
  <c r="G2128" i="3"/>
  <c r="F2128" i="3"/>
  <c r="C2128" i="3"/>
  <c r="B2128" i="3"/>
  <c r="A2128" i="3"/>
  <c r="I2127" i="3"/>
  <c r="H2127" i="3"/>
  <c r="G2127" i="3"/>
  <c r="F2127" i="3"/>
  <c r="C2127" i="3"/>
  <c r="B2127" i="3"/>
  <c r="A2127" i="3"/>
  <c r="I2126" i="3"/>
  <c r="H2126" i="3"/>
  <c r="G2126" i="3"/>
  <c r="F2126" i="3"/>
  <c r="C2126" i="3"/>
  <c r="B2126" i="3"/>
  <c r="A2126" i="3"/>
  <c r="I2125" i="3"/>
  <c r="H2125" i="3"/>
  <c r="G2125" i="3"/>
  <c r="F2125" i="3"/>
  <c r="C2125" i="3"/>
  <c r="B2125" i="3"/>
  <c r="A2125" i="3"/>
  <c r="I2124" i="3"/>
  <c r="H2124" i="3"/>
  <c r="G2124" i="3"/>
  <c r="F2124" i="3"/>
  <c r="C2124" i="3"/>
  <c r="B2124" i="3"/>
  <c r="A2124" i="3"/>
  <c r="I2123" i="3"/>
  <c r="H2123" i="3"/>
  <c r="G2123" i="3"/>
  <c r="F2123" i="3"/>
  <c r="C2123" i="3"/>
  <c r="B2123" i="3"/>
  <c r="A2123" i="3"/>
  <c r="I2122" i="3"/>
  <c r="H2122" i="3"/>
  <c r="G2122" i="3"/>
  <c r="F2122" i="3"/>
  <c r="C2122" i="3"/>
  <c r="B2122" i="3"/>
  <c r="A2122" i="3"/>
  <c r="I2121" i="3"/>
  <c r="H2121" i="3"/>
  <c r="G2121" i="3"/>
  <c r="F2121" i="3"/>
  <c r="C2121" i="3"/>
  <c r="B2121" i="3"/>
  <c r="A2121" i="3"/>
  <c r="I2120" i="3"/>
  <c r="H2120" i="3"/>
  <c r="G2120" i="3"/>
  <c r="F2120" i="3"/>
  <c r="C2120" i="3"/>
  <c r="B2120" i="3"/>
  <c r="A2120" i="3"/>
  <c r="I2119" i="3"/>
  <c r="H2119" i="3"/>
  <c r="G2119" i="3"/>
  <c r="F2119" i="3"/>
  <c r="C2119" i="3"/>
  <c r="B2119" i="3"/>
  <c r="A2119" i="3"/>
  <c r="I2118" i="3"/>
  <c r="H2118" i="3"/>
  <c r="G2118" i="3"/>
  <c r="F2118" i="3"/>
  <c r="C2118" i="3"/>
  <c r="B2118" i="3"/>
  <c r="A2118" i="3"/>
  <c r="I2117" i="3"/>
  <c r="H2117" i="3"/>
  <c r="G2117" i="3"/>
  <c r="F2117" i="3"/>
  <c r="C2117" i="3"/>
  <c r="B2117" i="3"/>
  <c r="A2117" i="3"/>
  <c r="I2116" i="3"/>
  <c r="H2116" i="3"/>
  <c r="G2116" i="3"/>
  <c r="F2116" i="3"/>
  <c r="C2116" i="3"/>
  <c r="B2116" i="3"/>
  <c r="A2116" i="3"/>
  <c r="I2115" i="3"/>
  <c r="H2115" i="3"/>
  <c r="G2115" i="3"/>
  <c r="F2115" i="3"/>
  <c r="C2115" i="3"/>
  <c r="B2115" i="3"/>
  <c r="A2115" i="3"/>
  <c r="I2114" i="3"/>
  <c r="H2114" i="3"/>
  <c r="G2114" i="3"/>
  <c r="F2114" i="3"/>
  <c r="C2114" i="3"/>
  <c r="B2114" i="3"/>
  <c r="A2114" i="3"/>
  <c r="I2113" i="3"/>
  <c r="H2113" i="3"/>
  <c r="G2113" i="3"/>
  <c r="F2113" i="3"/>
  <c r="C2113" i="3"/>
  <c r="B2113" i="3"/>
  <c r="A2113" i="3"/>
  <c r="I2112" i="3"/>
  <c r="H2112" i="3"/>
  <c r="G2112" i="3"/>
  <c r="F2112" i="3"/>
  <c r="C2112" i="3"/>
  <c r="B2112" i="3"/>
  <c r="A2112" i="3"/>
  <c r="I2111" i="3"/>
  <c r="H2111" i="3"/>
  <c r="G2111" i="3"/>
  <c r="F2111" i="3"/>
  <c r="C2111" i="3"/>
  <c r="B2111" i="3"/>
  <c r="A2111" i="3"/>
  <c r="I2110" i="3"/>
  <c r="H2110" i="3"/>
  <c r="G2110" i="3"/>
  <c r="F2110" i="3"/>
  <c r="C2110" i="3"/>
  <c r="B2110" i="3"/>
  <c r="A2110" i="3"/>
  <c r="I2109" i="3"/>
  <c r="H2109" i="3"/>
  <c r="G2109" i="3"/>
  <c r="F2109" i="3"/>
  <c r="C2109" i="3"/>
  <c r="B2109" i="3"/>
  <c r="A2109" i="3"/>
  <c r="I2108" i="3"/>
  <c r="H2108" i="3"/>
  <c r="G2108" i="3"/>
  <c r="F2108" i="3"/>
  <c r="C2108" i="3"/>
  <c r="B2108" i="3"/>
  <c r="A2108" i="3"/>
  <c r="I2107" i="3"/>
  <c r="H2107" i="3"/>
  <c r="G2107" i="3"/>
  <c r="F2107" i="3"/>
  <c r="C2107" i="3"/>
  <c r="B2107" i="3"/>
  <c r="A2107" i="3"/>
  <c r="I2106" i="3"/>
  <c r="H2106" i="3"/>
  <c r="G2106" i="3"/>
  <c r="F2106" i="3"/>
  <c r="C2106" i="3"/>
  <c r="B2106" i="3"/>
  <c r="A2106" i="3"/>
  <c r="I2105" i="3"/>
  <c r="H2105" i="3"/>
  <c r="G2105" i="3"/>
  <c r="F2105" i="3"/>
  <c r="C2105" i="3"/>
  <c r="B2105" i="3"/>
  <c r="A2105" i="3"/>
  <c r="I2104" i="3"/>
  <c r="H2104" i="3"/>
  <c r="G2104" i="3"/>
  <c r="F2104" i="3"/>
  <c r="C2104" i="3"/>
  <c r="B2104" i="3"/>
  <c r="A2104" i="3"/>
  <c r="I2103" i="3"/>
  <c r="H2103" i="3"/>
  <c r="G2103" i="3"/>
  <c r="F2103" i="3"/>
  <c r="C2103" i="3"/>
  <c r="B2103" i="3"/>
  <c r="A2103" i="3"/>
  <c r="I2102" i="3"/>
  <c r="H2102" i="3"/>
  <c r="G2102" i="3"/>
  <c r="F2102" i="3"/>
  <c r="C2102" i="3"/>
  <c r="B2102" i="3"/>
  <c r="A2102" i="3"/>
  <c r="I2101" i="3"/>
  <c r="H2101" i="3"/>
  <c r="G2101" i="3"/>
  <c r="F2101" i="3"/>
  <c r="C2101" i="3"/>
  <c r="B2101" i="3"/>
  <c r="A2101" i="3"/>
  <c r="I2100" i="3"/>
  <c r="H2100" i="3"/>
  <c r="G2100" i="3"/>
  <c r="F2100" i="3"/>
  <c r="C2100" i="3"/>
  <c r="B2100" i="3"/>
  <c r="A2100" i="3"/>
  <c r="I2099" i="3"/>
  <c r="H2099" i="3"/>
  <c r="G2099" i="3"/>
  <c r="F2099" i="3"/>
  <c r="C2099" i="3"/>
  <c r="B2099" i="3"/>
  <c r="A2099" i="3"/>
  <c r="I2098" i="3"/>
  <c r="H2098" i="3"/>
  <c r="G2098" i="3"/>
  <c r="F2098" i="3"/>
  <c r="C2098" i="3"/>
  <c r="B2098" i="3"/>
  <c r="A2098" i="3"/>
  <c r="I2097" i="3"/>
  <c r="H2097" i="3"/>
  <c r="G2097" i="3"/>
  <c r="F2097" i="3"/>
  <c r="C2097" i="3"/>
  <c r="B2097" i="3"/>
  <c r="A2097" i="3"/>
  <c r="I2096" i="3"/>
  <c r="H2096" i="3"/>
  <c r="G2096" i="3"/>
  <c r="F2096" i="3"/>
  <c r="C2096" i="3"/>
  <c r="B2096" i="3"/>
  <c r="A2096" i="3"/>
  <c r="I2095" i="3"/>
  <c r="H2095" i="3"/>
  <c r="G2095" i="3"/>
  <c r="F2095" i="3"/>
  <c r="C2095" i="3"/>
  <c r="B2095" i="3"/>
  <c r="A2095" i="3"/>
  <c r="I2094" i="3"/>
  <c r="H2094" i="3"/>
  <c r="G2094" i="3"/>
  <c r="F2094" i="3"/>
  <c r="C2094" i="3"/>
  <c r="B2094" i="3"/>
  <c r="A2094" i="3"/>
  <c r="I2093" i="3"/>
  <c r="H2093" i="3"/>
  <c r="G2093" i="3"/>
  <c r="F2093" i="3"/>
  <c r="C2093" i="3"/>
  <c r="B2093" i="3"/>
  <c r="A2093" i="3"/>
  <c r="I2092" i="3"/>
  <c r="H2092" i="3"/>
  <c r="G2092" i="3"/>
  <c r="F2092" i="3"/>
  <c r="C2092" i="3"/>
  <c r="B2092" i="3"/>
  <c r="A2092" i="3"/>
  <c r="I2091" i="3"/>
  <c r="H2091" i="3"/>
  <c r="G2091" i="3"/>
  <c r="F2091" i="3"/>
  <c r="C2091" i="3"/>
  <c r="B2091" i="3"/>
  <c r="A2091" i="3"/>
  <c r="I2090" i="3"/>
  <c r="H2090" i="3"/>
  <c r="G2090" i="3"/>
  <c r="F2090" i="3"/>
  <c r="C2090" i="3"/>
  <c r="B2090" i="3"/>
  <c r="A2090" i="3"/>
  <c r="I2089" i="3"/>
  <c r="H2089" i="3"/>
  <c r="G2089" i="3"/>
  <c r="F2089" i="3"/>
  <c r="C2089" i="3"/>
  <c r="B2089" i="3"/>
  <c r="A2089" i="3"/>
  <c r="I2088" i="3"/>
  <c r="H2088" i="3"/>
  <c r="G2088" i="3"/>
  <c r="F2088" i="3"/>
  <c r="C2088" i="3"/>
  <c r="B2088" i="3"/>
  <c r="A2088" i="3"/>
  <c r="I2087" i="3"/>
  <c r="H2087" i="3"/>
  <c r="G2087" i="3"/>
  <c r="F2087" i="3"/>
  <c r="C2087" i="3"/>
  <c r="B2087" i="3"/>
  <c r="A2087" i="3"/>
  <c r="I2086" i="3"/>
  <c r="H2086" i="3"/>
  <c r="G2086" i="3"/>
  <c r="F2086" i="3"/>
  <c r="C2086" i="3"/>
  <c r="B2086" i="3"/>
  <c r="A2086" i="3"/>
  <c r="I2085" i="3"/>
  <c r="H2085" i="3"/>
  <c r="G2085" i="3"/>
  <c r="F2085" i="3"/>
  <c r="C2085" i="3"/>
  <c r="B2085" i="3"/>
  <c r="A2085" i="3"/>
  <c r="I2084" i="3"/>
  <c r="H2084" i="3"/>
  <c r="G2084" i="3"/>
  <c r="F2084" i="3"/>
  <c r="C2084" i="3"/>
  <c r="B2084" i="3"/>
  <c r="A2084" i="3"/>
  <c r="I2083" i="3"/>
  <c r="H2083" i="3"/>
  <c r="G2083" i="3"/>
  <c r="F2083" i="3"/>
  <c r="C2083" i="3"/>
  <c r="B2083" i="3"/>
  <c r="A2083" i="3"/>
  <c r="I2082" i="3"/>
  <c r="H2082" i="3"/>
  <c r="G2082" i="3"/>
  <c r="F2082" i="3"/>
  <c r="C2082" i="3"/>
  <c r="B2082" i="3"/>
  <c r="A2082" i="3"/>
  <c r="I2081" i="3"/>
  <c r="H2081" i="3"/>
  <c r="G2081" i="3"/>
  <c r="F2081" i="3"/>
  <c r="C2081" i="3"/>
  <c r="B2081" i="3"/>
  <c r="A2081" i="3"/>
  <c r="I2080" i="3"/>
  <c r="H2080" i="3"/>
  <c r="G2080" i="3"/>
  <c r="F2080" i="3"/>
  <c r="C2080" i="3"/>
  <c r="B2080" i="3"/>
  <c r="A2080" i="3"/>
  <c r="I2079" i="3"/>
  <c r="H2079" i="3"/>
  <c r="G2079" i="3"/>
  <c r="F2079" i="3"/>
  <c r="C2079" i="3"/>
  <c r="B2079" i="3"/>
  <c r="A2079" i="3"/>
  <c r="I2078" i="3"/>
  <c r="H2078" i="3"/>
  <c r="G2078" i="3"/>
  <c r="F2078" i="3"/>
  <c r="C2078" i="3"/>
  <c r="B2078" i="3"/>
  <c r="A2078" i="3"/>
  <c r="I2077" i="3"/>
  <c r="H2077" i="3"/>
  <c r="G2077" i="3"/>
  <c r="F2077" i="3"/>
  <c r="C2077" i="3"/>
  <c r="B2077" i="3"/>
  <c r="A2077" i="3"/>
  <c r="I2076" i="3"/>
  <c r="H2076" i="3"/>
  <c r="G2076" i="3"/>
  <c r="F2076" i="3"/>
  <c r="C2076" i="3"/>
  <c r="B2076" i="3"/>
  <c r="A2076" i="3"/>
  <c r="I2075" i="3"/>
  <c r="H2075" i="3"/>
  <c r="G2075" i="3"/>
  <c r="F2075" i="3"/>
  <c r="C2075" i="3"/>
  <c r="B2075" i="3"/>
  <c r="A2075" i="3"/>
  <c r="I2074" i="3"/>
  <c r="H2074" i="3"/>
  <c r="G2074" i="3"/>
  <c r="F2074" i="3"/>
  <c r="C2074" i="3"/>
  <c r="B2074" i="3"/>
  <c r="A2074" i="3"/>
  <c r="I2073" i="3"/>
  <c r="H2073" i="3"/>
  <c r="G2073" i="3"/>
  <c r="F2073" i="3"/>
  <c r="C2073" i="3"/>
  <c r="B2073" i="3"/>
  <c r="A2073" i="3"/>
  <c r="I2072" i="3"/>
  <c r="H2072" i="3"/>
  <c r="G2072" i="3"/>
  <c r="F2072" i="3"/>
  <c r="C2072" i="3"/>
  <c r="B2072" i="3"/>
  <c r="A2072" i="3"/>
  <c r="I2071" i="3"/>
  <c r="H2071" i="3"/>
  <c r="G2071" i="3"/>
  <c r="F2071" i="3"/>
  <c r="C2071" i="3"/>
  <c r="B2071" i="3"/>
  <c r="A2071" i="3"/>
  <c r="I2070" i="3"/>
  <c r="H2070" i="3"/>
  <c r="G2070" i="3"/>
  <c r="F2070" i="3"/>
  <c r="C2070" i="3"/>
  <c r="B2070" i="3"/>
  <c r="A2070" i="3"/>
  <c r="I2069" i="3"/>
  <c r="H2069" i="3"/>
  <c r="G2069" i="3"/>
  <c r="F2069" i="3"/>
  <c r="C2069" i="3"/>
  <c r="B2069" i="3"/>
  <c r="A2069" i="3"/>
  <c r="I2068" i="3"/>
  <c r="H2068" i="3"/>
  <c r="G2068" i="3"/>
  <c r="F2068" i="3"/>
  <c r="C2068" i="3"/>
  <c r="B2068" i="3"/>
  <c r="A2068" i="3"/>
  <c r="I2067" i="3"/>
  <c r="H2067" i="3"/>
  <c r="G2067" i="3"/>
  <c r="F2067" i="3"/>
  <c r="C2067" i="3"/>
  <c r="B2067" i="3"/>
  <c r="A2067" i="3"/>
  <c r="I2066" i="3"/>
  <c r="H2066" i="3"/>
  <c r="G2066" i="3"/>
  <c r="F2066" i="3"/>
  <c r="C2066" i="3"/>
  <c r="B2066" i="3"/>
  <c r="A2066" i="3"/>
  <c r="I2065" i="3"/>
  <c r="H2065" i="3"/>
  <c r="G2065" i="3"/>
  <c r="F2065" i="3"/>
  <c r="C2065" i="3"/>
  <c r="B2065" i="3"/>
  <c r="A2065" i="3"/>
  <c r="I2064" i="3"/>
  <c r="H2064" i="3"/>
  <c r="G2064" i="3"/>
  <c r="F2064" i="3"/>
  <c r="C2064" i="3"/>
  <c r="B2064" i="3"/>
  <c r="A2064" i="3"/>
  <c r="I2063" i="3"/>
  <c r="H2063" i="3"/>
  <c r="G2063" i="3"/>
  <c r="F2063" i="3"/>
  <c r="C2063" i="3"/>
  <c r="B2063" i="3"/>
  <c r="A2063" i="3"/>
  <c r="I2062" i="3"/>
  <c r="H2062" i="3"/>
  <c r="G2062" i="3"/>
  <c r="F2062" i="3"/>
  <c r="C2062" i="3"/>
  <c r="B2062" i="3"/>
  <c r="A2062" i="3"/>
  <c r="I2061" i="3"/>
  <c r="H2061" i="3"/>
  <c r="G2061" i="3"/>
  <c r="F2061" i="3"/>
  <c r="C2061" i="3"/>
  <c r="B2061" i="3"/>
  <c r="A2061" i="3"/>
  <c r="I2060" i="3"/>
  <c r="H2060" i="3"/>
  <c r="G2060" i="3"/>
  <c r="F2060" i="3"/>
  <c r="C2060" i="3"/>
  <c r="B2060" i="3"/>
  <c r="A2060" i="3"/>
  <c r="I2059" i="3"/>
  <c r="H2059" i="3"/>
  <c r="G2059" i="3"/>
  <c r="F2059" i="3"/>
  <c r="C2059" i="3"/>
  <c r="B2059" i="3"/>
  <c r="A2059" i="3"/>
  <c r="I2058" i="3"/>
  <c r="H2058" i="3"/>
  <c r="G2058" i="3"/>
  <c r="F2058" i="3"/>
  <c r="C2058" i="3"/>
  <c r="B2058" i="3"/>
  <c r="A2058" i="3"/>
  <c r="I2057" i="3"/>
  <c r="H2057" i="3"/>
  <c r="G2057" i="3"/>
  <c r="F2057" i="3"/>
  <c r="C2057" i="3"/>
  <c r="B2057" i="3"/>
  <c r="A2057" i="3"/>
  <c r="I2056" i="3"/>
  <c r="H2056" i="3"/>
  <c r="G2056" i="3"/>
  <c r="F2056" i="3"/>
  <c r="C2056" i="3"/>
  <c r="B2056" i="3"/>
  <c r="A2056" i="3"/>
  <c r="I2055" i="3"/>
  <c r="H2055" i="3"/>
  <c r="G2055" i="3"/>
  <c r="F2055" i="3"/>
  <c r="C2055" i="3"/>
  <c r="B2055" i="3"/>
  <c r="A2055" i="3"/>
  <c r="I2054" i="3"/>
  <c r="H2054" i="3"/>
  <c r="G2054" i="3"/>
  <c r="F2054" i="3"/>
  <c r="C2054" i="3"/>
  <c r="B2054" i="3"/>
  <c r="A2054" i="3"/>
  <c r="I2053" i="3"/>
  <c r="H2053" i="3"/>
  <c r="G2053" i="3"/>
  <c r="F2053" i="3"/>
  <c r="C2053" i="3"/>
  <c r="B2053" i="3"/>
  <c r="A2053" i="3"/>
  <c r="I2052" i="3"/>
  <c r="H2052" i="3"/>
  <c r="G2052" i="3"/>
  <c r="F2052" i="3"/>
  <c r="C2052" i="3"/>
  <c r="B2052" i="3"/>
  <c r="A2052" i="3"/>
  <c r="I2051" i="3"/>
  <c r="H2051" i="3"/>
  <c r="G2051" i="3"/>
  <c r="F2051" i="3"/>
  <c r="C2051" i="3"/>
  <c r="B2051" i="3"/>
  <c r="A2051" i="3"/>
  <c r="I2050" i="3"/>
  <c r="H2050" i="3"/>
  <c r="G2050" i="3"/>
  <c r="F2050" i="3"/>
  <c r="C2050" i="3"/>
  <c r="B2050" i="3"/>
  <c r="A2050" i="3"/>
  <c r="I2049" i="3"/>
  <c r="H2049" i="3"/>
  <c r="G2049" i="3"/>
  <c r="F2049" i="3"/>
  <c r="C2049" i="3"/>
  <c r="B2049" i="3"/>
  <c r="A2049" i="3"/>
  <c r="I2048" i="3"/>
  <c r="H2048" i="3"/>
  <c r="G2048" i="3"/>
  <c r="F2048" i="3"/>
  <c r="C2048" i="3"/>
  <c r="B2048" i="3"/>
  <c r="A2048" i="3"/>
  <c r="I2047" i="3"/>
  <c r="H2047" i="3"/>
  <c r="G2047" i="3"/>
  <c r="F2047" i="3"/>
  <c r="C2047" i="3"/>
  <c r="B2047" i="3"/>
  <c r="A2047" i="3"/>
  <c r="I2046" i="3"/>
  <c r="H2046" i="3"/>
  <c r="G2046" i="3"/>
  <c r="F2046" i="3"/>
  <c r="C2046" i="3"/>
  <c r="B2046" i="3"/>
  <c r="A2046" i="3"/>
  <c r="I2045" i="3"/>
  <c r="H2045" i="3"/>
  <c r="G2045" i="3"/>
  <c r="F2045" i="3"/>
  <c r="C2045" i="3"/>
  <c r="B2045" i="3"/>
  <c r="A2045" i="3"/>
  <c r="I2044" i="3"/>
  <c r="H2044" i="3"/>
  <c r="G2044" i="3"/>
  <c r="F2044" i="3"/>
  <c r="C2044" i="3"/>
  <c r="B2044" i="3"/>
  <c r="A2044" i="3"/>
  <c r="I2043" i="3"/>
  <c r="H2043" i="3"/>
  <c r="G2043" i="3"/>
  <c r="F2043" i="3"/>
  <c r="C2043" i="3"/>
  <c r="B2043" i="3"/>
  <c r="A2043" i="3"/>
  <c r="I2042" i="3"/>
  <c r="H2042" i="3"/>
  <c r="G2042" i="3"/>
  <c r="F2042" i="3"/>
  <c r="C2042" i="3"/>
  <c r="B2042" i="3"/>
  <c r="A2042" i="3"/>
  <c r="I2041" i="3"/>
  <c r="H2041" i="3"/>
  <c r="G2041" i="3"/>
  <c r="F2041" i="3"/>
  <c r="C2041" i="3"/>
  <c r="B2041" i="3"/>
  <c r="A2041" i="3"/>
  <c r="I2040" i="3"/>
  <c r="H2040" i="3"/>
  <c r="G2040" i="3"/>
  <c r="F2040" i="3"/>
  <c r="C2040" i="3"/>
  <c r="B2040" i="3"/>
  <c r="A2040" i="3"/>
  <c r="I2039" i="3"/>
  <c r="H2039" i="3"/>
  <c r="G2039" i="3"/>
  <c r="F2039" i="3"/>
  <c r="C2039" i="3"/>
  <c r="B2039" i="3"/>
  <c r="A2039" i="3"/>
  <c r="I2038" i="3"/>
  <c r="H2038" i="3"/>
  <c r="G2038" i="3"/>
  <c r="F2038" i="3"/>
  <c r="C2038" i="3"/>
  <c r="B2038" i="3"/>
  <c r="A2038" i="3"/>
  <c r="I2037" i="3"/>
  <c r="H2037" i="3"/>
  <c r="G2037" i="3"/>
  <c r="F2037" i="3"/>
  <c r="C2037" i="3"/>
  <c r="B2037" i="3"/>
  <c r="A2037" i="3"/>
  <c r="I2036" i="3"/>
  <c r="H2036" i="3"/>
  <c r="G2036" i="3"/>
  <c r="F2036" i="3"/>
  <c r="C2036" i="3"/>
  <c r="B2036" i="3"/>
  <c r="A2036" i="3"/>
  <c r="I2035" i="3"/>
  <c r="H2035" i="3"/>
  <c r="G2035" i="3"/>
  <c r="F2035" i="3"/>
  <c r="C2035" i="3"/>
  <c r="B2035" i="3"/>
  <c r="A2035" i="3"/>
  <c r="I2034" i="3"/>
  <c r="H2034" i="3"/>
  <c r="G2034" i="3"/>
  <c r="F2034" i="3"/>
  <c r="C2034" i="3"/>
  <c r="B2034" i="3"/>
  <c r="A2034" i="3"/>
  <c r="I2033" i="3"/>
  <c r="H2033" i="3"/>
  <c r="G2033" i="3"/>
  <c r="F2033" i="3"/>
  <c r="C2033" i="3"/>
  <c r="B2033" i="3"/>
  <c r="A2033" i="3"/>
  <c r="I2032" i="3"/>
  <c r="H2032" i="3"/>
  <c r="G2032" i="3"/>
  <c r="F2032" i="3"/>
  <c r="C2032" i="3"/>
  <c r="B2032" i="3"/>
  <c r="A2032" i="3"/>
  <c r="I2031" i="3"/>
  <c r="H2031" i="3"/>
  <c r="G2031" i="3"/>
  <c r="F2031" i="3"/>
  <c r="C2031" i="3"/>
  <c r="B2031" i="3"/>
  <c r="A2031" i="3"/>
  <c r="I2030" i="3"/>
  <c r="H2030" i="3"/>
  <c r="G2030" i="3"/>
  <c r="F2030" i="3"/>
  <c r="C2030" i="3"/>
  <c r="B2030" i="3"/>
  <c r="A2030" i="3"/>
  <c r="I2029" i="3"/>
  <c r="H2029" i="3"/>
  <c r="G2029" i="3"/>
  <c r="F2029" i="3"/>
  <c r="C2029" i="3"/>
  <c r="B2029" i="3"/>
  <c r="A2029" i="3"/>
  <c r="I2028" i="3"/>
  <c r="H2028" i="3"/>
  <c r="G2028" i="3"/>
  <c r="F2028" i="3"/>
  <c r="C2028" i="3"/>
  <c r="B2028" i="3"/>
  <c r="A2028" i="3"/>
  <c r="I2027" i="3"/>
  <c r="H2027" i="3"/>
  <c r="G2027" i="3"/>
  <c r="F2027" i="3"/>
  <c r="C2027" i="3"/>
  <c r="B2027" i="3"/>
  <c r="A2027" i="3"/>
  <c r="I2026" i="3"/>
  <c r="H2026" i="3"/>
  <c r="G2026" i="3"/>
  <c r="F2026" i="3"/>
  <c r="C2026" i="3"/>
  <c r="B2026" i="3"/>
  <c r="A2026" i="3"/>
  <c r="I2025" i="3"/>
  <c r="H2025" i="3"/>
  <c r="G2025" i="3"/>
  <c r="F2025" i="3"/>
  <c r="C2025" i="3"/>
  <c r="B2025" i="3"/>
  <c r="A2025" i="3"/>
  <c r="I2024" i="3"/>
  <c r="H2024" i="3"/>
  <c r="G2024" i="3"/>
  <c r="F2024" i="3"/>
  <c r="C2024" i="3"/>
  <c r="B2024" i="3"/>
  <c r="A2024" i="3"/>
  <c r="I2023" i="3"/>
  <c r="H2023" i="3"/>
  <c r="G2023" i="3"/>
  <c r="F2023" i="3"/>
  <c r="C2023" i="3"/>
  <c r="B2023" i="3"/>
  <c r="A2023" i="3"/>
  <c r="I2022" i="3"/>
  <c r="H2022" i="3"/>
  <c r="G2022" i="3"/>
  <c r="F2022" i="3"/>
  <c r="C2022" i="3"/>
  <c r="B2022" i="3"/>
  <c r="A2022" i="3"/>
  <c r="I2021" i="3"/>
  <c r="H2021" i="3"/>
  <c r="G2021" i="3"/>
  <c r="F2021" i="3"/>
  <c r="C2021" i="3"/>
  <c r="B2021" i="3"/>
  <c r="A2021" i="3"/>
  <c r="I2020" i="3"/>
  <c r="H2020" i="3"/>
  <c r="G2020" i="3"/>
  <c r="F2020" i="3"/>
  <c r="C2020" i="3"/>
  <c r="B2020" i="3"/>
  <c r="A2020" i="3"/>
  <c r="I2019" i="3"/>
  <c r="H2019" i="3"/>
  <c r="G2019" i="3"/>
  <c r="F2019" i="3"/>
  <c r="C2019" i="3"/>
  <c r="B2019" i="3"/>
  <c r="A2019" i="3"/>
  <c r="I2018" i="3"/>
  <c r="H2018" i="3"/>
  <c r="G2018" i="3"/>
  <c r="F2018" i="3"/>
  <c r="C2018" i="3"/>
  <c r="B2018" i="3"/>
  <c r="A2018" i="3"/>
  <c r="I2017" i="3"/>
  <c r="H2017" i="3"/>
  <c r="G2017" i="3"/>
  <c r="F2017" i="3"/>
  <c r="C2017" i="3"/>
  <c r="B2017" i="3"/>
  <c r="A2017" i="3"/>
  <c r="I2016" i="3"/>
  <c r="H2016" i="3"/>
  <c r="G2016" i="3"/>
  <c r="F2016" i="3"/>
  <c r="C2016" i="3"/>
  <c r="B2016" i="3"/>
  <c r="A2016" i="3"/>
  <c r="I2015" i="3"/>
  <c r="H2015" i="3"/>
  <c r="G2015" i="3"/>
  <c r="F2015" i="3"/>
  <c r="C2015" i="3"/>
  <c r="B2015" i="3"/>
  <c r="A2015" i="3"/>
  <c r="I2014" i="3"/>
  <c r="H2014" i="3"/>
  <c r="G2014" i="3"/>
  <c r="F2014" i="3"/>
  <c r="C2014" i="3"/>
  <c r="B2014" i="3"/>
  <c r="A2014" i="3"/>
  <c r="I2013" i="3"/>
  <c r="H2013" i="3"/>
  <c r="G2013" i="3"/>
  <c r="F2013" i="3"/>
  <c r="C2013" i="3"/>
  <c r="B2013" i="3"/>
  <c r="A2013" i="3"/>
  <c r="I2012" i="3"/>
  <c r="H2012" i="3"/>
  <c r="G2012" i="3"/>
  <c r="F2012" i="3"/>
  <c r="C2012" i="3"/>
  <c r="B2012" i="3"/>
  <c r="A2012" i="3"/>
  <c r="I2011" i="3"/>
  <c r="H2011" i="3"/>
  <c r="G2011" i="3"/>
  <c r="F2011" i="3"/>
  <c r="C2011" i="3"/>
  <c r="B2011" i="3"/>
  <c r="A2011" i="3"/>
  <c r="I2010" i="3"/>
  <c r="H2010" i="3"/>
  <c r="G2010" i="3"/>
  <c r="F2010" i="3"/>
  <c r="C2010" i="3"/>
  <c r="B2010" i="3"/>
  <c r="A2010" i="3"/>
  <c r="I2009" i="3"/>
  <c r="H2009" i="3"/>
  <c r="G2009" i="3"/>
  <c r="F2009" i="3"/>
  <c r="C2009" i="3"/>
  <c r="B2009" i="3"/>
  <c r="A2009" i="3"/>
  <c r="I2008" i="3"/>
  <c r="H2008" i="3"/>
  <c r="G2008" i="3"/>
  <c r="F2008" i="3"/>
  <c r="C2008" i="3"/>
  <c r="B2008" i="3"/>
  <c r="A2008" i="3"/>
  <c r="I2007" i="3"/>
  <c r="H2007" i="3"/>
  <c r="G2007" i="3"/>
  <c r="F2007" i="3"/>
  <c r="C2007" i="3"/>
  <c r="B2007" i="3"/>
  <c r="A2007" i="3"/>
  <c r="I2006" i="3"/>
  <c r="H2006" i="3"/>
  <c r="G2006" i="3"/>
  <c r="F2006" i="3"/>
  <c r="C2006" i="3"/>
  <c r="B2006" i="3"/>
  <c r="A2006" i="3"/>
  <c r="I2005" i="3"/>
  <c r="H2005" i="3"/>
  <c r="G2005" i="3"/>
  <c r="F2005" i="3"/>
  <c r="C2005" i="3"/>
  <c r="B2005" i="3"/>
  <c r="A2005" i="3"/>
  <c r="I2004" i="3"/>
  <c r="H2004" i="3"/>
  <c r="G2004" i="3"/>
  <c r="F2004" i="3"/>
  <c r="C2004" i="3"/>
  <c r="B2004" i="3"/>
  <c r="A2004" i="3"/>
  <c r="I2003" i="3"/>
  <c r="H2003" i="3"/>
  <c r="G2003" i="3"/>
  <c r="F2003" i="3"/>
  <c r="C2003" i="3"/>
  <c r="B2003" i="3"/>
  <c r="A2003" i="3"/>
  <c r="I2002" i="3"/>
  <c r="H2002" i="3"/>
  <c r="G2002" i="3"/>
  <c r="F2002" i="3"/>
  <c r="C2002" i="3"/>
  <c r="B2002" i="3"/>
  <c r="A2002" i="3"/>
  <c r="I2001" i="3"/>
  <c r="H2001" i="3"/>
  <c r="G2001" i="3"/>
  <c r="F2001" i="3"/>
  <c r="C2001" i="3"/>
  <c r="B2001" i="3"/>
  <c r="A2001" i="3"/>
  <c r="I2000" i="3"/>
  <c r="H2000" i="3"/>
  <c r="G2000" i="3"/>
  <c r="F2000" i="3"/>
  <c r="C2000" i="3"/>
  <c r="B2000" i="3"/>
  <c r="A2000" i="3"/>
  <c r="I1999" i="3"/>
  <c r="H1999" i="3"/>
  <c r="G1999" i="3"/>
  <c r="F1999" i="3"/>
  <c r="C1999" i="3"/>
  <c r="B1999" i="3"/>
  <c r="A1999" i="3"/>
  <c r="I1998" i="3"/>
  <c r="H1998" i="3"/>
  <c r="G1998" i="3"/>
  <c r="F1998" i="3"/>
  <c r="C1998" i="3"/>
  <c r="B1998" i="3"/>
  <c r="A1998" i="3"/>
  <c r="I1997" i="3"/>
  <c r="H1997" i="3"/>
  <c r="G1997" i="3"/>
  <c r="F1997" i="3"/>
  <c r="C1997" i="3"/>
  <c r="B1997" i="3"/>
  <c r="A1997" i="3"/>
  <c r="I1996" i="3"/>
  <c r="H1996" i="3"/>
  <c r="G1996" i="3"/>
  <c r="F1996" i="3"/>
  <c r="C1996" i="3"/>
  <c r="B1996" i="3"/>
  <c r="A1996" i="3"/>
  <c r="I1995" i="3"/>
  <c r="H1995" i="3"/>
  <c r="G1995" i="3"/>
  <c r="F1995" i="3"/>
  <c r="C1995" i="3"/>
  <c r="B1995" i="3"/>
  <c r="A1995" i="3"/>
  <c r="I1994" i="3"/>
  <c r="H1994" i="3"/>
  <c r="G1994" i="3"/>
  <c r="F1994" i="3"/>
  <c r="C1994" i="3"/>
  <c r="B1994" i="3"/>
  <c r="A1994" i="3"/>
  <c r="I1993" i="3"/>
  <c r="H1993" i="3"/>
  <c r="G1993" i="3"/>
  <c r="F1993" i="3"/>
  <c r="C1993" i="3"/>
  <c r="B1993" i="3"/>
  <c r="A1993" i="3"/>
  <c r="I1992" i="3"/>
  <c r="H1992" i="3"/>
  <c r="G1992" i="3"/>
  <c r="F1992" i="3"/>
  <c r="C1992" i="3"/>
  <c r="B1992" i="3"/>
  <c r="A1992" i="3"/>
  <c r="I1991" i="3"/>
  <c r="H1991" i="3"/>
  <c r="G1991" i="3"/>
  <c r="F1991" i="3"/>
  <c r="C1991" i="3"/>
  <c r="B1991" i="3"/>
  <c r="A1991" i="3"/>
  <c r="I1990" i="3"/>
  <c r="H1990" i="3"/>
  <c r="G1990" i="3"/>
  <c r="F1990" i="3"/>
  <c r="C1990" i="3"/>
  <c r="B1990" i="3"/>
  <c r="A1990" i="3"/>
  <c r="I1989" i="3"/>
  <c r="H1989" i="3"/>
  <c r="G1989" i="3"/>
  <c r="F1989" i="3"/>
  <c r="C1989" i="3"/>
  <c r="B1989" i="3"/>
  <c r="A1989" i="3"/>
  <c r="I1988" i="3"/>
  <c r="H1988" i="3"/>
  <c r="G1988" i="3"/>
  <c r="F1988" i="3"/>
  <c r="C1988" i="3"/>
  <c r="B1988" i="3"/>
  <c r="A1988" i="3"/>
  <c r="I1987" i="3"/>
  <c r="H1987" i="3"/>
  <c r="G1987" i="3"/>
  <c r="F1987" i="3"/>
  <c r="C1987" i="3"/>
  <c r="B1987" i="3"/>
  <c r="A1987" i="3"/>
  <c r="I1986" i="3"/>
  <c r="H1986" i="3"/>
  <c r="G1986" i="3"/>
  <c r="F1986" i="3"/>
  <c r="C1986" i="3"/>
  <c r="B1986" i="3"/>
  <c r="A1986" i="3"/>
  <c r="I1985" i="3"/>
  <c r="H1985" i="3"/>
  <c r="G1985" i="3"/>
  <c r="F1985" i="3"/>
  <c r="C1985" i="3"/>
  <c r="B1985" i="3"/>
  <c r="A1985" i="3"/>
  <c r="I1984" i="3"/>
  <c r="H1984" i="3"/>
  <c r="G1984" i="3"/>
  <c r="F1984" i="3"/>
  <c r="C1984" i="3"/>
  <c r="B1984" i="3"/>
  <c r="A1984" i="3"/>
  <c r="I1983" i="3"/>
  <c r="H1983" i="3"/>
  <c r="G1983" i="3"/>
  <c r="F1983" i="3"/>
  <c r="C1983" i="3"/>
  <c r="B1983" i="3"/>
  <c r="A1983" i="3"/>
  <c r="I1982" i="3"/>
  <c r="H1982" i="3"/>
  <c r="G1982" i="3"/>
  <c r="F1982" i="3"/>
  <c r="C1982" i="3"/>
  <c r="B1982" i="3"/>
  <c r="A1982" i="3"/>
  <c r="I1981" i="3"/>
  <c r="H1981" i="3"/>
  <c r="G1981" i="3"/>
  <c r="F1981" i="3"/>
  <c r="C1981" i="3"/>
  <c r="B1981" i="3"/>
  <c r="A1981" i="3"/>
  <c r="I1980" i="3"/>
  <c r="H1980" i="3"/>
  <c r="G1980" i="3"/>
  <c r="F1980" i="3"/>
  <c r="C1980" i="3"/>
  <c r="B1980" i="3"/>
  <c r="A1980" i="3"/>
  <c r="I1979" i="3"/>
  <c r="H1979" i="3"/>
  <c r="G1979" i="3"/>
  <c r="F1979" i="3"/>
  <c r="C1979" i="3"/>
  <c r="B1979" i="3"/>
  <c r="A1979" i="3"/>
  <c r="I1978" i="3"/>
  <c r="H1978" i="3"/>
  <c r="G1978" i="3"/>
  <c r="F1978" i="3"/>
  <c r="C1978" i="3"/>
  <c r="B1978" i="3"/>
  <c r="A1978" i="3"/>
  <c r="I1977" i="3"/>
  <c r="H1977" i="3"/>
  <c r="G1977" i="3"/>
  <c r="F1977" i="3"/>
  <c r="C1977" i="3"/>
  <c r="B1977" i="3"/>
  <c r="A1977" i="3"/>
  <c r="I1976" i="3"/>
  <c r="H1976" i="3"/>
  <c r="G1976" i="3"/>
  <c r="F1976" i="3"/>
  <c r="C1976" i="3"/>
  <c r="B1976" i="3"/>
  <c r="A1976" i="3"/>
  <c r="I1975" i="3"/>
  <c r="H1975" i="3"/>
  <c r="G1975" i="3"/>
  <c r="F1975" i="3"/>
  <c r="C1975" i="3"/>
  <c r="B1975" i="3"/>
  <c r="A1975" i="3"/>
  <c r="I1974" i="3"/>
  <c r="H1974" i="3"/>
  <c r="G1974" i="3"/>
  <c r="F1974" i="3"/>
  <c r="C1974" i="3"/>
  <c r="B1974" i="3"/>
  <c r="A1974" i="3"/>
  <c r="I1973" i="3"/>
  <c r="H1973" i="3"/>
  <c r="G1973" i="3"/>
  <c r="F1973" i="3"/>
  <c r="C1973" i="3"/>
  <c r="B1973" i="3"/>
  <c r="A1973" i="3"/>
  <c r="I1972" i="3"/>
  <c r="H1972" i="3"/>
  <c r="G1972" i="3"/>
  <c r="F1972" i="3"/>
  <c r="C1972" i="3"/>
  <c r="B1972" i="3"/>
  <c r="A1972" i="3"/>
  <c r="I1971" i="3"/>
  <c r="H1971" i="3"/>
  <c r="G1971" i="3"/>
  <c r="F1971" i="3"/>
  <c r="C1971" i="3"/>
  <c r="B1971" i="3"/>
  <c r="A1971" i="3"/>
  <c r="I1970" i="3"/>
  <c r="H1970" i="3"/>
  <c r="G1970" i="3"/>
  <c r="F1970" i="3"/>
  <c r="C1970" i="3"/>
  <c r="B1970" i="3"/>
  <c r="A1970" i="3"/>
  <c r="I1969" i="3"/>
  <c r="H1969" i="3"/>
  <c r="G1969" i="3"/>
  <c r="F1969" i="3"/>
  <c r="C1969" i="3"/>
  <c r="B1969" i="3"/>
  <c r="A1969" i="3"/>
  <c r="I1968" i="3"/>
  <c r="H1968" i="3"/>
  <c r="G1968" i="3"/>
  <c r="F1968" i="3"/>
  <c r="C1968" i="3"/>
  <c r="B1968" i="3"/>
  <c r="A1968" i="3"/>
  <c r="I1967" i="3"/>
  <c r="H1967" i="3"/>
  <c r="G1967" i="3"/>
  <c r="F1967" i="3"/>
  <c r="C1967" i="3"/>
  <c r="B1967" i="3"/>
  <c r="A1967" i="3"/>
  <c r="I1966" i="3"/>
  <c r="H1966" i="3"/>
  <c r="G1966" i="3"/>
  <c r="F1966" i="3"/>
  <c r="C1966" i="3"/>
  <c r="B1966" i="3"/>
  <c r="A1966" i="3"/>
  <c r="I1965" i="3"/>
  <c r="H1965" i="3"/>
  <c r="G1965" i="3"/>
  <c r="F1965" i="3"/>
  <c r="C1965" i="3"/>
  <c r="B1965" i="3"/>
  <c r="A1965" i="3"/>
  <c r="I1964" i="3"/>
  <c r="H1964" i="3"/>
  <c r="G1964" i="3"/>
  <c r="F1964" i="3"/>
  <c r="C1964" i="3"/>
  <c r="B1964" i="3"/>
  <c r="A1964" i="3"/>
  <c r="I1963" i="3"/>
  <c r="H1963" i="3"/>
  <c r="G1963" i="3"/>
  <c r="F1963" i="3"/>
  <c r="C1963" i="3"/>
  <c r="B1963" i="3"/>
  <c r="A1963" i="3"/>
  <c r="I1962" i="3"/>
  <c r="H1962" i="3"/>
  <c r="G1962" i="3"/>
  <c r="F1962" i="3"/>
  <c r="C1962" i="3"/>
  <c r="B1962" i="3"/>
  <c r="A1962" i="3"/>
  <c r="I1961" i="3"/>
  <c r="H1961" i="3"/>
  <c r="G1961" i="3"/>
  <c r="F1961" i="3"/>
  <c r="C1961" i="3"/>
  <c r="B1961" i="3"/>
  <c r="A1961" i="3"/>
  <c r="I1960" i="3"/>
  <c r="H1960" i="3"/>
  <c r="G1960" i="3"/>
  <c r="F1960" i="3"/>
  <c r="C1960" i="3"/>
  <c r="B1960" i="3"/>
  <c r="A1960" i="3"/>
  <c r="I1959" i="3"/>
  <c r="H1959" i="3"/>
  <c r="G1959" i="3"/>
  <c r="F1959" i="3"/>
  <c r="C1959" i="3"/>
  <c r="B1959" i="3"/>
  <c r="A1959" i="3"/>
  <c r="I1958" i="3"/>
  <c r="H1958" i="3"/>
  <c r="G1958" i="3"/>
  <c r="F1958" i="3"/>
  <c r="C1958" i="3"/>
  <c r="B1958" i="3"/>
  <c r="A1958" i="3"/>
  <c r="I1957" i="3"/>
  <c r="H1957" i="3"/>
  <c r="G1957" i="3"/>
  <c r="F1957" i="3"/>
  <c r="C1957" i="3"/>
  <c r="B1957" i="3"/>
  <c r="A1957" i="3"/>
  <c r="I1956" i="3"/>
  <c r="H1956" i="3"/>
  <c r="G1956" i="3"/>
  <c r="F1956" i="3"/>
  <c r="C1956" i="3"/>
  <c r="B1956" i="3"/>
  <c r="A1956" i="3"/>
  <c r="I1955" i="3"/>
  <c r="H1955" i="3"/>
  <c r="G1955" i="3"/>
  <c r="F1955" i="3"/>
  <c r="C1955" i="3"/>
  <c r="B1955" i="3"/>
  <c r="A1955" i="3"/>
  <c r="I1954" i="3"/>
  <c r="H1954" i="3"/>
  <c r="G1954" i="3"/>
  <c r="F1954" i="3"/>
  <c r="C1954" i="3"/>
  <c r="B1954" i="3"/>
  <c r="A1954" i="3"/>
  <c r="I1953" i="3"/>
  <c r="H1953" i="3"/>
  <c r="G1953" i="3"/>
  <c r="F1953" i="3"/>
  <c r="C1953" i="3"/>
  <c r="B1953" i="3"/>
  <c r="A1953" i="3"/>
  <c r="I1952" i="3"/>
  <c r="H1952" i="3"/>
  <c r="G1952" i="3"/>
  <c r="F1952" i="3"/>
  <c r="C1952" i="3"/>
  <c r="B1952" i="3"/>
  <c r="A1952" i="3"/>
  <c r="I1951" i="3"/>
  <c r="H1951" i="3"/>
  <c r="G1951" i="3"/>
  <c r="F1951" i="3"/>
  <c r="C1951" i="3"/>
  <c r="B1951" i="3"/>
  <c r="A1951" i="3"/>
  <c r="I1950" i="3"/>
  <c r="H1950" i="3"/>
  <c r="G1950" i="3"/>
  <c r="F1950" i="3"/>
  <c r="C1950" i="3"/>
  <c r="B1950" i="3"/>
  <c r="A1950" i="3"/>
  <c r="I1949" i="3"/>
  <c r="H1949" i="3"/>
  <c r="G1949" i="3"/>
  <c r="F1949" i="3"/>
  <c r="C1949" i="3"/>
  <c r="B1949" i="3"/>
  <c r="A1949" i="3"/>
  <c r="I1948" i="3"/>
  <c r="H1948" i="3"/>
  <c r="G1948" i="3"/>
  <c r="F1948" i="3"/>
  <c r="C1948" i="3"/>
  <c r="B1948" i="3"/>
  <c r="A1948" i="3"/>
  <c r="I1947" i="3"/>
  <c r="H1947" i="3"/>
  <c r="G1947" i="3"/>
  <c r="F1947" i="3"/>
  <c r="C1947" i="3"/>
  <c r="B1947" i="3"/>
  <c r="A1947" i="3"/>
  <c r="I1946" i="3"/>
  <c r="H1946" i="3"/>
  <c r="G1946" i="3"/>
  <c r="F1946" i="3"/>
  <c r="C1946" i="3"/>
  <c r="B1946" i="3"/>
  <c r="A1946" i="3"/>
  <c r="I1945" i="3"/>
  <c r="H1945" i="3"/>
  <c r="G1945" i="3"/>
  <c r="F1945" i="3"/>
  <c r="C1945" i="3"/>
  <c r="B1945" i="3"/>
  <c r="A1945" i="3"/>
  <c r="I1944" i="3"/>
  <c r="H1944" i="3"/>
  <c r="G1944" i="3"/>
  <c r="F1944" i="3"/>
  <c r="C1944" i="3"/>
  <c r="B1944" i="3"/>
  <c r="A1944" i="3"/>
  <c r="I1943" i="3"/>
  <c r="H1943" i="3"/>
  <c r="G1943" i="3"/>
  <c r="F1943" i="3"/>
  <c r="C1943" i="3"/>
  <c r="B1943" i="3"/>
  <c r="A1943" i="3"/>
  <c r="I1942" i="3"/>
  <c r="H1942" i="3"/>
  <c r="G1942" i="3"/>
  <c r="F1942" i="3"/>
  <c r="C1942" i="3"/>
  <c r="B1942" i="3"/>
  <c r="A1942" i="3"/>
  <c r="I1941" i="3"/>
  <c r="H1941" i="3"/>
  <c r="G1941" i="3"/>
  <c r="F1941" i="3"/>
  <c r="C1941" i="3"/>
  <c r="B1941" i="3"/>
  <c r="A1941" i="3"/>
  <c r="I1940" i="3"/>
  <c r="H1940" i="3"/>
  <c r="G1940" i="3"/>
  <c r="F1940" i="3"/>
  <c r="C1940" i="3"/>
  <c r="B1940" i="3"/>
  <c r="A1940" i="3"/>
  <c r="I1939" i="3"/>
  <c r="H1939" i="3"/>
  <c r="G1939" i="3"/>
  <c r="F1939" i="3"/>
  <c r="C1939" i="3"/>
  <c r="B1939" i="3"/>
  <c r="A1939" i="3"/>
  <c r="I1938" i="3"/>
  <c r="H1938" i="3"/>
  <c r="G1938" i="3"/>
  <c r="F1938" i="3"/>
  <c r="C1938" i="3"/>
  <c r="B1938" i="3"/>
  <c r="A1938" i="3"/>
  <c r="I1937" i="3"/>
  <c r="H1937" i="3"/>
  <c r="G1937" i="3"/>
  <c r="F1937" i="3"/>
  <c r="C1937" i="3"/>
  <c r="B1937" i="3"/>
  <c r="A1937" i="3"/>
  <c r="I1936" i="3"/>
  <c r="H1936" i="3"/>
  <c r="G1936" i="3"/>
  <c r="F1936" i="3"/>
  <c r="C1936" i="3"/>
  <c r="B1936" i="3"/>
  <c r="A1936" i="3"/>
  <c r="I1935" i="3"/>
  <c r="H1935" i="3"/>
  <c r="G1935" i="3"/>
  <c r="F1935" i="3"/>
  <c r="C1935" i="3"/>
  <c r="B1935" i="3"/>
  <c r="A1935" i="3"/>
  <c r="I1934" i="3"/>
  <c r="H1934" i="3"/>
  <c r="G1934" i="3"/>
  <c r="F1934" i="3"/>
  <c r="C1934" i="3"/>
  <c r="B1934" i="3"/>
  <c r="A1934" i="3"/>
  <c r="I1933" i="3"/>
  <c r="H1933" i="3"/>
  <c r="G1933" i="3"/>
  <c r="F1933" i="3"/>
  <c r="C1933" i="3"/>
  <c r="B1933" i="3"/>
  <c r="A1933" i="3"/>
  <c r="I1932" i="3"/>
  <c r="H1932" i="3"/>
  <c r="G1932" i="3"/>
  <c r="F1932" i="3"/>
  <c r="C1932" i="3"/>
  <c r="B1932" i="3"/>
  <c r="A1932" i="3"/>
  <c r="I1931" i="3"/>
  <c r="H1931" i="3"/>
  <c r="G1931" i="3"/>
  <c r="F1931" i="3"/>
  <c r="C1931" i="3"/>
  <c r="B1931" i="3"/>
  <c r="A1931" i="3"/>
  <c r="I1930" i="3"/>
  <c r="H1930" i="3"/>
  <c r="G1930" i="3"/>
  <c r="F1930" i="3"/>
  <c r="C1930" i="3"/>
  <c r="B1930" i="3"/>
  <c r="A1930" i="3"/>
  <c r="I1929" i="3"/>
  <c r="H1929" i="3"/>
  <c r="G1929" i="3"/>
  <c r="F1929" i="3"/>
  <c r="C1929" i="3"/>
  <c r="B1929" i="3"/>
  <c r="A1929" i="3"/>
  <c r="I1928" i="3"/>
  <c r="H1928" i="3"/>
  <c r="G1928" i="3"/>
  <c r="F1928" i="3"/>
  <c r="C1928" i="3"/>
  <c r="B1928" i="3"/>
  <c r="A1928" i="3"/>
  <c r="I1927" i="3"/>
  <c r="H1927" i="3"/>
  <c r="G1927" i="3"/>
  <c r="F1927" i="3"/>
  <c r="C1927" i="3"/>
  <c r="B1927" i="3"/>
  <c r="A1927" i="3"/>
  <c r="I1926" i="3"/>
  <c r="H1926" i="3"/>
  <c r="G1926" i="3"/>
  <c r="F1926" i="3"/>
  <c r="C1926" i="3"/>
  <c r="B1926" i="3"/>
  <c r="A1926" i="3"/>
  <c r="I1925" i="3"/>
  <c r="H1925" i="3"/>
  <c r="G1925" i="3"/>
  <c r="F1925" i="3"/>
  <c r="C1925" i="3"/>
  <c r="B1925" i="3"/>
  <c r="A1925" i="3"/>
  <c r="I1924" i="3"/>
  <c r="H1924" i="3"/>
  <c r="G1924" i="3"/>
  <c r="F1924" i="3"/>
  <c r="C1924" i="3"/>
  <c r="B1924" i="3"/>
  <c r="A1924" i="3"/>
  <c r="I1923" i="3"/>
  <c r="H1923" i="3"/>
  <c r="G1923" i="3"/>
  <c r="F1923" i="3"/>
  <c r="C1923" i="3"/>
  <c r="B1923" i="3"/>
  <c r="A1923" i="3"/>
  <c r="I1922" i="3"/>
  <c r="H1922" i="3"/>
  <c r="G1922" i="3"/>
  <c r="F1922" i="3"/>
  <c r="C1922" i="3"/>
  <c r="B1922" i="3"/>
  <c r="A1922" i="3"/>
  <c r="I1921" i="3"/>
  <c r="H1921" i="3"/>
  <c r="G1921" i="3"/>
  <c r="F1921" i="3"/>
  <c r="C1921" i="3"/>
  <c r="B1921" i="3"/>
  <c r="A1921" i="3"/>
  <c r="I1920" i="3"/>
  <c r="H1920" i="3"/>
  <c r="G1920" i="3"/>
  <c r="F1920" i="3"/>
  <c r="C1920" i="3"/>
  <c r="B1920" i="3"/>
  <c r="A1920" i="3"/>
  <c r="I1919" i="3"/>
  <c r="H1919" i="3"/>
  <c r="G1919" i="3"/>
  <c r="F1919" i="3"/>
  <c r="C1919" i="3"/>
  <c r="B1919" i="3"/>
  <c r="A1919" i="3"/>
  <c r="I1918" i="3"/>
  <c r="H1918" i="3"/>
  <c r="G1918" i="3"/>
  <c r="F1918" i="3"/>
  <c r="C1918" i="3"/>
  <c r="B1918" i="3"/>
  <c r="A1918" i="3"/>
  <c r="I1917" i="3"/>
  <c r="H1917" i="3"/>
  <c r="G1917" i="3"/>
  <c r="F1917" i="3"/>
  <c r="C1917" i="3"/>
  <c r="B1917" i="3"/>
  <c r="A1917" i="3"/>
  <c r="I1916" i="3"/>
  <c r="H1916" i="3"/>
  <c r="G1916" i="3"/>
  <c r="F1916" i="3"/>
  <c r="C1916" i="3"/>
  <c r="B1916" i="3"/>
  <c r="A1916" i="3"/>
  <c r="I1915" i="3"/>
  <c r="H1915" i="3"/>
  <c r="G1915" i="3"/>
  <c r="F1915" i="3"/>
  <c r="C1915" i="3"/>
  <c r="B1915" i="3"/>
  <c r="A1915" i="3"/>
  <c r="I1914" i="3"/>
  <c r="H1914" i="3"/>
  <c r="G1914" i="3"/>
  <c r="F1914" i="3"/>
  <c r="C1914" i="3"/>
  <c r="B1914" i="3"/>
  <c r="A1914" i="3"/>
  <c r="I1913" i="3"/>
  <c r="H1913" i="3"/>
  <c r="G1913" i="3"/>
  <c r="F1913" i="3"/>
  <c r="C1913" i="3"/>
  <c r="B1913" i="3"/>
  <c r="A1913" i="3"/>
  <c r="I1912" i="3"/>
  <c r="H1912" i="3"/>
  <c r="G1912" i="3"/>
  <c r="F1912" i="3"/>
  <c r="C1912" i="3"/>
  <c r="B1912" i="3"/>
  <c r="A1912" i="3"/>
  <c r="I1911" i="3"/>
  <c r="H1911" i="3"/>
  <c r="G1911" i="3"/>
  <c r="F1911" i="3"/>
  <c r="C1911" i="3"/>
  <c r="B1911" i="3"/>
  <c r="A1911" i="3"/>
  <c r="I1910" i="3"/>
  <c r="H1910" i="3"/>
  <c r="G1910" i="3"/>
  <c r="F1910" i="3"/>
  <c r="C1910" i="3"/>
  <c r="B1910" i="3"/>
  <c r="A1910" i="3"/>
  <c r="I1909" i="3"/>
  <c r="H1909" i="3"/>
  <c r="G1909" i="3"/>
  <c r="F1909" i="3"/>
  <c r="C1909" i="3"/>
  <c r="B1909" i="3"/>
  <c r="A1909" i="3"/>
  <c r="I1908" i="3"/>
  <c r="H1908" i="3"/>
  <c r="G1908" i="3"/>
  <c r="F1908" i="3"/>
  <c r="C1908" i="3"/>
  <c r="B1908" i="3"/>
  <c r="A1908" i="3"/>
  <c r="I1907" i="3"/>
  <c r="H1907" i="3"/>
  <c r="G1907" i="3"/>
  <c r="F1907" i="3"/>
  <c r="C1907" i="3"/>
  <c r="B1907" i="3"/>
  <c r="A1907" i="3"/>
  <c r="I1906" i="3"/>
  <c r="H1906" i="3"/>
  <c r="G1906" i="3"/>
  <c r="F1906" i="3"/>
  <c r="C1906" i="3"/>
  <c r="B1906" i="3"/>
  <c r="A1906" i="3"/>
  <c r="I1905" i="3"/>
  <c r="H1905" i="3"/>
  <c r="G1905" i="3"/>
  <c r="F1905" i="3"/>
  <c r="C1905" i="3"/>
  <c r="B1905" i="3"/>
  <c r="A1905" i="3"/>
  <c r="I1904" i="3"/>
  <c r="H1904" i="3"/>
  <c r="G1904" i="3"/>
  <c r="F1904" i="3"/>
  <c r="C1904" i="3"/>
  <c r="B1904" i="3"/>
  <c r="A1904" i="3"/>
  <c r="I1903" i="3"/>
  <c r="H1903" i="3"/>
  <c r="G1903" i="3"/>
  <c r="F1903" i="3"/>
  <c r="C1903" i="3"/>
  <c r="B1903" i="3"/>
  <c r="A1903" i="3"/>
  <c r="I1902" i="3"/>
  <c r="H1902" i="3"/>
  <c r="G1902" i="3"/>
  <c r="F1902" i="3"/>
  <c r="C1902" i="3"/>
  <c r="B1902" i="3"/>
  <c r="A1902" i="3"/>
  <c r="I1901" i="3"/>
  <c r="H1901" i="3"/>
  <c r="G1901" i="3"/>
  <c r="F1901" i="3"/>
  <c r="C1901" i="3"/>
  <c r="B1901" i="3"/>
  <c r="A1901" i="3"/>
  <c r="I1900" i="3"/>
  <c r="H1900" i="3"/>
  <c r="G1900" i="3"/>
  <c r="F1900" i="3"/>
  <c r="C1900" i="3"/>
  <c r="B1900" i="3"/>
  <c r="A1900" i="3"/>
  <c r="I1899" i="3"/>
  <c r="H1899" i="3"/>
  <c r="G1899" i="3"/>
  <c r="F1899" i="3"/>
  <c r="C1899" i="3"/>
  <c r="B1899" i="3"/>
  <c r="A1899" i="3"/>
  <c r="I1898" i="3"/>
  <c r="H1898" i="3"/>
  <c r="G1898" i="3"/>
  <c r="F1898" i="3"/>
  <c r="C1898" i="3"/>
  <c r="B1898" i="3"/>
  <c r="A1898" i="3"/>
  <c r="I1897" i="3"/>
  <c r="H1897" i="3"/>
  <c r="G1897" i="3"/>
  <c r="F1897" i="3"/>
  <c r="C1897" i="3"/>
  <c r="B1897" i="3"/>
  <c r="A1897" i="3"/>
  <c r="I1896" i="3"/>
  <c r="H1896" i="3"/>
  <c r="G1896" i="3"/>
  <c r="F1896" i="3"/>
  <c r="C1896" i="3"/>
  <c r="B1896" i="3"/>
  <c r="A1896" i="3"/>
  <c r="I1895" i="3"/>
  <c r="H1895" i="3"/>
  <c r="G1895" i="3"/>
  <c r="F1895" i="3"/>
  <c r="C1895" i="3"/>
  <c r="B1895" i="3"/>
  <c r="A1895" i="3"/>
  <c r="I1894" i="3"/>
  <c r="H1894" i="3"/>
  <c r="G1894" i="3"/>
  <c r="F1894" i="3"/>
  <c r="C1894" i="3"/>
  <c r="B1894" i="3"/>
  <c r="A1894" i="3"/>
  <c r="I1893" i="3"/>
  <c r="H1893" i="3"/>
  <c r="G1893" i="3"/>
  <c r="F1893" i="3"/>
  <c r="C1893" i="3"/>
  <c r="B1893" i="3"/>
  <c r="A1893" i="3"/>
  <c r="I1892" i="3"/>
  <c r="H1892" i="3"/>
  <c r="G1892" i="3"/>
  <c r="F1892" i="3"/>
  <c r="C1892" i="3"/>
  <c r="B1892" i="3"/>
  <c r="A1892" i="3"/>
  <c r="I1891" i="3"/>
  <c r="H1891" i="3"/>
  <c r="G1891" i="3"/>
  <c r="F1891" i="3"/>
  <c r="C1891" i="3"/>
  <c r="B1891" i="3"/>
  <c r="A1891" i="3"/>
  <c r="I1890" i="3"/>
  <c r="H1890" i="3"/>
  <c r="G1890" i="3"/>
  <c r="F1890" i="3"/>
  <c r="C1890" i="3"/>
  <c r="B1890" i="3"/>
  <c r="A1890" i="3"/>
  <c r="I1889" i="3"/>
  <c r="H1889" i="3"/>
  <c r="G1889" i="3"/>
  <c r="F1889" i="3"/>
  <c r="C1889" i="3"/>
  <c r="B1889" i="3"/>
  <c r="A1889" i="3"/>
  <c r="I1888" i="3"/>
  <c r="H1888" i="3"/>
  <c r="G1888" i="3"/>
  <c r="F1888" i="3"/>
  <c r="C1888" i="3"/>
  <c r="B1888" i="3"/>
  <c r="A1888" i="3"/>
  <c r="I1887" i="3"/>
  <c r="H1887" i="3"/>
  <c r="G1887" i="3"/>
  <c r="F1887" i="3"/>
  <c r="C1887" i="3"/>
  <c r="B1887" i="3"/>
  <c r="A1887" i="3"/>
  <c r="I1886" i="3"/>
  <c r="H1886" i="3"/>
  <c r="G1886" i="3"/>
  <c r="F1886" i="3"/>
  <c r="C1886" i="3"/>
  <c r="B1886" i="3"/>
  <c r="A1886" i="3"/>
  <c r="I1885" i="3"/>
  <c r="H1885" i="3"/>
  <c r="G1885" i="3"/>
  <c r="F1885" i="3"/>
  <c r="C1885" i="3"/>
  <c r="B1885" i="3"/>
  <c r="A1885" i="3"/>
  <c r="I1884" i="3"/>
  <c r="H1884" i="3"/>
  <c r="G1884" i="3"/>
  <c r="F1884" i="3"/>
  <c r="C1884" i="3"/>
  <c r="B1884" i="3"/>
  <c r="A1884" i="3"/>
  <c r="I1883" i="3"/>
  <c r="H1883" i="3"/>
  <c r="G1883" i="3"/>
  <c r="F1883" i="3"/>
  <c r="C1883" i="3"/>
  <c r="B1883" i="3"/>
  <c r="A1883" i="3"/>
  <c r="I1882" i="3"/>
  <c r="H1882" i="3"/>
  <c r="G1882" i="3"/>
  <c r="F1882" i="3"/>
  <c r="C1882" i="3"/>
  <c r="B1882" i="3"/>
  <c r="A1882" i="3"/>
  <c r="I1881" i="3"/>
  <c r="H1881" i="3"/>
  <c r="G1881" i="3"/>
  <c r="F1881" i="3"/>
  <c r="C1881" i="3"/>
  <c r="B1881" i="3"/>
  <c r="A1881" i="3"/>
  <c r="I1880" i="3"/>
  <c r="H1880" i="3"/>
  <c r="G1880" i="3"/>
  <c r="F1880" i="3"/>
  <c r="C1880" i="3"/>
  <c r="B1880" i="3"/>
  <c r="A1880" i="3"/>
  <c r="I1879" i="3"/>
  <c r="H1879" i="3"/>
  <c r="G1879" i="3"/>
  <c r="F1879" i="3"/>
  <c r="C1879" i="3"/>
  <c r="B1879" i="3"/>
  <c r="A1879" i="3"/>
  <c r="I1878" i="3"/>
  <c r="H1878" i="3"/>
  <c r="G1878" i="3"/>
  <c r="F1878" i="3"/>
  <c r="C1878" i="3"/>
  <c r="B1878" i="3"/>
  <c r="A1878" i="3"/>
  <c r="I1877" i="3"/>
  <c r="H1877" i="3"/>
  <c r="G1877" i="3"/>
  <c r="F1877" i="3"/>
  <c r="C1877" i="3"/>
  <c r="B1877" i="3"/>
  <c r="A1877" i="3"/>
  <c r="I1876" i="3"/>
  <c r="H1876" i="3"/>
  <c r="G1876" i="3"/>
  <c r="F1876" i="3"/>
  <c r="C1876" i="3"/>
  <c r="B1876" i="3"/>
  <c r="A1876" i="3"/>
  <c r="I1875" i="3"/>
  <c r="H1875" i="3"/>
  <c r="G1875" i="3"/>
  <c r="F1875" i="3"/>
  <c r="C1875" i="3"/>
  <c r="B1875" i="3"/>
  <c r="A1875" i="3"/>
  <c r="I1874" i="3"/>
  <c r="H1874" i="3"/>
  <c r="G1874" i="3"/>
  <c r="F1874" i="3"/>
  <c r="C1874" i="3"/>
  <c r="B1874" i="3"/>
  <c r="A1874" i="3"/>
  <c r="I1873" i="3"/>
  <c r="H1873" i="3"/>
  <c r="G1873" i="3"/>
  <c r="F1873" i="3"/>
  <c r="C1873" i="3"/>
  <c r="B1873" i="3"/>
  <c r="A1873" i="3"/>
  <c r="I1872" i="3"/>
  <c r="H1872" i="3"/>
  <c r="G1872" i="3"/>
  <c r="F1872" i="3"/>
  <c r="C1872" i="3"/>
  <c r="B1872" i="3"/>
  <c r="A1872" i="3"/>
  <c r="I1871" i="3"/>
  <c r="H1871" i="3"/>
  <c r="G1871" i="3"/>
  <c r="F1871" i="3"/>
  <c r="C1871" i="3"/>
  <c r="B1871" i="3"/>
  <c r="A1871" i="3"/>
  <c r="I1870" i="3"/>
  <c r="H1870" i="3"/>
  <c r="G1870" i="3"/>
  <c r="F1870" i="3"/>
  <c r="C1870" i="3"/>
  <c r="B1870" i="3"/>
  <c r="A1870" i="3"/>
  <c r="I1869" i="3"/>
  <c r="H1869" i="3"/>
  <c r="G1869" i="3"/>
  <c r="F1869" i="3"/>
  <c r="C1869" i="3"/>
  <c r="B1869" i="3"/>
  <c r="A1869" i="3"/>
  <c r="I1868" i="3"/>
  <c r="H1868" i="3"/>
  <c r="G1868" i="3"/>
  <c r="F1868" i="3"/>
  <c r="C1868" i="3"/>
  <c r="B1868" i="3"/>
  <c r="A1868" i="3"/>
  <c r="I1867" i="3"/>
  <c r="H1867" i="3"/>
  <c r="G1867" i="3"/>
  <c r="F1867" i="3"/>
  <c r="C1867" i="3"/>
  <c r="B1867" i="3"/>
  <c r="A1867" i="3"/>
  <c r="I1866" i="3"/>
  <c r="H1866" i="3"/>
  <c r="G1866" i="3"/>
  <c r="F1866" i="3"/>
  <c r="C1866" i="3"/>
  <c r="B1866" i="3"/>
  <c r="A1866" i="3"/>
  <c r="I1865" i="3"/>
  <c r="H1865" i="3"/>
  <c r="G1865" i="3"/>
  <c r="F1865" i="3"/>
  <c r="C1865" i="3"/>
  <c r="B1865" i="3"/>
  <c r="A1865" i="3"/>
  <c r="I1864" i="3"/>
  <c r="H1864" i="3"/>
  <c r="G1864" i="3"/>
  <c r="F1864" i="3"/>
  <c r="C1864" i="3"/>
  <c r="B1864" i="3"/>
  <c r="A1864" i="3"/>
  <c r="I1863" i="3"/>
  <c r="H1863" i="3"/>
  <c r="G1863" i="3"/>
  <c r="F1863" i="3"/>
  <c r="C1863" i="3"/>
  <c r="B1863" i="3"/>
  <c r="A1863" i="3"/>
  <c r="I1862" i="3"/>
  <c r="H1862" i="3"/>
  <c r="G1862" i="3"/>
  <c r="F1862" i="3"/>
  <c r="C1862" i="3"/>
  <c r="B1862" i="3"/>
  <c r="A1862" i="3"/>
  <c r="I1861" i="3"/>
  <c r="H1861" i="3"/>
  <c r="G1861" i="3"/>
  <c r="F1861" i="3"/>
  <c r="C1861" i="3"/>
  <c r="B1861" i="3"/>
  <c r="A1861" i="3"/>
  <c r="I1860" i="3"/>
  <c r="H1860" i="3"/>
  <c r="G1860" i="3"/>
  <c r="F1860" i="3"/>
  <c r="C1860" i="3"/>
  <c r="B1860" i="3"/>
  <c r="A1860" i="3"/>
  <c r="I1859" i="3"/>
  <c r="H1859" i="3"/>
  <c r="G1859" i="3"/>
  <c r="F1859" i="3"/>
  <c r="C1859" i="3"/>
  <c r="B1859" i="3"/>
  <c r="A1859" i="3"/>
  <c r="I1858" i="3"/>
  <c r="H1858" i="3"/>
  <c r="G1858" i="3"/>
  <c r="F1858" i="3"/>
  <c r="C1858" i="3"/>
  <c r="B1858" i="3"/>
  <c r="A1858" i="3"/>
  <c r="I1857" i="3"/>
  <c r="H1857" i="3"/>
  <c r="G1857" i="3"/>
  <c r="F1857" i="3"/>
  <c r="C1857" i="3"/>
  <c r="B1857" i="3"/>
  <c r="A1857" i="3"/>
  <c r="I1856" i="3"/>
  <c r="H1856" i="3"/>
  <c r="G1856" i="3"/>
  <c r="F1856" i="3"/>
  <c r="C1856" i="3"/>
  <c r="B1856" i="3"/>
  <c r="A1856" i="3"/>
  <c r="I1855" i="3"/>
  <c r="H1855" i="3"/>
  <c r="G1855" i="3"/>
  <c r="F1855" i="3"/>
  <c r="C1855" i="3"/>
  <c r="B1855" i="3"/>
  <c r="A1855" i="3"/>
  <c r="I1854" i="3"/>
  <c r="H1854" i="3"/>
  <c r="G1854" i="3"/>
  <c r="F1854" i="3"/>
  <c r="C1854" i="3"/>
  <c r="B1854" i="3"/>
  <c r="A1854" i="3"/>
  <c r="I1853" i="3"/>
  <c r="H1853" i="3"/>
  <c r="G1853" i="3"/>
  <c r="F1853" i="3"/>
  <c r="C1853" i="3"/>
  <c r="B1853" i="3"/>
  <c r="A1853" i="3"/>
  <c r="I1852" i="3"/>
  <c r="H1852" i="3"/>
  <c r="G1852" i="3"/>
  <c r="F1852" i="3"/>
  <c r="C1852" i="3"/>
  <c r="B1852" i="3"/>
  <c r="A1852" i="3"/>
  <c r="I1851" i="3"/>
  <c r="H1851" i="3"/>
  <c r="G1851" i="3"/>
  <c r="F1851" i="3"/>
  <c r="C1851" i="3"/>
  <c r="B1851" i="3"/>
  <c r="A1851" i="3"/>
  <c r="I1850" i="3"/>
  <c r="H1850" i="3"/>
  <c r="G1850" i="3"/>
  <c r="F1850" i="3"/>
  <c r="C1850" i="3"/>
  <c r="B1850" i="3"/>
  <c r="A1850" i="3"/>
  <c r="I1849" i="3"/>
  <c r="H1849" i="3"/>
  <c r="G1849" i="3"/>
  <c r="F1849" i="3"/>
  <c r="C1849" i="3"/>
  <c r="B1849" i="3"/>
  <c r="A1849" i="3"/>
  <c r="I1848" i="3"/>
  <c r="H1848" i="3"/>
  <c r="G1848" i="3"/>
  <c r="F1848" i="3"/>
  <c r="C1848" i="3"/>
  <c r="B1848" i="3"/>
  <c r="A1848" i="3"/>
  <c r="I1847" i="3"/>
  <c r="H1847" i="3"/>
  <c r="G1847" i="3"/>
  <c r="F1847" i="3"/>
  <c r="C1847" i="3"/>
  <c r="B1847" i="3"/>
  <c r="A1847" i="3"/>
  <c r="I1846" i="3"/>
  <c r="H1846" i="3"/>
  <c r="G1846" i="3"/>
  <c r="F1846" i="3"/>
  <c r="C1846" i="3"/>
  <c r="B1846" i="3"/>
  <c r="A1846" i="3"/>
  <c r="I1845" i="3"/>
  <c r="H1845" i="3"/>
  <c r="G1845" i="3"/>
  <c r="F1845" i="3"/>
  <c r="C1845" i="3"/>
  <c r="B1845" i="3"/>
  <c r="A1845" i="3"/>
  <c r="I1844" i="3"/>
  <c r="H1844" i="3"/>
  <c r="G1844" i="3"/>
  <c r="F1844" i="3"/>
  <c r="C1844" i="3"/>
  <c r="B1844" i="3"/>
  <c r="A1844" i="3"/>
  <c r="I1843" i="3"/>
  <c r="H1843" i="3"/>
  <c r="G1843" i="3"/>
  <c r="F1843" i="3"/>
  <c r="C1843" i="3"/>
  <c r="B1843" i="3"/>
  <c r="A1843" i="3"/>
  <c r="I1842" i="3"/>
  <c r="H1842" i="3"/>
  <c r="G1842" i="3"/>
  <c r="F1842" i="3"/>
  <c r="C1842" i="3"/>
  <c r="B1842" i="3"/>
  <c r="A1842" i="3"/>
  <c r="I1841" i="3"/>
  <c r="H1841" i="3"/>
  <c r="G1841" i="3"/>
  <c r="F1841" i="3"/>
  <c r="C1841" i="3"/>
  <c r="B1841" i="3"/>
  <c r="A1841" i="3"/>
  <c r="I1840" i="3"/>
  <c r="H1840" i="3"/>
  <c r="G1840" i="3"/>
  <c r="F1840" i="3"/>
  <c r="C1840" i="3"/>
  <c r="B1840" i="3"/>
  <c r="A1840" i="3"/>
  <c r="I1839" i="3"/>
  <c r="H1839" i="3"/>
  <c r="G1839" i="3"/>
  <c r="F1839" i="3"/>
  <c r="C1839" i="3"/>
  <c r="B1839" i="3"/>
  <c r="A1839" i="3"/>
  <c r="I1838" i="3"/>
  <c r="H1838" i="3"/>
  <c r="G1838" i="3"/>
  <c r="F1838" i="3"/>
  <c r="C1838" i="3"/>
  <c r="B1838" i="3"/>
  <c r="A1838" i="3"/>
  <c r="I1837" i="3"/>
  <c r="H1837" i="3"/>
  <c r="G1837" i="3"/>
  <c r="F1837" i="3"/>
  <c r="C1837" i="3"/>
  <c r="B1837" i="3"/>
  <c r="A1837" i="3"/>
  <c r="I1836" i="3"/>
  <c r="H1836" i="3"/>
  <c r="G1836" i="3"/>
  <c r="F1836" i="3"/>
  <c r="C1836" i="3"/>
  <c r="B1836" i="3"/>
  <c r="A1836" i="3"/>
  <c r="I1835" i="3"/>
  <c r="H1835" i="3"/>
  <c r="G1835" i="3"/>
  <c r="F1835" i="3"/>
  <c r="C1835" i="3"/>
  <c r="B1835" i="3"/>
  <c r="A1835" i="3"/>
  <c r="I1834" i="3"/>
  <c r="H1834" i="3"/>
  <c r="G1834" i="3"/>
  <c r="F1834" i="3"/>
  <c r="C1834" i="3"/>
  <c r="B1834" i="3"/>
  <c r="A1834" i="3"/>
  <c r="I1833" i="3"/>
  <c r="H1833" i="3"/>
  <c r="G1833" i="3"/>
  <c r="F1833" i="3"/>
  <c r="C1833" i="3"/>
  <c r="B1833" i="3"/>
  <c r="A1833" i="3"/>
  <c r="I1832" i="3"/>
  <c r="H1832" i="3"/>
  <c r="G1832" i="3"/>
  <c r="F1832" i="3"/>
  <c r="C1832" i="3"/>
  <c r="B1832" i="3"/>
  <c r="A1832" i="3"/>
  <c r="I1831" i="3"/>
  <c r="H1831" i="3"/>
  <c r="G1831" i="3"/>
  <c r="F1831" i="3"/>
  <c r="C1831" i="3"/>
  <c r="B1831" i="3"/>
  <c r="A1831" i="3"/>
  <c r="I1830" i="3"/>
  <c r="H1830" i="3"/>
  <c r="G1830" i="3"/>
  <c r="F1830" i="3"/>
  <c r="C1830" i="3"/>
  <c r="B1830" i="3"/>
  <c r="A1830" i="3"/>
  <c r="I1829" i="3"/>
  <c r="H1829" i="3"/>
  <c r="G1829" i="3"/>
  <c r="F1829" i="3"/>
  <c r="C1829" i="3"/>
  <c r="B1829" i="3"/>
  <c r="A1829" i="3"/>
  <c r="I1828" i="3"/>
  <c r="H1828" i="3"/>
  <c r="G1828" i="3"/>
  <c r="F1828" i="3"/>
  <c r="C1828" i="3"/>
  <c r="B1828" i="3"/>
  <c r="A1828" i="3"/>
  <c r="I1827" i="3"/>
  <c r="H1827" i="3"/>
  <c r="G1827" i="3"/>
  <c r="F1827" i="3"/>
  <c r="C1827" i="3"/>
  <c r="B1827" i="3"/>
  <c r="A1827" i="3"/>
  <c r="I1826" i="3"/>
  <c r="H1826" i="3"/>
  <c r="G1826" i="3"/>
  <c r="F1826" i="3"/>
  <c r="C1826" i="3"/>
  <c r="B1826" i="3"/>
  <c r="A1826" i="3"/>
  <c r="I1825" i="3"/>
  <c r="H1825" i="3"/>
  <c r="G1825" i="3"/>
  <c r="F1825" i="3"/>
  <c r="C1825" i="3"/>
  <c r="B1825" i="3"/>
  <c r="A1825" i="3"/>
  <c r="I1824" i="3"/>
  <c r="H1824" i="3"/>
  <c r="G1824" i="3"/>
  <c r="F1824" i="3"/>
  <c r="C1824" i="3"/>
  <c r="B1824" i="3"/>
  <c r="A1824" i="3"/>
  <c r="I1823" i="3"/>
  <c r="H1823" i="3"/>
  <c r="G1823" i="3"/>
  <c r="F1823" i="3"/>
  <c r="C1823" i="3"/>
  <c r="B1823" i="3"/>
  <c r="A1823" i="3"/>
  <c r="I1822" i="3"/>
  <c r="H1822" i="3"/>
  <c r="G1822" i="3"/>
  <c r="F1822" i="3"/>
  <c r="C1822" i="3"/>
  <c r="B1822" i="3"/>
  <c r="A1822" i="3"/>
  <c r="I1821" i="3"/>
  <c r="H1821" i="3"/>
  <c r="G1821" i="3"/>
  <c r="F1821" i="3"/>
  <c r="C1821" i="3"/>
  <c r="B1821" i="3"/>
  <c r="A1821" i="3"/>
  <c r="I1820" i="3"/>
  <c r="H1820" i="3"/>
  <c r="G1820" i="3"/>
  <c r="F1820" i="3"/>
  <c r="C1820" i="3"/>
  <c r="B1820" i="3"/>
  <c r="A1820" i="3"/>
  <c r="I1819" i="3"/>
  <c r="H1819" i="3"/>
  <c r="G1819" i="3"/>
  <c r="F1819" i="3"/>
  <c r="C1819" i="3"/>
  <c r="B1819" i="3"/>
  <c r="A1819" i="3"/>
  <c r="I1818" i="3"/>
  <c r="H1818" i="3"/>
  <c r="G1818" i="3"/>
  <c r="F1818" i="3"/>
  <c r="C1818" i="3"/>
  <c r="B1818" i="3"/>
  <c r="A1818" i="3"/>
  <c r="T1817" i="3"/>
  <c r="S1817" i="3"/>
  <c r="R1817" i="3"/>
  <c r="Q1817" i="3"/>
  <c r="P1817" i="3"/>
  <c r="O1817" i="3"/>
  <c r="M1817" i="3"/>
  <c r="L1817" i="3"/>
  <c r="K1817" i="3"/>
  <c r="I1817" i="3"/>
  <c r="H1817" i="3"/>
  <c r="G1817" i="3"/>
  <c r="F1817" i="3"/>
  <c r="C1817" i="3"/>
  <c r="B1817" i="3"/>
  <c r="A1817" i="3"/>
  <c r="I1816" i="3"/>
  <c r="H1816" i="3"/>
  <c r="G1816" i="3"/>
  <c r="F1816" i="3"/>
  <c r="C1816" i="3"/>
  <c r="B1816" i="3"/>
  <c r="A1816" i="3"/>
  <c r="I1815" i="3"/>
  <c r="H1815" i="3"/>
  <c r="G1815" i="3"/>
  <c r="F1815" i="3"/>
  <c r="C1815" i="3"/>
  <c r="B1815" i="3"/>
  <c r="A1815" i="3"/>
  <c r="I1814" i="3"/>
  <c r="H1814" i="3"/>
  <c r="G1814" i="3"/>
  <c r="F1814" i="3"/>
  <c r="C1814" i="3"/>
  <c r="B1814" i="3"/>
  <c r="A1814" i="3"/>
  <c r="I1813" i="3"/>
  <c r="H1813" i="3"/>
  <c r="G1813" i="3"/>
  <c r="F1813" i="3"/>
  <c r="C1813" i="3"/>
  <c r="B1813" i="3"/>
  <c r="A1813" i="3"/>
  <c r="I1812" i="3"/>
  <c r="H1812" i="3"/>
  <c r="G1812" i="3"/>
  <c r="F1812" i="3"/>
  <c r="C1812" i="3"/>
  <c r="B1812" i="3"/>
  <c r="A1812" i="3"/>
  <c r="I1811" i="3"/>
  <c r="H1811" i="3"/>
  <c r="G1811" i="3"/>
  <c r="F1811" i="3"/>
  <c r="C1811" i="3"/>
  <c r="B1811" i="3"/>
  <c r="A1811" i="3"/>
  <c r="I1810" i="3"/>
  <c r="H1810" i="3"/>
  <c r="G1810" i="3"/>
  <c r="F1810" i="3"/>
  <c r="C1810" i="3"/>
  <c r="B1810" i="3"/>
  <c r="A1810" i="3"/>
  <c r="I1809" i="3"/>
  <c r="H1809" i="3"/>
  <c r="G1809" i="3"/>
  <c r="F1809" i="3"/>
  <c r="C1809" i="3"/>
  <c r="B1809" i="3"/>
  <c r="A1809" i="3"/>
  <c r="I1808" i="3"/>
  <c r="H1808" i="3"/>
  <c r="G1808" i="3"/>
  <c r="F1808" i="3"/>
  <c r="C1808" i="3"/>
  <c r="B1808" i="3"/>
  <c r="A1808" i="3"/>
  <c r="I1807" i="3"/>
  <c r="H1807" i="3"/>
  <c r="G1807" i="3"/>
  <c r="F1807" i="3"/>
  <c r="C1807" i="3"/>
  <c r="B1807" i="3"/>
  <c r="A1807" i="3"/>
  <c r="I1806" i="3"/>
  <c r="H1806" i="3"/>
  <c r="G1806" i="3"/>
  <c r="F1806" i="3"/>
  <c r="C1806" i="3"/>
  <c r="B1806" i="3"/>
  <c r="A1806" i="3"/>
  <c r="I1805" i="3"/>
  <c r="H1805" i="3"/>
  <c r="G1805" i="3"/>
  <c r="F1805" i="3"/>
  <c r="C1805" i="3"/>
  <c r="B1805" i="3"/>
  <c r="A1805" i="3"/>
  <c r="I1804" i="3"/>
  <c r="H1804" i="3"/>
  <c r="G1804" i="3"/>
  <c r="F1804" i="3"/>
  <c r="C1804" i="3"/>
  <c r="B1804" i="3"/>
  <c r="A1804" i="3"/>
  <c r="I1803" i="3"/>
  <c r="H1803" i="3"/>
  <c r="G1803" i="3"/>
  <c r="F1803" i="3"/>
  <c r="C1803" i="3"/>
  <c r="B1803" i="3"/>
  <c r="A1803" i="3"/>
  <c r="I1802" i="3"/>
  <c r="H1802" i="3"/>
  <c r="G1802" i="3"/>
  <c r="F1802" i="3"/>
  <c r="C1802" i="3"/>
  <c r="B1802" i="3"/>
  <c r="A1802" i="3"/>
  <c r="I1801" i="3"/>
  <c r="H1801" i="3"/>
  <c r="G1801" i="3"/>
  <c r="F1801" i="3"/>
  <c r="C1801" i="3"/>
  <c r="B1801" i="3"/>
  <c r="A1801" i="3"/>
  <c r="I1800" i="3"/>
  <c r="H1800" i="3"/>
  <c r="G1800" i="3"/>
  <c r="F1800" i="3"/>
  <c r="C1800" i="3"/>
  <c r="B1800" i="3"/>
  <c r="A1800" i="3"/>
  <c r="I1799" i="3"/>
  <c r="H1799" i="3"/>
  <c r="G1799" i="3"/>
  <c r="F1799" i="3"/>
  <c r="C1799" i="3"/>
  <c r="B1799" i="3"/>
  <c r="A1799" i="3"/>
  <c r="I1798" i="3"/>
  <c r="H1798" i="3"/>
  <c r="G1798" i="3"/>
  <c r="F1798" i="3"/>
  <c r="C1798" i="3"/>
  <c r="B1798" i="3"/>
  <c r="A1798" i="3"/>
  <c r="I1797" i="3"/>
  <c r="H1797" i="3"/>
  <c r="G1797" i="3"/>
  <c r="F1797" i="3"/>
  <c r="C1797" i="3"/>
  <c r="B1797" i="3"/>
  <c r="A1797" i="3"/>
  <c r="I1796" i="3"/>
  <c r="H1796" i="3"/>
  <c r="G1796" i="3"/>
  <c r="F1796" i="3"/>
  <c r="C1796" i="3"/>
  <c r="B1796" i="3"/>
  <c r="A1796" i="3"/>
  <c r="I1795" i="3"/>
  <c r="H1795" i="3"/>
  <c r="G1795" i="3"/>
  <c r="F1795" i="3"/>
  <c r="C1795" i="3"/>
  <c r="B1795" i="3"/>
  <c r="A1795" i="3"/>
  <c r="I1794" i="3"/>
  <c r="H1794" i="3"/>
  <c r="G1794" i="3"/>
  <c r="F1794" i="3"/>
  <c r="C1794" i="3"/>
  <c r="B1794" i="3"/>
  <c r="A1794" i="3"/>
  <c r="I1793" i="3"/>
  <c r="H1793" i="3"/>
  <c r="G1793" i="3"/>
  <c r="F1793" i="3"/>
  <c r="C1793" i="3"/>
  <c r="B1793" i="3"/>
  <c r="A1793" i="3"/>
  <c r="I1792" i="3"/>
  <c r="H1792" i="3"/>
  <c r="G1792" i="3"/>
  <c r="F1792" i="3"/>
  <c r="C1792" i="3"/>
  <c r="B1792" i="3"/>
  <c r="A1792" i="3"/>
  <c r="I1791" i="3"/>
  <c r="H1791" i="3"/>
  <c r="G1791" i="3"/>
  <c r="F1791" i="3"/>
  <c r="C1791" i="3"/>
  <c r="B1791" i="3"/>
  <c r="A1791" i="3"/>
  <c r="I1790" i="3"/>
  <c r="H1790" i="3"/>
  <c r="G1790" i="3"/>
  <c r="F1790" i="3"/>
  <c r="C1790" i="3"/>
  <c r="B1790" i="3"/>
  <c r="A1790" i="3"/>
  <c r="I1789" i="3"/>
  <c r="H1789" i="3"/>
  <c r="G1789" i="3"/>
  <c r="F1789" i="3"/>
  <c r="C1789" i="3"/>
  <c r="B1789" i="3"/>
  <c r="A1789" i="3"/>
  <c r="I1788" i="3"/>
  <c r="H1788" i="3"/>
  <c r="G1788" i="3"/>
  <c r="F1788" i="3"/>
  <c r="C1788" i="3"/>
  <c r="B1788" i="3"/>
  <c r="A1788" i="3"/>
  <c r="I1787" i="3"/>
  <c r="H1787" i="3"/>
  <c r="G1787" i="3"/>
  <c r="F1787" i="3"/>
  <c r="C1787" i="3"/>
  <c r="B1787" i="3"/>
  <c r="A1787" i="3"/>
  <c r="I1786" i="3"/>
  <c r="H1786" i="3"/>
  <c r="G1786" i="3"/>
  <c r="F1786" i="3"/>
  <c r="C1786" i="3"/>
  <c r="B1786" i="3"/>
  <c r="A1786" i="3"/>
  <c r="I1785" i="3"/>
  <c r="H1785" i="3"/>
  <c r="G1785" i="3"/>
  <c r="F1785" i="3"/>
  <c r="C1785" i="3"/>
  <c r="B1785" i="3"/>
  <c r="A1785" i="3"/>
  <c r="I1784" i="3"/>
  <c r="H1784" i="3"/>
  <c r="G1784" i="3"/>
  <c r="F1784" i="3"/>
  <c r="C1784" i="3"/>
  <c r="B1784" i="3"/>
  <c r="A1784" i="3"/>
  <c r="I1783" i="3"/>
  <c r="H1783" i="3"/>
  <c r="G1783" i="3"/>
  <c r="F1783" i="3"/>
  <c r="C1783" i="3"/>
  <c r="B1783" i="3"/>
  <c r="A1783" i="3"/>
  <c r="I1782" i="3"/>
  <c r="H1782" i="3"/>
  <c r="G1782" i="3"/>
  <c r="F1782" i="3"/>
  <c r="C1782" i="3"/>
  <c r="B1782" i="3"/>
  <c r="A1782" i="3"/>
  <c r="I1781" i="3"/>
  <c r="H1781" i="3"/>
  <c r="G1781" i="3"/>
  <c r="F1781" i="3"/>
  <c r="C1781" i="3"/>
  <c r="B1781" i="3"/>
  <c r="A1781" i="3"/>
  <c r="I1780" i="3"/>
  <c r="H1780" i="3"/>
  <c r="G1780" i="3"/>
  <c r="F1780" i="3"/>
  <c r="C1780" i="3"/>
  <c r="B1780" i="3"/>
  <c r="A1780" i="3"/>
  <c r="I1779" i="3"/>
  <c r="H1779" i="3"/>
  <c r="G1779" i="3"/>
  <c r="F1779" i="3"/>
  <c r="C1779" i="3"/>
  <c r="B1779" i="3"/>
  <c r="A1779" i="3"/>
  <c r="I1778" i="3"/>
  <c r="H1778" i="3"/>
  <c r="G1778" i="3"/>
  <c r="F1778" i="3"/>
  <c r="C1778" i="3"/>
  <c r="B1778" i="3"/>
  <c r="A1778" i="3"/>
  <c r="I1777" i="3"/>
  <c r="H1777" i="3"/>
  <c r="G1777" i="3"/>
  <c r="F1777" i="3"/>
  <c r="C1777" i="3"/>
  <c r="B1777" i="3"/>
  <c r="A1777" i="3"/>
  <c r="I1776" i="3"/>
  <c r="H1776" i="3"/>
  <c r="G1776" i="3"/>
  <c r="F1776" i="3"/>
  <c r="C1776" i="3"/>
  <c r="B1776" i="3"/>
  <c r="A1776" i="3"/>
  <c r="I1775" i="3"/>
  <c r="H1775" i="3"/>
  <c r="G1775" i="3"/>
  <c r="F1775" i="3"/>
  <c r="C1775" i="3"/>
  <c r="B1775" i="3"/>
  <c r="A1775" i="3"/>
  <c r="I1774" i="3"/>
  <c r="H1774" i="3"/>
  <c r="G1774" i="3"/>
  <c r="F1774" i="3"/>
  <c r="C1774" i="3"/>
  <c r="B1774" i="3"/>
  <c r="A1774" i="3"/>
  <c r="I1773" i="3"/>
  <c r="H1773" i="3"/>
  <c r="G1773" i="3"/>
  <c r="F1773" i="3"/>
  <c r="C1773" i="3"/>
  <c r="B1773" i="3"/>
  <c r="A1773" i="3"/>
  <c r="I1772" i="3"/>
  <c r="H1772" i="3"/>
  <c r="G1772" i="3"/>
  <c r="F1772" i="3"/>
  <c r="C1772" i="3"/>
  <c r="B1772" i="3"/>
  <c r="A1772" i="3"/>
  <c r="I1771" i="3"/>
  <c r="H1771" i="3"/>
  <c r="G1771" i="3"/>
  <c r="F1771" i="3"/>
  <c r="C1771" i="3"/>
  <c r="B1771" i="3"/>
  <c r="A1771" i="3"/>
  <c r="I1770" i="3"/>
  <c r="H1770" i="3"/>
  <c r="G1770" i="3"/>
  <c r="F1770" i="3"/>
  <c r="C1770" i="3"/>
  <c r="B1770" i="3"/>
  <c r="A1770" i="3"/>
  <c r="I1769" i="3"/>
  <c r="H1769" i="3"/>
  <c r="G1769" i="3"/>
  <c r="F1769" i="3"/>
  <c r="C1769" i="3"/>
  <c r="B1769" i="3"/>
  <c r="A1769" i="3"/>
  <c r="I1768" i="3"/>
  <c r="H1768" i="3"/>
  <c r="G1768" i="3"/>
  <c r="F1768" i="3"/>
  <c r="C1768" i="3"/>
  <c r="B1768" i="3"/>
  <c r="A1768" i="3"/>
  <c r="I1767" i="3"/>
  <c r="H1767" i="3"/>
  <c r="G1767" i="3"/>
  <c r="F1767" i="3"/>
  <c r="C1767" i="3"/>
  <c r="B1767" i="3"/>
  <c r="A1767" i="3"/>
  <c r="I1766" i="3"/>
  <c r="H1766" i="3"/>
  <c r="G1766" i="3"/>
  <c r="F1766" i="3"/>
  <c r="C1766" i="3"/>
  <c r="B1766" i="3"/>
  <c r="A1766" i="3"/>
  <c r="I1765" i="3"/>
  <c r="H1765" i="3"/>
  <c r="G1765" i="3"/>
  <c r="F1765" i="3"/>
  <c r="C1765" i="3"/>
  <c r="B1765" i="3"/>
  <c r="A1765" i="3"/>
  <c r="I1764" i="3"/>
  <c r="H1764" i="3"/>
  <c r="G1764" i="3"/>
  <c r="F1764" i="3"/>
  <c r="C1764" i="3"/>
  <c r="B1764" i="3"/>
  <c r="A1764" i="3"/>
  <c r="I1763" i="3"/>
  <c r="H1763" i="3"/>
  <c r="G1763" i="3"/>
  <c r="F1763" i="3"/>
  <c r="C1763" i="3"/>
  <c r="B1763" i="3"/>
  <c r="A1763" i="3"/>
  <c r="I1762" i="3"/>
  <c r="H1762" i="3"/>
  <c r="G1762" i="3"/>
  <c r="F1762" i="3"/>
  <c r="C1762" i="3"/>
  <c r="B1762" i="3"/>
  <c r="A1762" i="3"/>
  <c r="I1761" i="3"/>
  <c r="H1761" i="3"/>
  <c r="G1761" i="3"/>
  <c r="F1761" i="3"/>
  <c r="C1761" i="3"/>
  <c r="B1761" i="3"/>
  <c r="A1761" i="3"/>
  <c r="I1760" i="3"/>
  <c r="H1760" i="3"/>
  <c r="G1760" i="3"/>
  <c r="F1760" i="3"/>
  <c r="C1760" i="3"/>
  <c r="B1760" i="3"/>
  <c r="A1760" i="3"/>
  <c r="I1759" i="3"/>
  <c r="H1759" i="3"/>
  <c r="G1759" i="3"/>
  <c r="F1759" i="3"/>
  <c r="C1759" i="3"/>
  <c r="B1759" i="3"/>
  <c r="A1759" i="3"/>
  <c r="I1758" i="3"/>
  <c r="H1758" i="3"/>
  <c r="G1758" i="3"/>
  <c r="F1758" i="3"/>
  <c r="C1758" i="3"/>
  <c r="B1758" i="3"/>
  <c r="A1758" i="3"/>
  <c r="I1757" i="3"/>
  <c r="H1757" i="3"/>
  <c r="G1757" i="3"/>
  <c r="F1757" i="3"/>
  <c r="C1757" i="3"/>
  <c r="B1757" i="3"/>
  <c r="A1757" i="3"/>
  <c r="I1756" i="3"/>
  <c r="H1756" i="3"/>
  <c r="G1756" i="3"/>
  <c r="F1756" i="3"/>
  <c r="C1756" i="3"/>
  <c r="B1756" i="3"/>
  <c r="A1756" i="3"/>
  <c r="I1755" i="3"/>
  <c r="H1755" i="3"/>
  <c r="G1755" i="3"/>
  <c r="F1755" i="3"/>
  <c r="C1755" i="3"/>
  <c r="B1755" i="3"/>
  <c r="A1755" i="3"/>
  <c r="I1754" i="3"/>
  <c r="H1754" i="3"/>
  <c r="G1754" i="3"/>
  <c r="F1754" i="3"/>
  <c r="C1754" i="3"/>
  <c r="B1754" i="3"/>
  <c r="A1754" i="3"/>
  <c r="I1753" i="3"/>
  <c r="H1753" i="3"/>
  <c r="G1753" i="3"/>
  <c r="F1753" i="3"/>
  <c r="C1753" i="3"/>
  <c r="B1753" i="3"/>
  <c r="A1753" i="3"/>
  <c r="I1752" i="3"/>
  <c r="H1752" i="3"/>
  <c r="G1752" i="3"/>
  <c r="F1752" i="3"/>
  <c r="C1752" i="3"/>
  <c r="B1752" i="3"/>
  <c r="A1752" i="3"/>
  <c r="I1751" i="3"/>
  <c r="H1751" i="3"/>
  <c r="G1751" i="3"/>
  <c r="F1751" i="3"/>
  <c r="C1751" i="3"/>
  <c r="B1751" i="3"/>
  <c r="A1751" i="3"/>
  <c r="I1750" i="3"/>
  <c r="H1750" i="3"/>
  <c r="G1750" i="3"/>
  <c r="F1750" i="3"/>
  <c r="C1750" i="3"/>
  <c r="B1750" i="3"/>
  <c r="A1750" i="3"/>
  <c r="I1749" i="3"/>
  <c r="H1749" i="3"/>
  <c r="G1749" i="3"/>
  <c r="F1749" i="3"/>
  <c r="C1749" i="3"/>
  <c r="B1749" i="3"/>
  <c r="A1749" i="3"/>
  <c r="I1748" i="3"/>
  <c r="H1748" i="3"/>
  <c r="G1748" i="3"/>
  <c r="F1748" i="3"/>
  <c r="C1748" i="3"/>
  <c r="B1748" i="3"/>
  <c r="A1748" i="3"/>
  <c r="I1747" i="3"/>
  <c r="H1747" i="3"/>
  <c r="G1747" i="3"/>
  <c r="F1747" i="3"/>
  <c r="C1747" i="3"/>
  <c r="B1747" i="3"/>
  <c r="A1747" i="3"/>
  <c r="I1746" i="3"/>
  <c r="H1746" i="3"/>
  <c r="G1746" i="3"/>
  <c r="F1746" i="3"/>
  <c r="C1746" i="3"/>
  <c r="B1746" i="3"/>
  <c r="A1746" i="3"/>
  <c r="I1745" i="3"/>
  <c r="H1745" i="3"/>
  <c r="G1745" i="3"/>
  <c r="F1745" i="3"/>
  <c r="C1745" i="3"/>
  <c r="B1745" i="3"/>
  <c r="A1745" i="3"/>
  <c r="I1744" i="3"/>
  <c r="H1744" i="3"/>
  <c r="G1744" i="3"/>
  <c r="F1744" i="3"/>
  <c r="C1744" i="3"/>
  <c r="B1744" i="3"/>
  <c r="A1744" i="3"/>
  <c r="I1743" i="3"/>
  <c r="H1743" i="3"/>
  <c r="G1743" i="3"/>
  <c r="F1743" i="3"/>
  <c r="C1743" i="3"/>
  <c r="B1743" i="3"/>
  <c r="A1743" i="3"/>
  <c r="I1742" i="3"/>
  <c r="H1742" i="3"/>
  <c r="G1742" i="3"/>
  <c r="F1742" i="3"/>
  <c r="C1742" i="3"/>
  <c r="B1742" i="3"/>
  <c r="A1742" i="3"/>
  <c r="I1741" i="3"/>
  <c r="H1741" i="3"/>
  <c r="G1741" i="3"/>
  <c r="F1741" i="3"/>
  <c r="C1741" i="3"/>
  <c r="B1741" i="3"/>
  <c r="A1741" i="3"/>
  <c r="I1740" i="3"/>
  <c r="H1740" i="3"/>
  <c r="G1740" i="3"/>
  <c r="F1740" i="3"/>
  <c r="C1740" i="3"/>
  <c r="B1740" i="3"/>
  <c r="A1740" i="3"/>
  <c r="I1739" i="3"/>
  <c r="H1739" i="3"/>
  <c r="G1739" i="3"/>
  <c r="F1739" i="3"/>
  <c r="C1739" i="3"/>
  <c r="B1739" i="3"/>
  <c r="A1739" i="3"/>
  <c r="I1738" i="3"/>
  <c r="H1738" i="3"/>
  <c r="G1738" i="3"/>
  <c r="F1738" i="3"/>
  <c r="C1738" i="3"/>
  <c r="B1738" i="3"/>
  <c r="A1738" i="3"/>
  <c r="I1737" i="3"/>
  <c r="H1737" i="3"/>
  <c r="G1737" i="3"/>
  <c r="F1737" i="3"/>
  <c r="C1737" i="3"/>
  <c r="B1737" i="3"/>
  <c r="A1737" i="3"/>
  <c r="I1736" i="3"/>
  <c r="H1736" i="3"/>
  <c r="G1736" i="3"/>
  <c r="F1736" i="3"/>
  <c r="C1736" i="3"/>
  <c r="B1736" i="3"/>
  <c r="A1736" i="3"/>
  <c r="I1735" i="3"/>
  <c r="H1735" i="3"/>
  <c r="G1735" i="3"/>
  <c r="F1735" i="3"/>
  <c r="C1735" i="3"/>
  <c r="B1735" i="3"/>
  <c r="A1735" i="3"/>
  <c r="I1734" i="3"/>
  <c r="H1734" i="3"/>
  <c r="G1734" i="3"/>
  <c r="F1734" i="3"/>
  <c r="C1734" i="3"/>
  <c r="B1734" i="3"/>
  <c r="A1734" i="3"/>
  <c r="I1733" i="3"/>
  <c r="H1733" i="3"/>
  <c r="G1733" i="3"/>
  <c r="F1733" i="3"/>
  <c r="C1733" i="3"/>
  <c r="B1733" i="3"/>
  <c r="A1733" i="3"/>
  <c r="I1732" i="3"/>
  <c r="H1732" i="3"/>
  <c r="G1732" i="3"/>
  <c r="F1732" i="3"/>
  <c r="C1732" i="3"/>
  <c r="B1732" i="3"/>
  <c r="A1732" i="3"/>
  <c r="I1731" i="3"/>
  <c r="H1731" i="3"/>
  <c r="G1731" i="3"/>
  <c r="F1731" i="3"/>
  <c r="C1731" i="3"/>
  <c r="B1731" i="3"/>
  <c r="A1731" i="3"/>
  <c r="I1730" i="3"/>
  <c r="H1730" i="3"/>
  <c r="G1730" i="3"/>
  <c r="F1730" i="3"/>
  <c r="C1730" i="3"/>
  <c r="B1730" i="3"/>
  <c r="A1730" i="3"/>
  <c r="I1729" i="3"/>
  <c r="H1729" i="3"/>
  <c r="G1729" i="3"/>
  <c r="F1729" i="3"/>
  <c r="C1729" i="3"/>
  <c r="B1729" i="3"/>
  <c r="A1729" i="3"/>
  <c r="I1728" i="3"/>
  <c r="H1728" i="3"/>
  <c r="G1728" i="3"/>
  <c r="F1728" i="3"/>
  <c r="C1728" i="3"/>
  <c r="B1728" i="3"/>
  <c r="A1728" i="3"/>
  <c r="I1727" i="3"/>
  <c r="H1727" i="3"/>
  <c r="G1727" i="3"/>
  <c r="F1727" i="3"/>
  <c r="C1727" i="3"/>
  <c r="B1727" i="3"/>
  <c r="A1727" i="3"/>
  <c r="I1726" i="3"/>
  <c r="H1726" i="3"/>
  <c r="G1726" i="3"/>
  <c r="F1726" i="3"/>
  <c r="C1726" i="3"/>
  <c r="B1726" i="3"/>
  <c r="A1726" i="3"/>
  <c r="I1725" i="3"/>
  <c r="H1725" i="3"/>
  <c r="G1725" i="3"/>
  <c r="F1725" i="3"/>
  <c r="C1725" i="3"/>
  <c r="B1725" i="3"/>
  <c r="A1725" i="3"/>
  <c r="I1724" i="3"/>
  <c r="H1724" i="3"/>
  <c r="G1724" i="3"/>
  <c r="F1724" i="3"/>
  <c r="C1724" i="3"/>
  <c r="B1724" i="3"/>
  <c r="A1724" i="3"/>
  <c r="I1723" i="3"/>
  <c r="H1723" i="3"/>
  <c r="G1723" i="3"/>
  <c r="F1723" i="3"/>
  <c r="C1723" i="3"/>
  <c r="B1723" i="3"/>
  <c r="A1723" i="3"/>
  <c r="I1722" i="3"/>
  <c r="H1722" i="3"/>
  <c r="G1722" i="3"/>
  <c r="F1722" i="3"/>
  <c r="C1722" i="3"/>
  <c r="B1722" i="3"/>
  <c r="A1722" i="3"/>
  <c r="I1721" i="3"/>
  <c r="H1721" i="3"/>
  <c r="G1721" i="3"/>
  <c r="F1721" i="3"/>
  <c r="C1721" i="3"/>
  <c r="B1721" i="3"/>
  <c r="A1721" i="3"/>
  <c r="I1720" i="3"/>
  <c r="H1720" i="3"/>
  <c r="G1720" i="3"/>
  <c r="F1720" i="3"/>
  <c r="C1720" i="3"/>
  <c r="B1720" i="3"/>
  <c r="A1720" i="3"/>
  <c r="I1719" i="3"/>
  <c r="H1719" i="3"/>
  <c r="G1719" i="3"/>
  <c r="F1719" i="3"/>
  <c r="C1719" i="3"/>
  <c r="B1719" i="3"/>
  <c r="A1719" i="3"/>
  <c r="I1718" i="3"/>
  <c r="H1718" i="3"/>
  <c r="G1718" i="3"/>
  <c r="F1718" i="3"/>
  <c r="C1718" i="3"/>
  <c r="B1718" i="3"/>
  <c r="A1718" i="3"/>
  <c r="I1717" i="3"/>
  <c r="H1717" i="3"/>
  <c r="G1717" i="3"/>
  <c r="F1717" i="3"/>
  <c r="C1717" i="3"/>
  <c r="B1717" i="3"/>
  <c r="A1717" i="3"/>
  <c r="I1716" i="3"/>
  <c r="H1716" i="3"/>
  <c r="G1716" i="3"/>
  <c r="F1716" i="3"/>
  <c r="C1716" i="3"/>
  <c r="B1716" i="3"/>
  <c r="A1716" i="3"/>
  <c r="I1715" i="3"/>
  <c r="H1715" i="3"/>
  <c r="G1715" i="3"/>
  <c r="F1715" i="3"/>
  <c r="C1715" i="3"/>
  <c r="B1715" i="3"/>
  <c r="A1715" i="3"/>
  <c r="I1714" i="3"/>
  <c r="H1714" i="3"/>
  <c r="G1714" i="3"/>
  <c r="F1714" i="3"/>
  <c r="C1714" i="3"/>
  <c r="B1714" i="3"/>
  <c r="A1714" i="3"/>
  <c r="I1713" i="3"/>
  <c r="H1713" i="3"/>
  <c r="G1713" i="3"/>
  <c r="F1713" i="3"/>
  <c r="C1713" i="3"/>
  <c r="B1713" i="3"/>
  <c r="A1713" i="3"/>
  <c r="I1712" i="3"/>
  <c r="H1712" i="3"/>
  <c r="G1712" i="3"/>
  <c r="F1712" i="3"/>
  <c r="C1712" i="3"/>
  <c r="B1712" i="3"/>
  <c r="A1712" i="3"/>
  <c r="I1711" i="3"/>
  <c r="H1711" i="3"/>
  <c r="G1711" i="3"/>
  <c r="F1711" i="3"/>
  <c r="C1711" i="3"/>
  <c r="B1711" i="3"/>
  <c r="A1711" i="3"/>
  <c r="I1710" i="3"/>
  <c r="H1710" i="3"/>
  <c r="G1710" i="3"/>
  <c r="F1710" i="3"/>
  <c r="C1710" i="3"/>
  <c r="B1710" i="3"/>
  <c r="A1710" i="3"/>
  <c r="I1709" i="3"/>
  <c r="H1709" i="3"/>
  <c r="G1709" i="3"/>
  <c r="F1709" i="3"/>
  <c r="C1709" i="3"/>
  <c r="B1709" i="3"/>
  <c r="A1709" i="3"/>
  <c r="I1708" i="3"/>
  <c r="H1708" i="3"/>
  <c r="G1708" i="3"/>
  <c r="F1708" i="3"/>
  <c r="C1708" i="3"/>
  <c r="B1708" i="3"/>
  <c r="A1708" i="3"/>
  <c r="I1707" i="3"/>
  <c r="H1707" i="3"/>
  <c r="G1707" i="3"/>
  <c r="F1707" i="3"/>
  <c r="C1707" i="3"/>
  <c r="B1707" i="3"/>
  <c r="A1707" i="3"/>
  <c r="I1706" i="3"/>
  <c r="H1706" i="3"/>
  <c r="G1706" i="3"/>
  <c r="F1706" i="3"/>
  <c r="C1706" i="3"/>
  <c r="B1706" i="3"/>
  <c r="A1706" i="3"/>
  <c r="I1705" i="3"/>
  <c r="H1705" i="3"/>
  <c r="G1705" i="3"/>
  <c r="F1705" i="3"/>
  <c r="C1705" i="3"/>
  <c r="B1705" i="3"/>
  <c r="A1705" i="3"/>
  <c r="I1704" i="3"/>
  <c r="H1704" i="3"/>
  <c r="G1704" i="3"/>
  <c r="F1704" i="3"/>
  <c r="C1704" i="3"/>
  <c r="B1704" i="3"/>
  <c r="A1704" i="3"/>
  <c r="I1703" i="3"/>
  <c r="H1703" i="3"/>
  <c r="G1703" i="3"/>
  <c r="F1703" i="3"/>
  <c r="C1703" i="3"/>
  <c r="B1703" i="3"/>
  <c r="A1703" i="3"/>
  <c r="I1702" i="3"/>
  <c r="H1702" i="3"/>
  <c r="G1702" i="3"/>
  <c r="F1702" i="3"/>
  <c r="C1702" i="3"/>
  <c r="B1702" i="3"/>
  <c r="A1702" i="3"/>
  <c r="I1701" i="3"/>
  <c r="H1701" i="3"/>
  <c r="G1701" i="3"/>
  <c r="F1701" i="3"/>
  <c r="C1701" i="3"/>
  <c r="B1701" i="3"/>
  <c r="A1701" i="3"/>
  <c r="I1700" i="3"/>
  <c r="H1700" i="3"/>
  <c r="G1700" i="3"/>
  <c r="F1700" i="3"/>
  <c r="C1700" i="3"/>
  <c r="B1700" i="3"/>
  <c r="A1700" i="3"/>
  <c r="I1699" i="3"/>
  <c r="H1699" i="3"/>
  <c r="G1699" i="3"/>
  <c r="F1699" i="3"/>
  <c r="C1699" i="3"/>
  <c r="B1699" i="3"/>
  <c r="A1699" i="3"/>
  <c r="I1698" i="3"/>
  <c r="H1698" i="3"/>
  <c r="G1698" i="3"/>
  <c r="F1698" i="3"/>
  <c r="C1698" i="3"/>
  <c r="B1698" i="3"/>
  <c r="A1698" i="3"/>
  <c r="I1697" i="3"/>
  <c r="H1697" i="3"/>
  <c r="G1697" i="3"/>
  <c r="F1697" i="3"/>
  <c r="C1697" i="3"/>
  <c r="B1697" i="3"/>
  <c r="A1697" i="3"/>
  <c r="I1696" i="3"/>
  <c r="H1696" i="3"/>
  <c r="G1696" i="3"/>
  <c r="F1696" i="3"/>
  <c r="C1696" i="3"/>
  <c r="B1696" i="3"/>
  <c r="A1696" i="3"/>
  <c r="I1695" i="3"/>
  <c r="H1695" i="3"/>
  <c r="G1695" i="3"/>
  <c r="F1695" i="3"/>
  <c r="C1695" i="3"/>
  <c r="B1695" i="3"/>
  <c r="A1695" i="3"/>
  <c r="I1694" i="3"/>
  <c r="H1694" i="3"/>
  <c r="G1694" i="3"/>
  <c r="F1694" i="3"/>
  <c r="C1694" i="3"/>
  <c r="B1694" i="3"/>
  <c r="A1694" i="3"/>
  <c r="I1693" i="3"/>
  <c r="H1693" i="3"/>
  <c r="G1693" i="3"/>
  <c r="F1693" i="3"/>
  <c r="C1693" i="3"/>
  <c r="B1693" i="3"/>
  <c r="A1693" i="3"/>
  <c r="I1692" i="3"/>
  <c r="H1692" i="3"/>
  <c r="G1692" i="3"/>
  <c r="F1692" i="3"/>
  <c r="C1692" i="3"/>
  <c r="B1692" i="3"/>
  <c r="A1692" i="3"/>
  <c r="I1691" i="3"/>
  <c r="H1691" i="3"/>
  <c r="G1691" i="3"/>
  <c r="F1691" i="3"/>
  <c r="C1691" i="3"/>
  <c r="B1691" i="3"/>
  <c r="A1691" i="3"/>
  <c r="I1690" i="3"/>
  <c r="H1690" i="3"/>
  <c r="G1690" i="3"/>
  <c r="F1690" i="3"/>
  <c r="C1690" i="3"/>
  <c r="B1690" i="3"/>
  <c r="A1690" i="3"/>
  <c r="I1689" i="3"/>
  <c r="H1689" i="3"/>
  <c r="G1689" i="3"/>
  <c r="F1689" i="3"/>
  <c r="C1689" i="3"/>
  <c r="B1689" i="3"/>
  <c r="A1689" i="3"/>
  <c r="I1688" i="3"/>
  <c r="H1688" i="3"/>
  <c r="G1688" i="3"/>
  <c r="F1688" i="3"/>
  <c r="C1688" i="3"/>
  <c r="B1688" i="3"/>
  <c r="A1688" i="3"/>
  <c r="I1687" i="3"/>
  <c r="H1687" i="3"/>
  <c r="G1687" i="3"/>
  <c r="F1687" i="3"/>
  <c r="C1687" i="3"/>
  <c r="B1687" i="3"/>
  <c r="A1687" i="3"/>
  <c r="I1686" i="3"/>
  <c r="H1686" i="3"/>
  <c r="G1686" i="3"/>
  <c r="F1686" i="3"/>
  <c r="C1686" i="3"/>
  <c r="B1686" i="3"/>
  <c r="A1686" i="3"/>
  <c r="I1685" i="3"/>
  <c r="H1685" i="3"/>
  <c r="G1685" i="3"/>
  <c r="F1685" i="3"/>
  <c r="C1685" i="3"/>
  <c r="B1685" i="3"/>
  <c r="A1685" i="3"/>
  <c r="I1684" i="3"/>
  <c r="H1684" i="3"/>
  <c r="G1684" i="3"/>
  <c r="F1684" i="3"/>
  <c r="C1684" i="3"/>
  <c r="B1684" i="3"/>
  <c r="A1684" i="3"/>
  <c r="I1683" i="3"/>
  <c r="H1683" i="3"/>
  <c r="G1683" i="3"/>
  <c r="F1683" i="3"/>
  <c r="C1683" i="3"/>
  <c r="B1683" i="3"/>
  <c r="A1683" i="3"/>
  <c r="I1682" i="3"/>
  <c r="H1682" i="3"/>
  <c r="G1682" i="3"/>
  <c r="F1682" i="3"/>
  <c r="C1682" i="3"/>
  <c r="B1682" i="3"/>
  <c r="A1682" i="3"/>
  <c r="I1681" i="3"/>
  <c r="H1681" i="3"/>
  <c r="G1681" i="3"/>
  <c r="F1681" i="3"/>
  <c r="C1681" i="3"/>
  <c r="B1681" i="3"/>
  <c r="A1681" i="3"/>
  <c r="I1680" i="3"/>
  <c r="H1680" i="3"/>
  <c r="G1680" i="3"/>
  <c r="F1680" i="3"/>
  <c r="C1680" i="3"/>
  <c r="B1680" i="3"/>
  <c r="A1680" i="3"/>
  <c r="I1679" i="3"/>
  <c r="H1679" i="3"/>
  <c r="G1679" i="3"/>
  <c r="F1679" i="3"/>
  <c r="C1679" i="3"/>
  <c r="B1679" i="3"/>
  <c r="A1679" i="3"/>
  <c r="I1678" i="3"/>
  <c r="H1678" i="3"/>
  <c r="G1678" i="3"/>
  <c r="F1678" i="3"/>
  <c r="C1678" i="3"/>
  <c r="B1678" i="3"/>
  <c r="A1678" i="3"/>
  <c r="I1677" i="3"/>
  <c r="H1677" i="3"/>
  <c r="G1677" i="3"/>
  <c r="F1677" i="3"/>
  <c r="C1677" i="3"/>
  <c r="B1677" i="3"/>
  <c r="A1677" i="3"/>
  <c r="I1676" i="3"/>
  <c r="H1676" i="3"/>
  <c r="G1676" i="3"/>
  <c r="F1676" i="3"/>
  <c r="C1676" i="3"/>
  <c r="B1676" i="3"/>
  <c r="A1676" i="3"/>
  <c r="I1675" i="3"/>
  <c r="H1675" i="3"/>
  <c r="G1675" i="3"/>
  <c r="F1675" i="3"/>
  <c r="C1675" i="3"/>
  <c r="B1675" i="3"/>
  <c r="A1675" i="3"/>
  <c r="I1674" i="3"/>
  <c r="H1674" i="3"/>
  <c r="G1674" i="3"/>
  <c r="F1674" i="3"/>
  <c r="C1674" i="3"/>
  <c r="B1674" i="3"/>
  <c r="A1674" i="3"/>
  <c r="I1673" i="3"/>
  <c r="H1673" i="3"/>
  <c r="G1673" i="3"/>
  <c r="F1673" i="3"/>
  <c r="C1673" i="3"/>
  <c r="B1673" i="3"/>
  <c r="A1673" i="3"/>
  <c r="I1672" i="3"/>
  <c r="H1672" i="3"/>
  <c r="G1672" i="3"/>
  <c r="F1672" i="3"/>
  <c r="C1672" i="3"/>
  <c r="B1672" i="3"/>
  <c r="A1672" i="3"/>
  <c r="I1671" i="3"/>
  <c r="H1671" i="3"/>
  <c r="G1671" i="3"/>
  <c r="F1671" i="3"/>
  <c r="C1671" i="3"/>
  <c r="B1671" i="3"/>
  <c r="A1671" i="3"/>
  <c r="I1670" i="3"/>
  <c r="H1670" i="3"/>
  <c r="G1670" i="3"/>
  <c r="F1670" i="3"/>
  <c r="C1670" i="3"/>
  <c r="B1670" i="3"/>
  <c r="A1670" i="3"/>
  <c r="I1669" i="3"/>
  <c r="H1669" i="3"/>
  <c r="G1669" i="3"/>
  <c r="F1669" i="3"/>
  <c r="C1669" i="3"/>
  <c r="B1669" i="3"/>
  <c r="A1669" i="3"/>
  <c r="I1668" i="3"/>
  <c r="H1668" i="3"/>
  <c r="G1668" i="3"/>
  <c r="F1668" i="3"/>
  <c r="C1668" i="3"/>
  <c r="B1668" i="3"/>
  <c r="A1668" i="3"/>
  <c r="I1667" i="3"/>
  <c r="H1667" i="3"/>
  <c r="G1667" i="3"/>
  <c r="F1667" i="3"/>
  <c r="C1667" i="3"/>
  <c r="B1667" i="3"/>
  <c r="A1667" i="3"/>
  <c r="I1666" i="3"/>
  <c r="H1666" i="3"/>
  <c r="G1666" i="3"/>
  <c r="F1666" i="3"/>
  <c r="C1666" i="3"/>
  <c r="B1666" i="3"/>
  <c r="A1666" i="3"/>
  <c r="I1665" i="3"/>
  <c r="H1665" i="3"/>
  <c r="G1665" i="3"/>
  <c r="F1665" i="3"/>
  <c r="C1665" i="3"/>
  <c r="B1665" i="3"/>
  <c r="A1665" i="3"/>
  <c r="I1664" i="3"/>
  <c r="H1664" i="3"/>
  <c r="G1664" i="3"/>
  <c r="F1664" i="3"/>
  <c r="C1664" i="3"/>
  <c r="B1664" i="3"/>
  <c r="A1664" i="3"/>
  <c r="I1663" i="3"/>
  <c r="H1663" i="3"/>
  <c r="G1663" i="3"/>
  <c r="F1663" i="3"/>
  <c r="C1663" i="3"/>
  <c r="B1663" i="3"/>
  <c r="A1663" i="3"/>
  <c r="I1662" i="3"/>
  <c r="H1662" i="3"/>
  <c r="G1662" i="3"/>
  <c r="F1662" i="3"/>
  <c r="C1662" i="3"/>
  <c r="B1662" i="3"/>
  <c r="A1662" i="3"/>
  <c r="I1661" i="3"/>
  <c r="H1661" i="3"/>
  <c r="G1661" i="3"/>
  <c r="F1661" i="3"/>
  <c r="C1661" i="3"/>
  <c r="B1661" i="3"/>
  <c r="A1661" i="3"/>
  <c r="I1660" i="3"/>
  <c r="H1660" i="3"/>
  <c r="G1660" i="3"/>
  <c r="F1660" i="3"/>
  <c r="C1660" i="3"/>
  <c r="B1660" i="3"/>
  <c r="A1660" i="3"/>
  <c r="I1659" i="3"/>
  <c r="H1659" i="3"/>
  <c r="G1659" i="3"/>
  <c r="F1659" i="3"/>
  <c r="C1659" i="3"/>
  <c r="B1659" i="3"/>
  <c r="A1659" i="3"/>
  <c r="I1658" i="3"/>
  <c r="H1658" i="3"/>
  <c r="G1658" i="3"/>
  <c r="F1658" i="3"/>
  <c r="C1658" i="3"/>
  <c r="B1658" i="3"/>
  <c r="A1658" i="3"/>
  <c r="I1657" i="3"/>
  <c r="H1657" i="3"/>
  <c r="G1657" i="3"/>
  <c r="F1657" i="3"/>
  <c r="C1657" i="3"/>
  <c r="B1657" i="3"/>
  <c r="A1657" i="3"/>
  <c r="I1656" i="3"/>
  <c r="H1656" i="3"/>
  <c r="G1656" i="3"/>
  <c r="F1656" i="3"/>
  <c r="C1656" i="3"/>
  <c r="B1656" i="3"/>
  <c r="A1656" i="3"/>
  <c r="I1655" i="3"/>
  <c r="H1655" i="3"/>
  <c r="G1655" i="3"/>
  <c r="F1655" i="3"/>
  <c r="C1655" i="3"/>
  <c r="B1655" i="3"/>
  <c r="A1655" i="3"/>
  <c r="I1654" i="3"/>
  <c r="H1654" i="3"/>
  <c r="G1654" i="3"/>
  <c r="F1654" i="3"/>
  <c r="C1654" i="3"/>
  <c r="B1654" i="3"/>
  <c r="A1654" i="3"/>
  <c r="I1653" i="3"/>
  <c r="H1653" i="3"/>
  <c r="G1653" i="3"/>
  <c r="F1653" i="3"/>
  <c r="C1653" i="3"/>
  <c r="B1653" i="3"/>
  <c r="A1653" i="3"/>
  <c r="I1652" i="3"/>
  <c r="H1652" i="3"/>
  <c r="G1652" i="3"/>
  <c r="F1652" i="3"/>
  <c r="C1652" i="3"/>
  <c r="B1652" i="3"/>
  <c r="A1652" i="3"/>
  <c r="I1651" i="3"/>
  <c r="H1651" i="3"/>
  <c r="G1651" i="3"/>
  <c r="F1651" i="3"/>
  <c r="C1651" i="3"/>
  <c r="B1651" i="3"/>
  <c r="A1651" i="3"/>
  <c r="I1650" i="3"/>
  <c r="H1650" i="3"/>
  <c r="G1650" i="3"/>
  <c r="F1650" i="3"/>
  <c r="C1650" i="3"/>
  <c r="B1650" i="3"/>
  <c r="A1650" i="3"/>
  <c r="I1649" i="3"/>
  <c r="H1649" i="3"/>
  <c r="G1649" i="3"/>
  <c r="F1649" i="3"/>
  <c r="C1649" i="3"/>
  <c r="B1649" i="3"/>
  <c r="A1649" i="3"/>
  <c r="I1648" i="3"/>
  <c r="H1648" i="3"/>
  <c r="G1648" i="3"/>
  <c r="F1648" i="3"/>
  <c r="C1648" i="3"/>
  <c r="B1648" i="3"/>
  <c r="A1648" i="3"/>
  <c r="I1647" i="3"/>
  <c r="H1647" i="3"/>
  <c r="G1647" i="3"/>
  <c r="F1647" i="3"/>
  <c r="C1647" i="3"/>
  <c r="B1647" i="3"/>
  <c r="A1647" i="3"/>
  <c r="I1646" i="3"/>
  <c r="H1646" i="3"/>
  <c r="G1646" i="3"/>
  <c r="F1646" i="3"/>
  <c r="C1646" i="3"/>
  <c r="B1646" i="3"/>
  <c r="A1646" i="3"/>
  <c r="I1645" i="3"/>
  <c r="H1645" i="3"/>
  <c r="G1645" i="3"/>
  <c r="F1645" i="3"/>
  <c r="C1645" i="3"/>
  <c r="B1645" i="3"/>
  <c r="A1645" i="3"/>
  <c r="I1644" i="3"/>
  <c r="H1644" i="3"/>
  <c r="G1644" i="3"/>
  <c r="F1644" i="3"/>
  <c r="C1644" i="3"/>
  <c r="B1644" i="3"/>
  <c r="A1644" i="3"/>
  <c r="I1643" i="3"/>
  <c r="H1643" i="3"/>
  <c r="G1643" i="3"/>
  <c r="F1643" i="3"/>
  <c r="C1643" i="3"/>
  <c r="B1643" i="3"/>
  <c r="A1643" i="3"/>
  <c r="I1642" i="3"/>
  <c r="H1642" i="3"/>
  <c r="G1642" i="3"/>
  <c r="F1642" i="3"/>
  <c r="C1642" i="3"/>
  <c r="B1642" i="3"/>
  <c r="A1642" i="3"/>
  <c r="I1641" i="3"/>
  <c r="H1641" i="3"/>
  <c r="G1641" i="3"/>
  <c r="F1641" i="3"/>
  <c r="C1641" i="3"/>
  <c r="B1641" i="3"/>
  <c r="A1641" i="3"/>
  <c r="I1640" i="3"/>
  <c r="H1640" i="3"/>
  <c r="G1640" i="3"/>
  <c r="F1640" i="3"/>
  <c r="C1640" i="3"/>
  <c r="B1640" i="3"/>
  <c r="A1640" i="3"/>
  <c r="I1639" i="3"/>
  <c r="H1639" i="3"/>
  <c r="G1639" i="3"/>
  <c r="F1639" i="3"/>
  <c r="C1639" i="3"/>
  <c r="B1639" i="3"/>
  <c r="A1639" i="3"/>
  <c r="I1638" i="3"/>
  <c r="H1638" i="3"/>
  <c r="G1638" i="3"/>
  <c r="F1638" i="3"/>
  <c r="C1638" i="3"/>
  <c r="B1638" i="3"/>
  <c r="A1638" i="3"/>
  <c r="I1637" i="3"/>
  <c r="H1637" i="3"/>
  <c r="G1637" i="3"/>
  <c r="F1637" i="3"/>
  <c r="C1637" i="3"/>
  <c r="B1637" i="3"/>
  <c r="A1637" i="3"/>
  <c r="I1636" i="3"/>
  <c r="H1636" i="3"/>
  <c r="G1636" i="3"/>
  <c r="F1636" i="3"/>
  <c r="C1636" i="3"/>
  <c r="B1636" i="3"/>
  <c r="A1636" i="3"/>
  <c r="I1635" i="3"/>
  <c r="H1635" i="3"/>
  <c r="G1635" i="3"/>
  <c r="F1635" i="3"/>
  <c r="C1635" i="3"/>
  <c r="B1635" i="3"/>
  <c r="A1635" i="3"/>
  <c r="I1634" i="3"/>
  <c r="H1634" i="3"/>
  <c r="G1634" i="3"/>
  <c r="F1634" i="3"/>
  <c r="C1634" i="3"/>
  <c r="B1634" i="3"/>
  <c r="A1634" i="3"/>
  <c r="I1633" i="3"/>
  <c r="H1633" i="3"/>
  <c r="G1633" i="3"/>
  <c r="F1633" i="3"/>
  <c r="C1633" i="3"/>
  <c r="B1633" i="3"/>
  <c r="A1633" i="3"/>
  <c r="I1632" i="3"/>
  <c r="H1632" i="3"/>
  <c r="G1632" i="3"/>
  <c r="F1632" i="3"/>
  <c r="C1632" i="3"/>
  <c r="B1632" i="3"/>
  <c r="A1632" i="3"/>
  <c r="I1631" i="3"/>
  <c r="H1631" i="3"/>
  <c r="G1631" i="3"/>
  <c r="F1631" i="3"/>
  <c r="C1631" i="3"/>
  <c r="B1631" i="3"/>
  <c r="A1631" i="3"/>
  <c r="I1630" i="3"/>
  <c r="H1630" i="3"/>
  <c r="G1630" i="3"/>
  <c r="F1630" i="3"/>
  <c r="C1630" i="3"/>
  <c r="B1630" i="3"/>
  <c r="A1630" i="3"/>
  <c r="I1629" i="3"/>
  <c r="H1629" i="3"/>
  <c r="G1629" i="3"/>
  <c r="F1629" i="3"/>
  <c r="C1629" i="3"/>
  <c r="B1629" i="3"/>
  <c r="A1629" i="3"/>
  <c r="I1628" i="3"/>
  <c r="H1628" i="3"/>
  <c r="G1628" i="3"/>
  <c r="F1628" i="3"/>
  <c r="C1628" i="3"/>
  <c r="B1628" i="3"/>
  <c r="A1628" i="3"/>
  <c r="I1627" i="3"/>
  <c r="H1627" i="3"/>
  <c r="G1627" i="3"/>
  <c r="F1627" i="3"/>
  <c r="C1627" i="3"/>
  <c r="B1627" i="3"/>
  <c r="A1627" i="3"/>
  <c r="I1626" i="3"/>
  <c r="H1626" i="3"/>
  <c r="G1626" i="3"/>
  <c r="F1626" i="3"/>
  <c r="C1626" i="3"/>
  <c r="B1626" i="3"/>
  <c r="A1626" i="3"/>
  <c r="I1625" i="3"/>
  <c r="H1625" i="3"/>
  <c r="G1625" i="3"/>
  <c r="F1625" i="3"/>
  <c r="C1625" i="3"/>
  <c r="B1625" i="3"/>
  <c r="A1625" i="3"/>
  <c r="I1624" i="3"/>
  <c r="H1624" i="3"/>
  <c r="G1624" i="3"/>
  <c r="F1624" i="3"/>
  <c r="C1624" i="3"/>
  <c r="B1624" i="3"/>
  <c r="A1624" i="3"/>
  <c r="I1623" i="3"/>
  <c r="H1623" i="3"/>
  <c r="G1623" i="3"/>
  <c r="F1623" i="3"/>
  <c r="C1623" i="3"/>
  <c r="B1623" i="3"/>
  <c r="A1623" i="3"/>
  <c r="I1622" i="3"/>
  <c r="H1622" i="3"/>
  <c r="G1622" i="3"/>
  <c r="F1622" i="3"/>
  <c r="C1622" i="3"/>
  <c r="B1622" i="3"/>
  <c r="A1622" i="3"/>
  <c r="I1621" i="3"/>
  <c r="H1621" i="3"/>
  <c r="G1621" i="3"/>
  <c r="F1621" i="3"/>
  <c r="C1621" i="3"/>
  <c r="B1621" i="3"/>
  <c r="A1621" i="3"/>
  <c r="I1620" i="3"/>
  <c r="H1620" i="3"/>
  <c r="G1620" i="3"/>
  <c r="F1620" i="3"/>
  <c r="C1620" i="3"/>
  <c r="B1620" i="3"/>
  <c r="A1620" i="3"/>
  <c r="I1619" i="3"/>
  <c r="H1619" i="3"/>
  <c r="G1619" i="3"/>
  <c r="F1619" i="3"/>
  <c r="C1619" i="3"/>
  <c r="B1619" i="3"/>
  <c r="A1619" i="3"/>
  <c r="I1618" i="3"/>
  <c r="H1618" i="3"/>
  <c r="G1618" i="3"/>
  <c r="F1618" i="3"/>
  <c r="C1618" i="3"/>
  <c r="B1618" i="3"/>
  <c r="A1618" i="3"/>
  <c r="I1617" i="3"/>
  <c r="H1617" i="3"/>
  <c r="G1617" i="3"/>
  <c r="F1617" i="3"/>
  <c r="C1617" i="3"/>
  <c r="B1617" i="3"/>
  <c r="A1617" i="3"/>
  <c r="I1616" i="3"/>
  <c r="H1616" i="3"/>
  <c r="G1616" i="3"/>
  <c r="F1616" i="3"/>
  <c r="C1616" i="3"/>
  <c r="B1616" i="3"/>
  <c r="A1616" i="3"/>
  <c r="I1615" i="3"/>
  <c r="H1615" i="3"/>
  <c r="G1615" i="3"/>
  <c r="F1615" i="3"/>
  <c r="C1615" i="3"/>
  <c r="B1615" i="3"/>
  <c r="A1615" i="3"/>
  <c r="I1614" i="3"/>
  <c r="H1614" i="3"/>
  <c r="G1614" i="3"/>
  <c r="F1614" i="3"/>
  <c r="C1614" i="3"/>
  <c r="B1614" i="3"/>
  <c r="A1614" i="3"/>
  <c r="I1613" i="3"/>
  <c r="H1613" i="3"/>
  <c r="G1613" i="3"/>
  <c r="F1613" i="3"/>
  <c r="C1613" i="3"/>
  <c r="B1613" i="3"/>
  <c r="A1613" i="3"/>
  <c r="I1612" i="3"/>
  <c r="H1612" i="3"/>
  <c r="G1612" i="3"/>
  <c r="F1612" i="3"/>
  <c r="C1612" i="3"/>
  <c r="B1612" i="3"/>
  <c r="A1612" i="3"/>
  <c r="I1611" i="3"/>
  <c r="H1611" i="3"/>
  <c r="G1611" i="3"/>
  <c r="F1611" i="3"/>
  <c r="C1611" i="3"/>
  <c r="B1611" i="3"/>
  <c r="A1611" i="3"/>
  <c r="I1610" i="3"/>
  <c r="H1610" i="3"/>
  <c r="G1610" i="3"/>
  <c r="F1610" i="3"/>
  <c r="C1610" i="3"/>
  <c r="B1610" i="3"/>
  <c r="A1610" i="3"/>
  <c r="I1609" i="3"/>
  <c r="H1609" i="3"/>
  <c r="G1609" i="3"/>
  <c r="F1609" i="3"/>
  <c r="C1609" i="3"/>
  <c r="B1609" i="3"/>
  <c r="A1609" i="3"/>
  <c r="I1608" i="3"/>
  <c r="H1608" i="3"/>
  <c r="G1608" i="3"/>
  <c r="F1608" i="3"/>
  <c r="C1608" i="3"/>
  <c r="B1608" i="3"/>
  <c r="A1608" i="3"/>
  <c r="I1607" i="3"/>
  <c r="H1607" i="3"/>
  <c r="G1607" i="3"/>
  <c r="F1607" i="3"/>
  <c r="C1607" i="3"/>
  <c r="B1607" i="3"/>
  <c r="A1607" i="3"/>
  <c r="I1606" i="3"/>
  <c r="H1606" i="3"/>
  <c r="G1606" i="3"/>
  <c r="F1606" i="3"/>
  <c r="C1606" i="3"/>
  <c r="B1606" i="3"/>
  <c r="A1606" i="3"/>
  <c r="I1605" i="3"/>
  <c r="H1605" i="3"/>
  <c r="G1605" i="3"/>
  <c r="F1605" i="3"/>
  <c r="C1605" i="3"/>
  <c r="B1605" i="3"/>
  <c r="A1605" i="3"/>
  <c r="I1604" i="3"/>
  <c r="H1604" i="3"/>
  <c r="G1604" i="3"/>
  <c r="F1604" i="3"/>
  <c r="C1604" i="3"/>
  <c r="B1604" i="3"/>
  <c r="A1604" i="3"/>
  <c r="I1603" i="3"/>
  <c r="H1603" i="3"/>
  <c r="G1603" i="3"/>
  <c r="F1603" i="3"/>
  <c r="C1603" i="3"/>
  <c r="B1603" i="3"/>
  <c r="A1603" i="3"/>
  <c r="I1602" i="3"/>
  <c r="H1602" i="3"/>
  <c r="G1602" i="3"/>
  <c r="F1602" i="3"/>
  <c r="C1602" i="3"/>
  <c r="B1602" i="3"/>
  <c r="A1602" i="3"/>
  <c r="I1601" i="3"/>
  <c r="H1601" i="3"/>
  <c r="G1601" i="3"/>
  <c r="F1601" i="3"/>
  <c r="C1601" i="3"/>
  <c r="B1601" i="3"/>
  <c r="A1601" i="3"/>
  <c r="I1600" i="3"/>
  <c r="H1600" i="3"/>
  <c r="G1600" i="3"/>
  <c r="F1600" i="3"/>
  <c r="C1600" i="3"/>
  <c r="B1600" i="3"/>
  <c r="A1600" i="3"/>
  <c r="I1599" i="3"/>
  <c r="H1599" i="3"/>
  <c r="G1599" i="3"/>
  <c r="F1599" i="3"/>
  <c r="C1599" i="3"/>
  <c r="B1599" i="3"/>
  <c r="A1599" i="3"/>
  <c r="I1598" i="3"/>
  <c r="H1598" i="3"/>
  <c r="G1598" i="3"/>
  <c r="F1598" i="3"/>
  <c r="C1598" i="3"/>
  <c r="B1598" i="3"/>
  <c r="A1598" i="3"/>
  <c r="I1597" i="3"/>
  <c r="H1597" i="3"/>
  <c r="G1597" i="3"/>
  <c r="F1597" i="3"/>
  <c r="C1597" i="3"/>
  <c r="B1597" i="3"/>
  <c r="A1597" i="3"/>
  <c r="I1596" i="3"/>
  <c r="H1596" i="3"/>
  <c r="G1596" i="3"/>
  <c r="F1596" i="3"/>
  <c r="C1596" i="3"/>
  <c r="B1596" i="3"/>
  <c r="A1596" i="3"/>
  <c r="I1595" i="3"/>
  <c r="H1595" i="3"/>
  <c r="G1595" i="3"/>
  <c r="F1595" i="3"/>
  <c r="C1595" i="3"/>
  <c r="B1595" i="3"/>
  <c r="A1595" i="3"/>
  <c r="I1594" i="3"/>
  <c r="H1594" i="3"/>
  <c r="G1594" i="3"/>
  <c r="F1594" i="3"/>
  <c r="C1594" i="3"/>
  <c r="B1594" i="3"/>
  <c r="A1594" i="3"/>
  <c r="I1593" i="3"/>
  <c r="H1593" i="3"/>
  <c r="G1593" i="3"/>
  <c r="F1593" i="3"/>
  <c r="C1593" i="3"/>
  <c r="B1593" i="3"/>
  <c r="A1593" i="3"/>
  <c r="I1592" i="3"/>
  <c r="H1592" i="3"/>
  <c r="G1592" i="3"/>
  <c r="F1592" i="3"/>
  <c r="C1592" i="3"/>
  <c r="B1592" i="3"/>
  <c r="A1592" i="3"/>
  <c r="I1591" i="3"/>
  <c r="H1591" i="3"/>
  <c r="G1591" i="3"/>
  <c r="F1591" i="3"/>
  <c r="C1591" i="3"/>
  <c r="B1591" i="3"/>
  <c r="A1591" i="3"/>
  <c r="I1590" i="3"/>
  <c r="H1590" i="3"/>
  <c r="G1590" i="3"/>
  <c r="F1590" i="3"/>
  <c r="C1590" i="3"/>
  <c r="B1590" i="3"/>
  <c r="A1590" i="3"/>
  <c r="I1589" i="3"/>
  <c r="H1589" i="3"/>
  <c r="G1589" i="3"/>
  <c r="F1589" i="3"/>
  <c r="C1589" i="3"/>
  <c r="B1589" i="3"/>
  <c r="A1589" i="3"/>
  <c r="I1588" i="3"/>
  <c r="H1588" i="3"/>
  <c r="G1588" i="3"/>
  <c r="F1588" i="3"/>
  <c r="C1588" i="3"/>
  <c r="B1588" i="3"/>
  <c r="A1588" i="3"/>
  <c r="I1587" i="3"/>
  <c r="H1587" i="3"/>
  <c r="G1587" i="3"/>
  <c r="F1587" i="3"/>
  <c r="C1587" i="3"/>
  <c r="B1587" i="3"/>
  <c r="A1587" i="3"/>
  <c r="I1586" i="3"/>
  <c r="H1586" i="3"/>
  <c r="G1586" i="3"/>
  <c r="F1586" i="3"/>
  <c r="C1586" i="3"/>
  <c r="B1586" i="3"/>
  <c r="A1586" i="3"/>
  <c r="I1585" i="3"/>
  <c r="H1585" i="3"/>
  <c r="G1585" i="3"/>
  <c r="F1585" i="3"/>
  <c r="C1585" i="3"/>
  <c r="B1585" i="3"/>
  <c r="A1585" i="3"/>
  <c r="I1584" i="3"/>
  <c r="H1584" i="3"/>
  <c r="G1584" i="3"/>
  <c r="F1584" i="3"/>
  <c r="C1584" i="3"/>
  <c r="B1584" i="3"/>
  <c r="A1584" i="3"/>
  <c r="I1583" i="3"/>
  <c r="H1583" i="3"/>
  <c r="G1583" i="3"/>
  <c r="F1583" i="3"/>
  <c r="C1583" i="3"/>
  <c r="B1583" i="3"/>
  <c r="A1583" i="3"/>
  <c r="I1582" i="3"/>
  <c r="H1582" i="3"/>
  <c r="G1582" i="3"/>
  <c r="F1582" i="3"/>
  <c r="C1582" i="3"/>
  <c r="B1582" i="3"/>
  <c r="A1582" i="3"/>
  <c r="I1581" i="3"/>
  <c r="H1581" i="3"/>
  <c r="G1581" i="3"/>
  <c r="F1581" i="3"/>
  <c r="C1581" i="3"/>
  <c r="B1581" i="3"/>
  <c r="A1581" i="3"/>
  <c r="I1580" i="3"/>
  <c r="H1580" i="3"/>
  <c r="G1580" i="3"/>
  <c r="F1580" i="3"/>
  <c r="C1580" i="3"/>
  <c r="B1580" i="3"/>
  <c r="A1580" i="3"/>
  <c r="I1579" i="3"/>
  <c r="H1579" i="3"/>
  <c r="G1579" i="3"/>
  <c r="F1579" i="3"/>
  <c r="C1579" i="3"/>
  <c r="B1579" i="3"/>
  <c r="A1579" i="3"/>
  <c r="I1578" i="3"/>
  <c r="H1578" i="3"/>
  <c r="G1578" i="3"/>
  <c r="F1578" i="3"/>
  <c r="C1578" i="3"/>
  <c r="B1578" i="3"/>
  <c r="A1578" i="3"/>
  <c r="I1577" i="3"/>
  <c r="H1577" i="3"/>
  <c r="G1577" i="3"/>
  <c r="F1577" i="3"/>
  <c r="C1577" i="3"/>
  <c r="B1577" i="3"/>
  <c r="A1577" i="3"/>
  <c r="I1576" i="3"/>
  <c r="H1576" i="3"/>
  <c r="G1576" i="3"/>
  <c r="F1576" i="3"/>
  <c r="C1576" i="3"/>
  <c r="B1576" i="3"/>
  <c r="A1576" i="3"/>
  <c r="I1575" i="3"/>
  <c r="H1575" i="3"/>
  <c r="G1575" i="3"/>
  <c r="F1575" i="3"/>
  <c r="C1575" i="3"/>
  <c r="B1575" i="3"/>
  <c r="A1575" i="3"/>
  <c r="I1574" i="3"/>
  <c r="H1574" i="3"/>
  <c r="G1574" i="3"/>
  <c r="F1574" i="3"/>
  <c r="C1574" i="3"/>
  <c r="B1574" i="3"/>
  <c r="A1574" i="3"/>
  <c r="I1573" i="3"/>
  <c r="H1573" i="3"/>
  <c r="G1573" i="3"/>
  <c r="F1573" i="3"/>
  <c r="C1573" i="3"/>
  <c r="B1573" i="3"/>
  <c r="A1573" i="3"/>
  <c r="I1572" i="3"/>
  <c r="H1572" i="3"/>
  <c r="G1572" i="3"/>
  <c r="F1572" i="3"/>
  <c r="C1572" i="3"/>
  <c r="B1572" i="3"/>
  <c r="A1572" i="3"/>
  <c r="I1571" i="3"/>
  <c r="H1571" i="3"/>
  <c r="G1571" i="3"/>
  <c r="F1571" i="3"/>
  <c r="C1571" i="3"/>
  <c r="B1571" i="3"/>
  <c r="A1571" i="3"/>
  <c r="I1570" i="3"/>
  <c r="H1570" i="3"/>
  <c r="G1570" i="3"/>
  <c r="F1570" i="3"/>
  <c r="C1570" i="3"/>
  <c r="B1570" i="3"/>
  <c r="A1570" i="3"/>
  <c r="I1569" i="3"/>
  <c r="H1569" i="3"/>
  <c r="G1569" i="3"/>
  <c r="F1569" i="3"/>
  <c r="C1569" i="3"/>
  <c r="B1569" i="3"/>
  <c r="A1569" i="3"/>
  <c r="I1568" i="3"/>
  <c r="H1568" i="3"/>
  <c r="G1568" i="3"/>
  <c r="F1568" i="3"/>
  <c r="C1568" i="3"/>
  <c r="B1568" i="3"/>
  <c r="A1568" i="3"/>
  <c r="I1567" i="3"/>
  <c r="H1567" i="3"/>
  <c r="G1567" i="3"/>
  <c r="F1567" i="3"/>
  <c r="C1567" i="3"/>
  <c r="B1567" i="3"/>
  <c r="A1567" i="3"/>
  <c r="I1566" i="3"/>
  <c r="H1566" i="3"/>
  <c r="G1566" i="3"/>
  <c r="F1566" i="3"/>
  <c r="C1566" i="3"/>
  <c r="B1566" i="3"/>
  <c r="A1566" i="3"/>
  <c r="I1565" i="3"/>
  <c r="H1565" i="3"/>
  <c r="G1565" i="3"/>
  <c r="F1565" i="3"/>
  <c r="C1565" i="3"/>
  <c r="B1565" i="3"/>
  <c r="A1565" i="3"/>
  <c r="I1564" i="3"/>
  <c r="H1564" i="3"/>
  <c r="G1564" i="3"/>
  <c r="F1564" i="3"/>
  <c r="C1564" i="3"/>
  <c r="B1564" i="3"/>
  <c r="A1564" i="3"/>
  <c r="I1563" i="3"/>
  <c r="H1563" i="3"/>
  <c r="G1563" i="3"/>
  <c r="F1563" i="3"/>
  <c r="C1563" i="3"/>
  <c r="B1563" i="3"/>
  <c r="A1563" i="3"/>
  <c r="I1562" i="3"/>
  <c r="H1562" i="3"/>
  <c r="G1562" i="3"/>
  <c r="F1562" i="3"/>
  <c r="C1562" i="3"/>
  <c r="B1562" i="3"/>
  <c r="A1562" i="3"/>
  <c r="I1561" i="3"/>
  <c r="H1561" i="3"/>
  <c r="G1561" i="3"/>
  <c r="F1561" i="3"/>
  <c r="C1561" i="3"/>
  <c r="B1561" i="3"/>
  <c r="A1561" i="3"/>
  <c r="I1560" i="3"/>
  <c r="H1560" i="3"/>
  <c r="G1560" i="3"/>
  <c r="F1560" i="3"/>
  <c r="C1560" i="3"/>
  <c r="B1560" i="3"/>
  <c r="A1560" i="3"/>
  <c r="I1559" i="3"/>
  <c r="H1559" i="3"/>
  <c r="G1559" i="3"/>
  <c r="F1559" i="3"/>
  <c r="C1559" i="3"/>
  <c r="B1559" i="3"/>
  <c r="A1559" i="3"/>
  <c r="I1558" i="3"/>
  <c r="H1558" i="3"/>
  <c r="G1558" i="3"/>
  <c r="F1558" i="3"/>
  <c r="C1558" i="3"/>
  <c r="B1558" i="3"/>
  <c r="A1558" i="3"/>
  <c r="I1557" i="3"/>
  <c r="H1557" i="3"/>
  <c r="G1557" i="3"/>
  <c r="F1557" i="3"/>
  <c r="C1557" i="3"/>
  <c r="B1557" i="3"/>
  <c r="A1557" i="3"/>
  <c r="I1556" i="3"/>
  <c r="H1556" i="3"/>
  <c r="G1556" i="3"/>
  <c r="F1556" i="3"/>
  <c r="C1556" i="3"/>
  <c r="B1556" i="3"/>
  <c r="A1556" i="3"/>
  <c r="I1555" i="3"/>
  <c r="H1555" i="3"/>
  <c r="G1555" i="3"/>
  <c r="F1555" i="3"/>
  <c r="C1555" i="3"/>
  <c r="B1555" i="3"/>
  <c r="A1555" i="3"/>
  <c r="I1554" i="3"/>
  <c r="H1554" i="3"/>
  <c r="G1554" i="3"/>
  <c r="F1554" i="3"/>
  <c r="C1554" i="3"/>
  <c r="B1554" i="3"/>
  <c r="A1554" i="3"/>
  <c r="I1553" i="3"/>
  <c r="H1553" i="3"/>
  <c r="G1553" i="3"/>
  <c r="F1553" i="3"/>
  <c r="C1553" i="3"/>
  <c r="B1553" i="3"/>
  <c r="A1553" i="3"/>
  <c r="I1552" i="3"/>
  <c r="H1552" i="3"/>
  <c r="G1552" i="3"/>
  <c r="F1552" i="3"/>
  <c r="C1552" i="3"/>
  <c r="B1552" i="3"/>
  <c r="A1552" i="3"/>
  <c r="I1551" i="3"/>
  <c r="H1551" i="3"/>
  <c r="G1551" i="3"/>
  <c r="F1551" i="3"/>
  <c r="C1551" i="3"/>
  <c r="B1551" i="3"/>
  <c r="A1551" i="3"/>
  <c r="I1550" i="3"/>
  <c r="H1550" i="3"/>
  <c r="G1550" i="3"/>
  <c r="F1550" i="3"/>
  <c r="C1550" i="3"/>
  <c r="B1550" i="3"/>
  <c r="A1550" i="3"/>
  <c r="I1549" i="3"/>
  <c r="H1549" i="3"/>
  <c r="G1549" i="3"/>
  <c r="F1549" i="3"/>
  <c r="C1549" i="3"/>
  <c r="B1549" i="3"/>
  <c r="A1549" i="3"/>
  <c r="I1548" i="3"/>
  <c r="H1548" i="3"/>
  <c r="G1548" i="3"/>
  <c r="F1548" i="3"/>
  <c r="C1548" i="3"/>
  <c r="B1548" i="3"/>
  <c r="A1548" i="3"/>
  <c r="I1547" i="3"/>
  <c r="H1547" i="3"/>
  <c r="G1547" i="3"/>
  <c r="F1547" i="3"/>
  <c r="C1547" i="3"/>
  <c r="B1547" i="3"/>
  <c r="A1547" i="3"/>
  <c r="I1546" i="3"/>
  <c r="H1546" i="3"/>
  <c r="G1546" i="3"/>
  <c r="F1546" i="3"/>
  <c r="C1546" i="3"/>
  <c r="B1546" i="3"/>
  <c r="A1546" i="3"/>
  <c r="I1545" i="3"/>
  <c r="H1545" i="3"/>
  <c r="G1545" i="3"/>
  <c r="F1545" i="3"/>
  <c r="C1545" i="3"/>
  <c r="B1545" i="3"/>
  <c r="A1545" i="3"/>
  <c r="I1544" i="3"/>
  <c r="H1544" i="3"/>
  <c r="G1544" i="3"/>
  <c r="F1544" i="3"/>
  <c r="C1544" i="3"/>
  <c r="B1544" i="3"/>
  <c r="A1544" i="3"/>
  <c r="I1543" i="3"/>
  <c r="H1543" i="3"/>
  <c r="G1543" i="3"/>
  <c r="F1543" i="3"/>
  <c r="C1543" i="3"/>
  <c r="B1543" i="3"/>
  <c r="A1543" i="3"/>
  <c r="I1542" i="3"/>
  <c r="H1542" i="3"/>
  <c r="G1542" i="3"/>
  <c r="F1542" i="3"/>
  <c r="C1542" i="3"/>
  <c r="B1542" i="3"/>
  <c r="A1542" i="3"/>
  <c r="I1541" i="3"/>
  <c r="H1541" i="3"/>
  <c r="G1541" i="3"/>
  <c r="F1541" i="3"/>
  <c r="C1541" i="3"/>
  <c r="B1541" i="3"/>
  <c r="A1541" i="3"/>
  <c r="I1540" i="3"/>
  <c r="H1540" i="3"/>
  <c r="G1540" i="3"/>
  <c r="F1540" i="3"/>
  <c r="C1540" i="3"/>
  <c r="B1540" i="3"/>
  <c r="A1540" i="3"/>
  <c r="I1539" i="3"/>
  <c r="H1539" i="3"/>
  <c r="G1539" i="3"/>
  <c r="F1539" i="3"/>
  <c r="C1539" i="3"/>
  <c r="B1539" i="3"/>
  <c r="A1539" i="3"/>
  <c r="I1538" i="3"/>
  <c r="H1538" i="3"/>
  <c r="G1538" i="3"/>
  <c r="F1538" i="3"/>
  <c r="C1538" i="3"/>
  <c r="B1538" i="3"/>
  <c r="A1538" i="3"/>
  <c r="I1537" i="3"/>
  <c r="H1537" i="3"/>
  <c r="G1537" i="3"/>
  <c r="F1537" i="3"/>
  <c r="C1537" i="3"/>
  <c r="B1537" i="3"/>
  <c r="A1537" i="3"/>
  <c r="I1536" i="3"/>
  <c r="H1536" i="3"/>
  <c r="G1536" i="3"/>
  <c r="F1536" i="3"/>
  <c r="C1536" i="3"/>
  <c r="B1536" i="3"/>
  <c r="A1536" i="3"/>
  <c r="I1535" i="3"/>
  <c r="H1535" i="3"/>
  <c r="G1535" i="3"/>
  <c r="F1535" i="3"/>
  <c r="C1535" i="3"/>
  <c r="B1535" i="3"/>
  <c r="A1535" i="3"/>
  <c r="I1534" i="3"/>
  <c r="H1534" i="3"/>
  <c r="G1534" i="3"/>
  <c r="F1534" i="3"/>
  <c r="C1534" i="3"/>
  <c r="B1534" i="3"/>
  <c r="A1534" i="3"/>
  <c r="I1533" i="3"/>
  <c r="H1533" i="3"/>
  <c r="G1533" i="3"/>
  <c r="F1533" i="3"/>
  <c r="C1533" i="3"/>
  <c r="B1533" i="3"/>
  <c r="A1533" i="3"/>
  <c r="I1532" i="3"/>
  <c r="H1532" i="3"/>
  <c r="G1532" i="3"/>
  <c r="F1532" i="3"/>
  <c r="C1532" i="3"/>
  <c r="B1532" i="3"/>
  <c r="A1532" i="3"/>
  <c r="I1531" i="3"/>
  <c r="H1531" i="3"/>
  <c r="G1531" i="3"/>
  <c r="F1531" i="3"/>
  <c r="C1531" i="3"/>
  <c r="B1531" i="3"/>
  <c r="A1531" i="3"/>
  <c r="I1530" i="3"/>
  <c r="H1530" i="3"/>
  <c r="G1530" i="3"/>
  <c r="F1530" i="3"/>
  <c r="C1530" i="3"/>
  <c r="B1530" i="3"/>
  <c r="A1530" i="3"/>
  <c r="I1529" i="3"/>
  <c r="H1529" i="3"/>
  <c r="G1529" i="3"/>
  <c r="F1529" i="3"/>
  <c r="C1529" i="3"/>
  <c r="B1529" i="3"/>
  <c r="A1529" i="3"/>
  <c r="I1528" i="3"/>
  <c r="H1528" i="3"/>
  <c r="G1528" i="3"/>
  <c r="F1528" i="3"/>
  <c r="C1528" i="3"/>
  <c r="B1528" i="3"/>
  <c r="A1528" i="3"/>
  <c r="I1527" i="3"/>
  <c r="H1527" i="3"/>
  <c r="G1527" i="3"/>
  <c r="F1527" i="3"/>
  <c r="C1527" i="3"/>
  <c r="B1527" i="3"/>
  <c r="A1527" i="3"/>
  <c r="I1526" i="3"/>
  <c r="H1526" i="3"/>
  <c r="G1526" i="3"/>
  <c r="F1526" i="3"/>
  <c r="C1526" i="3"/>
  <c r="B1526" i="3"/>
  <c r="A1526" i="3"/>
  <c r="I1525" i="3"/>
  <c r="H1525" i="3"/>
  <c r="G1525" i="3"/>
  <c r="F1525" i="3"/>
  <c r="C1525" i="3"/>
  <c r="B1525" i="3"/>
  <c r="A1525" i="3"/>
  <c r="I1524" i="3"/>
  <c r="H1524" i="3"/>
  <c r="G1524" i="3"/>
  <c r="F1524" i="3"/>
  <c r="C1524" i="3"/>
  <c r="B1524" i="3"/>
  <c r="A1524" i="3"/>
  <c r="I1523" i="3"/>
  <c r="H1523" i="3"/>
  <c r="G1523" i="3"/>
  <c r="F1523" i="3"/>
  <c r="C1523" i="3"/>
  <c r="B1523" i="3"/>
  <c r="A1523" i="3"/>
  <c r="I1522" i="3"/>
  <c r="H1522" i="3"/>
  <c r="G1522" i="3"/>
  <c r="F1522" i="3"/>
  <c r="C1522" i="3"/>
  <c r="B1522" i="3"/>
  <c r="A1522" i="3"/>
  <c r="I1521" i="3"/>
  <c r="H1521" i="3"/>
  <c r="G1521" i="3"/>
  <c r="F1521" i="3"/>
  <c r="C1521" i="3"/>
  <c r="B1521" i="3"/>
  <c r="A1521" i="3"/>
  <c r="I1520" i="3"/>
  <c r="H1520" i="3"/>
  <c r="G1520" i="3"/>
  <c r="F1520" i="3"/>
  <c r="C1520" i="3"/>
  <c r="B1520" i="3"/>
  <c r="A1520" i="3"/>
  <c r="I1519" i="3"/>
  <c r="H1519" i="3"/>
  <c r="G1519" i="3"/>
  <c r="F1519" i="3"/>
  <c r="C1519" i="3"/>
  <c r="B1519" i="3"/>
  <c r="A1519" i="3"/>
  <c r="I1518" i="3"/>
  <c r="H1518" i="3"/>
  <c r="G1518" i="3"/>
  <c r="F1518" i="3"/>
  <c r="C1518" i="3"/>
  <c r="B1518" i="3"/>
  <c r="A1518" i="3"/>
  <c r="I1517" i="3"/>
  <c r="H1517" i="3"/>
  <c r="G1517" i="3"/>
  <c r="F1517" i="3"/>
  <c r="C1517" i="3"/>
  <c r="B1517" i="3"/>
  <c r="A1517" i="3"/>
  <c r="I1516" i="3"/>
  <c r="H1516" i="3"/>
  <c r="G1516" i="3"/>
  <c r="F1516" i="3"/>
  <c r="C1516" i="3"/>
  <c r="B1516" i="3"/>
  <c r="A1516" i="3"/>
  <c r="I1515" i="3"/>
  <c r="H1515" i="3"/>
  <c r="G1515" i="3"/>
  <c r="F1515" i="3"/>
  <c r="C1515" i="3"/>
  <c r="B1515" i="3"/>
  <c r="A1515" i="3"/>
  <c r="I1514" i="3"/>
  <c r="H1514" i="3"/>
  <c r="G1514" i="3"/>
  <c r="F1514" i="3"/>
  <c r="C1514" i="3"/>
  <c r="B1514" i="3"/>
  <c r="A1514" i="3"/>
  <c r="I1513" i="3"/>
  <c r="H1513" i="3"/>
  <c r="G1513" i="3"/>
  <c r="F1513" i="3"/>
  <c r="C1513" i="3"/>
  <c r="B1513" i="3"/>
  <c r="A1513" i="3"/>
  <c r="I1512" i="3"/>
  <c r="H1512" i="3"/>
  <c r="G1512" i="3"/>
  <c r="F1512" i="3"/>
  <c r="C1512" i="3"/>
  <c r="B1512" i="3"/>
  <c r="A1512" i="3"/>
  <c r="I1511" i="3"/>
  <c r="H1511" i="3"/>
  <c r="G1511" i="3"/>
  <c r="F1511" i="3"/>
  <c r="C1511" i="3"/>
  <c r="B1511" i="3"/>
  <c r="A1511" i="3"/>
  <c r="I1510" i="3"/>
  <c r="H1510" i="3"/>
  <c r="G1510" i="3"/>
  <c r="F1510" i="3"/>
  <c r="C1510" i="3"/>
  <c r="B1510" i="3"/>
  <c r="A1510" i="3"/>
  <c r="I1509" i="3"/>
  <c r="H1509" i="3"/>
  <c r="G1509" i="3"/>
  <c r="F1509" i="3"/>
  <c r="C1509" i="3"/>
  <c r="B1509" i="3"/>
  <c r="A1509" i="3"/>
  <c r="I1508" i="3"/>
  <c r="H1508" i="3"/>
  <c r="G1508" i="3"/>
  <c r="F1508" i="3"/>
  <c r="C1508" i="3"/>
  <c r="B1508" i="3"/>
  <c r="A1508" i="3"/>
  <c r="I1507" i="3"/>
  <c r="H1507" i="3"/>
  <c r="G1507" i="3"/>
  <c r="F1507" i="3"/>
  <c r="C1507" i="3"/>
  <c r="B1507" i="3"/>
  <c r="A1507" i="3"/>
  <c r="I1506" i="3"/>
  <c r="H1506" i="3"/>
  <c r="G1506" i="3"/>
  <c r="F1506" i="3"/>
  <c r="C1506" i="3"/>
  <c r="B1506" i="3"/>
  <c r="A1506" i="3"/>
  <c r="I1505" i="3"/>
  <c r="H1505" i="3"/>
  <c r="G1505" i="3"/>
  <c r="F1505" i="3"/>
  <c r="C1505" i="3"/>
  <c r="B1505" i="3"/>
  <c r="A1505" i="3"/>
  <c r="I1504" i="3"/>
  <c r="H1504" i="3"/>
  <c r="G1504" i="3"/>
  <c r="F1504" i="3"/>
  <c r="C1504" i="3"/>
  <c r="B1504" i="3"/>
  <c r="A1504" i="3"/>
  <c r="I1503" i="3"/>
  <c r="H1503" i="3"/>
  <c r="G1503" i="3"/>
  <c r="F1503" i="3"/>
  <c r="C1503" i="3"/>
  <c r="B1503" i="3"/>
  <c r="A1503" i="3"/>
  <c r="I1502" i="3"/>
  <c r="H1502" i="3"/>
  <c r="G1502" i="3"/>
  <c r="F1502" i="3"/>
  <c r="C1502" i="3"/>
  <c r="B1502" i="3"/>
  <c r="A1502" i="3"/>
  <c r="I1501" i="3"/>
  <c r="H1501" i="3"/>
  <c r="G1501" i="3"/>
  <c r="F1501" i="3"/>
  <c r="C1501" i="3"/>
  <c r="B1501" i="3"/>
  <c r="A1501" i="3"/>
  <c r="I1500" i="3"/>
  <c r="H1500" i="3"/>
  <c r="G1500" i="3"/>
  <c r="F1500" i="3"/>
  <c r="C1500" i="3"/>
  <c r="B1500" i="3"/>
  <c r="A1500" i="3"/>
  <c r="I1499" i="3"/>
  <c r="H1499" i="3"/>
  <c r="G1499" i="3"/>
  <c r="F1499" i="3"/>
  <c r="C1499" i="3"/>
  <c r="B1499" i="3"/>
  <c r="A1499" i="3"/>
  <c r="I1498" i="3"/>
  <c r="H1498" i="3"/>
  <c r="G1498" i="3"/>
  <c r="F1498" i="3"/>
  <c r="C1498" i="3"/>
  <c r="B1498" i="3"/>
  <c r="A1498" i="3"/>
  <c r="I1497" i="3"/>
  <c r="H1497" i="3"/>
  <c r="G1497" i="3"/>
  <c r="F1497" i="3"/>
  <c r="C1497" i="3"/>
  <c r="B1497" i="3"/>
  <c r="A1497" i="3"/>
  <c r="I1496" i="3"/>
  <c r="H1496" i="3"/>
  <c r="G1496" i="3"/>
  <c r="F1496" i="3"/>
  <c r="C1496" i="3"/>
  <c r="B1496" i="3"/>
  <c r="A1496" i="3"/>
  <c r="I1495" i="3"/>
  <c r="H1495" i="3"/>
  <c r="G1495" i="3"/>
  <c r="F1495" i="3"/>
  <c r="C1495" i="3"/>
  <c r="B1495" i="3"/>
  <c r="A1495" i="3"/>
  <c r="I1494" i="3"/>
  <c r="H1494" i="3"/>
  <c r="G1494" i="3"/>
  <c r="F1494" i="3"/>
  <c r="C1494" i="3"/>
  <c r="B1494" i="3"/>
  <c r="A1494" i="3"/>
  <c r="I1493" i="3"/>
  <c r="H1493" i="3"/>
  <c r="G1493" i="3"/>
  <c r="F1493" i="3"/>
  <c r="C1493" i="3"/>
  <c r="B1493" i="3"/>
  <c r="A1493" i="3"/>
  <c r="I1492" i="3"/>
  <c r="H1492" i="3"/>
  <c r="G1492" i="3"/>
  <c r="F1492" i="3"/>
  <c r="C1492" i="3"/>
  <c r="B1492" i="3"/>
  <c r="A1492" i="3"/>
  <c r="I1491" i="3"/>
  <c r="H1491" i="3"/>
  <c r="G1491" i="3"/>
  <c r="F1491" i="3"/>
  <c r="C1491" i="3"/>
  <c r="B1491" i="3"/>
  <c r="A1491" i="3"/>
  <c r="I1490" i="3"/>
  <c r="H1490" i="3"/>
  <c r="G1490" i="3"/>
  <c r="F1490" i="3"/>
  <c r="C1490" i="3"/>
  <c r="B1490" i="3"/>
  <c r="A1490" i="3"/>
  <c r="I1489" i="3"/>
  <c r="H1489" i="3"/>
  <c r="G1489" i="3"/>
  <c r="F1489" i="3"/>
  <c r="C1489" i="3"/>
  <c r="B1489" i="3"/>
  <c r="A1489" i="3"/>
  <c r="I1488" i="3"/>
  <c r="H1488" i="3"/>
  <c r="G1488" i="3"/>
  <c r="F1488" i="3"/>
  <c r="C1488" i="3"/>
  <c r="B1488" i="3"/>
  <c r="A1488" i="3"/>
  <c r="I1487" i="3"/>
  <c r="H1487" i="3"/>
  <c r="G1487" i="3"/>
  <c r="F1487" i="3"/>
  <c r="C1487" i="3"/>
  <c r="B1487" i="3"/>
  <c r="A1487" i="3"/>
  <c r="I1486" i="3"/>
  <c r="H1486" i="3"/>
  <c r="G1486" i="3"/>
  <c r="F1486" i="3"/>
  <c r="C1486" i="3"/>
  <c r="B1486" i="3"/>
  <c r="A1486" i="3"/>
  <c r="I1485" i="3"/>
  <c r="H1485" i="3"/>
  <c r="G1485" i="3"/>
  <c r="F1485" i="3"/>
  <c r="C1485" i="3"/>
  <c r="B1485" i="3"/>
  <c r="A1485" i="3"/>
  <c r="I1484" i="3"/>
  <c r="H1484" i="3"/>
  <c r="G1484" i="3"/>
  <c r="F1484" i="3"/>
  <c r="C1484" i="3"/>
  <c r="B1484" i="3"/>
  <c r="A1484" i="3"/>
  <c r="I1483" i="3"/>
  <c r="H1483" i="3"/>
  <c r="G1483" i="3"/>
  <c r="F1483" i="3"/>
  <c r="C1483" i="3"/>
  <c r="B1483" i="3"/>
  <c r="A1483" i="3"/>
  <c r="I1482" i="3"/>
  <c r="H1482" i="3"/>
  <c r="G1482" i="3"/>
  <c r="F1482" i="3"/>
  <c r="C1482" i="3"/>
  <c r="B1482" i="3"/>
  <c r="A1482" i="3"/>
  <c r="I1481" i="3"/>
  <c r="H1481" i="3"/>
  <c r="G1481" i="3"/>
  <c r="F1481" i="3"/>
  <c r="C1481" i="3"/>
  <c r="B1481" i="3"/>
  <c r="A1481" i="3"/>
  <c r="I1480" i="3"/>
  <c r="H1480" i="3"/>
  <c r="G1480" i="3"/>
  <c r="F1480" i="3"/>
  <c r="C1480" i="3"/>
  <c r="B1480" i="3"/>
  <c r="A1480" i="3"/>
  <c r="I1479" i="3"/>
  <c r="H1479" i="3"/>
  <c r="G1479" i="3"/>
  <c r="F1479" i="3"/>
  <c r="C1479" i="3"/>
  <c r="B1479" i="3"/>
  <c r="A1479" i="3"/>
  <c r="I1478" i="3"/>
  <c r="H1478" i="3"/>
  <c r="G1478" i="3"/>
  <c r="F1478" i="3"/>
  <c r="C1478" i="3"/>
  <c r="B1478" i="3"/>
  <c r="A1478" i="3"/>
  <c r="I1477" i="3"/>
  <c r="H1477" i="3"/>
  <c r="G1477" i="3"/>
  <c r="F1477" i="3"/>
  <c r="C1477" i="3"/>
  <c r="B1477" i="3"/>
  <c r="A1477" i="3"/>
  <c r="I1476" i="3"/>
  <c r="H1476" i="3"/>
  <c r="G1476" i="3"/>
  <c r="F1476" i="3"/>
  <c r="C1476" i="3"/>
  <c r="B1476" i="3"/>
  <c r="A1476" i="3"/>
  <c r="I1475" i="3"/>
  <c r="H1475" i="3"/>
  <c r="G1475" i="3"/>
  <c r="F1475" i="3"/>
  <c r="C1475" i="3"/>
  <c r="B1475" i="3"/>
  <c r="A1475" i="3"/>
  <c r="I1474" i="3"/>
  <c r="H1474" i="3"/>
  <c r="G1474" i="3"/>
  <c r="F1474" i="3"/>
  <c r="C1474" i="3"/>
  <c r="B1474" i="3"/>
  <c r="A1474" i="3"/>
  <c r="I1473" i="3"/>
  <c r="H1473" i="3"/>
  <c r="G1473" i="3"/>
  <c r="F1473" i="3"/>
  <c r="C1473" i="3"/>
  <c r="B1473" i="3"/>
  <c r="A1473" i="3"/>
  <c r="I1472" i="3"/>
  <c r="H1472" i="3"/>
  <c r="G1472" i="3"/>
  <c r="F1472" i="3"/>
  <c r="C1472" i="3"/>
  <c r="B1472" i="3"/>
  <c r="A1472" i="3"/>
  <c r="I1471" i="3"/>
  <c r="H1471" i="3"/>
  <c r="G1471" i="3"/>
  <c r="F1471" i="3"/>
  <c r="C1471" i="3"/>
  <c r="B1471" i="3"/>
  <c r="A1471" i="3"/>
  <c r="I1470" i="3"/>
  <c r="H1470" i="3"/>
  <c r="G1470" i="3"/>
  <c r="F1470" i="3"/>
  <c r="C1470" i="3"/>
  <c r="B1470" i="3"/>
  <c r="A1470" i="3"/>
  <c r="I1469" i="3"/>
  <c r="H1469" i="3"/>
  <c r="G1469" i="3"/>
  <c r="F1469" i="3"/>
  <c r="C1469" i="3"/>
  <c r="B1469" i="3"/>
  <c r="A1469" i="3"/>
  <c r="I1468" i="3"/>
  <c r="H1468" i="3"/>
  <c r="G1468" i="3"/>
  <c r="F1468" i="3"/>
  <c r="C1468" i="3"/>
  <c r="B1468" i="3"/>
  <c r="A1468" i="3"/>
  <c r="I1467" i="3"/>
  <c r="H1467" i="3"/>
  <c r="G1467" i="3"/>
  <c r="F1467" i="3"/>
  <c r="C1467" i="3"/>
  <c r="B1467" i="3"/>
  <c r="A1467" i="3"/>
  <c r="I1466" i="3"/>
  <c r="H1466" i="3"/>
  <c r="G1466" i="3"/>
  <c r="F1466" i="3"/>
  <c r="C1466" i="3"/>
  <c r="B1466" i="3"/>
  <c r="A1466" i="3"/>
  <c r="I1465" i="3"/>
  <c r="H1465" i="3"/>
  <c r="G1465" i="3"/>
  <c r="F1465" i="3"/>
  <c r="C1465" i="3"/>
  <c r="B1465" i="3"/>
  <c r="A1465" i="3"/>
  <c r="I1464" i="3"/>
  <c r="H1464" i="3"/>
  <c r="G1464" i="3"/>
  <c r="F1464" i="3"/>
  <c r="C1464" i="3"/>
  <c r="B1464" i="3"/>
  <c r="A1464" i="3"/>
  <c r="I1463" i="3"/>
  <c r="H1463" i="3"/>
  <c r="G1463" i="3"/>
  <c r="F1463" i="3"/>
  <c r="C1463" i="3"/>
  <c r="B1463" i="3"/>
  <c r="A1463" i="3"/>
  <c r="I1462" i="3"/>
  <c r="H1462" i="3"/>
  <c r="G1462" i="3"/>
  <c r="F1462" i="3"/>
  <c r="C1462" i="3"/>
  <c r="B1462" i="3"/>
  <c r="A1462" i="3"/>
  <c r="I1461" i="3"/>
  <c r="H1461" i="3"/>
  <c r="G1461" i="3"/>
  <c r="F1461" i="3"/>
  <c r="C1461" i="3"/>
  <c r="B1461" i="3"/>
  <c r="A1461" i="3"/>
  <c r="I1460" i="3"/>
  <c r="H1460" i="3"/>
  <c r="G1460" i="3"/>
  <c r="F1460" i="3"/>
  <c r="C1460" i="3"/>
  <c r="B1460" i="3"/>
  <c r="A1460" i="3"/>
  <c r="I1459" i="3"/>
  <c r="H1459" i="3"/>
  <c r="G1459" i="3"/>
  <c r="F1459" i="3"/>
  <c r="C1459" i="3"/>
  <c r="B1459" i="3"/>
  <c r="A1459" i="3"/>
  <c r="I1458" i="3"/>
  <c r="H1458" i="3"/>
  <c r="G1458" i="3"/>
  <c r="F1458" i="3"/>
  <c r="C1458" i="3"/>
  <c r="B1458" i="3"/>
  <c r="A1458" i="3"/>
  <c r="I1457" i="3"/>
  <c r="H1457" i="3"/>
  <c r="G1457" i="3"/>
  <c r="F1457" i="3"/>
  <c r="C1457" i="3"/>
  <c r="B1457" i="3"/>
  <c r="A1457" i="3"/>
  <c r="I1456" i="3"/>
  <c r="H1456" i="3"/>
  <c r="G1456" i="3"/>
  <c r="F1456" i="3"/>
  <c r="C1456" i="3"/>
  <c r="B1456" i="3"/>
  <c r="A1456" i="3"/>
  <c r="I1455" i="3"/>
  <c r="H1455" i="3"/>
  <c r="G1455" i="3"/>
  <c r="F1455" i="3"/>
  <c r="C1455" i="3"/>
  <c r="B1455" i="3"/>
  <c r="A1455" i="3"/>
  <c r="I1454" i="3"/>
  <c r="H1454" i="3"/>
  <c r="G1454" i="3"/>
  <c r="F1454" i="3"/>
  <c r="C1454" i="3"/>
  <c r="B1454" i="3"/>
  <c r="A1454" i="3"/>
  <c r="I1453" i="3"/>
  <c r="H1453" i="3"/>
  <c r="G1453" i="3"/>
  <c r="F1453" i="3"/>
  <c r="C1453" i="3"/>
  <c r="B1453" i="3"/>
  <c r="A1453" i="3"/>
  <c r="I1452" i="3"/>
  <c r="H1452" i="3"/>
  <c r="G1452" i="3"/>
  <c r="F1452" i="3"/>
  <c r="C1452" i="3"/>
  <c r="B1452" i="3"/>
  <c r="A1452" i="3"/>
  <c r="I1451" i="3"/>
  <c r="H1451" i="3"/>
  <c r="G1451" i="3"/>
  <c r="F1451" i="3"/>
  <c r="C1451" i="3"/>
  <c r="B1451" i="3"/>
  <c r="A1451" i="3"/>
  <c r="I1450" i="3"/>
  <c r="H1450" i="3"/>
  <c r="G1450" i="3"/>
  <c r="F1450" i="3"/>
  <c r="C1450" i="3"/>
  <c r="B1450" i="3"/>
  <c r="A1450" i="3"/>
  <c r="I1449" i="3"/>
  <c r="H1449" i="3"/>
  <c r="G1449" i="3"/>
  <c r="F1449" i="3"/>
  <c r="C1449" i="3"/>
  <c r="B1449" i="3"/>
  <c r="A1449" i="3"/>
  <c r="I1448" i="3"/>
  <c r="H1448" i="3"/>
  <c r="G1448" i="3"/>
  <c r="F1448" i="3"/>
  <c r="C1448" i="3"/>
  <c r="B1448" i="3"/>
  <c r="A1448" i="3"/>
  <c r="I1447" i="3"/>
  <c r="H1447" i="3"/>
  <c r="G1447" i="3"/>
  <c r="F1447" i="3"/>
  <c r="C1447" i="3"/>
  <c r="B1447" i="3"/>
  <c r="A1447" i="3"/>
  <c r="I1446" i="3"/>
  <c r="H1446" i="3"/>
  <c r="G1446" i="3"/>
  <c r="F1446" i="3"/>
  <c r="C1446" i="3"/>
  <c r="B1446" i="3"/>
  <c r="A1446" i="3"/>
  <c r="I1445" i="3"/>
  <c r="H1445" i="3"/>
  <c r="G1445" i="3"/>
  <c r="F1445" i="3"/>
  <c r="C1445" i="3"/>
  <c r="B1445" i="3"/>
  <c r="A1445" i="3"/>
  <c r="I1444" i="3"/>
  <c r="H1444" i="3"/>
  <c r="G1444" i="3"/>
  <c r="F1444" i="3"/>
  <c r="C1444" i="3"/>
  <c r="B1444" i="3"/>
  <c r="A1444" i="3"/>
  <c r="I1443" i="3"/>
  <c r="H1443" i="3"/>
  <c r="G1443" i="3"/>
  <c r="F1443" i="3"/>
  <c r="C1443" i="3"/>
  <c r="B1443" i="3"/>
  <c r="A1443" i="3"/>
  <c r="I1442" i="3"/>
  <c r="H1442" i="3"/>
  <c r="G1442" i="3"/>
  <c r="F1442" i="3"/>
  <c r="C1442" i="3"/>
  <c r="B1442" i="3"/>
  <c r="A1442" i="3"/>
  <c r="I1441" i="3"/>
  <c r="H1441" i="3"/>
  <c r="G1441" i="3"/>
  <c r="F1441" i="3"/>
  <c r="C1441" i="3"/>
  <c r="B1441" i="3"/>
  <c r="A1441" i="3"/>
  <c r="I1440" i="3"/>
  <c r="H1440" i="3"/>
  <c r="G1440" i="3"/>
  <c r="F1440" i="3"/>
  <c r="C1440" i="3"/>
  <c r="B1440" i="3"/>
  <c r="A1440" i="3"/>
  <c r="I1439" i="3"/>
  <c r="H1439" i="3"/>
  <c r="G1439" i="3"/>
  <c r="F1439" i="3"/>
  <c r="C1439" i="3"/>
  <c r="B1439" i="3"/>
  <c r="A1439" i="3"/>
  <c r="I1438" i="3"/>
  <c r="H1438" i="3"/>
  <c r="G1438" i="3"/>
  <c r="F1438" i="3"/>
  <c r="C1438" i="3"/>
  <c r="B1438" i="3"/>
  <c r="A1438" i="3"/>
  <c r="I1437" i="3"/>
  <c r="H1437" i="3"/>
  <c r="G1437" i="3"/>
  <c r="F1437" i="3"/>
  <c r="C1437" i="3"/>
  <c r="B1437" i="3"/>
  <c r="A1437" i="3"/>
  <c r="I1436" i="3"/>
  <c r="H1436" i="3"/>
  <c r="G1436" i="3"/>
  <c r="F1436" i="3"/>
  <c r="C1436" i="3"/>
  <c r="B1436" i="3"/>
  <c r="A1436" i="3"/>
  <c r="I1435" i="3"/>
  <c r="H1435" i="3"/>
  <c r="G1435" i="3"/>
  <c r="F1435" i="3"/>
  <c r="C1435" i="3"/>
  <c r="B1435" i="3"/>
  <c r="A1435" i="3"/>
  <c r="I1434" i="3"/>
  <c r="H1434" i="3"/>
  <c r="G1434" i="3"/>
  <c r="F1434" i="3"/>
  <c r="C1434" i="3"/>
  <c r="B1434" i="3"/>
  <c r="A1434" i="3"/>
  <c r="I1433" i="3"/>
  <c r="H1433" i="3"/>
  <c r="G1433" i="3"/>
  <c r="F1433" i="3"/>
  <c r="C1433" i="3"/>
  <c r="B1433" i="3"/>
  <c r="A1433" i="3"/>
  <c r="I1432" i="3"/>
  <c r="H1432" i="3"/>
  <c r="G1432" i="3"/>
  <c r="F1432" i="3"/>
  <c r="C1432" i="3"/>
  <c r="B1432" i="3"/>
  <c r="A1432" i="3"/>
  <c r="I1431" i="3"/>
  <c r="H1431" i="3"/>
  <c r="G1431" i="3"/>
  <c r="F1431" i="3"/>
  <c r="C1431" i="3"/>
  <c r="B1431" i="3"/>
  <c r="A1431" i="3"/>
  <c r="I1430" i="3"/>
  <c r="H1430" i="3"/>
  <c r="G1430" i="3"/>
  <c r="F1430" i="3"/>
  <c r="C1430" i="3"/>
  <c r="B1430" i="3"/>
  <c r="A1430" i="3"/>
  <c r="I1429" i="3"/>
  <c r="H1429" i="3"/>
  <c r="G1429" i="3"/>
  <c r="F1429" i="3"/>
  <c r="C1429" i="3"/>
  <c r="B1429" i="3"/>
  <c r="A1429" i="3"/>
  <c r="I1428" i="3"/>
  <c r="H1428" i="3"/>
  <c r="G1428" i="3"/>
  <c r="F1428" i="3"/>
  <c r="C1428" i="3"/>
  <c r="B1428" i="3"/>
  <c r="A1428" i="3"/>
  <c r="I1427" i="3"/>
  <c r="H1427" i="3"/>
  <c r="G1427" i="3"/>
  <c r="F1427" i="3"/>
  <c r="C1427" i="3"/>
  <c r="B1427" i="3"/>
  <c r="A1427" i="3"/>
  <c r="I1426" i="3"/>
  <c r="H1426" i="3"/>
  <c r="G1426" i="3"/>
  <c r="F1426" i="3"/>
  <c r="C1426" i="3"/>
  <c r="B1426" i="3"/>
  <c r="A1426" i="3"/>
  <c r="I1425" i="3"/>
  <c r="H1425" i="3"/>
  <c r="G1425" i="3"/>
  <c r="F1425" i="3"/>
  <c r="C1425" i="3"/>
  <c r="B1425" i="3"/>
  <c r="A1425" i="3"/>
  <c r="I1424" i="3"/>
  <c r="H1424" i="3"/>
  <c r="G1424" i="3"/>
  <c r="F1424" i="3"/>
  <c r="C1424" i="3"/>
  <c r="B1424" i="3"/>
  <c r="A1424" i="3"/>
  <c r="I1423" i="3"/>
  <c r="H1423" i="3"/>
  <c r="G1423" i="3"/>
  <c r="F1423" i="3"/>
  <c r="C1423" i="3"/>
  <c r="B1423" i="3"/>
  <c r="A1423" i="3"/>
  <c r="I1422" i="3"/>
  <c r="H1422" i="3"/>
  <c r="G1422" i="3"/>
  <c r="F1422" i="3"/>
  <c r="C1422" i="3"/>
  <c r="B1422" i="3"/>
  <c r="A1422" i="3"/>
  <c r="I1421" i="3"/>
  <c r="H1421" i="3"/>
  <c r="G1421" i="3"/>
  <c r="F1421" i="3"/>
  <c r="C1421" i="3"/>
  <c r="B1421" i="3"/>
  <c r="A1421" i="3"/>
  <c r="I1420" i="3"/>
  <c r="H1420" i="3"/>
  <c r="G1420" i="3"/>
  <c r="F1420" i="3"/>
  <c r="C1420" i="3"/>
  <c r="B1420" i="3"/>
  <c r="A1420" i="3"/>
  <c r="I1419" i="3"/>
  <c r="H1419" i="3"/>
  <c r="G1419" i="3"/>
  <c r="F1419" i="3"/>
  <c r="C1419" i="3"/>
  <c r="B1419" i="3"/>
  <c r="A1419" i="3"/>
  <c r="I1418" i="3"/>
  <c r="H1418" i="3"/>
  <c r="G1418" i="3"/>
  <c r="F1418" i="3"/>
  <c r="C1418" i="3"/>
  <c r="B1418" i="3"/>
  <c r="A1418" i="3"/>
  <c r="I1417" i="3"/>
  <c r="H1417" i="3"/>
  <c r="G1417" i="3"/>
  <c r="F1417" i="3"/>
  <c r="C1417" i="3"/>
  <c r="B1417" i="3"/>
  <c r="A1417" i="3"/>
  <c r="I1416" i="3"/>
  <c r="H1416" i="3"/>
  <c r="G1416" i="3"/>
  <c r="F1416" i="3"/>
  <c r="C1416" i="3"/>
  <c r="B1416" i="3"/>
  <c r="A1416" i="3"/>
  <c r="I1415" i="3"/>
  <c r="H1415" i="3"/>
  <c r="G1415" i="3"/>
  <c r="F1415" i="3"/>
  <c r="C1415" i="3"/>
  <c r="B1415" i="3"/>
  <c r="A1415" i="3"/>
  <c r="I1414" i="3"/>
  <c r="H1414" i="3"/>
  <c r="G1414" i="3"/>
  <c r="F1414" i="3"/>
  <c r="C1414" i="3"/>
  <c r="B1414" i="3"/>
  <c r="A1414" i="3"/>
  <c r="I1413" i="3"/>
  <c r="H1413" i="3"/>
  <c r="G1413" i="3"/>
  <c r="F1413" i="3"/>
  <c r="C1413" i="3"/>
  <c r="B1413" i="3"/>
  <c r="A1413" i="3"/>
  <c r="I1412" i="3"/>
  <c r="H1412" i="3"/>
  <c r="G1412" i="3"/>
  <c r="F1412" i="3"/>
  <c r="C1412" i="3"/>
  <c r="B1412" i="3"/>
  <c r="A1412" i="3"/>
  <c r="I1411" i="3"/>
  <c r="H1411" i="3"/>
  <c r="G1411" i="3"/>
  <c r="F1411" i="3"/>
  <c r="C1411" i="3"/>
  <c r="B1411" i="3"/>
  <c r="A1411" i="3"/>
  <c r="I1410" i="3"/>
  <c r="H1410" i="3"/>
  <c r="G1410" i="3"/>
  <c r="F1410" i="3"/>
  <c r="C1410" i="3"/>
  <c r="B1410" i="3"/>
  <c r="A1410" i="3"/>
  <c r="I1409" i="3"/>
  <c r="H1409" i="3"/>
  <c r="G1409" i="3"/>
  <c r="F1409" i="3"/>
  <c r="C1409" i="3"/>
  <c r="B1409" i="3"/>
  <c r="A1409" i="3"/>
  <c r="I1408" i="3"/>
  <c r="H1408" i="3"/>
  <c r="G1408" i="3"/>
  <c r="F1408" i="3"/>
  <c r="C1408" i="3"/>
  <c r="B1408" i="3"/>
  <c r="A1408" i="3"/>
  <c r="I1407" i="3"/>
  <c r="H1407" i="3"/>
  <c r="G1407" i="3"/>
  <c r="F1407" i="3"/>
  <c r="C1407" i="3"/>
  <c r="B1407" i="3"/>
  <c r="A1407" i="3"/>
  <c r="I1406" i="3"/>
  <c r="H1406" i="3"/>
  <c r="G1406" i="3"/>
  <c r="F1406" i="3"/>
  <c r="C1406" i="3"/>
  <c r="B1406" i="3"/>
  <c r="A1406" i="3"/>
  <c r="I1405" i="3"/>
  <c r="H1405" i="3"/>
  <c r="G1405" i="3"/>
  <c r="F1405" i="3"/>
  <c r="C1405" i="3"/>
  <c r="B1405" i="3"/>
  <c r="A1405" i="3"/>
  <c r="I1404" i="3"/>
  <c r="H1404" i="3"/>
  <c r="G1404" i="3"/>
  <c r="F1404" i="3"/>
  <c r="C1404" i="3"/>
  <c r="B1404" i="3"/>
  <c r="A1404" i="3"/>
  <c r="I1403" i="3"/>
  <c r="H1403" i="3"/>
  <c r="G1403" i="3"/>
  <c r="F1403" i="3"/>
  <c r="C1403" i="3"/>
  <c r="B1403" i="3"/>
  <c r="A1403" i="3"/>
  <c r="I1402" i="3"/>
  <c r="H1402" i="3"/>
  <c r="G1402" i="3"/>
  <c r="F1402" i="3"/>
  <c r="C1402" i="3"/>
  <c r="B1402" i="3"/>
  <c r="A1402" i="3"/>
  <c r="I1401" i="3"/>
  <c r="H1401" i="3"/>
  <c r="G1401" i="3"/>
  <c r="F1401" i="3"/>
  <c r="C1401" i="3"/>
  <c r="B1401" i="3"/>
  <c r="A1401" i="3"/>
  <c r="I1400" i="3"/>
  <c r="H1400" i="3"/>
  <c r="G1400" i="3"/>
  <c r="F1400" i="3"/>
  <c r="C1400" i="3"/>
  <c r="B1400" i="3"/>
  <c r="A1400" i="3"/>
  <c r="I1399" i="3"/>
  <c r="H1399" i="3"/>
  <c r="G1399" i="3"/>
  <c r="F1399" i="3"/>
  <c r="C1399" i="3"/>
  <c r="B1399" i="3"/>
  <c r="A1399" i="3"/>
  <c r="I1398" i="3"/>
  <c r="H1398" i="3"/>
  <c r="G1398" i="3"/>
  <c r="F1398" i="3"/>
  <c r="C1398" i="3"/>
  <c r="B1398" i="3"/>
  <c r="A1398" i="3"/>
  <c r="I1397" i="3"/>
  <c r="H1397" i="3"/>
  <c r="G1397" i="3"/>
  <c r="F1397" i="3"/>
  <c r="C1397" i="3"/>
  <c r="B1397" i="3"/>
  <c r="A1397" i="3"/>
  <c r="I1396" i="3"/>
  <c r="H1396" i="3"/>
  <c r="G1396" i="3"/>
  <c r="F1396" i="3"/>
  <c r="C1396" i="3"/>
  <c r="B1396" i="3"/>
  <c r="A1396" i="3"/>
  <c r="I1395" i="3"/>
  <c r="H1395" i="3"/>
  <c r="G1395" i="3"/>
  <c r="F1395" i="3"/>
  <c r="C1395" i="3"/>
  <c r="B1395" i="3"/>
  <c r="A1395" i="3"/>
  <c r="I1394" i="3"/>
  <c r="H1394" i="3"/>
  <c r="G1394" i="3"/>
  <c r="F1394" i="3"/>
  <c r="C1394" i="3"/>
  <c r="B1394" i="3"/>
  <c r="A1394" i="3"/>
  <c r="I1393" i="3"/>
  <c r="H1393" i="3"/>
  <c r="G1393" i="3"/>
  <c r="F1393" i="3"/>
  <c r="C1393" i="3"/>
  <c r="B1393" i="3"/>
  <c r="A1393" i="3"/>
  <c r="I1392" i="3"/>
  <c r="H1392" i="3"/>
  <c r="G1392" i="3"/>
  <c r="F1392" i="3"/>
  <c r="C1392" i="3"/>
  <c r="B1392" i="3"/>
  <c r="A1392" i="3"/>
  <c r="I1391" i="3"/>
  <c r="H1391" i="3"/>
  <c r="G1391" i="3"/>
  <c r="F1391" i="3"/>
  <c r="C1391" i="3"/>
  <c r="B1391" i="3"/>
  <c r="A1391" i="3"/>
  <c r="I1390" i="3"/>
  <c r="H1390" i="3"/>
  <c r="G1390" i="3"/>
  <c r="F1390" i="3"/>
  <c r="C1390" i="3"/>
  <c r="B1390" i="3"/>
  <c r="A1390" i="3"/>
  <c r="I1389" i="3"/>
  <c r="H1389" i="3"/>
  <c r="G1389" i="3"/>
  <c r="F1389" i="3"/>
  <c r="C1389" i="3"/>
  <c r="B1389" i="3"/>
  <c r="A1389" i="3"/>
  <c r="I1388" i="3"/>
  <c r="H1388" i="3"/>
  <c r="G1388" i="3"/>
  <c r="F1388" i="3"/>
  <c r="C1388" i="3"/>
  <c r="B1388" i="3"/>
  <c r="A1388" i="3"/>
  <c r="I1387" i="3"/>
  <c r="H1387" i="3"/>
  <c r="G1387" i="3"/>
  <c r="F1387" i="3"/>
  <c r="C1387" i="3"/>
  <c r="B1387" i="3"/>
  <c r="A1387" i="3"/>
  <c r="I1386" i="3"/>
  <c r="H1386" i="3"/>
  <c r="G1386" i="3"/>
  <c r="F1386" i="3"/>
  <c r="C1386" i="3"/>
  <c r="B1386" i="3"/>
  <c r="A1386" i="3"/>
  <c r="I1385" i="3"/>
  <c r="H1385" i="3"/>
  <c r="G1385" i="3"/>
  <c r="F1385" i="3"/>
  <c r="C1385" i="3"/>
  <c r="B1385" i="3"/>
  <c r="A1385" i="3"/>
  <c r="I1384" i="3"/>
  <c r="H1384" i="3"/>
  <c r="G1384" i="3"/>
  <c r="F1384" i="3"/>
  <c r="C1384" i="3"/>
  <c r="B1384" i="3"/>
  <c r="A1384" i="3"/>
  <c r="I1383" i="3"/>
  <c r="H1383" i="3"/>
  <c r="G1383" i="3"/>
  <c r="F1383" i="3"/>
  <c r="C1383" i="3"/>
  <c r="B1383" i="3"/>
  <c r="A1383" i="3"/>
  <c r="I1382" i="3"/>
  <c r="H1382" i="3"/>
  <c r="G1382" i="3"/>
  <c r="F1382" i="3"/>
  <c r="C1382" i="3"/>
  <c r="B1382" i="3"/>
  <c r="A1382" i="3"/>
  <c r="I1381" i="3"/>
  <c r="H1381" i="3"/>
  <c r="G1381" i="3"/>
  <c r="F1381" i="3"/>
  <c r="C1381" i="3"/>
  <c r="B1381" i="3"/>
  <c r="A1381" i="3"/>
  <c r="I1380" i="3"/>
  <c r="H1380" i="3"/>
  <c r="G1380" i="3"/>
  <c r="F1380" i="3"/>
  <c r="C1380" i="3"/>
  <c r="B1380" i="3"/>
  <c r="A1380" i="3"/>
  <c r="I1379" i="3"/>
  <c r="H1379" i="3"/>
  <c r="G1379" i="3"/>
  <c r="F1379" i="3"/>
  <c r="C1379" i="3"/>
  <c r="B1379" i="3"/>
  <c r="A1379" i="3"/>
  <c r="I1378" i="3"/>
  <c r="H1378" i="3"/>
  <c r="G1378" i="3"/>
  <c r="F1378" i="3"/>
  <c r="C1378" i="3"/>
  <c r="B1378" i="3"/>
  <c r="A1378" i="3"/>
  <c r="I1377" i="3"/>
  <c r="H1377" i="3"/>
  <c r="G1377" i="3"/>
  <c r="F1377" i="3"/>
  <c r="C1377" i="3"/>
  <c r="B1377" i="3"/>
  <c r="A1377" i="3"/>
  <c r="I1376" i="3"/>
  <c r="H1376" i="3"/>
  <c r="G1376" i="3"/>
  <c r="F1376" i="3"/>
  <c r="C1376" i="3"/>
  <c r="B1376" i="3"/>
  <c r="A1376" i="3"/>
  <c r="I1375" i="3"/>
  <c r="H1375" i="3"/>
  <c r="G1375" i="3"/>
  <c r="F1375" i="3"/>
  <c r="C1375" i="3"/>
  <c r="B1375" i="3"/>
  <c r="A1375" i="3"/>
  <c r="I1374" i="3"/>
  <c r="H1374" i="3"/>
  <c r="G1374" i="3"/>
  <c r="F1374" i="3"/>
  <c r="C1374" i="3"/>
  <c r="B1374" i="3"/>
  <c r="A1374" i="3"/>
  <c r="I1373" i="3"/>
  <c r="H1373" i="3"/>
  <c r="G1373" i="3"/>
  <c r="F1373" i="3"/>
  <c r="C1373" i="3"/>
  <c r="B1373" i="3"/>
  <c r="A1373" i="3"/>
  <c r="I1372" i="3"/>
  <c r="H1372" i="3"/>
  <c r="G1372" i="3"/>
  <c r="F1372" i="3"/>
  <c r="C1372" i="3"/>
  <c r="B1372" i="3"/>
  <c r="A1372" i="3"/>
  <c r="I1371" i="3"/>
  <c r="H1371" i="3"/>
  <c r="G1371" i="3"/>
  <c r="F1371" i="3"/>
  <c r="C1371" i="3"/>
  <c r="B1371" i="3"/>
  <c r="A1371" i="3"/>
  <c r="I1370" i="3"/>
  <c r="H1370" i="3"/>
  <c r="G1370" i="3"/>
  <c r="F1370" i="3"/>
  <c r="C1370" i="3"/>
  <c r="B1370" i="3"/>
  <c r="A1370" i="3"/>
  <c r="I1369" i="3"/>
  <c r="H1369" i="3"/>
  <c r="G1369" i="3"/>
  <c r="F1369" i="3"/>
  <c r="C1369" i="3"/>
  <c r="B1369" i="3"/>
  <c r="A1369" i="3"/>
  <c r="I1368" i="3"/>
  <c r="H1368" i="3"/>
  <c r="G1368" i="3"/>
  <c r="F1368" i="3"/>
  <c r="C1368" i="3"/>
  <c r="B1368" i="3"/>
  <c r="A1368" i="3"/>
  <c r="I1367" i="3"/>
  <c r="H1367" i="3"/>
  <c r="G1367" i="3"/>
  <c r="F1367" i="3"/>
  <c r="C1367" i="3"/>
  <c r="B1367" i="3"/>
  <c r="A1367" i="3"/>
  <c r="I1366" i="3"/>
  <c r="H1366" i="3"/>
  <c r="G1366" i="3"/>
  <c r="F1366" i="3"/>
  <c r="C1366" i="3"/>
  <c r="B1366" i="3"/>
  <c r="A1366" i="3"/>
  <c r="I1365" i="3"/>
  <c r="H1365" i="3"/>
  <c r="G1365" i="3"/>
  <c r="F1365" i="3"/>
  <c r="C1365" i="3"/>
  <c r="B1365" i="3"/>
  <c r="A1365" i="3"/>
  <c r="I1364" i="3"/>
  <c r="H1364" i="3"/>
  <c r="G1364" i="3"/>
  <c r="F1364" i="3"/>
  <c r="C1364" i="3"/>
  <c r="B1364" i="3"/>
  <c r="A1364" i="3"/>
  <c r="T1363" i="3"/>
  <c r="S1363" i="3"/>
  <c r="R1363" i="3"/>
  <c r="Q1363" i="3"/>
  <c r="P1363" i="3"/>
  <c r="O1363" i="3"/>
  <c r="M1363" i="3"/>
  <c r="L1363" i="3"/>
  <c r="I1363" i="3"/>
  <c r="H1363" i="3"/>
  <c r="G1363" i="3"/>
  <c r="F1363" i="3"/>
  <c r="C1363" i="3"/>
  <c r="B1363" i="3"/>
  <c r="A1363" i="3"/>
  <c r="I1362" i="3"/>
  <c r="H1362" i="3"/>
  <c r="G1362" i="3"/>
  <c r="F1362" i="3"/>
  <c r="C1362" i="3"/>
  <c r="B1362" i="3"/>
  <c r="A1362" i="3"/>
  <c r="I1361" i="3"/>
  <c r="H1361" i="3"/>
  <c r="G1361" i="3"/>
  <c r="F1361" i="3"/>
  <c r="C1361" i="3"/>
  <c r="B1361" i="3"/>
  <c r="A1361" i="3"/>
  <c r="I1360" i="3"/>
  <c r="H1360" i="3"/>
  <c r="G1360" i="3"/>
  <c r="F1360" i="3"/>
  <c r="C1360" i="3"/>
  <c r="B1360" i="3"/>
  <c r="A1360" i="3"/>
  <c r="I1359" i="3"/>
  <c r="H1359" i="3"/>
  <c r="G1359" i="3"/>
  <c r="F1359" i="3"/>
  <c r="C1359" i="3"/>
  <c r="B1359" i="3"/>
  <c r="A1359" i="3"/>
  <c r="I1358" i="3"/>
  <c r="H1358" i="3"/>
  <c r="G1358" i="3"/>
  <c r="F1358" i="3"/>
  <c r="C1358" i="3"/>
  <c r="B1358" i="3"/>
  <c r="A1358" i="3"/>
  <c r="I1357" i="3"/>
  <c r="H1357" i="3"/>
  <c r="G1357" i="3"/>
  <c r="F1357" i="3"/>
  <c r="C1357" i="3"/>
  <c r="B1357" i="3"/>
  <c r="A1357" i="3"/>
  <c r="I1356" i="3"/>
  <c r="H1356" i="3"/>
  <c r="G1356" i="3"/>
  <c r="F1356" i="3"/>
  <c r="C1356" i="3"/>
  <c r="B1356" i="3"/>
  <c r="A1356" i="3"/>
  <c r="I1355" i="3"/>
  <c r="H1355" i="3"/>
  <c r="G1355" i="3"/>
  <c r="F1355" i="3"/>
  <c r="C1355" i="3"/>
  <c r="B1355" i="3"/>
  <c r="A1355" i="3"/>
  <c r="I1354" i="3"/>
  <c r="H1354" i="3"/>
  <c r="G1354" i="3"/>
  <c r="F1354" i="3"/>
  <c r="C1354" i="3"/>
  <c r="B1354" i="3"/>
  <c r="A1354" i="3"/>
  <c r="I1353" i="3"/>
  <c r="H1353" i="3"/>
  <c r="G1353" i="3"/>
  <c r="F1353" i="3"/>
  <c r="C1353" i="3"/>
  <c r="B1353" i="3"/>
  <c r="A1353" i="3"/>
  <c r="I1352" i="3"/>
  <c r="H1352" i="3"/>
  <c r="G1352" i="3"/>
  <c r="F1352" i="3"/>
  <c r="C1352" i="3"/>
  <c r="B1352" i="3"/>
  <c r="A1352" i="3"/>
  <c r="I1351" i="3"/>
  <c r="H1351" i="3"/>
  <c r="G1351" i="3"/>
  <c r="F1351" i="3"/>
  <c r="C1351" i="3"/>
  <c r="B1351" i="3"/>
  <c r="A1351" i="3"/>
  <c r="I1350" i="3"/>
  <c r="H1350" i="3"/>
  <c r="G1350" i="3"/>
  <c r="F1350" i="3"/>
  <c r="C1350" i="3"/>
  <c r="B1350" i="3"/>
  <c r="A1350" i="3"/>
  <c r="I1349" i="3"/>
  <c r="H1349" i="3"/>
  <c r="G1349" i="3"/>
  <c r="F1349" i="3"/>
  <c r="C1349" i="3"/>
  <c r="B1349" i="3"/>
  <c r="A1349" i="3"/>
  <c r="I1348" i="3"/>
  <c r="H1348" i="3"/>
  <c r="G1348" i="3"/>
  <c r="F1348" i="3"/>
  <c r="C1348" i="3"/>
  <c r="B1348" i="3"/>
  <c r="A1348" i="3"/>
  <c r="I1347" i="3"/>
  <c r="H1347" i="3"/>
  <c r="G1347" i="3"/>
  <c r="F1347" i="3"/>
  <c r="C1347" i="3"/>
  <c r="B1347" i="3"/>
  <c r="A1347" i="3"/>
  <c r="I1346" i="3"/>
  <c r="H1346" i="3"/>
  <c r="G1346" i="3"/>
  <c r="F1346" i="3"/>
  <c r="C1346" i="3"/>
  <c r="B1346" i="3"/>
  <c r="A1346" i="3"/>
  <c r="I1345" i="3"/>
  <c r="H1345" i="3"/>
  <c r="G1345" i="3"/>
  <c r="F1345" i="3"/>
  <c r="C1345" i="3"/>
  <c r="B1345" i="3"/>
  <c r="A1345" i="3"/>
  <c r="I1344" i="3"/>
  <c r="H1344" i="3"/>
  <c r="G1344" i="3"/>
  <c r="F1344" i="3"/>
  <c r="C1344" i="3"/>
  <c r="B1344" i="3"/>
  <c r="A1344" i="3"/>
  <c r="I1343" i="3"/>
  <c r="H1343" i="3"/>
  <c r="G1343" i="3"/>
  <c r="F1343" i="3"/>
  <c r="C1343" i="3"/>
  <c r="B1343" i="3"/>
  <c r="A1343" i="3"/>
  <c r="I1342" i="3"/>
  <c r="H1342" i="3"/>
  <c r="G1342" i="3"/>
  <c r="F1342" i="3"/>
  <c r="C1342" i="3"/>
  <c r="B1342" i="3"/>
  <c r="A1342" i="3"/>
  <c r="I1341" i="3"/>
  <c r="H1341" i="3"/>
  <c r="G1341" i="3"/>
  <c r="F1341" i="3"/>
  <c r="C1341" i="3"/>
  <c r="B1341" i="3"/>
  <c r="A1341" i="3"/>
  <c r="I1340" i="3"/>
  <c r="H1340" i="3"/>
  <c r="G1340" i="3"/>
  <c r="F1340" i="3"/>
  <c r="C1340" i="3"/>
  <c r="B1340" i="3"/>
  <c r="A1340" i="3"/>
  <c r="I1339" i="3"/>
  <c r="H1339" i="3"/>
  <c r="G1339" i="3"/>
  <c r="F1339" i="3"/>
  <c r="C1339" i="3"/>
  <c r="B1339" i="3"/>
  <c r="A1339" i="3"/>
  <c r="I1338" i="3"/>
  <c r="H1338" i="3"/>
  <c r="G1338" i="3"/>
  <c r="F1338" i="3"/>
  <c r="C1338" i="3"/>
  <c r="B1338" i="3"/>
  <c r="A1338" i="3"/>
  <c r="I1337" i="3"/>
  <c r="H1337" i="3"/>
  <c r="G1337" i="3"/>
  <c r="F1337" i="3"/>
  <c r="C1337" i="3"/>
  <c r="B1337" i="3"/>
  <c r="A1337" i="3"/>
  <c r="I1336" i="3"/>
  <c r="H1336" i="3"/>
  <c r="G1336" i="3"/>
  <c r="F1336" i="3"/>
  <c r="C1336" i="3"/>
  <c r="B1336" i="3"/>
  <c r="A1336" i="3"/>
  <c r="I1335" i="3"/>
  <c r="H1335" i="3"/>
  <c r="G1335" i="3"/>
  <c r="F1335" i="3"/>
  <c r="C1335" i="3"/>
  <c r="B1335" i="3"/>
  <c r="A1335" i="3"/>
  <c r="I1334" i="3"/>
  <c r="H1334" i="3"/>
  <c r="G1334" i="3"/>
  <c r="F1334" i="3"/>
  <c r="C1334" i="3"/>
  <c r="B1334" i="3"/>
  <c r="A1334" i="3"/>
  <c r="I1333" i="3"/>
  <c r="H1333" i="3"/>
  <c r="G1333" i="3"/>
  <c r="F1333" i="3"/>
  <c r="C1333" i="3"/>
  <c r="B1333" i="3"/>
  <c r="A1333" i="3"/>
  <c r="I1332" i="3"/>
  <c r="H1332" i="3"/>
  <c r="G1332" i="3"/>
  <c r="F1332" i="3"/>
  <c r="C1332" i="3"/>
  <c r="B1332" i="3"/>
  <c r="A1332" i="3"/>
  <c r="I1331" i="3"/>
  <c r="H1331" i="3"/>
  <c r="G1331" i="3"/>
  <c r="F1331" i="3"/>
  <c r="C1331" i="3"/>
  <c r="B1331" i="3"/>
  <c r="A1331" i="3"/>
  <c r="I1330" i="3"/>
  <c r="H1330" i="3"/>
  <c r="G1330" i="3"/>
  <c r="F1330" i="3"/>
  <c r="C1330" i="3"/>
  <c r="B1330" i="3"/>
  <c r="A1330" i="3"/>
  <c r="I1329" i="3"/>
  <c r="H1329" i="3"/>
  <c r="G1329" i="3"/>
  <c r="F1329" i="3"/>
  <c r="C1329" i="3"/>
  <c r="B1329" i="3"/>
  <c r="A1329" i="3"/>
  <c r="I1328" i="3"/>
  <c r="H1328" i="3"/>
  <c r="G1328" i="3"/>
  <c r="F1328" i="3"/>
  <c r="C1328" i="3"/>
  <c r="B1328" i="3"/>
  <c r="A1328" i="3"/>
  <c r="I1327" i="3"/>
  <c r="H1327" i="3"/>
  <c r="G1327" i="3"/>
  <c r="F1327" i="3"/>
  <c r="C1327" i="3"/>
  <c r="B1327" i="3"/>
  <c r="A1327" i="3"/>
  <c r="I1326" i="3"/>
  <c r="H1326" i="3"/>
  <c r="G1326" i="3"/>
  <c r="F1326" i="3"/>
  <c r="C1326" i="3"/>
  <c r="B1326" i="3"/>
  <c r="A1326" i="3"/>
  <c r="I1325" i="3"/>
  <c r="H1325" i="3"/>
  <c r="G1325" i="3"/>
  <c r="F1325" i="3"/>
  <c r="C1325" i="3"/>
  <c r="B1325" i="3"/>
  <c r="A1325" i="3"/>
  <c r="I1324" i="3"/>
  <c r="H1324" i="3"/>
  <c r="G1324" i="3"/>
  <c r="F1324" i="3"/>
  <c r="C1324" i="3"/>
  <c r="B1324" i="3"/>
  <c r="A1324" i="3"/>
  <c r="I1323" i="3"/>
  <c r="H1323" i="3"/>
  <c r="G1323" i="3"/>
  <c r="F1323" i="3"/>
  <c r="C1323" i="3"/>
  <c r="B1323" i="3"/>
  <c r="A1323" i="3"/>
  <c r="I1322" i="3"/>
  <c r="H1322" i="3"/>
  <c r="G1322" i="3"/>
  <c r="F1322" i="3"/>
  <c r="C1322" i="3"/>
  <c r="B1322" i="3"/>
  <c r="A1322" i="3"/>
  <c r="I1321" i="3"/>
  <c r="H1321" i="3"/>
  <c r="G1321" i="3"/>
  <c r="F1321" i="3"/>
  <c r="C1321" i="3"/>
  <c r="B1321" i="3"/>
  <c r="A1321" i="3"/>
  <c r="I1320" i="3"/>
  <c r="H1320" i="3"/>
  <c r="G1320" i="3"/>
  <c r="F1320" i="3"/>
  <c r="C1320" i="3"/>
  <c r="B1320" i="3"/>
  <c r="A1320" i="3"/>
  <c r="I1319" i="3"/>
  <c r="H1319" i="3"/>
  <c r="G1319" i="3"/>
  <c r="F1319" i="3"/>
  <c r="C1319" i="3"/>
  <c r="B1319" i="3"/>
  <c r="A1319" i="3"/>
  <c r="I1318" i="3"/>
  <c r="H1318" i="3"/>
  <c r="G1318" i="3"/>
  <c r="F1318" i="3"/>
  <c r="C1318" i="3"/>
  <c r="B1318" i="3"/>
  <c r="A1318" i="3"/>
  <c r="I1317" i="3"/>
  <c r="H1317" i="3"/>
  <c r="G1317" i="3"/>
  <c r="F1317" i="3"/>
  <c r="C1317" i="3"/>
  <c r="B1317" i="3"/>
  <c r="A1317" i="3"/>
  <c r="I1316" i="3"/>
  <c r="H1316" i="3"/>
  <c r="G1316" i="3"/>
  <c r="F1316" i="3"/>
  <c r="C1316" i="3"/>
  <c r="B1316" i="3"/>
  <c r="A1316" i="3"/>
  <c r="I1315" i="3"/>
  <c r="H1315" i="3"/>
  <c r="G1315" i="3"/>
  <c r="F1315" i="3"/>
  <c r="C1315" i="3"/>
  <c r="B1315" i="3"/>
  <c r="A1315" i="3"/>
  <c r="I1314" i="3"/>
  <c r="H1314" i="3"/>
  <c r="G1314" i="3"/>
  <c r="F1314" i="3"/>
  <c r="C1314" i="3"/>
  <c r="B1314" i="3"/>
  <c r="A1314" i="3"/>
  <c r="I1313" i="3"/>
  <c r="H1313" i="3"/>
  <c r="G1313" i="3"/>
  <c r="F1313" i="3"/>
  <c r="C1313" i="3"/>
  <c r="B1313" i="3"/>
  <c r="A1313" i="3"/>
  <c r="I1312" i="3"/>
  <c r="H1312" i="3"/>
  <c r="G1312" i="3"/>
  <c r="F1312" i="3"/>
  <c r="C1312" i="3"/>
  <c r="B1312" i="3"/>
  <c r="A1312" i="3"/>
  <c r="I1311" i="3"/>
  <c r="H1311" i="3"/>
  <c r="G1311" i="3"/>
  <c r="F1311" i="3"/>
  <c r="C1311" i="3"/>
  <c r="B1311" i="3"/>
  <c r="A1311" i="3"/>
  <c r="I1310" i="3"/>
  <c r="H1310" i="3"/>
  <c r="G1310" i="3"/>
  <c r="F1310" i="3"/>
  <c r="C1310" i="3"/>
  <c r="B1310" i="3"/>
  <c r="A1310" i="3"/>
  <c r="I1309" i="3"/>
  <c r="H1309" i="3"/>
  <c r="G1309" i="3"/>
  <c r="F1309" i="3"/>
  <c r="C1309" i="3"/>
  <c r="B1309" i="3"/>
  <c r="A1309" i="3"/>
  <c r="I1308" i="3"/>
  <c r="H1308" i="3"/>
  <c r="G1308" i="3"/>
  <c r="F1308" i="3"/>
  <c r="C1308" i="3"/>
  <c r="B1308" i="3"/>
  <c r="A1308" i="3"/>
  <c r="I1307" i="3"/>
  <c r="H1307" i="3"/>
  <c r="G1307" i="3"/>
  <c r="F1307" i="3"/>
  <c r="C1307" i="3"/>
  <c r="B1307" i="3"/>
  <c r="A1307" i="3"/>
  <c r="I1306" i="3"/>
  <c r="H1306" i="3"/>
  <c r="G1306" i="3"/>
  <c r="F1306" i="3"/>
  <c r="C1306" i="3"/>
  <c r="B1306" i="3"/>
  <c r="A1306" i="3"/>
  <c r="I1305" i="3"/>
  <c r="H1305" i="3"/>
  <c r="G1305" i="3"/>
  <c r="F1305" i="3"/>
  <c r="C1305" i="3"/>
  <c r="B1305" i="3"/>
  <c r="A1305" i="3"/>
  <c r="I1304" i="3"/>
  <c r="H1304" i="3"/>
  <c r="G1304" i="3"/>
  <c r="F1304" i="3"/>
  <c r="C1304" i="3"/>
  <c r="B1304" i="3"/>
  <c r="A1304" i="3"/>
  <c r="I1303" i="3"/>
  <c r="H1303" i="3"/>
  <c r="G1303" i="3"/>
  <c r="F1303" i="3"/>
  <c r="C1303" i="3"/>
  <c r="B1303" i="3"/>
  <c r="A1303" i="3"/>
  <c r="I1302" i="3"/>
  <c r="H1302" i="3"/>
  <c r="G1302" i="3"/>
  <c r="F1302" i="3"/>
  <c r="C1302" i="3"/>
  <c r="B1302" i="3"/>
  <c r="A1302" i="3"/>
  <c r="I1301" i="3"/>
  <c r="H1301" i="3"/>
  <c r="G1301" i="3"/>
  <c r="F1301" i="3"/>
  <c r="C1301" i="3"/>
  <c r="B1301" i="3"/>
  <c r="A1301" i="3"/>
  <c r="I1300" i="3"/>
  <c r="H1300" i="3"/>
  <c r="G1300" i="3"/>
  <c r="F1300" i="3"/>
  <c r="C1300" i="3"/>
  <c r="B1300" i="3"/>
  <c r="A1300" i="3"/>
  <c r="I1299" i="3"/>
  <c r="H1299" i="3"/>
  <c r="G1299" i="3"/>
  <c r="F1299" i="3"/>
  <c r="C1299" i="3"/>
  <c r="B1299" i="3"/>
  <c r="A1299" i="3"/>
  <c r="I1298" i="3"/>
  <c r="H1298" i="3"/>
  <c r="G1298" i="3"/>
  <c r="F1298" i="3"/>
  <c r="C1298" i="3"/>
  <c r="B1298" i="3"/>
  <c r="A1298" i="3"/>
  <c r="I1297" i="3"/>
  <c r="H1297" i="3"/>
  <c r="G1297" i="3"/>
  <c r="F1297" i="3"/>
  <c r="C1297" i="3"/>
  <c r="B1297" i="3"/>
  <c r="A1297" i="3"/>
  <c r="I1296" i="3"/>
  <c r="H1296" i="3"/>
  <c r="G1296" i="3"/>
  <c r="F1296" i="3"/>
  <c r="C1296" i="3"/>
  <c r="B1296" i="3"/>
  <c r="A1296" i="3"/>
  <c r="I1295" i="3"/>
  <c r="H1295" i="3"/>
  <c r="G1295" i="3"/>
  <c r="F1295" i="3"/>
  <c r="C1295" i="3"/>
  <c r="B1295" i="3"/>
  <c r="A1295" i="3"/>
  <c r="I1294" i="3"/>
  <c r="H1294" i="3"/>
  <c r="G1294" i="3"/>
  <c r="F1294" i="3"/>
  <c r="C1294" i="3"/>
  <c r="B1294" i="3"/>
  <c r="A1294" i="3"/>
  <c r="I1293" i="3"/>
  <c r="H1293" i="3"/>
  <c r="G1293" i="3"/>
  <c r="F1293" i="3"/>
  <c r="C1293" i="3"/>
  <c r="B1293" i="3"/>
  <c r="A1293" i="3"/>
  <c r="I1292" i="3"/>
  <c r="H1292" i="3"/>
  <c r="G1292" i="3"/>
  <c r="F1292" i="3"/>
  <c r="C1292" i="3"/>
  <c r="B1292" i="3"/>
  <c r="A1292" i="3"/>
  <c r="I1291" i="3"/>
  <c r="H1291" i="3"/>
  <c r="G1291" i="3"/>
  <c r="F1291" i="3"/>
  <c r="C1291" i="3"/>
  <c r="B1291" i="3"/>
  <c r="A1291" i="3"/>
  <c r="I1290" i="3"/>
  <c r="H1290" i="3"/>
  <c r="G1290" i="3"/>
  <c r="F1290" i="3"/>
  <c r="C1290" i="3"/>
  <c r="B1290" i="3"/>
  <c r="A1290" i="3"/>
  <c r="I1289" i="3"/>
  <c r="H1289" i="3"/>
  <c r="G1289" i="3"/>
  <c r="F1289" i="3"/>
  <c r="C1289" i="3"/>
  <c r="B1289" i="3"/>
  <c r="A1289" i="3"/>
  <c r="I1288" i="3"/>
  <c r="H1288" i="3"/>
  <c r="G1288" i="3"/>
  <c r="F1288" i="3"/>
  <c r="C1288" i="3"/>
  <c r="B1288" i="3"/>
  <c r="A1288" i="3"/>
  <c r="I1287" i="3"/>
  <c r="H1287" i="3"/>
  <c r="G1287" i="3"/>
  <c r="F1287" i="3"/>
  <c r="C1287" i="3"/>
  <c r="B1287" i="3"/>
  <c r="A1287" i="3"/>
  <c r="I1286" i="3"/>
  <c r="H1286" i="3"/>
  <c r="G1286" i="3"/>
  <c r="F1286" i="3"/>
  <c r="C1286" i="3"/>
  <c r="B1286" i="3"/>
  <c r="A1286" i="3"/>
  <c r="I1285" i="3"/>
  <c r="H1285" i="3"/>
  <c r="G1285" i="3"/>
  <c r="F1285" i="3"/>
  <c r="C1285" i="3"/>
  <c r="B1285" i="3"/>
  <c r="A1285" i="3"/>
  <c r="I1284" i="3"/>
  <c r="H1284" i="3"/>
  <c r="G1284" i="3"/>
  <c r="F1284" i="3"/>
  <c r="C1284" i="3"/>
  <c r="B1284" i="3"/>
  <c r="A1284" i="3"/>
  <c r="I1283" i="3"/>
  <c r="H1283" i="3"/>
  <c r="G1283" i="3"/>
  <c r="F1283" i="3"/>
  <c r="C1283" i="3"/>
  <c r="B1283" i="3"/>
  <c r="A1283" i="3"/>
  <c r="I1282" i="3"/>
  <c r="H1282" i="3"/>
  <c r="G1282" i="3"/>
  <c r="F1282" i="3"/>
  <c r="C1282" i="3"/>
  <c r="B1282" i="3"/>
  <c r="A1282" i="3"/>
  <c r="I1281" i="3"/>
  <c r="H1281" i="3"/>
  <c r="G1281" i="3"/>
  <c r="F1281" i="3"/>
  <c r="C1281" i="3"/>
  <c r="B1281" i="3"/>
  <c r="A1281" i="3"/>
  <c r="I1280" i="3"/>
  <c r="H1280" i="3"/>
  <c r="G1280" i="3"/>
  <c r="F1280" i="3"/>
  <c r="C1280" i="3"/>
  <c r="B1280" i="3"/>
  <c r="A1280" i="3"/>
  <c r="I1279" i="3"/>
  <c r="H1279" i="3"/>
  <c r="G1279" i="3"/>
  <c r="F1279" i="3"/>
  <c r="C1279" i="3"/>
  <c r="B1279" i="3"/>
  <c r="A1279" i="3"/>
  <c r="I1278" i="3"/>
  <c r="H1278" i="3"/>
  <c r="G1278" i="3"/>
  <c r="F1278" i="3"/>
  <c r="C1278" i="3"/>
  <c r="B1278" i="3"/>
  <c r="A1278" i="3"/>
  <c r="I1277" i="3"/>
  <c r="H1277" i="3"/>
  <c r="G1277" i="3"/>
  <c r="F1277" i="3"/>
  <c r="C1277" i="3"/>
  <c r="B1277" i="3"/>
  <c r="A1277" i="3"/>
  <c r="I1276" i="3"/>
  <c r="H1276" i="3"/>
  <c r="G1276" i="3"/>
  <c r="F1276" i="3"/>
  <c r="C1276" i="3"/>
  <c r="B1276" i="3"/>
  <c r="A1276" i="3"/>
  <c r="I1275" i="3"/>
  <c r="H1275" i="3"/>
  <c r="G1275" i="3"/>
  <c r="F1275" i="3"/>
  <c r="C1275" i="3"/>
  <c r="B1275" i="3"/>
  <c r="A1275" i="3"/>
  <c r="I1274" i="3"/>
  <c r="H1274" i="3"/>
  <c r="G1274" i="3"/>
  <c r="F1274" i="3"/>
  <c r="C1274" i="3"/>
  <c r="B1274" i="3"/>
  <c r="A1274" i="3"/>
  <c r="I1273" i="3"/>
  <c r="H1273" i="3"/>
  <c r="G1273" i="3"/>
  <c r="F1273" i="3"/>
  <c r="C1273" i="3"/>
  <c r="B1273" i="3"/>
  <c r="A1273" i="3"/>
  <c r="I1272" i="3"/>
  <c r="H1272" i="3"/>
  <c r="G1272" i="3"/>
  <c r="F1272" i="3"/>
  <c r="C1272" i="3"/>
  <c r="B1272" i="3"/>
  <c r="A1272" i="3"/>
  <c r="I1271" i="3"/>
  <c r="H1271" i="3"/>
  <c r="G1271" i="3"/>
  <c r="F1271" i="3"/>
  <c r="C1271" i="3"/>
  <c r="B1271" i="3"/>
  <c r="A1271" i="3"/>
  <c r="I1270" i="3"/>
  <c r="H1270" i="3"/>
  <c r="G1270" i="3"/>
  <c r="F1270" i="3"/>
  <c r="C1270" i="3"/>
  <c r="B1270" i="3"/>
  <c r="A1270" i="3"/>
  <c r="I1269" i="3"/>
  <c r="H1269" i="3"/>
  <c r="G1269" i="3"/>
  <c r="F1269" i="3"/>
  <c r="C1269" i="3"/>
  <c r="B1269" i="3"/>
  <c r="A1269" i="3"/>
  <c r="I1268" i="3"/>
  <c r="H1268" i="3"/>
  <c r="G1268" i="3"/>
  <c r="F1268" i="3"/>
  <c r="C1268" i="3"/>
  <c r="B1268" i="3"/>
  <c r="A1268" i="3"/>
  <c r="I1267" i="3"/>
  <c r="H1267" i="3"/>
  <c r="G1267" i="3"/>
  <c r="F1267" i="3"/>
  <c r="C1267" i="3"/>
  <c r="B1267" i="3"/>
  <c r="A1267" i="3"/>
  <c r="I1266" i="3"/>
  <c r="H1266" i="3"/>
  <c r="G1266" i="3"/>
  <c r="F1266" i="3"/>
  <c r="C1266" i="3"/>
  <c r="B1266" i="3"/>
  <c r="A1266" i="3"/>
  <c r="I1265" i="3"/>
  <c r="H1265" i="3"/>
  <c r="G1265" i="3"/>
  <c r="F1265" i="3"/>
  <c r="C1265" i="3"/>
  <c r="B1265" i="3"/>
  <c r="A1265" i="3"/>
  <c r="I1264" i="3"/>
  <c r="H1264" i="3"/>
  <c r="G1264" i="3"/>
  <c r="F1264" i="3"/>
  <c r="C1264" i="3"/>
  <c r="B1264" i="3"/>
  <c r="A1264" i="3"/>
  <c r="I1263" i="3"/>
  <c r="H1263" i="3"/>
  <c r="G1263" i="3"/>
  <c r="F1263" i="3"/>
  <c r="C1263" i="3"/>
  <c r="B1263" i="3"/>
  <c r="A1263" i="3"/>
  <c r="I1262" i="3"/>
  <c r="H1262" i="3"/>
  <c r="G1262" i="3"/>
  <c r="F1262" i="3"/>
  <c r="C1262" i="3"/>
  <c r="B1262" i="3"/>
  <c r="A1262" i="3"/>
  <c r="I1261" i="3"/>
  <c r="H1261" i="3"/>
  <c r="G1261" i="3"/>
  <c r="F1261" i="3"/>
  <c r="C1261" i="3"/>
  <c r="B1261" i="3"/>
  <c r="A1261" i="3"/>
  <c r="I1260" i="3"/>
  <c r="H1260" i="3"/>
  <c r="G1260" i="3"/>
  <c r="F1260" i="3"/>
  <c r="C1260" i="3"/>
  <c r="B1260" i="3"/>
  <c r="A1260" i="3"/>
  <c r="I1259" i="3"/>
  <c r="H1259" i="3"/>
  <c r="G1259" i="3"/>
  <c r="F1259" i="3"/>
  <c r="C1259" i="3"/>
  <c r="B1259" i="3"/>
  <c r="A1259" i="3"/>
  <c r="I1258" i="3"/>
  <c r="H1258" i="3"/>
  <c r="G1258" i="3"/>
  <c r="F1258" i="3"/>
  <c r="C1258" i="3"/>
  <c r="B1258" i="3"/>
  <c r="A1258" i="3"/>
  <c r="I1257" i="3"/>
  <c r="H1257" i="3"/>
  <c r="G1257" i="3"/>
  <c r="F1257" i="3"/>
  <c r="C1257" i="3"/>
  <c r="B1257" i="3"/>
  <c r="A1257" i="3"/>
  <c r="I1256" i="3"/>
  <c r="H1256" i="3"/>
  <c r="G1256" i="3"/>
  <c r="F1256" i="3"/>
  <c r="C1256" i="3"/>
  <c r="B1256" i="3"/>
  <c r="A1256" i="3"/>
  <c r="I1255" i="3"/>
  <c r="H1255" i="3"/>
  <c r="G1255" i="3"/>
  <c r="F1255" i="3"/>
  <c r="C1255" i="3"/>
  <c r="B1255" i="3"/>
  <c r="A1255" i="3"/>
  <c r="I1254" i="3"/>
  <c r="H1254" i="3"/>
  <c r="G1254" i="3"/>
  <c r="F1254" i="3"/>
  <c r="C1254" i="3"/>
  <c r="B1254" i="3"/>
  <c r="A1254" i="3"/>
  <c r="I1253" i="3"/>
  <c r="H1253" i="3"/>
  <c r="G1253" i="3"/>
  <c r="F1253" i="3"/>
  <c r="C1253" i="3"/>
  <c r="B1253" i="3"/>
  <c r="A1253" i="3"/>
  <c r="I1252" i="3"/>
  <c r="H1252" i="3"/>
  <c r="G1252" i="3"/>
  <c r="F1252" i="3"/>
  <c r="C1252" i="3"/>
  <c r="B1252" i="3"/>
  <c r="A1252" i="3"/>
  <c r="I1251" i="3"/>
  <c r="H1251" i="3"/>
  <c r="G1251" i="3"/>
  <c r="F1251" i="3"/>
  <c r="C1251" i="3"/>
  <c r="B1251" i="3"/>
  <c r="A1251" i="3"/>
  <c r="I1250" i="3"/>
  <c r="H1250" i="3"/>
  <c r="G1250" i="3"/>
  <c r="F1250" i="3"/>
  <c r="C1250" i="3"/>
  <c r="B1250" i="3"/>
  <c r="A1250" i="3"/>
  <c r="I1249" i="3"/>
  <c r="H1249" i="3"/>
  <c r="G1249" i="3"/>
  <c r="F1249" i="3"/>
  <c r="C1249" i="3"/>
  <c r="B1249" i="3"/>
  <c r="A1249" i="3"/>
  <c r="I1248" i="3"/>
  <c r="H1248" i="3"/>
  <c r="G1248" i="3"/>
  <c r="F1248" i="3"/>
  <c r="C1248" i="3"/>
  <c r="B1248" i="3"/>
  <c r="A1248" i="3"/>
  <c r="I1247" i="3"/>
  <c r="H1247" i="3"/>
  <c r="G1247" i="3"/>
  <c r="F1247" i="3"/>
  <c r="C1247" i="3"/>
  <c r="B1247" i="3"/>
  <c r="A1247" i="3"/>
  <c r="I1246" i="3"/>
  <c r="H1246" i="3"/>
  <c r="G1246" i="3"/>
  <c r="F1246" i="3"/>
  <c r="C1246" i="3"/>
  <c r="B1246" i="3"/>
  <c r="A1246" i="3"/>
  <c r="I1245" i="3"/>
  <c r="H1245" i="3"/>
  <c r="G1245" i="3"/>
  <c r="F1245" i="3"/>
  <c r="C1245" i="3"/>
  <c r="B1245" i="3"/>
  <c r="A1245" i="3"/>
  <c r="I1244" i="3"/>
  <c r="H1244" i="3"/>
  <c r="G1244" i="3"/>
  <c r="F1244" i="3"/>
  <c r="C1244" i="3"/>
  <c r="B1244" i="3"/>
  <c r="A1244" i="3"/>
  <c r="I1243" i="3"/>
  <c r="H1243" i="3"/>
  <c r="G1243" i="3"/>
  <c r="F1243" i="3"/>
  <c r="C1243" i="3"/>
  <c r="B1243" i="3"/>
  <c r="A1243" i="3"/>
  <c r="I1242" i="3"/>
  <c r="H1242" i="3"/>
  <c r="G1242" i="3"/>
  <c r="F1242" i="3"/>
  <c r="C1242" i="3"/>
  <c r="B1242" i="3"/>
  <c r="A1242" i="3"/>
  <c r="I1241" i="3"/>
  <c r="H1241" i="3"/>
  <c r="G1241" i="3"/>
  <c r="F1241" i="3"/>
  <c r="C1241" i="3"/>
  <c r="B1241" i="3"/>
  <c r="A1241" i="3"/>
  <c r="I1240" i="3"/>
  <c r="H1240" i="3"/>
  <c r="G1240" i="3"/>
  <c r="F1240" i="3"/>
  <c r="C1240" i="3"/>
  <c r="B1240" i="3"/>
  <c r="A1240" i="3"/>
  <c r="I1239" i="3"/>
  <c r="H1239" i="3"/>
  <c r="G1239" i="3"/>
  <c r="F1239" i="3"/>
  <c r="C1239" i="3"/>
  <c r="B1239" i="3"/>
  <c r="A1239" i="3"/>
  <c r="I1238" i="3"/>
  <c r="H1238" i="3"/>
  <c r="G1238" i="3"/>
  <c r="F1238" i="3"/>
  <c r="C1238" i="3"/>
  <c r="B1238" i="3"/>
  <c r="A1238" i="3"/>
  <c r="I1237" i="3"/>
  <c r="H1237" i="3"/>
  <c r="G1237" i="3"/>
  <c r="F1237" i="3"/>
  <c r="C1237" i="3"/>
  <c r="B1237" i="3"/>
  <c r="A1237" i="3"/>
  <c r="I1236" i="3"/>
  <c r="H1236" i="3"/>
  <c r="G1236" i="3"/>
  <c r="F1236" i="3"/>
  <c r="C1236" i="3"/>
  <c r="B1236" i="3"/>
  <c r="A1236" i="3"/>
  <c r="I1235" i="3"/>
  <c r="H1235" i="3"/>
  <c r="G1235" i="3"/>
  <c r="F1235" i="3"/>
  <c r="C1235" i="3"/>
  <c r="B1235" i="3"/>
  <c r="A1235" i="3"/>
  <c r="I1234" i="3"/>
  <c r="H1234" i="3"/>
  <c r="G1234" i="3"/>
  <c r="F1234" i="3"/>
  <c r="C1234" i="3"/>
  <c r="B1234" i="3"/>
  <c r="A1234" i="3"/>
  <c r="I1233" i="3"/>
  <c r="H1233" i="3"/>
  <c r="G1233" i="3"/>
  <c r="F1233" i="3"/>
  <c r="C1233" i="3"/>
  <c r="B1233" i="3"/>
  <c r="A1233" i="3"/>
  <c r="I1232" i="3"/>
  <c r="H1232" i="3"/>
  <c r="G1232" i="3"/>
  <c r="F1232" i="3"/>
  <c r="C1232" i="3"/>
  <c r="B1232" i="3"/>
  <c r="A1232" i="3"/>
  <c r="I1231" i="3"/>
  <c r="H1231" i="3"/>
  <c r="G1231" i="3"/>
  <c r="F1231" i="3"/>
  <c r="C1231" i="3"/>
  <c r="B1231" i="3"/>
  <c r="A1231" i="3"/>
  <c r="I1230" i="3"/>
  <c r="H1230" i="3"/>
  <c r="G1230" i="3"/>
  <c r="F1230" i="3"/>
  <c r="C1230" i="3"/>
  <c r="B1230" i="3"/>
  <c r="A1230" i="3"/>
  <c r="I1229" i="3"/>
  <c r="H1229" i="3"/>
  <c r="G1229" i="3"/>
  <c r="F1229" i="3"/>
  <c r="C1229" i="3"/>
  <c r="B1229" i="3"/>
  <c r="A1229" i="3"/>
  <c r="I1228" i="3"/>
  <c r="H1228" i="3"/>
  <c r="G1228" i="3"/>
  <c r="F1228" i="3"/>
  <c r="C1228" i="3"/>
  <c r="B1228" i="3"/>
  <c r="A1228" i="3"/>
  <c r="I1227" i="3"/>
  <c r="H1227" i="3"/>
  <c r="G1227" i="3"/>
  <c r="F1227" i="3"/>
  <c r="C1227" i="3"/>
  <c r="B1227" i="3"/>
  <c r="A1227" i="3"/>
  <c r="I1226" i="3"/>
  <c r="H1226" i="3"/>
  <c r="G1226" i="3"/>
  <c r="F1226" i="3"/>
  <c r="C1226" i="3"/>
  <c r="B1226" i="3"/>
  <c r="A1226" i="3"/>
  <c r="I1225" i="3"/>
  <c r="H1225" i="3"/>
  <c r="G1225" i="3"/>
  <c r="F1225" i="3"/>
  <c r="C1225" i="3"/>
  <c r="B1225" i="3"/>
  <c r="A1225" i="3"/>
  <c r="I1224" i="3"/>
  <c r="H1224" i="3"/>
  <c r="G1224" i="3"/>
  <c r="F1224" i="3"/>
  <c r="C1224" i="3"/>
  <c r="B1224" i="3"/>
  <c r="A1224" i="3"/>
  <c r="I1223" i="3"/>
  <c r="H1223" i="3"/>
  <c r="G1223" i="3"/>
  <c r="F1223" i="3"/>
  <c r="C1223" i="3"/>
  <c r="B1223" i="3"/>
  <c r="A1223" i="3"/>
  <c r="I1222" i="3"/>
  <c r="H1222" i="3"/>
  <c r="G1222" i="3"/>
  <c r="F1222" i="3"/>
  <c r="C1222" i="3"/>
  <c r="B1222" i="3"/>
  <c r="A1222" i="3"/>
  <c r="I1221" i="3"/>
  <c r="H1221" i="3"/>
  <c r="G1221" i="3"/>
  <c r="F1221" i="3"/>
  <c r="C1221" i="3"/>
  <c r="B1221" i="3"/>
  <c r="A1221" i="3"/>
  <c r="I1220" i="3"/>
  <c r="H1220" i="3"/>
  <c r="G1220" i="3"/>
  <c r="F1220" i="3"/>
  <c r="C1220" i="3"/>
  <c r="B1220" i="3"/>
  <c r="A1220" i="3"/>
  <c r="I1219" i="3"/>
  <c r="H1219" i="3"/>
  <c r="G1219" i="3"/>
  <c r="F1219" i="3"/>
  <c r="C1219" i="3"/>
  <c r="B1219" i="3"/>
  <c r="A1219" i="3"/>
  <c r="I1218" i="3"/>
  <c r="H1218" i="3"/>
  <c r="G1218" i="3"/>
  <c r="F1218" i="3"/>
  <c r="C1218" i="3"/>
  <c r="B1218" i="3"/>
  <c r="A1218" i="3"/>
  <c r="I1217" i="3"/>
  <c r="H1217" i="3"/>
  <c r="G1217" i="3"/>
  <c r="F1217" i="3"/>
  <c r="C1217" i="3"/>
  <c r="B1217" i="3"/>
  <c r="A1217" i="3"/>
  <c r="I1216" i="3"/>
  <c r="H1216" i="3"/>
  <c r="G1216" i="3"/>
  <c r="F1216" i="3"/>
  <c r="C1216" i="3"/>
  <c r="B1216" i="3"/>
  <c r="A1216" i="3"/>
  <c r="I1215" i="3"/>
  <c r="H1215" i="3"/>
  <c r="G1215" i="3"/>
  <c r="F1215" i="3"/>
  <c r="C1215" i="3"/>
  <c r="B1215" i="3"/>
  <c r="A1215" i="3"/>
  <c r="I1214" i="3"/>
  <c r="H1214" i="3"/>
  <c r="G1214" i="3"/>
  <c r="F1214" i="3"/>
  <c r="C1214" i="3"/>
  <c r="B1214" i="3"/>
  <c r="A1214" i="3"/>
  <c r="I1213" i="3"/>
  <c r="H1213" i="3"/>
  <c r="G1213" i="3"/>
  <c r="F1213" i="3"/>
  <c r="C1213" i="3"/>
  <c r="B1213" i="3"/>
  <c r="A1213" i="3"/>
  <c r="I1212" i="3"/>
  <c r="H1212" i="3"/>
  <c r="G1212" i="3"/>
  <c r="F1212" i="3"/>
  <c r="C1212" i="3"/>
  <c r="B1212" i="3"/>
  <c r="A1212" i="3"/>
  <c r="I1211" i="3"/>
  <c r="H1211" i="3"/>
  <c r="G1211" i="3"/>
  <c r="F1211" i="3"/>
  <c r="C1211" i="3"/>
  <c r="B1211" i="3"/>
  <c r="A1211" i="3"/>
  <c r="I1210" i="3"/>
  <c r="H1210" i="3"/>
  <c r="G1210" i="3"/>
  <c r="F1210" i="3"/>
  <c r="C1210" i="3"/>
  <c r="B1210" i="3"/>
  <c r="A1210" i="3"/>
  <c r="I1209" i="3"/>
  <c r="H1209" i="3"/>
  <c r="G1209" i="3"/>
  <c r="F1209" i="3"/>
  <c r="C1209" i="3"/>
  <c r="B1209" i="3"/>
  <c r="A1209" i="3"/>
  <c r="I1208" i="3"/>
  <c r="H1208" i="3"/>
  <c r="G1208" i="3"/>
  <c r="F1208" i="3"/>
  <c r="C1208" i="3"/>
  <c r="B1208" i="3"/>
  <c r="A1208" i="3"/>
  <c r="I1207" i="3"/>
  <c r="H1207" i="3"/>
  <c r="G1207" i="3"/>
  <c r="F1207" i="3"/>
  <c r="C1207" i="3"/>
  <c r="B1207" i="3"/>
  <c r="A1207" i="3"/>
  <c r="I1206" i="3"/>
  <c r="H1206" i="3"/>
  <c r="G1206" i="3"/>
  <c r="F1206" i="3"/>
  <c r="C1206" i="3"/>
  <c r="B1206" i="3"/>
  <c r="A1206" i="3"/>
  <c r="I1205" i="3"/>
  <c r="H1205" i="3"/>
  <c r="G1205" i="3"/>
  <c r="F1205" i="3"/>
  <c r="C1205" i="3"/>
  <c r="B1205" i="3"/>
  <c r="A1205" i="3"/>
  <c r="I1204" i="3"/>
  <c r="H1204" i="3"/>
  <c r="G1204" i="3"/>
  <c r="F1204" i="3"/>
  <c r="C1204" i="3"/>
  <c r="B1204" i="3"/>
  <c r="A1204" i="3"/>
  <c r="I1203" i="3"/>
  <c r="H1203" i="3"/>
  <c r="G1203" i="3"/>
  <c r="F1203" i="3"/>
  <c r="C1203" i="3"/>
  <c r="B1203" i="3"/>
  <c r="A1203" i="3"/>
  <c r="I1202" i="3"/>
  <c r="H1202" i="3"/>
  <c r="G1202" i="3"/>
  <c r="F1202" i="3"/>
  <c r="C1202" i="3"/>
  <c r="B1202" i="3"/>
  <c r="A1202" i="3"/>
  <c r="I1201" i="3"/>
  <c r="H1201" i="3"/>
  <c r="G1201" i="3"/>
  <c r="F1201" i="3"/>
  <c r="C1201" i="3"/>
  <c r="B1201" i="3"/>
  <c r="A1201" i="3"/>
  <c r="I1200" i="3"/>
  <c r="H1200" i="3"/>
  <c r="G1200" i="3"/>
  <c r="F1200" i="3"/>
  <c r="C1200" i="3"/>
  <c r="B1200" i="3"/>
  <c r="A1200" i="3"/>
  <c r="I1199" i="3"/>
  <c r="H1199" i="3"/>
  <c r="G1199" i="3"/>
  <c r="F1199" i="3"/>
  <c r="C1199" i="3"/>
  <c r="B1199" i="3"/>
  <c r="A1199" i="3"/>
  <c r="I1198" i="3"/>
  <c r="H1198" i="3"/>
  <c r="G1198" i="3"/>
  <c r="F1198" i="3"/>
  <c r="C1198" i="3"/>
  <c r="B1198" i="3"/>
  <c r="A1198" i="3"/>
  <c r="I1197" i="3"/>
  <c r="H1197" i="3"/>
  <c r="G1197" i="3"/>
  <c r="F1197" i="3"/>
  <c r="C1197" i="3"/>
  <c r="B1197" i="3"/>
  <c r="A1197" i="3"/>
  <c r="I1196" i="3"/>
  <c r="H1196" i="3"/>
  <c r="G1196" i="3"/>
  <c r="F1196" i="3"/>
  <c r="C1196" i="3"/>
  <c r="B1196" i="3"/>
  <c r="A1196" i="3"/>
  <c r="I1195" i="3"/>
  <c r="H1195" i="3"/>
  <c r="G1195" i="3"/>
  <c r="F1195" i="3"/>
  <c r="C1195" i="3"/>
  <c r="B1195" i="3"/>
  <c r="A1195" i="3"/>
  <c r="I1194" i="3"/>
  <c r="H1194" i="3"/>
  <c r="G1194" i="3"/>
  <c r="F1194" i="3"/>
  <c r="C1194" i="3"/>
  <c r="B1194" i="3"/>
  <c r="A1194" i="3"/>
  <c r="I1193" i="3"/>
  <c r="H1193" i="3"/>
  <c r="G1193" i="3"/>
  <c r="F1193" i="3"/>
  <c r="C1193" i="3"/>
  <c r="B1193" i="3"/>
  <c r="A1193" i="3"/>
  <c r="I1192" i="3"/>
  <c r="H1192" i="3"/>
  <c r="G1192" i="3"/>
  <c r="F1192" i="3"/>
  <c r="C1192" i="3"/>
  <c r="B1192" i="3"/>
  <c r="A1192" i="3"/>
  <c r="I1191" i="3"/>
  <c r="H1191" i="3"/>
  <c r="G1191" i="3"/>
  <c r="F1191" i="3"/>
  <c r="C1191" i="3"/>
  <c r="B1191" i="3"/>
  <c r="A1191" i="3"/>
  <c r="I1190" i="3"/>
  <c r="H1190" i="3"/>
  <c r="G1190" i="3"/>
  <c r="F1190" i="3"/>
  <c r="C1190" i="3"/>
  <c r="B1190" i="3"/>
  <c r="A1190" i="3"/>
  <c r="I1189" i="3"/>
  <c r="H1189" i="3"/>
  <c r="G1189" i="3"/>
  <c r="F1189" i="3"/>
  <c r="C1189" i="3"/>
  <c r="B1189" i="3"/>
  <c r="A1189" i="3"/>
  <c r="I1188" i="3"/>
  <c r="H1188" i="3"/>
  <c r="G1188" i="3"/>
  <c r="F1188" i="3"/>
  <c r="C1188" i="3"/>
  <c r="B1188" i="3"/>
  <c r="A1188" i="3"/>
  <c r="I1187" i="3"/>
  <c r="H1187" i="3"/>
  <c r="G1187" i="3"/>
  <c r="F1187" i="3"/>
  <c r="C1187" i="3"/>
  <c r="B1187" i="3"/>
  <c r="A1187" i="3"/>
  <c r="I1186" i="3"/>
  <c r="H1186" i="3"/>
  <c r="G1186" i="3"/>
  <c r="F1186" i="3"/>
  <c r="C1186" i="3"/>
  <c r="B1186" i="3"/>
  <c r="A1186" i="3"/>
  <c r="I1185" i="3"/>
  <c r="H1185" i="3"/>
  <c r="G1185" i="3"/>
  <c r="F1185" i="3"/>
  <c r="C1185" i="3"/>
  <c r="B1185" i="3"/>
  <c r="A1185" i="3"/>
  <c r="I1184" i="3"/>
  <c r="H1184" i="3"/>
  <c r="G1184" i="3"/>
  <c r="F1184" i="3"/>
  <c r="C1184" i="3"/>
  <c r="B1184" i="3"/>
  <c r="A1184" i="3"/>
  <c r="I1183" i="3"/>
  <c r="H1183" i="3"/>
  <c r="G1183" i="3"/>
  <c r="F1183" i="3"/>
  <c r="C1183" i="3"/>
  <c r="B1183" i="3"/>
  <c r="A1183" i="3"/>
  <c r="I1182" i="3"/>
  <c r="H1182" i="3"/>
  <c r="G1182" i="3"/>
  <c r="F1182" i="3"/>
  <c r="C1182" i="3"/>
  <c r="B1182" i="3"/>
  <c r="A1182" i="3"/>
  <c r="I1181" i="3"/>
  <c r="H1181" i="3"/>
  <c r="G1181" i="3"/>
  <c r="F1181" i="3"/>
  <c r="C1181" i="3"/>
  <c r="B1181" i="3"/>
  <c r="A1181" i="3"/>
  <c r="I1180" i="3"/>
  <c r="H1180" i="3"/>
  <c r="G1180" i="3"/>
  <c r="F1180" i="3"/>
  <c r="C1180" i="3"/>
  <c r="B1180" i="3"/>
  <c r="A1180" i="3"/>
  <c r="I1179" i="3"/>
  <c r="H1179" i="3"/>
  <c r="G1179" i="3"/>
  <c r="F1179" i="3"/>
  <c r="C1179" i="3"/>
  <c r="B1179" i="3"/>
  <c r="A1179" i="3"/>
  <c r="I1178" i="3"/>
  <c r="H1178" i="3"/>
  <c r="G1178" i="3"/>
  <c r="F1178" i="3"/>
  <c r="C1178" i="3"/>
  <c r="B1178" i="3"/>
  <c r="A1178" i="3"/>
  <c r="I1177" i="3"/>
  <c r="H1177" i="3"/>
  <c r="G1177" i="3"/>
  <c r="F1177" i="3"/>
  <c r="C1177" i="3"/>
  <c r="B1177" i="3"/>
  <c r="A1177" i="3"/>
  <c r="I1176" i="3"/>
  <c r="H1176" i="3"/>
  <c r="G1176" i="3"/>
  <c r="F1176" i="3"/>
  <c r="C1176" i="3"/>
  <c r="B1176" i="3"/>
  <c r="A1176" i="3"/>
  <c r="I1175" i="3"/>
  <c r="H1175" i="3"/>
  <c r="G1175" i="3"/>
  <c r="F1175" i="3"/>
  <c r="C1175" i="3"/>
  <c r="B1175" i="3"/>
  <c r="A1175" i="3"/>
  <c r="I1174" i="3"/>
  <c r="H1174" i="3"/>
  <c r="G1174" i="3"/>
  <c r="F1174" i="3"/>
  <c r="C1174" i="3"/>
  <c r="B1174" i="3"/>
  <c r="A1174" i="3"/>
  <c r="I1173" i="3"/>
  <c r="H1173" i="3"/>
  <c r="G1173" i="3"/>
  <c r="F1173" i="3"/>
  <c r="C1173" i="3"/>
  <c r="B1173" i="3"/>
  <c r="A1173" i="3"/>
  <c r="I1172" i="3"/>
  <c r="H1172" i="3"/>
  <c r="G1172" i="3"/>
  <c r="F1172" i="3"/>
  <c r="C1172" i="3"/>
  <c r="B1172" i="3"/>
  <c r="A1172" i="3"/>
  <c r="I1171" i="3"/>
  <c r="H1171" i="3"/>
  <c r="G1171" i="3"/>
  <c r="F1171" i="3"/>
  <c r="C1171" i="3"/>
  <c r="B1171" i="3"/>
  <c r="A1171" i="3"/>
  <c r="I1170" i="3"/>
  <c r="H1170" i="3"/>
  <c r="G1170" i="3"/>
  <c r="F1170" i="3"/>
  <c r="C1170" i="3"/>
  <c r="B1170" i="3"/>
  <c r="A1170" i="3"/>
  <c r="I1169" i="3"/>
  <c r="H1169" i="3"/>
  <c r="G1169" i="3"/>
  <c r="F1169" i="3"/>
  <c r="C1169" i="3"/>
  <c r="B1169" i="3"/>
  <c r="A1169" i="3"/>
  <c r="I1168" i="3"/>
  <c r="H1168" i="3"/>
  <c r="G1168" i="3"/>
  <c r="F1168" i="3"/>
  <c r="C1168" i="3"/>
  <c r="B1168" i="3"/>
  <c r="A1168" i="3"/>
  <c r="I1167" i="3"/>
  <c r="H1167" i="3"/>
  <c r="G1167" i="3"/>
  <c r="F1167" i="3"/>
  <c r="C1167" i="3"/>
  <c r="B1167" i="3"/>
  <c r="A1167" i="3"/>
  <c r="I1166" i="3"/>
  <c r="H1166" i="3"/>
  <c r="G1166" i="3"/>
  <c r="F1166" i="3"/>
  <c r="C1166" i="3"/>
  <c r="B1166" i="3"/>
  <c r="A1166" i="3"/>
  <c r="I1165" i="3"/>
  <c r="H1165" i="3"/>
  <c r="G1165" i="3"/>
  <c r="F1165" i="3"/>
  <c r="C1165" i="3"/>
  <c r="B1165" i="3"/>
  <c r="A1165" i="3"/>
  <c r="I1164" i="3"/>
  <c r="H1164" i="3"/>
  <c r="G1164" i="3"/>
  <c r="F1164" i="3"/>
  <c r="C1164" i="3"/>
  <c r="B1164" i="3"/>
  <c r="A1164" i="3"/>
  <c r="I1163" i="3"/>
  <c r="H1163" i="3"/>
  <c r="G1163" i="3"/>
  <c r="F1163" i="3"/>
  <c r="C1163" i="3"/>
  <c r="B1163" i="3"/>
  <c r="A1163" i="3"/>
  <c r="I1162" i="3"/>
  <c r="H1162" i="3"/>
  <c r="G1162" i="3"/>
  <c r="F1162" i="3"/>
  <c r="C1162" i="3"/>
  <c r="B1162" i="3"/>
  <c r="A1162" i="3"/>
  <c r="I1161" i="3"/>
  <c r="H1161" i="3"/>
  <c r="G1161" i="3"/>
  <c r="F1161" i="3"/>
  <c r="C1161" i="3"/>
  <c r="B1161" i="3"/>
  <c r="A1161" i="3"/>
  <c r="I1160" i="3"/>
  <c r="H1160" i="3"/>
  <c r="G1160" i="3"/>
  <c r="F1160" i="3"/>
  <c r="C1160" i="3"/>
  <c r="B1160" i="3"/>
  <c r="A1160" i="3"/>
  <c r="I1159" i="3"/>
  <c r="H1159" i="3"/>
  <c r="G1159" i="3"/>
  <c r="F1159" i="3"/>
  <c r="C1159" i="3"/>
  <c r="B1159" i="3"/>
  <c r="A1159" i="3"/>
  <c r="I1158" i="3"/>
  <c r="H1158" i="3"/>
  <c r="G1158" i="3"/>
  <c r="F1158" i="3"/>
  <c r="C1158" i="3"/>
  <c r="B1158" i="3"/>
  <c r="A1158" i="3"/>
  <c r="I1157" i="3"/>
  <c r="H1157" i="3"/>
  <c r="G1157" i="3"/>
  <c r="F1157" i="3"/>
  <c r="C1157" i="3"/>
  <c r="B1157" i="3"/>
  <c r="A1157" i="3"/>
  <c r="I1156" i="3"/>
  <c r="H1156" i="3"/>
  <c r="G1156" i="3"/>
  <c r="F1156" i="3"/>
  <c r="C1156" i="3"/>
  <c r="B1156" i="3"/>
  <c r="A1156" i="3"/>
  <c r="I1155" i="3"/>
  <c r="H1155" i="3"/>
  <c r="G1155" i="3"/>
  <c r="F1155" i="3"/>
  <c r="C1155" i="3"/>
  <c r="B1155" i="3"/>
  <c r="A1155" i="3"/>
  <c r="I1154" i="3"/>
  <c r="H1154" i="3"/>
  <c r="G1154" i="3"/>
  <c r="F1154" i="3"/>
  <c r="C1154" i="3"/>
  <c r="B1154" i="3"/>
  <c r="A1154" i="3"/>
  <c r="I1153" i="3"/>
  <c r="H1153" i="3"/>
  <c r="G1153" i="3"/>
  <c r="F1153" i="3"/>
  <c r="C1153" i="3"/>
  <c r="B1153" i="3"/>
  <c r="A1153" i="3"/>
  <c r="I1152" i="3"/>
  <c r="H1152" i="3"/>
  <c r="G1152" i="3"/>
  <c r="F1152" i="3"/>
  <c r="C1152" i="3"/>
  <c r="B1152" i="3"/>
  <c r="A1152" i="3"/>
  <c r="I1151" i="3"/>
  <c r="H1151" i="3"/>
  <c r="G1151" i="3"/>
  <c r="F1151" i="3"/>
  <c r="C1151" i="3"/>
  <c r="B1151" i="3"/>
  <c r="A1151" i="3"/>
  <c r="I1150" i="3"/>
  <c r="H1150" i="3"/>
  <c r="G1150" i="3"/>
  <c r="F1150" i="3"/>
  <c r="C1150" i="3"/>
  <c r="B1150" i="3"/>
  <c r="A1150" i="3"/>
  <c r="I1149" i="3"/>
  <c r="H1149" i="3"/>
  <c r="G1149" i="3"/>
  <c r="F1149" i="3"/>
  <c r="C1149" i="3"/>
  <c r="B1149" i="3"/>
  <c r="A1149" i="3"/>
  <c r="I1148" i="3"/>
  <c r="H1148" i="3"/>
  <c r="G1148" i="3"/>
  <c r="F1148" i="3"/>
  <c r="C1148" i="3"/>
  <c r="B1148" i="3"/>
  <c r="A1148" i="3"/>
  <c r="I1147" i="3"/>
  <c r="H1147" i="3"/>
  <c r="G1147" i="3"/>
  <c r="F1147" i="3"/>
  <c r="C1147" i="3"/>
  <c r="B1147" i="3"/>
  <c r="A1147" i="3"/>
  <c r="I1146" i="3"/>
  <c r="H1146" i="3"/>
  <c r="G1146" i="3"/>
  <c r="F1146" i="3"/>
  <c r="C1146" i="3"/>
  <c r="B1146" i="3"/>
  <c r="A1146" i="3"/>
  <c r="I1145" i="3"/>
  <c r="H1145" i="3"/>
  <c r="G1145" i="3"/>
  <c r="F1145" i="3"/>
  <c r="C1145" i="3"/>
  <c r="B1145" i="3"/>
  <c r="A1145" i="3"/>
  <c r="I1144" i="3"/>
  <c r="H1144" i="3"/>
  <c r="G1144" i="3"/>
  <c r="F1144" i="3"/>
  <c r="C1144" i="3"/>
  <c r="B1144" i="3"/>
  <c r="A1144" i="3"/>
  <c r="I1143" i="3"/>
  <c r="H1143" i="3"/>
  <c r="G1143" i="3"/>
  <c r="F1143" i="3"/>
  <c r="C1143" i="3"/>
  <c r="B1143" i="3"/>
  <c r="A1143" i="3"/>
  <c r="I1142" i="3"/>
  <c r="H1142" i="3"/>
  <c r="G1142" i="3"/>
  <c r="F1142" i="3"/>
  <c r="C1142" i="3"/>
  <c r="B1142" i="3"/>
  <c r="A1142" i="3"/>
  <c r="I1141" i="3"/>
  <c r="H1141" i="3"/>
  <c r="G1141" i="3"/>
  <c r="F1141" i="3"/>
  <c r="C1141" i="3"/>
  <c r="B1141" i="3"/>
  <c r="A1141" i="3"/>
  <c r="I1140" i="3"/>
  <c r="H1140" i="3"/>
  <c r="G1140" i="3"/>
  <c r="F1140" i="3"/>
  <c r="C1140" i="3"/>
  <c r="B1140" i="3"/>
  <c r="A1140" i="3"/>
  <c r="I1139" i="3"/>
  <c r="H1139" i="3"/>
  <c r="G1139" i="3"/>
  <c r="F1139" i="3"/>
  <c r="C1139" i="3"/>
  <c r="B1139" i="3"/>
  <c r="A1139" i="3"/>
  <c r="I1138" i="3"/>
  <c r="H1138" i="3"/>
  <c r="G1138" i="3"/>
  <c r="F1138" i="3"/>
  <c r="C1138" i="3"/>
  <c r="B1138" i="3"/>
  <c r="A1138" i="3"/>
  <c r="I1137" i="3"/>
  <c r="H1137" i="3"/>
  <c r="G1137" i="3"/>
  <c r="F1137" i="3"/>
  <c r="C1137" i="3"/>
  <c r="B1137" i="3"/>
  <c r="A1137" i="3"/>
  <c r="I1136" i="3"/>
  <c r="H1136" i="3"/>
  <c r="G1136" i="3"/>
  <c r="F1136" i="3"/>
  <c r="C1136" i="3"/>
  <c r="B1136" i="3"/>
  <c r="A1136" i="3"/>
  <c r="I1135" i="3"/>
  <c r="H1135" i="3"/>
  <c r="G1135" i="3"/>
  <c r="F1135" i="3"/>
  <c r="C1135" i="3"/>
  <c r="B1135" i="3"/>
  <c r="A1135" i="3"/>
  <c r="I1134" i="3"/>
  <c r="H1134" i="3"/>
  <c r="G1134" i="3"/>
  <c r="F1134" i="3"/>
  <c r="C1134" i="3"/>
  <c r="B1134" i="3"/>
  <c r="A1134" i="3"/>
  <c r="I1133" i="3"/>
  <c r="H1133" i="3"/>
  <c r="G1133" i="3"/>
  <c r="F1133" i="3"/>
  <c r="C1133" i="3"/>
  <c r="B1133" i="3"/>
  <c r="A1133" i="3"/>
  <c r="I1132" i="3"/>
  <c r="H1132" i="3"/>
  <c r="G1132" i="3"/>
  <c r="F1132" i="3"/>
  <c r="C1132" i="3"/>
  <c r="B1132" i="3"/>
  <c r="A1132" i="3"/>
  <c r="I1131" i="3"/>
  <c r="H1131" i="3"/>
  <c r="G1131" i="3"/>
  <c r="F1131" i="3"/>
  <c r="C1131" i="3"/>
  <c r="B1131" i="3"/>
  <c r="A1131" i="3"/>
  <c r="I1130" i="3"/>
  <c r="H1130" i="3"/>
  <c r="G1130" i="3"/>
  <c r="F1130" i="3"/>
  <c r="C1130" i="3"/>
  <c r="B1130" i="3"/>
  <c r="A1130" i="3"/>
  <c r="I1129" i="3"/>
  <c r="H1129" i="3"/>
  <c r="G1129" i="3"/>
  <c r="F1129" i="3"/>
  <c r="C1129" i="3"/>
  <c r="B1129" i="3"/>
  <c r="A1129" i="3"/>
  <c r="I1128" i="3"/>
  <c r="H1128" i="3"/>
  <c r="G1128" i="3"/>
  <c r="F1128" i="3"/>
  <c r="C1128" i="3"/>
  <c r="B1128" i="3"/>
  <c r="A1128" i="3"/>
  <c r="I1127" i="3"/>
  <c r="H1127" i="3"/>
  <c r="G1127" i="3"/>
  <c r="F1127" i="3"/>
  <c r="C1127" i="3"/>
  <c r="B1127" i="3"/>
  <c r="A1127" i="3"/>
  <c r="I1126" i="3"/>
  <c r="H1126" i="3"/>
  <c r="G1126" i="3"/>
  <c r="F1126" i="3"/>
  <c r="C1126" i="3"/>
  <c r="B1126" i="3"/>
  <c r="A1126" i="3"/>
  <c r="I1125" i="3"/>
  <c r="H1125" i="3"/>
  <c r="G1125" i="3"/>
  <c r="F1125" i="3"/>
  <c r="C1125" i="3"/>
  <c r="B1125" i="3"/>
  <c r="A1125" i="3"/>
  <c r="I1124" i="3"/>
  <c r="H1124" i="3"/>
  <c r="G1124" i="3"/>
  <c r="F1124" i="3"/>
  <c r="C1124" i="3"/>
  <c r="B1124" i="3"/>
  <c r="A1124" i="3"/>
  <c r="I1123" i="3"/>
  <c r="H1123" i="3"/>
  <c r="G1123" i="3"/>
  <c r="F1123" i="3"/>
  <c r="C1123" i="3"/>
  <c r="B1123" i="3"/>
  <c r="A1123" i="3"/>
  <c r="I1122" i="3"/>
  <c r="H1122" i="3"/>
  <c r="G1122" i="3"/>
  <c r="F1122" i="3"/>
  <c r="C1122" i="3"/>
  <c r="B1122" i="3"/>
  <c r="A1122" i="3"/>
  <c r="I1121" i="3"/>
  <c r="H1121" i="3"/>
  <c r="G1121" i="3"/>
  <c r="F1121" i="3"/>
  <c r="C1121" i="3"/>
  <c r="B1121" i="3"/>
  <c r="A1121" i="3"/>
  <c r="I1120" i="3"/>
  <c r="H1120" i="3"/>
  <c r="G1120" i="3"/>
  <c r="F1120" i="3"/>
  <c r="C1120" i="3"/>
  <c r="B1120" i="3"/>
  <c r="A1120" i="3"/>
  <c r="I1119" i="3"/>
  <c r="H1119" i="3"/>
  <c r="G1119" i="3"/>
  <c r="F1119" i="3"/>
  <c r="C1119" i="3"/>
  <c r="B1119" i="3"/>
  <c r="A1119" i="3"/>
  <c r="I1118" i="3"/>
  <c r="H1118" i="3"/>
  <c r="G1118" i="3"/>
  <c r="F1118" i="3"/>
  <c r="C1118" i="3"/>
  <c r="B1118" i="3"/>
  <c r="A1118" i="3"/>
  <c r="I1117" i="3"/>
  <c r="H1117" i="3"/>
  <c r="G1117" i="3"/>
  <c r="F1117" i="3"/>
  <c r="C1117" i="3"/>
  <c r="B1117" i="3"/>
  <c r="A1117" i="3"/>
  <c r="I1116" i="3"/>
  <c r="H1116" i="3"/>
  <c r="G1116" i="3"/>
  <c r="F1116" i="3"/>
  <c r="C1116" i="3"/>
  <c r="B1116" i="3"/>
  <c r="A1116" i="3"/>
  <c r="I1115" i="3"/>
  <c r="H1115" i="3"/>
  <c r="G1115" i="3"/>
  <c r="F1115" i="3"/>
  <c r="C1115" i="3"/>
  <c r="B1115" i="3"/>
  <c r="A1115" i="3"/>
  <c r="I1114" i="3"/>
  <c r="H1114" i="3"/>
  <c r="G1114" i="3"/>
  <c r="F1114" i="3"/>
  <c r="C1114" i="3"/>
  <c r="B1114" i="3"/>
  <c r="A1114" i="3"/>
  <c r="I1113" i="3"/>
  <c r="H1113" i="3"/>
  <c r="G1113" i="3"/>
  <c r="F1113" i="3"/>
  <c r="C1113" i="3"/>
  <c r="B1113" i="3"/>
  <c r="A1113" i="3"/>
  <c r="I1112" i="3"/>
  <c r="H1112" i="3"/>
  <c r="G1112" i="3"/>
  <c r="F1112" i="3"/>
  <c r="C1112" i="3"/>
  <c r="B1112" i="3"/>
  <c r="A1112" i="3"/>
  <c r="I1111" i="3"/>
  <c r="H1111" i="3"/>
  <c r="G1111" i="3"/>
  <c r="F1111" i="3"/>
  <c r="C1111" i="3"/>
  <c r="B1111" i="3"/>
  <c r="A1111" i="3"/>
  <c r="I1110" i="3"/>
  <c r="H1110" i="3"/>
  <c r="G1110" i="3"/>
  <c r="F1110" i="3"/>
  <c r="C1110" i="3"/>
  <c r="B1110" i="3"/>
  <c r="A1110" i="3"/>
  <c r="I1109" i="3"/>
  <c r="H1109" i="3"/>
  <c r="G1109" i="3"/>
  <c r="F1109" i="3"/>
  <c r="C1109" i="3"/>
  <c r="B1109" i="3"/>
  <c r="A1109" i="3"/>
  <c r="I1108" i="3"/>
  <c r="H1108" i="3"/>
  <c r="G1108" i="3"/>
  <c r="F1108" i="3"/>
  <c r="C1108" i="3"/>
  <c r="B1108" i="3"/>
  <c r="A1108" i="3"/>
  <c r="I1107" i="3"/>
  <c r="H1107" i="3"/>
  <c r="G1107" i="3"/>
  <c r="F1107" i="3"/>
  <c r="C1107" i="3"/>
  <c r="B1107" i="3"/>
  <c r="A1107" i="3"/>
  <c r="I1106" i="3"/>
  <c r="H1106" i="3"/>
  <c r="G1106" i="3"/>
  <c r="F1106" i="3"/>
  <c r="C1106" i="3"/>
  <c r="B1106" i="3"/>
  <c r="A1106" i="3"/>
  <c r="I1105" i="3"/>
  <c r="H1105" i="3"/>
  <c r="G1105" i="3"/>
  <c r="F1105" i="3"/>
  <c r="C1105" i="3"/>
  <c r="B1105" i="3"/>
  <c r="A1105" i="3"/>
  <c r="I1104" i="3"/>
  <c r="H1104" i="3"/>
  <c r="G1104" i="3"/>
  <c r="F1104" i="3"/>
  <c r="C1104" i="3"/>
  <c r="B1104" i="3"/>
  <c r="A1104" i="3"/>
  <c r="I1103" i="3"/>
  <c r="H1103" i="3"/>
  <c r="G1103" i="3"/>
  <c r="F1103" i="3"/>
  <c r="C1103" i="3"/>
  <c r="B1103" i="3"/>
  <c r="A1103" i="3"/>
  <c r="I1102" i="3"/>
  <c r="H1102" i="3"/>
  <c r="G1102" i="3"/>
  <c r="F1102" i="3"/>
  <c r="C1102" i="3"/>
  <c r="B1102" i="3"/>
  <c r="A1102" i="3"/>
  <c r="I1101" i="3"/>
  <c r="H1101" i="3"/>
  <c r="G1101" i="3"/>
  <c r="F1101" i="3"/>
  <c r="C1101" i="3"/>
  <c r="B1101" i="3"/>
  <c r="A1101" i="3"/>
  <c r="I1100" i="3"/>
  <c r="H1100" i="3"/>
  <c r="G1100" i="3"/>
  <c r="F1100" i="3"/>
  <c r="C1100" i="3"/>
  <c r="B1100" i="3"/>
  <c r="A1100" i="3"/>
  <c r="I1099" i="3"/>
  <c r="H1099" i="3"/>
  <c r="G1099" i="3"/>
  <c r="F1099" i="3"/>
  <c r="C1099" i="3"/>
  <c r="B1099" i="3"/>
  <c r="A1099" i="3"/>
  <c r="I1098" i="3"/>
  <c r="H1098" i="3"/>
  <c r="G1098" i="3"/>
  <c r="F1098" i="3"/>
  <c r="C1098" i="3"/>
  <c r="B1098" i="3"/>
  <c r="A1098" i="3"/>
  <c r="I1097" i="3"/>
  <c r="H1097" i="3"/>
  <c r="G1097" i="3"/>
  <c r="F1097" i="3"/>
  <c r="C1097" i="3"/>
  <c r="B1097" i="3"/>
  <c r="A1097" i="3"/>
  <c r="I1096" i="3"/>
  <c r="H1096" i="3"/>
  <c r="G1096" i="3"/>
  <c r="F1096" i="3"/>
  <c r="C1096" i="3"/>
  <c r="B1096" i="3"/>
  <c r="A1096" i="3"/>
  <c r="I1095" i="3"/>
  <c r="H1095" i="3"/>
  <c r="G1095" i="3"/>
  <c r="F1095" i="3"/>
  <c r="C1095" i="3"/>
  <c r="B1095" i="3"/>
  <c r="A1095" i="3"/>
  <c r="I1094" i="3"/>
  <c r="H1094" i="3"/>
  <c r="G1094" i="3"/>
  <c r="F1094" i="3"/>
  <c r="C1094" i="3"/>
  <c r="B1094" i="3"/>
  <c r="A1094" i="3"/>
  <c r="I1093" i="3"/>
  <c r="H1093" i="3"/>
  <c r="G1093" i="3"/>
  <c r="F1093" i="3"/>
  <c r="C1093" i="3"/>
  <c r="B1093" i="3"/>
  <c r="A1093" i="3"/>
  <c r="I1092" i="3"/>
  <c r="H1092" i="3"/>
  <c r="G1092" i="3"/>
  <c r="F1092" i="3"/>
  <c r="C1092" i="3"/>
  <c r="B1092" i="3"/>
  <c r="A1092" i="3"/>
  <c r="I1091" i="3"/>
  <c r="H1091" i="3"/>
  <c r="G1091" i="3"/>
  <c r="F1091" i="3"/>
  <c r="C1091" i="3"/>
  <c r="B1091" i="3"/>
  <c r="A1091" i="3"/>
  <c r="I1090" i="3"/>
  <c r="H1090" i="3"/>
  <c r="G1090" i="3"/>
  <c r="F1090" i="3"/>
  <c r="C1090" i="3"/>
  <c r="B1090" i="3"/>
  <c r="A1090" i="3"/>
  <c r="I1089" i="3"/>
  <c r="H1089" i="3"/>
  <c r="G1089" i="3"/>
  <c r="F1089" i="3"/>
  <c r="C1089" i="3"/>
  <c r="B1089" i="3"/>
  <c r="A1089" i="3"/>
  <c r="I1088" i="3"/>
  <c r="H1088" i="3"/>
  <c r="G1088" i="3"/>
  <c r="F1088" i="3"/>
  <c r="C1088" i="3"/>
  <c r="B1088" i="3"/>
  <c r="A1088" i="3"/>
  <c r="I1087" i="3"/>
  <c r="H1087" i="3"/>
  <c r="G1087" i="3"/>
  <c r="F1087" i="3"/>
  <c r="C1087" i="3"/>
  <c r="B1087" i="3"/>
  <c r="A1087" i="3"/>
  <c r="I1086" i="3"/>
  <c r="H1086" i="3"/>
  <c r="G1086" i="3"/>
  <c r="F1086" i="3"/>
  <c r="C1086" i="3"/>
  <c r="B1086" i="3"/>
  <c r="A1086" i="3"/>
  <c r="I1085" i="3"/>
  <c r="H1085" i="3"/>
  <c r="G1085" i="3"/>
  <c r="F1085" i="3"/>
  <c r="C1085" i="3"/>
  <c r="B1085" i="3"/>
  <c r="A1085" i="3"/>
  <c r="I1084" i="3"/>
  <c r="H1084" i="3"/>
  <c r="G1084" i="3"/>
  <c r="F1084" i="3"/>
  <c r="C1084" i="3"/>
  <c r="B1084" i="3"/>
  <c r="A1084" i="3"/>
  <c r="I1083" i="3"/>
  <c r="H1083" i="3"/>
  <c r="G1083" i="3"/>
  <c r="F1083" i="3"/>
  <c r="C1083" i="3"/>
  <c r="B1083" i="3"/>
  <c r="A1083" i="3"/>
  <c r="I1082" i="3"/>
  <c r="H1082" i="3"/>
  <c r="G1082" i="3"/>
  <c r="F1082" i="3"/>
  <c r="C1082" i="3"/>
  <c r="B1082" i="3"/>
  <c r="A1082" i="3"/>
  <c r="I1081" i="3"/>
  <c r="H1081" i="3"/>
  <c r="G1081" i="3"/>
  <c r="F1081" i="3"/>
  <c r="C1081" i="3"/>
  <c r="B1081" i="3"/>
  <c r="A1081" i="3"/>
  <c r="I1080" i="3"/>
  <c r="H1080" i="3"/>
  <c r="G1080" i="3"/>
  <c r="F1080" i="3"/>
  <c r="C1080" i="3"/>
  <c r="B1080" i="3"/>
  <c r="A1080" i="3"/>
  <c r="I1079" i="3"/>
  <c r="H1079" i="3"/>
  <c r="G1079" i="3"/>
  <c r="F1079" i="3"/>
  <c r="C1079" i="3"/>
  <c r="B1079" i="3"/>
  <c r="A1079" i="3"/>
  <c r="I1078" i="3"/>
  <c r="H1078" i="3"/>
  <c r="G1078" i="3"/>
  <c r="F1078" i="3"/>
  <c r="C1078" i="3"/>
  <c r="B1078" i="3"/>
  <c r="A1078" i="3"/>
  <c r="I1077" i="3"/>
  <c r="H1077" i="3"/>
  <c r="G1077" i="3"/>
  <c r="F1077" i="3"/>
  <c r="C1077" i="3"/>
  <c r="B1077" i="3"/>
  <c r="A1077" i="3"/>
  <c r="I1076" i="3"/>
  <c r="H1076" i="3"/>
  <c r="G1076" i="3"/>
  <c r="F1076" i="3"/>
  <c r="C1076" i="3"/>
  <c r="B1076" i="3"/>
  <c r="A1076" i="3"/>
  <c r="I1075" i="3"/>
  <c r="H1075" i="3"/>
  <c r="G1075" i="3"/>
  <c r="F1075" i="3"/>
  <c r="C1075" i="3"/>
  <c r="B1075" i="3"/>
  <c r="A1075" i="3"/>
  <c r="I1074" i="3"/>
  <c r="H1074" i="3"/>
  <c r="G1074" i="3"/>
  <c r="F1074" i="3"/>
  <c r="C1074" i="3"/>
  <c r="B1074" i="3"/>
  <c r="A1074" i="3"/>
  <c r="I1073" i="3"/>
  <c r="H1073" i="3"/>
  <c r="G1073" i="3"/>
  <c r="F1073" i="3"/>
  <c r="C1073" i="3"/>
  <c r="B1073" i="3"/>
  <c r="A1073" i="3"/>
  <c r="I1072" i="3"/>
  <c r="H1072" i="3"/>
  <c r="G1072" i="3"/>
  <c r="F1072" i="3"/>
  <c r="C1072" i="3"/>
  <c r="B1072" i="3"/>
  <c r="A1072" i="3"/>
  <c r="I1071" i="3"/>
  <c r="H1071" i="3"/>
  <c r="G1071" i="3"/>
  <c r="F1071" i="3"/>
  <c r="C1071" i="3"/>
  <c r="B1071" i="3"/>
  <c r="A1071" i="3"/>
  <c r="I1070" i="3"/>
  <c r="H1070" i="3"/>
  <c r="G1070" i="3"/>
  <c r="F1070" i="3"/>
  <c r="C1070" i="3"/>
  <c r="B1070" i="3"/>
  <c r="A1070" i="3"/>
  <c r="I1069" i="3"/>
  <c r="H1069" i="3"/>
  <c r="G1069" i="3"/>
  <c r="F1069" i="3"/>
  <c r="C1069" i="3"/>
  <c r="B1069" i="3"/>
  <c r="A1069" i="3"/>
  <c r="I1068" i="3"/>
  <c r="H1068" i="3"/>
  <c r="G1068" i="3"/>
  <c r="F1068" i="3"/>
  <c r="C1068" i="3"/>
  <c r="B1068" i="3"/>
  <c r="A1068" i="3"/>
  <c r="I1067" i="3"/>
  <c r="H1067" i="3"/>
  <c r="G1067" i="3"/>
  <c r="F1067" i="3"/>
  <c r="C1067" i="3"/>
  <c r="B1067" i="3"/>
  <c r="A1067" i="3"/>
  <c r="I1066" i="3"/>
  <c r="H1066" i="3"/>
  <c r="G1066" i="3"/>
  <c r="F1066" i="3"/>
  <c r="C1066" i="3"/>
  <c r="B1066" i="3"/>
  <c r="A1066" i="3"/>
  <c r="I1065" i="3"/>
  <c r="H1065" i="3"/>
  <c r="G1065" i="3"/>
  <c r="F1065" i="3"/>
  <c r="C1065" i="3"/>
  <c r="B1065" i="3"/>
  <c r="A1065" i="3"/>
  <c r="I1064" i="3"/>
  <c r="H1064" i="3"/>
  <c r="G1064" i="3"/>
  <c r="F1064" i="3"/>
  <c r="C1064" i="3"/>
  <c r="B1064" i="3"/>
  <c r="A1064" i="3"/>
  <c r="I1063" i="3"/>
  <c r="H1063" i="3"/>
  <c r="G1063" i="3"/>
  <c r="F1063" i="3"/>
  <c r="C1063" i="3"/>
  <c r="B1063" i="3"/>
  <c r="A1063" i="3"/>
  <c r="I1062" i="3"/>
  <c r="H1062" i="3"/>
  <c r="G1062" i="3"/>
  <c r="F1062" i="3"/>
  <c r="C1062" i="3"/>
  <c r="B1062" i="3"/>
  <c r="A1062" i="3"/>
  <c r="I1061" i="3"/>
  <c r="H1061" i="3"/>
  <c r="G1061" i="3"/>
  <c r="F1061" i="3"/>
  <c r="C1061" i="3"/>
  <c r="B1061" i="3"/>
  <c r="A1061" i="3"/>
  <c r="I1060" i="3"/>
  <c r="H1060" i="3"/>
  <c r="G1060" i="3"/>
  <c r="F1060" i="3"/>
  <c r="C1060" i="3"/>
  <c r="B1060" i="3"/>
  <c r="A1060" i="3"/>
  <c r="I1059" i="3"/>
  <c r="H1059" i="3"/>
  <c r="G1059" i="3"/>
  <c r="F1059" i="3"/>
  <c r="C1059" i="3"/>
  <c r="B1059" i="3"/>
  <c r="A1059" i="3"/>
  <c r="I1058" i="3"/>
  <c r="H1058" i="3"/>
  <c r="G1058" i="3"/>
  <c r="F1058" i="3"/>
  <c r="C1058" i="3"/>
  <c r="B1058" i="3"/>
  <c r="A1058" i="3"/>
  <c r="I1057" i="3"/>
  <c r="H1057" i="3"/>
  <c r="G1057" i="3"/>
  <c r="F1057" i="3"/>
  <c r="C1057" i="3"/>
  <c r="B1057" i="3"/>
  <c r="A1057" i="3"/>
  <c r="I1056" i="3"/>
  <c r="H1056" i="3"/>
  <c r="G1056" i="3"/>
  <c r="F1056" i="3"/>
  <c r="C1056" i="3"/>
  <c r="B1056" i="3"/>
  <c r="A1056" i="3"/>
  <c r="I1055" i="3"/>
  <c r="H1055" i="3"/>
  <c r="G1055" i="3"/>
  <c r="F1055" i="3"/>
  <c r="C1055" i="3"/>
  <c r="B1055" i="3"/>
  <c r="A1055" i="3"/>
  <c r="I1054" i="3"/>
  <c r="H1054" i="3"/>
  <c r="G1054" i="3"/>
  <c r="F1054" i="3"/>
  <c r="C1054" i="3"/>
  <c r="B1054" i="3"/>
  <c r="A1054" i="3"/>
  <c r="I1053" i="3"/>
  <c r="H1053" i="3"/>
  <c r="G1053" i="3"/>
  <c r="F1053" i="3"/>
  <c r="C1053" i="3"/>
  <c r="B1053" i="3"/>
  <c r="A1053" i="3"/>
  <c r="I1052" i="3"/>
  <c r="H1052" i="3"/>
  <c r="G1052" i="3"/>
  <c r="F1052" i="3"/>
  <c r="C1052" i="3"/>
  <c r="B1052" i="3"/>
  <c r="A1052" i="3"/>
  <c r="I1051" i="3"/>
  <c r="H1051" i="3"/>
  <c r="G1051" i="3"/>
  <c r="F1051" i="3"/>
  <c r="C1051" i="3"/>
  <c r="B1051" i="3"/>
  <c r="A1051" i="3"/>
  <c r="I1050" i="3"/>
  <c r="H1050" i="3"/>
  <c r="G1050" i="3"/>
  <c r="F1050" i="3"/>
  <c r="C1050" i="3"/>
  <c r="B1050" i="3"/>
  <c r="A1050" i="3"/>
  <c r="I1049" i="3"/>
  <c r="H1049" i="3"/>
  <c r="G1049" i="3"/>
  <c r="F1049" i="3"/>
  <c r="C1049" i="3"/>
  <c r="B1049" i="3"/>
  <c r="A1049" i="3"/>
  <c r="I1048" i="3"/>
  <c r="H1048" i="3"/>
  <c r="G1048" i="3"/>
  <c r="F1048" i="3"/>
  <c r="C1048" i="3"/>
  <c r="B1048" i="3"/>
  <c r="A1048" i="3"/>
  <c r="I1047" i="3"/>
  <c r="H1047" i="3"/>
  <c r="G1047" i="3"/>
  <c r="F1047" i="3"/>
  <c r="C1047" i="3"/>
  <c r="B1047" i="3"/>
  <c r="A1047" i="3"/>
  <c r="I1046" i="3"/>
  <c r="H1046" i="3"/>
  <c r="G1046" i="3"/>
  <c r="F1046" i="3"/>
  <c r="C1046" i="3"/>
  <c r="B1046" i="3"/>
  <c r="A1046" i="3"/>
  <c r="I1045" i="3"/>
  <c r="H1045" i="3"/>
  <c r="G1045" i="3"/>
  <c r="F1045" i="3"/>
  <c r="C1045" i="3"/>
  <c r="B1045" i="3"/>
  <c r="A1045" i="3"/>
  <c r="I1044" i="3"/>
  <c r="H1044" i="3"/>
  <c r="G1044" i="3"/>
  <c r="F1044" i="3"/>
  <c r="C1044" i="3"/>
  <c r="B1044" i="3"/>
  <c r="A1044" i="3"/>
  <c r="I1043" i="3"/>
  <c r="H1043" i="3"/>
  <c r="G1043" i="3"/>
  <c r="F1043" i="3"/>
  <c r="C1043" i="3"/>
  <c r="B1043" i="3"/>
  <c r="A1043" i="3"/>
  <c r="I1042" i="3"/>
  <c r="H1042" i="3"/>
  <c r="G1042" i="3"/>
  <c r="F1042" i="3"/>
  <c r="C1042" i="3"/>
  <c r="B1042" i="3"/>
  <c r="A1042" i="3"/>
  <c r="I1041" i="3"/>
  <c r="H1041" i="3"/>
  <c r="G1041" i="3"/>
  <c r="F1041" i="3"/>
  <c r="C1041" i="3"/>
  <c r="B1041" i="3"/>
  <c r="A1041" i="3"/>
  <c r="I1040" i="3"/>
  <c r="H1040" i="3"/>
  <c r="G1040" i="3"/>
  <c r="F1040" i="3"/>
  <c r="C1040" i="3"/>
  <c r="B1040" i="3"/>
  <c r="A1040" i="3"/>
  <c r="I1039" i="3"/>
  <c r="H1039" i="3"/>
  <c r="G1039" i="3"/>
  <c r="F1039" i="3"/>
  <c r="C1039" i="3"/>
  <c r="B1039" i="3"/>
  <c r="A1039" i="3"/>
  <c r="I1038" i="3"/>
  <c r="H1038" i="3"/>
  <c r="G1038" i="3"/>
  <c r="F1038" i="3"/>
  <c r="C1038" i="3"/>
  <c r="B1038" i="3"/>
  <c r="A1038" i="3"/>
  <c r="I1037" i="3"/>
  <c r="H1037" i="3"/>
  <c r="G1037" i="3"/>
  <c r="F1037" i="3"/>
  <c r="C1037" i="3"/>
  <c r="B1037" i="3"/>
  <c r="A1037" i="3"/>
  <c r="I1036" i="3"/>
  <c r="H1036" i="3"/>
  <c r="G1036" i="3"/>
  <c r="F1036" i="3"/>
  <c r="C1036" i="3"/>
  <c r="B1036" i="3"/>
  <c r="A1036" i="3"/>
  <c r="I1035" i="3"/>
  <c r="H1035" i="3"/>
  <c r="G1035" i="3"/>
  <c r="F1035" i="3"/>
  <c r="C1035" i="3"/>
  <c r="B1035" i="3"/>
  <c r="A1035" i="3"/>
  <c r="I1034" i="3"/>
  <c r="H1034" i="3"/>
  <c r="G1034" i="3"/>
  <c r="F1034" i="3"/>
  <c r="C1034" i="3"/>
  <c r="B1034" i="3"/>
  <c r="A1034" i="3"/>
  <c r="I1033" i="3"/>
  <c r="H1033" i="3"/>
  <c r="G1033" i="3"/>
  <c r="F1033" i="3"/>
  <c r="C1033" i="3"/>
  <c r="B1033" i="3"/>
  <c r="A1033" i="3"/>
  <c r="I1032" i="3"/>
  <c r="H1032" i="3"/>
  <c r="G1032" i="3"/>
  <c r="F1032" i="3"/>
  <c r="C1032" i="3"/>
  <c r="B1032" i="3"/>
  <c r="A1032" i="3"/>
  <c r="I1031" i="3"/>
  <c r="H1031" i="3"/>
  <c r="G1031" i="3"/>
  <c r="F1031" i="3"/>
  <c r="C1031" i="3"/>
  <c r="B1031" i="3"/>
  <c r="A1031" i="3"/>
  <c r="I1030" i="3"/>
  <c r="H1030" i="3"/>
  <c r="G1030" i="3"/>
  <c r="F1030" i="3"/>
  <c r="C1030" i="3"/>
  <c r="B1030" i="3"/>
  <c r="A1030" i="3"/>
  <c r="I1029" i="3"/>
  <c r="H1029" i="3"/>
  <c r="G1029" i="3"/>
  <c r="F1029" i="3"/>
  <c r="C1029" i="3"/>
  <c r="B1029" i="3"/>
  <c r="A1029" i="3"/>
  <c r="I1028" i="3"/>
  <c r="H1028" i="3"/>
  <c r="G1028" i="3"/>
  <c r="F1028" i="3"/>
  <c r="C1028" i="3"/>
  <c r="B1028" i="3"/>
  <c r="A1028" i="3"/>
  <c r="I1027" i="3"/>
  <c r="H1027" i="3"/>
  <c r="G1027" i="3"/>
  <c r="F1027" i="3"/>
  <c r="C1027" i="3"/>
  <c r="B1027" i="3"/>
  <c r="A1027" i="3"/>
  <c r="I1026" i="3"/>
  <c r="H1026" i="3"/>
  <c r="G1026" i="3"/>
  <c r="F1026" i="3"/>
  <c r="C1026" i="3"/>
  <c r="B1026" i="3"/>
  <c r="A1026" i="3"/>
  <c r="I1025" i="3"/>
  <c r="H1025" i="3"/>
  <c r="G1025" i="3"/>
  <c r="F1025" i="3"/>
  <c r="C1025" i="3"/>
  <c r="B1025" i="3"/>
  <c r="A1025" i="3"/>
  <c r="I1024" i="3"/>
  <c r="H1024" i="3"/>
  <c r="G1024" i="3"/>
  <c r="F1024" i="3"/>
  <c r="C1024" i="3"/>
  <c r="B1024" i="3"/>
  <c r="A1024" i="3"/>
  <c r="I1023" i="3"/>
  <c r="H1023" i="3"/>
  <c r="G1023" i="3"/>
  <c r="F1023" i="3"/>
  <c r="C1023" i="3"/>
  <c r="B1023" i="3"/>
  <c r="A1023" i="3"/>
  <c r="I1022" i="3"/>
  <c r="H1022" i="3"/>
  <c r="G1022" i="3"/>
  <c r="F1022" i="3"/>
  <c r="C1022" i="3"/>
  <c r="B1022" i="3"/>
  <c r="A1022" i="3"/>
  <c r="I1021" i="3"/>
  <c r="H1021" i="3"/>
  <c r="G1021" i="3"/>
  <c r="F1021" i="3"/>
  <c r="C1021" i="3"/>
  <c r="B1021" i="3"/>
  <c r="A1021" i="3"/>
  <c r="I1020" i="3"/>
  <c r="H1020" i="3"/>
  <c r="G1020" i="3"/>
  <c r="F1020" i="3"/>
  <c r="C1020" i="3"/>
  <c r="B1020" i="3"/>
  <c r="A1020" i="3"/>
  <c r="I1019" i="3"/>
  <c r="H1019" i="3"/>
  <c r="G1019" i="3"/>
  <c r="F1019" i="3"/>
  <c r="C1019" i="3"/>
  <c r="B1019" i="3"/>
  <c r="A1019" i="3"/>
  <c r="I1018" i="3"/>
  <c r="H1018" i="3"/>
  <c r="G1018" i="3"/>
  <c r="F1018" i="3"/>
  <c r="C1018" i="3"/>
  <c r="B1018" i="3"/>
  <c r="A1018" i="3"/>
  <c r="I1017" i="3"/>
  <c r="H1017" i="3"/>
  <c r="G1017" i="3"/>
  <c r="F1017" i="3"/>
  <c r="C1017" i="3"/>
  <c r="B1017" i="3"/>
  <c r="A1017" i="3"/>
  <c r="I1016" i="3"/>
  <c r="H1016" i="3"/>
  <c r="G1016" i="3"/>
  <c r="F1016" i="3"/>
  <c r="C1016" i="3"/>
  <c r="B1016" i="3"/>
  <c r="A1016" i="3"/>
  <c r="I1015" i="3"/>
  <c r="H1015" i="3"/>
  <c r="G1015" i="3"/>
  <c r="F1015" i="3"/>
  <c r="C1015" i="3"/>
  <c r="B1015" i="3"/>
  <c r="A1015" i="3"/>
  <c r="I1014" i="3"/>
  <c r="H1014" i="3"/>
  <c r="G1014" i="3"/>
  <c r="F1014" i="3"/>
  <c r="C1014" i="3"/>
  <c r="B1014" i="3"/>
  <c r="A1014" i="3"/>
  <c r="I1013" i="3"/>
  <c r="H1013" i="3"/>
  <c r="G1013" i="3"/>
  <c r="F1013" i="3"/>
  <c r="C1013" i="3"/>
  <c r="B1013" i="3"/>
  <c r="A1013" i="3"/>
  <c r="I1012" i="3"/>
  <c r="H1012" i="3"/>
  <c r="G1012" i="3"/>
  <c r="F1012" i="3"/>
  <c r="C1012" i="3"/>
  <c r="B1012" i="3"/>
  <c r="A1012" i="3"/>
  <c r="I1011" i="3"/>
  <c r="H1011" i="3"/>
  <c r="G1011" i="3"/>
  <c r="F1011" i="3"/>
  <c r="C1011" i="3"/>
  <c r="B1011" i="3"/>
  <c r="A1011" i="3"/>
  <c r="I1010" i="3"/>
  <c r="H1010" i="3"/>
  <c r="G1010" i="3"/>
  <c r="F1010" i="3"/>
  <c r="C1010" i="3"/>
  <c r="B1010" i="3"/>
  <c r="A1010" i="3"/>
  <c r="I1009" i="3"/>
  <c r="H1009" i="3"/>
  <c r="G1009" i="3"/>
  <c r="F1009" i="3"/>
  <c r="C1009" i="3"/>
  <c r="B1009" i="3"/>
  <c r="A1009" i="3"/>
  <c r="I1008" i="3"/>
  <c r="H1008" i="3"/>
  <c r="G1008" i="3"/>
  <c r="F1008" i="3"/>
  <c r="C1008" i="3"/>
  <c r="B1008" i="3"/>
  <c r="A1008" i="3"/>
  <c r="I1007" i="3"/>
  <c r="H1007" i="3"/>
  <c r="G1007" i="3"/>
  <c r="F1007" i="3"/>
  <c r="C1007" i="3"/>
  <c r="B1007" i="3"/>
  <c r="A1007" i="3"/>
  <c r="I1006" i="3"/>
  <c r="H1006" i="3"/>
  <c r="G1006" i="3"/>
  <c r="F1006" i="3"/>
  <c r="C1006" i="3"/>
  <c r="B1006" i="3"/>
  <c r="A1006" i="3"/>
  <c r="I1005" i="3"/>
  <c r="H1005" i="3"/>
  <c r="G1005" i="3"/>
  <c r="F1005" i="3"/>
  <c r="C1005" i="3"/>
  <c r="B1005" i="3"/>
  <c r="A1005" i="3"/>
  <c r="I1004" i="3"/>
  <c r="H1004" i="3"/>
  <c r="G1004" i="3"/>
  <c r="F1004" i="3"/>
  <c r="C1004" i="3"/>
  <c r="B1004" i="3"/>
  <c r="A1004" i="3"/>
  <c r="I1003" i="3"/>
  <c r="H1003" i="3"/>
  <c r="G1003" i="3"/>
  <c r="F1003" i="3"/>
  <c r="C1003" i="3"/>
  <c r="B1003" i="3"/>
  <c r="A1003" i="3"/>
  <c r="I1002" i="3"/>
  <c r="H1002" i="3"/>
  <c r="G1002" i="3"/>
  <c r="F1002" i="3"/>
  <c r="C1002" i="3"/>
  <c r="B1002" i="3"/>
  <c r="A1002" i="3"/>
  <c r="I1001" i="3"/>
  <c r="H1001" i="3"/>
  <c r="G1001" i="3"/>
  <c r="F1001" i="3"/>
  <c r="C1001" i="3"/>
  <c r="B1001" i="3"/>
  <c r="A1001" i="3"/>
  <c r="I1000" i="3"/>
  <c r="H1000" i="3"/>
  <c r="G1000" i="3"/>
  <c r="F1000" i="3"/>
  <c r="C1000" i="3"/>
  <c r="B1000" i="3"/>
  <c r="A1000" i="3"/>
  <c r="I999" i="3"/>
  <c r="H999" i="3"/>
  <c r="G999" i="3"/>
  <c r="F999" i="3"/>
  <c r="C999" i="3"/>
  <c r="B999" i="3"/>
  <c r="A999" i="3"/>
  <c r="I998" i="3"/>
  <c r="H998" i="3"/>
  <c r="G998" i="3"/>
  <c r="F998" i="3"/>
  <c r="C998" i="3"/>
  <c r="B998" i="3"/>
  <c r="A998" i="3"/>
  <c r="I997" i="3"/>
  <c r="H997" i="3"/>
  <c r="G997" i="3"/>
  <c r="F997" i="3"/>
  <c r="C997" i="3"/>
  <c r="B997" i="3"/>
  <c r="A997" i="3"/>
  <c r="I996" i="3"/>
  <c r="H996" i="3"/>
  <c r="G996" i="3"/>
  <c r="F996" i="3"/>
  <c r="C996" i="3"/>
  <c r="B996" i="3"/>
  <c r="A996" i="3"/>
  <c r="I995" i="3"/>
  <c r="H995" i="3"/>
  <c r="G995" i="3"/>
  <c r="F995" i="3"/>
  <c r="C995" i="3"/>
  <c r="B995" i="3"/>
  <c r="A995" i="3"/>
  <c r="I994" i="3"/>
  <c r="H994" i="3"/>
  <c r="G994" i="3"/>
  <c r="F994" i="3"/>
  <c r="C994" i="3"/>
  <c r="B994" i="3"/>
  <c r="A994" i="3"/>
  <c r="I993" i="3"/>
  <c r="H993" i="3"/>
  <c r="G993" i="3"/>
  <c r="F993" i="3"/>
  <c r="C993" i="3"/>
  <c r="B993" i="3"/>
  <c r="A993" i="3"/>
  <c r="I992" i="3"/>
  <c r="H992" i="3"/>
  <c r="G992" i="3"/>
  <c r="F992" i="3"/>
  <c r="C992" i="3"/>
  <c r="B992" i="3"/>
  <c r="A992" i="3"/>
  <c r="I991" i="3"/>
  <c r="H991" i="3"/>
  <c r="G991" i="3"/>
  <c r="F991" i="3"/>
  <c r="C991" i="3"/>
  <c r="B991" i="3"/>
  <c r="A991" i="3"/>
  <c r="I990" i="3"/>
  <c r="H990" i="3"/>
  <c r="G990" i="3"/>
  <c r="F990" i="3"/>
  <c r="C990" i="3"/>
  <c r="B990" i="3"/>
  <c r="A990" i="3"/>
  <c r="I989" i="3"/>
  <c r="H989" i="3"/>
  <c r="G989" i="3"/>
  <c r="F989" i="3"/>
  <c r="C989" i="3"/>
  <c r="B989" i="3"/>
  <c r="A989" i="3"/>
  <c r="I988" i="3"/>
  <c r="H988" i="3"/>
  <c r="G988" i="3"/>
  <c r="F988" i="3"/>
  <c r="C988" i="3"/>
  <c r="B988" i="3"/>
  <c r="A988" i="3"/>
  <c r="I987" i="3"/>
  <c r="H987" i="3"/>
  <c r="G987" i="3"/>
  <c r="F987" i="3"/>
  <c r="C987" i="3"/>
  <c r="B987" i="3"/>
  <c r="A987" i="3"/>
  <c r="I986" i="3"/>
  <c r="H986" i="3"/>
  <c r="G986" i="3"/>
  <c r="F986" i="3"/>
  <c r="C986" i="3"/>
  <c r="B986" i="3"/>
  <c r="A986" i="3"/>
  <c r="I985" i="3"/>
  <c r="H985" i="3"/>
  <c r="G985" i="3"/>
  <c r="F985" i="3"/>
  <c r="C985" i="3"/>
  <c r="B985" i="3"/>
  <c r="A985" i="3"/>
  <c r="I984" i="3"/>
  <c r="H984" i="3"/>
  <c r="G984" i="3"/>
  <c r="F984" i="3"/>
  <c r="C984" i="3"/>
  <c r="B984" i="3"/>
  <c r="A984" i="3"/>
  <c r="I983" i="3"/>
  <c r="H983" i="3"/>
  <c r="G983" i="3"/>
  <c r="F983" i="3"/>
  <c r="C983" i="3"/>
  <c r="B983" i="3"/>
  <c r="A983" i="3"/>
  <c r="I982" i="3"/>
  <c r="H982" i="3"/>
  <c r="G982" i="3"/>
  <c r="F982" i="3"/>
  <c r="C982" i="3"/>
  <c r="B982" i="3"/>
  <c r="A982" i="3"/>
  <c r="I981" i="3"/>
  <c r="H981" i="3"/>
  <c r="G981" i="3"/>
  <c r="F981" i="3"/>
  <c r="C981" i="3"/>
  <c r="B981" i="3"/>
  <c r="A981" i="3"/>
  <c r="I980" i="3"/>
  <c r="H980" i="3"/>
  <c r="G980" i="3"/>
  <c r="F980" i="3"/>
  <c r="C980" i="3"/>
  <c r="B980" i="3"/>
  <c r="A980" i="3"/>
  <c r="I979" i="3"/>
  <c r="H979" i="3"/>
  <c r="G979" i="3"/>
  <c r="F979" i="3"/>
  <c r="C979" i="3"/>
  <c r="B979" i="3"/>
  <c r="A979" i="3"/>
  <c r="I978" i="3"/>
  <c r="H978" i="3"/>
  <c r="G978" i="3"/>
  <c r="F978" i="3"/>
  <c r="C978" i="3"/>
  <c r="B978" i="3"/>
  <c r="A978" i="3"/>
  <c r="I977" i="3"/>
  <c r="H977" i="3"/>
  <c r="G977" i="3"/>
  <c r="F977" i="3"/>
  <c r="C977" i="3"/>
  <c r="B977" i="3"/>
  <c r="A977" i="3"/>
  <c r="I976" i="3"/>
  <c r="H976" i="3"/>
  <c r="G976" i="3"/>
  <c r="F976" i="3"/>
  <c r="C976" i="3"/>
  <c r="B976" i="3"/>
  <c r="A976" i="3"/>
  <c r="I975" i="3"/>
  <c r="H975" i="3"/>
  <c r="G975" i="3"/>
  <c r="F975" i="3"/>
  <c r="C975" i="3"/>
  <c r="B975" i="3"/>
  <c r="A975" i="3"/>
  <c r="I974" i="3"/>
  <c r="H974" i="3"/>
  <c r="G974" i="3"/>
  <c r="F974" i="3"/>
  <c r="C974" i="3"/>
  <c r="B974" i="3"/>
  <c r="A974" i="3"/>
  <c r="I973" i="3"/>
  <c r="H973" i="3"/>
  <c r="G973" i="3"/>
  <c r="F973" i="3"/>
  <c r="C973" i="3"/>
  <c r="B973" i="3"/>
  <c r="A973" i="3"/>
  <c r="I972" i="3"/>
  <c r="H972" i="3"/>
  <c r="G972" i="3"/>
  <c r="F972" i="3"/>
  <c r="C972" i="3"/>
  <c r="B972" i="3"/>
  <c r="A972" i="3"/>
  <c r="I971" i="3"/>
  <c r="H971" i="3"/>
  <c r="G971" i="3"/>
  <c r="F971" i="3"/>
  <c r="C971" i="3"/>
  <c r="B971" i="3"/>
  <c r="A971" i="3"/>
  <c r="I970" i="3"/>
  <c r="H970" i="3"/>
  <c r="G970" i="3"/>
  <c r="F970" i="3"/>
  <c r="C970" i="3"/>
  <c r="B970" i="3"/>
  <c r="A970" i="3"/>
  <c r="I969" i="3"/>
  <c r="H969" i="3"/>
  <c r="G969" i="3"/>
  <c r="F969" i="3"/>
  <c r="C969" i="3"/>
  <c r="B969" i="3"/>
  <c r="A969" i="3"/>
  <c r="I968" i="3"/>
  <c r="H968" i="3"/>
  <c r="G968" i="3"/>
  <c r="F968" i="3"/>
  <c r="C968" i="3"/>
  <c r="B968" i="3"/>
  <c r="A968" i="3"/>
  <c r="I967" i="3"/>
  <c r="H967" i="3"/>
  <c r="G967" i="3"/>
  <c r="F967" i="3"/>
  <c r="C967" i="3"/>
  <c r="B967" i="3"/>
  <c r="A967" i="3"/>
  <c r="I966" i="3"/>
  <c r="H966" i="3"/>
  <c r="G966" i="3"/>
  <c r="F966" i="3"/>
  <c r="C966" i="3"/>
  <c r="B966" i="3"/>
  <c r="A966" i="3"/>
  <c r="I965" i="3"/>
  <c r="H965" i="3"/>
  <c r="G965" i="3"/>
  <c r="F965" i="3"/>
  <c r="C965" i="3"/>
  <c r="B965" i="3"/>
  <c r="A965" i="3"/>
  <c r="I964" i="3"/>
  <c r="H964" i="3"/>
  <c r="G964" i="3"/>
  <c r="F964" i="3"/>
  <c r="C964" i="3"/>
  <c r="B964" i="3"/>
  <c r="A964" i="3"/>
  <c r="I963" i="3"/>
  <c r="H963" i="3"/>
  <c r="G963" i="3"/>
  <c r="F963" i="3"/>
  <c r="C963" i="3"/>
  <c r="B963" i="3"/>
  <c r="A963" i="3"/>
  <c r="I962" i="3"/>
  <c r="H962" i="3"/>
  <c r="G962" i="3"/>
  <c r="F962" i="3"/>
  <c r="C962" i="3"/>
  <c r="B962" i="3"/>
  <c r="A962" i="3"/>
  <c r="I961" i="3"/>
  <c r="H961" i="3"/>
  <c r="G961" i="3"/>
  <c r="F961" i="3"/>
  <c r="C961" i="3"/>
  <c r="B961" i="3"/>
  <c r="A961" i="3"/>
  <c r="I960" i="3"/>
  <c r="H960" i="3"/>
  <c r="G960" i="3"/>
  <c r="F960" i="3"/>
  <c r="C960" i="3"/>
  <c r="B960" i="3"/>
  <c r="A960" i="3"/>
  <c r="I959" i="3"/>
  <c r="H959" i="3"/>
  <c r="G959" i="3"/>
  <c r="F959" i="3"/>
  <c r="C959" i="3"/>
  <c r="B959" i="3"/>
  <c r="A959" i="3"/>
  <c r="I958" i="3"/>
  <c r="H958" i="3"/>
  <c r="G958" i="3"/>
  <c r="F958" i="3"/>
  <c r="C958" i="3"/>
  <c r="B958" i="3"/>
  <c r="A958" i="3"/>
  <c r="I957" i="3"/>
  <c r="H957" i="3"/>
  <c r="G957" i="3"/>
  <c r="F957" i="3"/>
  <c r="C957" i="3"/>
  <c r="B957" i="3"/>
  <c r="A957" i="3"/>
  <c r="I956" i="3"/>
  <c r="H956" i="3"/>
  <c r="G956" i="3"/>
  <c r="F956" i="3"/>
  <c r="C956" i="3"/>
  <c r="B956" i="3"/>
  <c r="A956" i="3"/>
  <c r="I955" i="3"/>
  <c r="H955" i="3"/>
  <c r="G955" i="3"/>
  <c r="F955" i="3"/>
  <c r="C955" i="3"/>
  <c r="B955" i="3"/>
  <c r="A955" i="3"/>
  <c r="I954" i="3"/>
  <c r="H954" i="3"/>
  <c r="G954" i="3"/>
  <c r="F954" i="3"/>
  <c r="C954" i="3"/>
  <c r="B954" i="3"/>
  <c r="A954" i="3"/>
  <c r="I953" i="3"/>
  <c r="H953" i="3"/>
  <c r="G953" i="3"/>
  <c r="F953" i="3"/>
  <c r="C953" i="3"/>
  <c r="B953" i="3"/>
  <c r="A953" i="3"/>
  <c r="I952" i="3"/>
  <c r="H952" i="3"/>
  <c r="G952" i="3"/>
  <c r="F952" i="3"/>
  <c r="C952" i="3"/>
  <c r="B952" i="3"/>
  <c r="A952" i="3"/>
  <c r="I951" i="3"/>
  <c r="H951" i="3"/>
  <c r="G951" i="3"/>
  <c r="F951" i="3"/>
  <c r="C951" i="3"/>
  <c r="B951" i="3"/>
  <c r="A951" i="3"/>
  <c r="I950" i="3"/>
  <c r="H950" i="3"/>
  <c r="G950" i="3"/>
  <c r="F950" i="3"/>
  <c r="C950" i="3"/>
  <c r="B950" i="3"/>
  <c r="A950" i="3"/>
  <c r="I949" i="3"/>
  <c r="H949" i="3"/>
  <c r="G949" i="3"/>
  <c r="F949" i="3"/>
  <c r="C949" i="3"/>
  <c r="B949" i="3"/>
  <c r="A949" i="3"/>
  <c r="I948" i="3"/>
  <c r="H948" i="3"/>
  <c r="G948" i="3"/>
  <c r="F948" i="3"/>
  <c r="C948" i="3"/>
  <c r="B948" i="3"/>
  <c r="A948" i="3"/>
  <c r="I947" i="3"/>
  <c r="H947" i="3"/>
  <c r="G947" i="3"/>
  <c r="F947" i="3"/>
  <c r="C947" i="3"/>
  <c r="B947" i="3"/>
  <c r="A947" i="3"/>
  <c r="I946" i="3"/>
  <c r="H946" i="3"/>
  <c r="G946" i="3"/>
  <c r="F946" i="3"/>
  <c r="C946" i="3"/>
  <c r="B946" i="3"/>
  <c r="A946" i="3"/>
  <c r="I945" i="3"/>
  <c r="H945" i="3"/>
  <c r="G945" i="3"/>
  <c r="F945" i="3"/>
  <c r="C945" i="3"/>
  <c r="B945" i="3"/>
  <c r="A945" i="3"/>
  <c r="I944" i="3"/>
  <c r="H944" i="3"/>
  <c r="G944" i="3"/>
  <c r="F944" i="3"/>
  <c r="C944" i="3"/>
  <c r="B944" i="3"/>
  <c r="A944" i="3"/>
  <c r="I943" i="3"/>
  <c r="H943" i="3"/>
  <c r="G943" i="3"/>
  <c r="F943" i="3"/>
  <c r="C943" i="3"/>
  <c r="B943" i="3"/>
  <c r="A943" i="3"/>
  <c r="I942" i="3"/>
  <c r="H942" i="3"/>
  <c r="G942" i="3"/>
  <c r="F942" i="3"/>
  <c r="C942" i="3"/>
  <c r="B942" i="3"/>
  <c r="A942" i="3"/>
  <c r="I941" i="3"/>
  <c r="H941" i="3"/>
  <c r="G941" i="3"/>
  <c r="F941" i="3"/>
  <c r="C941" i="3"/>
  <c r="B941" i="3"/>
  <c r="A941" i="3"/>
  <c r="I940" i="3"/>
  <c r="H940" i="3"/>
  <c r="G940" i="3"/>
  <c r="F940" i="3"/>
  <c r="C940" i="3"/>
  <c r="B940" i="3"/>
  <c r="A940" i="3"/>
  <c r="I939" i="3"/>
  <c r="H939" i="3"/>
  <c r="G939" i="3"/>
  <c r="F939" i="3"/>
  <c r="C939" i="3"/>
  <c r="B939" i="3"/>
  <c r="A939" i="3"/>
  <c r="I938" i="3"/>
  <c r="H938" i="3"/>
  <c r="G938" i="3"/>
  <c r="F938" i="3"/>
  <c r="C938" i="3"/>
  <c r="B938" i="3"/>
  <c r="A938" i="3"/>
  <c r="I937" i="3"/>
  <c r="H937" i="3"/>
  <c r="G937" i="3"/>
  <c r="F937" i="3"/>
  <c r="C937" i="3"/>
  <c r="B937" i="3"/>
  <c r="A937" i="3"/>
  <c r="I936" i="3"/>
  <c r="H936" i="3"/>
  <c r="G936" i="3"/>
  <c r="F936" i="3"/>
  <c r="C936" i="3"/>
  <c r="B936" i="3"/>
  <c r="A936" i="3"/>
  <c r="I935" i="3"/>
  <c r="H935" i="3"/>
  <c r="G935" i="3"/>
  <c r="F935" i="3"/>
  <c r="C935" i="3"/>
  <c r="B935" i="3"/>
  <c r="A935" i="3"/>
  <c r="I934" i="3"/>
  <c r="H934" i="3"/>
  <c r="G934" i="3"/>
  <c r="F934" i="3"/>
  <c r="C934" i="3"/>
  <c r="B934" i="3"/>
  <c r="A934" i="3"/>
  <c r="I933" i="3"/>
  <c r="H933" i="3"/>
  <c r="G933" i="3"/>
  <c r="F933" i="3"/>
  <c r="C933" i="3"/>
  <c r="B933" i="3"/>
  <c r="A933" i="3"/>
  <c r="I932" i="3"/>
  <c r="H932" i="3"/>
  <c r="G932" i="3"/>
  <c r="F932" i="3"/>
  <c r="C932" i="3"/>
  <c r="B932" i="3"/>
  <c r="A932" i="3"/>
  <c r="I931" i="3"/>
  <c r="H931" i="3"/>
  <c r="G931" i="3"/>
  <c r="F931" i="3"/>
  <c r="C931" i="3"/>
  <c r="B931" i="3"/>
  <c r="A931" i="3"/>
  <c r="I930" i="3"/>
  <c r="H930" i="3"/>
  <c r="G930" i="3"/>
  <c r="F930" i="3"/>
  <c r="C930" i="3"/>
  <c r="B930" i="3"/>
  <c r="A930" i="3"/>
  <c r="I929" i="3"/>
  <c r="H929" i="3"/>
  <c r="G929" i="3"/>
  <c r="F929" i="3"/>
  <c r="C929" i="3"/>
  <c r="B929" i="3"/>
  <c r="A929" i="3"/>
  <c r="I928" i="3"/>
  <c r="H928" i="3"/>
  <c r="G928" i="3"/>
  <c r="F928" i="3"/>
  <c r="C928" i="3"/>
  <c r="B928" i="3"/>
  <c r="A928" i="3"/>
  <c r="I927" i="3"/>
  <c r="H927" i="3"/>
  <c r="G927" i="3"/>
  <c r="F927" i="3"/>
  <c r="C927" i="3"/>
  <c r="B927" i="3"/>
  <c r="A927" i="3"/>
  <c r="I926" i="3"/>
  <c r="H926" i="3"/>
  <c r="G926" i="3"/>
  <c r="F926" i="3"/>
  <c r="C926" i="3"/>
  <c r="B926" i="3"/>
  <c r="A926" i="3"/>
  <c r="I925" i="3"/>
  <c r="H925" i="3"/>
  <c r="G925" i="3"/>
  <c r="F925" i="3"/>
  <c r="C925" i="3"/>
  <c r="B925" i="3"/>
  <c r="A925" i="3"/>
  <c r="I924" i="3"/>
  <c r="H924" i="3"/>
  <c r="G924" i="3"/>
  <c r="F924" i="3"/>
  <c r="C924" i="3"/>
  <c r="B924" i="3"/>
  <c r="A924" i="3"/>
  <c r="I923" i="3"/>
  <c r="H923" i="3"/>
  <c r="G923" i="3"/>
  <c r="F923" i="3"/>
  <c r="C923" i="3"/>
  <c r="B923" i="3"/>
  <c r="A923" i="3"/>
  <c r="I922" i="3"/>
  <c r="H922" i="3"/>
  <c r="G922" i="3"/>
  <c r="F922" i="3"/>
  <c r="C922" i="3"/>
  <c r="B922" i="3"/>
  <c r="A922" i="3"/>
  <c r="I921" i="3"/>
  <c r="H921" i="3"/>
  <c r="G921" i="3"/>
  <c r="F921" i="3"/>
  <c r="C921" i="3"/>
  <c r="B921" i="3"/>
  <c r="A921" i="3"/>
  <c r="I920" i="3"/>
  <c r="H920" i="3"/>
  <c r="G920" i="3"/>
  <c r="F920" i="3"/>
  <c r="C920" i="3"/>
  <c r="B920" i="3"/>
  <c r="A920" i="3"/>
  <c r="I919" i="3"/>
  <c r="H919" i="3"/>
  <c r="G919" i="3"/>
  <c r="F919" i="3"/>
  <c r="C919" i="3"/>
  <c r="B919" i="3"/>
  <c r="A919" i="3"/>
  <c r="I918" i="3"/>
  <c r="H918" i="3"/>
  <c r="G918" i="3"/>
  <c r="F918" i="3"/>
  <c r="C918" i="3"/>
  <c r="B918" i="3"/>
  <c r="A918" i="3"/>
  <c r="I917" i="3"/>
  <c r="H917" i="3"/>
  <c r="G917" i="3"/>
  <c r="F917" i="3"/>
  <c r="C917" i="3"/>
  <c r="B917" i="3"/>
  <c r="A917" i="3"/>
  <c r="I916" i="3"/>
  <c r="H916" i="3"/>
  <c r="G916" i="3"/>
  <c r="F916" i="3"/>
  <c r="C916" i="3"/>
  <c r="B916" i="3"/>
  <c r="A916" i="3"/>
  <c r="I915" i="3"/>
  <c r="H915" i="3"/>
  <c r="G915" i="3"/>
  <c r="F915" i="3"/>
  <c r="C915" i="3"/>
  <c r="B915" i="3"/>
  <c r="A915" i="3"/>
  <c r="I914" i="3"/>
  <c r="H914" i="3"/>
  <c r="G914" i="3"/>
  <c r="F914" i="3"/>
  <c r="C914" i="3"/>
  <c r="B914" i="3"/>
  <c r="A914" i="3"/>
  <c r="I913" i="3"/>
  <c r="H913" i="3"/>
  <c r="G913" i="3"/>
  <c r="F913" i="3"/>
  <c r="C913" i="3"/>
  <c r="B913" i="3"/>
  <c r="A913" i="3"/>
  <c r="I912" i="3"/>
  <c r="H912" i="3"/>
  <c r="G912" i="3"/>
  <c r="F912" i="3"/>
  <c r="C912" i="3"/>
  <c r="B912" i="3"/>
  <c r="A912" i="3"/>
  <c r="I911" i="3"/>
  <c r="H911" i="3"/>
  <c r="G911" i="3"/>
  <c r="F911" i="3"/>
  <c r="C911" i="3"/>
  <c r="B911" i="3"/>
  <c r="A911" i="3"/>
  <c r="I910" i="3"/>
  <c r="H910" i="3"/>
  <c r="G910" i="3"/>
  <c r="F910" i="3"/>
  <c r="C910" i="3"/>
  <c r="B910" i="3"/>
  <c r="A910" i="3"/>
  <c r="T909" i="3"/>
  <c r="S909" i="3"/>
  <c r="R909" i="3"/>
  <c r="Q909" i="3"/>
  <c r="P909" i="3"/>
  <c r="O909" i="3"/>
  <c r="I909" i="3"/>
  <c r="H909" i="3"/>
  <c r="G909" i="3"/>
  <c r="F909" i="3"/>
  <c r="C909" i="3"/>
  <c r="B909" i="3"/>
  <c r="A909" i="3"/>
  <c r="I908" i="3"/>
  <c r="H908" i="3"/>
  <c r="G908" i="3"/>
  <c r="F908" i="3"/>
  <c r="C908" i="3"/>
  <c r="B908" i="3"/>
  <c r="A908" i="3"/>
  <c r="I907" i="3"/>
  <c r="H907" i="3"/>
  <c r="G907" i="3"/>
  <c r="F907" i="3"/>
  <c r="C907" i="3"/>
  <c r="B907" i="3"/>
  <c r="A907" i="3"/>
  <c r="I906" i="3"/>
  <c r="H906" i="3"/>
  <c r="G906" i="3"/>
  <c r="F906" i="3"/>
  <c r="C906" i="3"/>
  <c r="B906" i="3"/>
  <c r="A906" i="3"/>
  <c r="I905" i="3"/>
  <c r="H905" i="3"/>
  <c r="G905" i="3"/>
  <c r="F905" i="3"/>
  <c r="C905" i="3"/>
  <c r="B905" i="3"/>
  <c r="A905" i="3"/>
  <c r="I904" i="3"/>
  <c r="H904" i="3"/>
  <c r="G904" i="3"/>
  <c r="F904" i="3"/>
  <c r="C904" i="3"/>
  <c r="B904" i="3"/>
  <c r="A904" i="3"/>
  <c r="I903" i="3"/>
  <c r="H903" i="3"/>
  <c r="G903" i="3"/>
  <c r="F903" i="3"/>
  <c r="C903" i="3"/>
  <c r="B903" i="3"/>
  <c r="A903" i="3"/>
  <c r="I902" i="3"/>
  <c r="H902" i="3"/>
  <c r="G902" i="3"/>
  <c r="F902" i="3"/>
  <c r="C902" i="3"/>
  <c r="B902" i="3"/>
  <c r="A902" i="3"/>
  <c r="I901" i="3"/>
  <c r="H901" i="3"/>
  <c r="G901" i="3"/>
  <c r="F901" i="3"/>
  <c r="C901" i="3"/>
  <c r="B901" i="3"/>
  <c r="A901" i="3"/>
  <c r="I900" i="3"/>
  <c r="H900" i="3"/>
  <c r="G900" i="3"/>
  <c r="F900" i="3"/>
  <c r="C900" i="3"/>
  <c r="B900" i="3"/>
  <c r="A900" i="3"/>
  <c r="I899" i="3"/>
  <c r="H899" i="3"/>
  <c r="G899" i="3"/>
  <c r="F899" i="3"/>
  <c r="C899" i="3"/>
  <c r="B899" i="3"/>
  <c r="A899" i="3"/>
  <c r="I898" i="3"/>
  <c r="H898" i="3"/>
  <c r="G898" i="3"/>
  <c r="F898" i="3"/>
  <c r="C898" i="3"/>
  <c r="B898" i="3"/>
  <c r="A898" i="3"/>
  <c r="I897" i="3"/>
  <c r="H897" i="3"/>
  <c r="G897" i="3"/>
  <c r="F897" i="3"/>
  <c r="C897" i="3"/>
  <c r="B897" i="3"/>
  <c r="A897" i="3"/>
  <c r="I896" i="3"/>
  <c r="H896" i="3"/>
  <c r="G896" i="3"/>
  <c r="F896" i="3"/>
  <c r="C896" i="3"/>
  <c r="B896" i="3"/>
  <c r="A896" i="3"/>
  <c r="I895" i="3"/>
  <c r="H895" i="3"/>
  <c r="G895" i="3"/>
  <c r="F895" i="3"/>
  <c r="C895" i="3"/>
  <c r="B895" i="3"/>
  <c r="A895" i="3"/>
  <c r="I894" i="3"/>
  <c r="H894" i="3"/>
  <c r="G894" i="3"/>
  <c r="F894" i="3"/>
  <c r="C894" i="3"/>
  <c r="B894" i="3"/>
  <c r="A894" i="3"/>
  <c r="I893" i="3"/>
  <c r="H893" i="3"/>
  <c r="G893" i="3"/>
  <c r="F893" i="3"/>
  <c r="C893" i="3"/>
  <c r="B893" i="3"/>
  <c r="A893" i="3"/>
  <c r="I892" i="3"/>
  <c r="H892" i="3"/>
  <c r="G892" i="3"/>
  <c r="F892" i="3"/>
  <c r="C892" i="3"/>
  <c r="B892" i="3"/>
  <c r="A892" i="3"/>
  <c r="I891" i="3"/>
  <c r="H891" i="3"/>
  <c r="G891" i="3"/>
  <c r="F891" i="3"/>
  <c r="C891" i="3"/>
  <c r="B891" i="3"/>
  <c r="A891" i="3"/>
  <c r="I890" i="3"/>
  <c r="H890" i="3"/>
  <c r="G890" i="3"/>
  <c r="F890" i="3"/>
  <c r="C890" i="3"/>
  <c r="B890" i="3"/>
  <c r="A890" i="3"/>
  <c r="I889" i="3"/>
  <c r="H889" i="3"/>
  <c r="G889" i="3"/>
  <c r="F889" i="3"/>
  <c r="C889" i="3"/>
  <c r="B889" i="3"/>
  <c r="A889" i="3"/>
  <c r="I888" i="3"/>
  <c r="H888" i="3"/>
  <c r="G888" i="3"/>
  <c r="F888" i="3"/>
  <c r="C888" i="3"/>
  <c r="B888" i="3"/>
  <c r="A888" i="3"/>
  <c r="I887" i="3"/>
  <c r="H887" i="3"/>
  <c r="G887" i="3"/>
  <c r="F887" i="3"/>
  <c r="C887" i="3"/>
  <c r="B887" i="3"/>
  <c r="A887" i="3"/>
  <c r="I886" i="3"/>
  <c r="H886" i="3"/>
  <c r="G886" i="3"/>
  <c r="F886" i="3"/>
  <c r="C886" i="3"/>
  <c r="B886" i="3"/>
  <c r="A886" i="3"/>
  <c r="I885" i="3"/>
  <c r="H885" i="3"/>
  <c r="G885" i="3"/>
  <c r="F885" i="3"/>
  <c r="C885" i="3"/>
  <c r="B885" i="3"/>
  <c r="A885" i="3"/>
  <c r="I884" i="3"/>
  <c r="H884" i="3"/>
  <c r="G884" i="3"/>
  <c r="F884" i="3"/>
  <c r="C884" i="3"/>
  <c r="B884" i="3"/>
  <c r="A884" i="3"/>
  <c r="I883" i="3"/>
  <c r="H883" i="3"/>
  <c r="G883" i="3"/>
  <c r="F883" i="3"/>
  <c r="C883" i="3"/>
  <c r="B883" i="3"/>
  <c r="A883" i="3"/>
  <c r="I882" i="3"/>
  <c r="H882" i="3"/>
  <c r="G882" i="3"/>
  <c r="F882" i="3"/>
  <c r="C882" i="3"/>
  <c r="B882" i="3"/>
  <c r="A882" i="3"/>
  <c r="I881" i="3"/>
  <c r="H881" i="3"/>
  <c r="G881" i="3"/>
  <c r="F881" i="3"/>
  <c r="C881" i="3"/>
  <c r="B881" i="3"/>
  <c r="A881" i="3"/>
  <c r="I880" i="3"/>
  <c r="H880" i="3"/>
  <c r="G880" i="3"/>
  <c r="F880" i="3"/>
  <c r="C880" i="3"/>
  <c r="B880" i="3"/>
  <c r="A880" i="3"/>
  <c r="I879" i="3"/>
  <c r="H879" i="3"/>
  <c r="G879" i="3"/>
  <c r="F879" i="3"/>
  <c r="C879" i="3"/>
  <c r="B879" i="3"/>
  <c r="A879" i="3"/>
  <c r="I878" i="3"/>
  <c r="H878" i="3"/>
  <c r="G878" i="3"/>
  <c r="F878" i="3"/>
  <c r="C878" i="3"/>
  <c r="B878" i="3"/>
  <c r="A878" i="3"/>
  <c r="I877" i="3"/>
  <c r="H877" i="3"/>
  <c r="G877" i="3"/>
  <c r="F877" i="3"/>
  <c r="C877" i="3"/>
  <c r="B877" i="3"/>
  <c r="A877" i="3"/>
  <c r="I876" i="3"/>
  <c r="H876" i="3"/>
  <c r="G876" i="3"/>
  <c r="F876" i="3"/>
  <c r="C876" i="3"/>
  <c r="B876" i="3"/>
  <c r="A876" i="3"/>
  <c r="I875" i="3"/>
  <c r="H875" i="3"/>
  <c r="G875" i="3"/>
  <c r="F875" i="3"/>
  <c r="C875" i="3"/>
  <c r="B875" i="3"/>
  <c r="A875" i="3"/>
  <c r="I874" i="3"/>
  <c r="H874" i="3"/>
  <c r="G874" i="3"/>
  <c r="F874" i="3"/>
  <c r="C874" i="3"/>
  <c r="B874" i="3"/>
  <c r="A874" i="3"/>
  <c r="I873" i="3"/>
  <c r="H873" i="3"/>
  <c r="G873" i="3"/>
  <c r="F873" i="3"/>
  <c r="C873" i="3"/>
  <c r="B873" i="3"/>
  <c r="A873" i="3"/>
  <c r="I872" i="3"/>
  <c r="H872" i="3"/>
  <c r="G872" i="3"/>
  <c r="F872" i="3"/>
  <c r="C872" i="3"/>
  <c r="B872" i="3"/>
  <c r="A872" i="3"/>
  <c r="I871" i="3"/>
  <c r="H871" i="3"/>
  <c r="G871" i="3"/>
  <c r="F871" i="3"/>
  <c r="C871" i="3"/>
  <c r="B871" i="3"/>
  <c r="A871" i="3"/>
  <c r="I870" i="3"/>
  <c r="H870" i="3"/>
  <c r="G870" i="3"/>
  <c r="F870" i="3"/>
  <c r="C870" i="3"/>
  <c r="B870" i="3"/>
  <c r="A870" i="3"/>
  <c r="I869" i="3"/>
  <c r="H869" i="3"/>
  <c r="G869" i="3"/>
  <c r="F869" i="3"/>
  <c r="C869" i="3"/>
  <c r="B869" i="3"/>
  <c r="A869" i="3"/>
  <c r="I868" i="3"/>
  <c r="H868" i="3"/>
  <c r="G868" i="3"/>
  <c r="F868" i="3"/>
  <c r="C868" i="3"/>
  <c r="B868" i="3"/>
  <c r="A868" i="3"/>
  <c r="I867" i="3"/>
  <c r="H867" i="3"/>
  <c r="G867" i="3"/>
  <c r="F867" i="3"/>
  <c r="C867" i="3"/>
  <c r="B867" i="3"/>
  <c r="A867" i="3"/>
  <c r="I866" i="3"/>
  <c r="H866" i="3"/>
  <c r="G866" i="3"/>
  <c r="F866" i="3"/>
  <c r="C866" i="3"/>
  <c r="B866" i="3"/>
  <c r="A866" i="3"/>
  <c r="I865" i="3"/>
  <c r="H865" i="3"/>
  <c r="G865" i="3"/>
  <c r="F865" i="3"/>
  <c r="C865" i="3"/>
  <c r="B865" i="3"/>
  <c r="A865" i="3"/>
  <c r="I864" i="3"/>
  <c r="H864" i="3"/>
  <c r="G864" i="3"/>
  <c r="F864" i="3"/>
  <c r="C864" i="3"/>
  <c r="B864" i="3"/>
  <c r="A864" i="3"/>
  <c r="I863" i="3"/>
  <c r="H863" i="3"/>
  <c r="G863" i="3"/>
  <c r="F863" i="3"/>
  <c r="C863" i="3"/>
  <c r="B863" i="3"/>
  <c r="A863" i="3"/>
  <c r="I862" i="3"/>
  <c r="H862" i="3"/>
  <c r="G862" i="3"/>
  <c r="F862" i="3"/>
  <c r="C862" i="3"/>
  <c r="B862" i="3"/>
  <c r="A862" i="3"/>
  <c r="I861" i="3"/>
  <c r="H861" i="3"/>
  <c r="G861" i="3"/>
  <c r="F861" i="3"/>
  <c r="C861" i="3"/>
  <c r="B861" i="3"/>
  <c r="A861" i="3"/>
  <c r="I860" i="3"/>
  <c r="H860" i="3"/>
  <c r="G860" i="3"/>
  <c r="F860" i="3"/>
  <c r="C860" i="3"/>
  <c r="B860" i="3"/>
  <c r="A860" i="3"/>
  <c r="I859" i="3"/>
  <c r="H859" i="3"/>
  <c r="G859" i="3"/>
  <c r="F859" i="3"/>
  <c r="C859" i="3"/>
  <c r="B859" i="3"/>
  <c r="A859" i="3"/>
  <c r="I858" i="3"/>
  <c r="H858" i="3"/>
  <c r="G858" i="3"/>
  <c r="F858" i="3"/>
  <c r="C858" i="3"/>
  <c r="B858" i="3"/>
  <c r="A858" i="3"/>
  <c r="I857" i="3"/>
  <c r="H857" i="3"/>
  <c r="G857" i="3"/>
  <c r="F857" i="3"/>
  <c r="C857" i="3"/>
  <c r="B857" i="3"/>
  <c r="A857" i="3"/>
  <c r="I856" i="3"/>
  <c r="H856" i="3"/>
  <c r="G856" i="3"/>
  <c r="F856" i="3"/>
  <c r="C856" i="3"/>
  <c r="B856" i="3"/>
  <c r="A856" i="3"/>
  <c r="I855" i="3"/>
  <c r="H855" i="3"/>
  <c r="G855" i="3"/>
  <c r="F855" i="3"/>
  <c r="C855" i="3"/>
  <c r="B855" i="3"/>
  <c r="A855" i="3"/>
  <c r="I854" i="3"/>
  <c r="H854" i="3"/>
  <c r="G854" i="3"/>
  <c r="F854" i="3"/>
  <c r="C854" i="3"/>
  <c r="B854" i="3"/>
  <c r="A854" i="3"/>
  <c r="I853" i="3"/>
  <c r="H853" i="3"/>
  <c r="G853" i="3"/>
  <c r="F853" i="3"/>
  <c r="C853" i="3"/>
  <c r="B853" i="3"/>
  <c r="A853" i="3"/>
  <c r="I852" i="3"/>
  <c r="H852" i="3"/>
  <c r="G852" i="3"/>
  <c r="F852" i="3"/>
  <c r="C852" i="3"/>
  <c r="B852" i="3"/>
  <c r="A852" i="3"/>
  <c r="I851" i="3"/>
  <c r="H851" i="3"/>
  <c r="G851" i="3"/>
  <c r="F851" i="3"/>
  <c r="C851" i="3"/>
  <c r="B851" i="3"/>
  <c r="A851" i="3"/>
  <c r="I850" i="3"/>
  <c r="H850" i="3"/>
  <c r="G850" i="3"/>
  <c r="F850" i="3"/>
  <c r="C850" i="3"/>
  <c r="B850" i="3"/>
  <c r="A850" i="3"/>
  <c r="I849" i="3"/>
  <c r="H849" i="3"/>
  <c r="G849" i="3"/>
  <c r="F849" i="3"/>
  <c r="C849" i="3"/>
  <c r="B849" i="3"/>
  <c r="A849" i="3"/>
  <c r="I848" i="3"/>
  <c r="H848" i="3"/>
  <c r="G848" i="3"/>
  <c r="F848" i="3"/>
  <c r="C848" i="3"/>
  <c r="B848" i="3"/>
  <c r="A848" i="3"/>
  <c r="I847" i="3"/>
  <c r="H847" i="3"/>
  <c r="G847" i="3"/>
  <c r="F847" i="3"/>
  <c r="C847" i="3"/>
  <c r="B847" i="3"/>
  <c r="A847" i="3"/>
  <c r="I846" i="3"/>
  <c r="H846" i="3"/>
  <c r="G846" i="3"/>
  <c r="F846" i="3"/>
  <c r="C846" i="3"/>
  <c r="B846" i="3"/>
  <c r="A846" i="3"/>
  <c r="I845" i="3"/>
  <c r="H845" i="3"/>
  <c r="G845" i="3"/>
  <c r="F845" i="3"/>
  <c r="C845" i="3"/>
  <c r="B845" i="3"/>
  <c r="A845" i="3"/>
  <c r="I844" i="3"/>
  <c r="H844" i="3"/>
  <c r="G844" i="3"/>
  <c r="F844" i="3"/>
  <c r="C844" i="3"/>
  <c r="B844" i="3"/>
  <c r="A844" i="3"/>
  <c r="I843" i="3"/>
  <c r="H843" i="3"/>
  <c r="G843" i="3"/>
  <c r="F843" i="3"/>
  <c r="C843" i="3"/>
  <c r="B843" i="3"/>
  <c r="A843" i="3"/>
  <c r="I842" i="3"/>
  <c r="H842" i="3"/>
  <c r="G842" i="3"/>
  <c r="F842" i="3"/>
  <c r="C842" i="3"/>
  <c r="B842" i="3"/>
  <c r="A842" i="3"/>
  <c r="I841" i="3"/>
  <c r="H841" i="3"/>
  <c r="G841" i="3"/>
  <c r="F841" i="3"/>
  <c r="C841" i="3"/>
  <c r="B841" i="3"/>
  <c r="A841" i="3"/>
  <c r="I840" i="3"/>
  <c r="H840" i="3"/>
  <c r="G840" i="3"/>
  <c r="F840" i="3"/>
  <c r="C840" i="3"/>
  <c r="B840" i="3"/>
  <c r="A840" i="3"/>
  <c r="I839" i="3"/>
  <c r="H839" i="3"/>
  <c r="G839" i="3"/>
  <c r="F839" i="3"/>
  <c r="C839" i="3"/>
  <c r="B839" i="3"/>
  <c r="A839" i="3"/>
  <c r="I838" i="3"/>
  <c r="H838" i="3"/>
  <c r="G838" i="3"/>
  <c r="F838" i="3"/>
  <c r="C838" i="3"/>
  <c r="B838" i="3"/>
  <c r="A838" i="3"/>
  <c r="I837" i="3"/>
  <c r="H837" i="3"/>
  <c r="G837" i="3"/>
  <c r="F837" i="3"/>
  <c r="C837" i="3"/>
  <c r="B837" i="3"/>
  <c r="A837" i="3"/>
  <c r="I836" i="3"/>
  <c r="H836" i="3"/>
  <c r="G836" i="3"/>
  <c r="F836" i="3"/>
  <c r="C836" i="3"/>
  <c r="B836" i="3"/>
  <c r="A836" i="3"/>
  <c r="I835" i="3"/>
  <c r="H835" i="3"/>
  <c r="G835" i="3"/>
  <c r="F835" i="3"/>
  <c r="C835" i="3"/>
  <c r="B835" i="3"/>
  <c r="A835" i="3"/>
  <c r="I834" i="3"/>
  <c r="H834" i="3"/>
  <c r="G834" i="3"/>
  <c r="F834" i="3"/>
  <c r="C834" i="3"/>
  <c r="B834" i="3"/>
  <c r="A834" i="3"/>
  <c r="I833" i="3"/>
  <c r="H833" i="3"/>
  <c r="G833" i="3"/>
  <c r="F833" i="3"/>
  <c r="C833" i="3"/>
  <c r="B833" i="3"/>
  <c r="A833" i="3"/>
  <c r="I832" i="3"/>
  <c r="H832" i="3"/>
  <c r="G832" i="3"/>
  <c r="F832" i="3"/>
  <c r="C832" i="3"/>
  <c r="B832" i="3"/>
  <c r="A832" i="3"/>
  <c r="I831" i="3"/>
  <c r="H831" i="3"/>
  <c r="G831" i="3"/>
  <c r="F831" i="3"/>
  <c r="C831" i="3"/>
  <c r="B831" i="3"/>
  <c r="A831" i="3"/>
  <c r="I830" i="3"/>
  <c r="H830" i="3"/>
  <c r="G830" i="3"/>
  <c r="F830" i="3"/>
  <c r="C830" i="3"/>
  <c r="B830" i="3"/>
  <c r="A830" i="3"/>
  <c r="I829" i="3"/>
  <c r="H829" i="3"/>
  <c r="G829" i="3"/>
  <c r="F829" i="3"/>
  <c r="C829" i="3"/>
  <c r="B829" i="3"/>
  <c r="A829" i="3"/>
  <c r="I828" i="3"/>
  <c r="H828" i="3"/>
  <c r="G828" i="3"/>
  <c r="F828" i="3"/>
  <c r="C828" i="3"/>
  <c r="B828" i="3"/>
  <c r="A828" i="3"/>
  <c r="I827" i="3"/>
  <c r="H827" i="3"/>
  <c r="G827" i="3"/>
  <c r="F827" i="3"/>
  <c r="C827" i="3"/>
  <c r="B827" i="3"/>
  <c r="A827" i="3"/>
  <c r="I826" i="3"/>
  <c r="H826" i="3"/>
  <c r="G826" i="3"/>
  <c r="F826" i="3"/>
  <c r="C826" i="3"/>
  <c r="B826" i="3"/>
  <c r="A826" i="3"/>
  <c r="I825" i="3"/>
  <c r="H825" i="3"/>
  <c r="G825" i="3"/>
  <c r="F825" i="3"/>
  <c r="C825" i="3"/>
  <c r="B825" i="3"/>
  <c r="A825" i="3"/>
  <c r="I824" i="3"/>
  <c r="H824" i="3"/>
  <c r="G824" i="3"/>
  <c r="F824" i="3"/>
  <c r="C824" i="3"/>
  <c r="B824" i="3"/>
  <c r="A824" i="3"/>
  <c r="I823" i="3"/>
  <c r="H823" i="3"/>
  <c r="G823" i="3"/>
  <c r="F823" i="3"/>
  <c r="C823" i="3"/>
  <c r="B823" i="3"/>
  <c r="A823" i="3"/>
  <c r="I822" i="3"/>
  <c r="H822" i="3"/>
  <c r="G822" i="3"/>
  <c r="F822" i="3"/>
  <c r="C822" i="3"/>
  <c r="B822" i="3"/>
  <c r="A822" i="3"/>
  <c r="I821" i="3"/>
  <c r="H821" i="3"/>
  <c r="G821" i="3"/>
  <c r="F821" i="3"/>
  <c r="C821" i="3"/>
  <c r="B821" i="3"/>
  <c r="A821" i="3"/>
  <c r="I820" i="3"/>
  <c r="H820" i="3"/>
  <c r="G820" i="3"/>
  <c r="F820" i="3"/>
  <c r="C820" i="3"/>
  <c r="B820" i="3"/>
  <c r="A820" i="3"/>
  <c r="I819" i="3"/>
  <c r="H819" i="3"/>
  <c r="G819" i="3"/>
  <c r="F819" i="3"/>
  <c r="C819" i="3"/>
  <c r="B819" i="3"/>
  <c r="A819" i="3"/>
  <c r="I818" i="3"/>
  <c r="H818" i="3"/>
  <c r="G818" i="3"/>
  <c r="F818" i="3"/>
  <c r="C818" i="3"/>
  <c r="B818" i="3"/>
  <c r="A818" i="3"/>
  <c r="I817" i="3"/>
  <c r="H817" i="3"/>
  <c r="G817" i="3"/>
  <c r="F817" i="3"/>
  <c r="C817" i="3"/>
  <c r="B817" i="3"/>
  <c r="A817" i="3"/>
  <c r="I816" i="3"/>
  <c r="H816" i="3"/>
  <c r="G816" i="3"/>
  <c r="F816" i="3"/>
  <c r="C816" i="3"/>
  <c r="B816" i="3"/>
  <c r="A816" i="3"/>
  <c r="I815" i="3"/>
  <c r="H815" i="3"/>
  <c r="G815" i="3"/>
  <c r="F815" i="3"/>
  <c r="C815" i="3"/>
  <c r="B815" i="3"/>
  <c r="A815" i="3"/>
  <c r="I814" i="3"/>
  <c r="H814" i="3"/>
  <c r="G814" i="3"/>
  <c r="F814" i="3"/>
  <c r="C814" i="3"/>
  <c r="B814" i="3"/>
  <c r="A814" i="3"/>
  <c r="I813" i="3"/>
  <c r="H813" i="3"/>
  <c r="G813" i="3"/>
  <c r="F813" i="3"/>
  <c r="C813" i="3"/>
  <c r="B813" i="3"/>
  <c r="A813" i="3"/>
  <c r="I812" i="3"/>
  <c r="H812" i="3"/>
  <c r="G812" i="3"/>
  <c r="F812" i="3"/>
  <c r="C812" i="3"/>
  <c r="B812" i="3"/>
  <c r="A812" i="3"/>
  <c r="I811" i="3"/>
  <c r="H811" i="3"/>
  <c r="G811" i="3"/>
  <c r="F811" i="3"/>
  <c r="C811" i="3"/>
  <c r="B811" i="3"/>
  <c r="A811" i="3"/>
  <c r="I810" i="3"/>
  <c r="H810" i="3"/>
  <c r="G810" i="3"/>
  <c r="F810" i="3"/>
  <c r="C810" i="3"/>
  <c r="B810" i="3"/>
  <c r="A810" i="3"/>
  <c r="I809" i="3"/>
  <c r="H809" i="3"/>
  <c r="G809" i="3"/>
  <c r="F809" i="3"/>
  <c r="C809" i="3"/>
  <c r="B809" i="3"/>
  <c r="A809" i="3"/>
  <c r="I808" i="3"/>
  <c r="H808" i="3"/>
  <c r="G808" i="3"/>
  <c r="F808" i="3"/>
  <c r="C808" i="3"/>
  <c r="B808" i="3"/>
  <c r="A808" i="3"/>
  <c r="I807" i="3"/>
  <c r="H807" i="3"/>
  <c r="G807" i="3"/>
  <c r="F807" i="3"/>
  <c r="C807" i="3"/>
  <c r="B807" i="3"/>
  <c r="A807" i="3"/>
  <c r="I806" i="3"/>
  <c r="H806" i="3"/>
  <c r="G806" i="3"/>
  <c r="F806" i="3"/>
  <c r="C806" i="3"/>
  <c r="B806" i="3"/>
  <c r="A806" i="3"/>
  <c r="I805" i="3"/>
  <c r="H805" i="3"/>
  <c r="G805" i="3"/>
  <c r="F805" i="3"/>
  <c r="C805" i="3"/>
  <c r="B805" i="3"/>
  <c r="A805" i="3"/>
  <c r="I804" i="3"/>
  <c r="H804" i="3"/>
  <c r="G804" i="3"/>
  <c r="F804" i="3"/>
  <c r="C804" i="3"/>
  <c r="B804" i="3"/>
  <c r="A804" i="3"/>
  <c r="I803" i="3"/>
  <c r="H803" i="3"/>
  <c r="G803" i="3"/>
  <c r="F803" i="3"/>
  <c r="C803" i="3"/>
  <c r="B803" i="3"/>
  <c r="A803" i="3"/>
  <c r="I802" i="3"/>
  <c r="H802" i="3"/>
  <c r="G802" i="3"/>
  <c r="F802" i="3"/>
  <c r="C802" i="3"/>
  <c r="B802" i="3"/>
  <c r="A802" i="3"/>
  <c r="I801" i="3"/>
  <c r="H801" i="3"/>
  <c r="G801" i="3"/>
  <c r="F801" i="3"/>
  <c r="C801" i="3"/>
  <c r="B801" i="3"/>
  <c r="A801" i="3"/>
  <c r="I800" i="3"/>
  <c r="H800" i="3"/>
  <c r="G800" i="3"/>
  <c r="F800" i="3"/>
  <c r="C800" i="3"/>
  <c r="B800" i="3"/>
  <c r="A800" i="3"/>
  <c r="I799" i="3"/>
  <c r="H799" i="3"/>
  <c r="G799" i="3"/>
  <c r="F799" i="3"/>
  <c r="C799" i="3"/>
  <c r="B799" i="3"/>
  <c r="A799" i="3"/>
  <c r="I798" i="3"/>
  <c r="H798" i="3"/>
  <c r="G798" i="3"/>
  <c r="F798" i="3"/>
  <c r="C798" i="3"/>
  <c r="B798" i="3"/>
  <c r="A798" i="3"/>
  <c r="I797" i="3"/>
  <c r="H797" i="3"/>
  <c r="G797" i="3"/>
  <c r="F797" i="3"/>
  <c r="C797" i="3"/>
  <c r="B797" i="3"/>
  <c r="A797" i="3"/>
  <c r="I796" i="3"/>
  <c r="H796" i="3"/>
  <c r="G796" i="3"/>
  <c r="F796" i="3"/>
  <c r="C796" i="3"/>
  <c r="B796" i="3"/>
  <c r="A796" i="3"/>
  <c r="I795" i="3"/>
  <c r="H795" i="3"/>
  <c r="G795" i="3"/>
  <c r="F795" i="3"/>
  <c r="C795" i="3"/>
  <c r="B795" i="3"/>
  <c r="A795" i="3"/>
  <c r="I794" i="3"/>
  <c r="H794" i="3"/>
  <c r="G794" i="3"/>
  <c r="F794" i="3"/>
  <c r="C794" i="3"/>
  <c r="B794" i="3"/>
  <c r="A794" i="3"/>
  <c r="I793" i="3"/>
  <c r="H793" i="3"/>
  <c r="G793" i="3"/>
  <c r="F793" i="3"/>
  <c r="C793" i="3"/>
  <c r="B793" i="3"/>
  <c r="A793" i="3"/>
  <c r="I792" i="3"/>
  <c r="H792" i="3"/>
  <c r="G792" i="3"/>
  <c r="F792" i="3"/>
  <c r="C792" i="3"/>
  <c r="B792" i="3"/>
  <c r="A792" i="3"/>
  <c r="I791" i="3"/>
  <c r="H791" i="3"/>
  <c r="G791" i="3"/>
  <c r="F791" i="3"/>
  <c r="C791" i="3"/>
  <c r="B791" i="3"/>
  <c r="A791" i="3"/>
  <c r="I790" i="3"/>
  <c r="H790" i="3"/>
  <c r="G790" i="3"/>
  <c r="F790" i="3"/>
  <c r="C790" i="3"/>
  <c r="B790" i="3"/>
  <c r="A790" i="3"/>
  <c r="I789" i="3"/>
  <c r="H789" i="3"/>
  <c r="G789" i="3"/>
  <c r="F789" i="3"/>
  <c r="C789" i="3"/>
  <c r="B789" i="3"/>
  <c r="A789" i="3"/>
  <c r="I788" i="3"/>
  <c r="H788" i="3"/>
  <c r="G788" i="3"/>
  <c r="F788" i="3"/>
  <c r="C788" i="3"/>
  <c r="B788" i="3"/>
  <c r="A788" i="3"/>
  <c r="I787" i="3"/>
  <c r="H787" i="3"/>
  <c r="G787" i="3"/>
  <c r="F787" i="3"/>
  <c r="C787" i="3"/>
  <c r="B787" i="3"/>
  <c r="A787" i="3"/>
  <c r="I786" i="3"/>
  <c r="H786" i="3"/>
  <c r="G786" i="3"/>
  <c r="F786" i="3"/>
  <c r="C786" i="3"/>
  <c r="B786" i="3"/>
  <c r="A786" i="3"/>
  <c r="I785" i="3"/>
  <c r="H785" i="3"/>
  <c r="G785" i="3"/>
  <c r="F785" i="3"/>
  <c r="C785" i="3"/>
  <c r="B785" i="3"/>
  <c r="A785" i="3"/>
  <c r="I784" i="3"/>
  <c r="H784" i="3"/>
  <c r="G784" i="3"/>
  <c r="F784" i="3"/>
  <c r="C784" i="3"/>
  <c r="B784" i="3"/>
  <c r="A784" i="3"/>
  <c r="I783" i="3"/>
  <c r="H783" i="3"/>
  <c r="G783" i="3"/>
  <c r="F783" i="3"/>
  <c r="C783" i="3"/>
  <c r="B783" i="3"/>
  <c r="A783" i="3"/>
  <c r="I782" i="3"/>
  <c r="H782" i="3"/>
  <c r="G782" i="3"/>
  <c r="F782" i="3"/>
  <c r="C782" i="3"/>
  <c r="B782" i="3"/>
  <c r="A782" i="3"/>
  <c r="I781" i="3"/>
  <c r="H781" i="3"/>
  <c r="G781" i="3"/>
  <c r="F781" i="3"/>
  <c r="C781" i="3"/>
  <c r="B781" i="3"/>
  <c r="A781" i="3"/>
  <c r="I780" i="3"/>
  <c r="H780" i="3"/>
  <c r="G780" i="3"/>
  <c r="F780" i="3"/>
  <c r="C780" i="3"/>
  <c r="B780" i="3"/>
  <c r="A780" i="3"/>
  <c r="I779" i="3"/>
  <c r="H779" i="3"/>
  <c r="G779" i="3"/>
  <c r="F779" i="3"/>
  <c r="C779" i="3"/>
  <c r="B779" i="3"/>
  <c r="A779" i="3"/>
  <c r="I778" i="3"/>
  <c r="H778" i="3"/>
  <c r="G778" i="3"/>
  <c r="F778" i="3"/>
  <c r="C778" i="3"/>
  <c r="B778" i="3"/>
  <c r="A778" i="3"/>
  <c r="I777" i="3"/>
  <c r="H777" i="3"/>
  <c r="G777" i="3"/>
  <c r="F777" i="3"/>
  <c r="C777" i="3"/>
  <c r="B777" i="3"/>
  <c r="A777" i="3"/>
  <c r="I776" i="3"/>
  <c r="H776" i="3"/>
  <c r="G776" i="3"/>
  <c r="F776" i="3"/>
  <c r="C776" i="3"/>
  <c r="B776" i="3"/>
  <c r="A776" i="3"/>
  <c r="I775" i="3"/>
  <c r="H775" i="3"/>
  <c r="G775" i="3"/>
  <c r="F775" i="3"/>
  <c r="C775" i="3"/>
  <c r="B775" i="3"/>
  <c r="A775" i="3"/>
  <c r="I774" i="3"/>
  <c r="H774" i="3"/>
  <c r="G774" i="3"/>
  <c r="F774" i="3"/>
  <c r="C774" i="3"/>
  <c r="B774" i="3"/>
  <c r="A774" i="3"/>
  <c r="I773" i="3"/>
  <c r="H773" i="3"/>
  <c r="G773" i="3"/>
  <c r="F773" i="3"/>
  <c r="C773" i="3"/>
  <c r="B773" i="3"/>
  <c r="A773" i="3"/>
  <c r="I772" i="3"/>
  <c r="H772" i="3"/>
  <c r="G772" i="3"/>
  <c r="F772" i="3"/>
  <c r="C772" i="3"/>
  <c r="B772" i="3"/>
  <c r="A772" i="3"/>
  <c r="I771" i="3"/>
  <c r="H771" i="3"/>
  <c r="G771" i="3"/>
  <c r="F771" i="3"/>
  <c r="C771" i="3"/>
  <c r="B771" i="3"/>
  <c r="A771" i="3"/>
  <c r="I770" i="3"/>
  <c r="H770" i="3"/>
  <c r="G770" i="3"/>
  <c r="F770" i="3"/>
  <c r="C770" i="3"/>
  <c r="B770" i="3"/>
  <c r="A770" i="3"/>
  <c r="I769" i="3"/>
  <c r="H769" i="3"/>
  <c r="G769" i="3"/>
  <c r="F769" i="3"/>
  <c r="C769" i="3"/>
  <c r="B769" i="3"/>
  <c r="A769" i="3"/>
  <c r="I768" i="3"/>
  <c r="H768" i="3"/>
  <c r="G768" i="3"/>
  <c r="F768" i="3"/>
  <c r="C768" i="3"/>
  <c r="B768" i="3"/>
  <c r="A768" i="3"/>
  <c r="I767" i="3"/>
  <c r="H767" i="3"/>
  <c r="G767" i="3"/>
  <c r="F767" i="3"/>
  <c r="C767" i="3"/>
  <c r="B767" i="3"/>
  <c r="A767" i="3"/>
  <c r="I766" i="3"/>
  <c r="H766" i="3"/>
  <c r="G766" i="3"/>
  <c r="F766" i="3"/>
  <c r="C766" i="3"/>
  <c r="B766" i="3"/>
  <c r="A766" i="3"/>
  <c r="I765" i="3"/>
  <c r="H765" i="3"/>
  <c r="G765" i="3"/>
  <c r="F765" i="3"/>
  <c r="C765" i="3"/>
  <c r="B765" i="3"/>
  <c r="A765" i="3"/>
  <c r="I764" i="3"/>
  <c r="H764" i="3"/>
  <c r="G764" i="3"/>
  <c r="F764" i="3"/>
  <c r="C764" i="3"/>
  <c r="B764" i="3"/>
  <c r="A764" i="3"/>
  <c r="I763" i="3"/>
  <c r="H763" i="3"/>
  <c r="G763" i="3"/>
  <c r="F763" i="3"/>
  <c r="C763" i="3"/>
  <c r="B763" i="3"/>
  <c r="A763" i="3"/>
  <c r="I762" i="3"/>
  <c r="H762" i="3"/>
  <c r="G762" i="3"/>
  <c r="F762" i="3"/>
  <c r="C762" i="3"/>
  <c r="B762" i="3"/>
  <c r="A762" i="3"/>
  <c r="I761" i="3"/>
  <c r="H761" i="3"/>
  <c r="G761" i="3"/>
  <c r="F761" i="3"/>
  <c r="C761" i="3"/>
  <c r="B761" i="3"/>
  <c r="A761" i="3"/>
  <c r="I760" i="3"/>
  <c r="H760" i="3"/>
  <c r="G760" i="3"/>
  <c r="F760" i="3"/>
  <c r="C760" i="3"/>
  <c r="B760" i="3"/>
  <c r="A760" i="3"/>
  <c r="I759" i="3"/>
  <c r="H759" i="3"/>
  <c r="G759" i="3"/>
  <c r="F759" i="3"/>
  <c r="C759" i="3"/>
  <c r="B759" i="3"/>
  <c r="A759" i="3"/>
  <c r="I758" i="3"/>
  <c r="H758" i="3"/>
  <c r="G758" i="3"/>
  <c r="F758" i="3"/>
  <c r="C758" i="3"/>
  <c r="B758" i="3"/>
  <c r="A758" i="3"/>
  <c r="I757" i="3"/>
  <c r="H757" i="3"/>
  <c r="G757" i="3"/>
  <c r="F757" i="3"/>
  <c r="C757" i="3"/>
  <c r="B757" i="3"/>
  <c r="A757" i="3"/>
  <c r="I756" i="3"/>
  <c r="H756" i="3"/>
  <c r="G756" i="3"/>
  <c r="F756" i="3"/>
  <c r="C756" i="3"/>
  <c r="B756" i="3"/>
  <c r="A756" i="3"/>
  <c r="I755" i="3"/>
  <c r="H755" i="3"/>
  <c r="G755" i="3"/>
  <c r="F755" i="3"/>
  <c r="C755" i="3"/>
  <c r="B755" i="3"/>
  <c r="A755" i="3"/>
  <c r="I754" i="3"/>
  <c r="H754" i="3"/>
  <c r="G754" i="3"/>
  <c r="F754" i="3"/>
  <c r="C754" i="3"/>
  <c r="B754" i="3"/>
  <c r="A754" i="3"/>
  <c r="I753" i="3"/>
  <c r="H753" i="3"/>
  <c r="G753" i="3"/>
  <c r="F753" i="3"/>
  <c r="C753" i="3"/>
  <c r="B753" i="3"/>
  <c r="A753" i="3"/>
  <c r="I752" i="3"/>
  <c r="H752" i="3"/>
  <c r="G752" i="3"/>
  <c r="F752" i="3"/>
  <c r="C752" i="3"/>
  <c r="B752" i="3"/>
  <c r="A752" i="3"/>
  <c r="I751" i="3"/>
  <c r="H751" i="3"/>
  <c r="G751" i="3"/>
  <c r="F751" i="3"/>
  <c r="C751" i="3"/>
  <c r="B751" i="3"/>
  <c r="A751" i="3"/>
  <c r="I750" i="3"/>
  <c r="H750" i="3"/>
  <c r="G750" i="3"/>
  <c r="F750" i="3"/>
  <c r="C750" i="3"/>
  <c r="B750" i="3"/>
  <c r="A750" i="3"/>
  <c r="I749" i="3"/>
  <c r="H749" i="3"/>
  <c r="G749" i="3"/>
  <c r="F749" i="3"/>
  <c r="C749" i="3"/>
  <c r="B749" i="3"/>
  <c r="A749" i="3"/>
  <c r="I748" i="3"/>
  <c r="H748" i="3"/>
  <c r="G748" i="3"/>
  <c r="F748" i="3"/>
  <c r="C748" i="3"/>
  <c r="B748" i="3"/>
  <c r="A748" i="3"/>
  <c r="I747" i="3"/>
  <c r="H747" i="3"/>
  <c r="G747" i="3"/>
  <c r="F747" i="3"/>
  <c r="C747" i="3"/>
  <c r="B747" i="3"/>
  <c r="A747" i="3"/>
  <c r="I746" i="3"/>
  <c r="H746" i="3"/>
  <c r="G746" i="3"/>
  <c r="F746" i="3"/>
  <c r="C746" i="3"/>
  <c r="B746" i="3"/>
  <c r="A746" i="3"/>
  <c r="I745" i="3"/>
  <c r="H745" i="3"/>
  <c r="G745" i="3"/>
  <c r="F745" i="3"/>
  <c r="C745" i="3"/>
  <c r="B745" i="3"/>
  <c r="A745" i="3"/>
  <c r="I744" i="3"/>
  <c r="H744" i="3"/>
  <c r="G744" i="3"/>
  <c r="F744" i="3"/>
  <c r="C744" i="3"/>
  <c r="B744" i="3"/>
  <c r="A744" i="3"/>
  <c r="I743" i="3"/>
  <c r="H743" i="3"/>
  <c r="G743" i="3"/>
  <c r="F743" i="3"/>
  <c r="C743" i="3"/>
  <c r="B743" i="3"/>
  <c r="A743" i="3"/>
  <c r="I742" i="3"/>
  <c r="H742" i="3"/>
  <c r="G742" i="3"/>
  <c r="F742" i="3"/>
  <c r="C742" i="3"/>
  <c r="B742" i="3"/>
  <c r="A742" i="3"/>
  <c r="I741" i="3"/>
  <c r="H741" i="3"/>
  <c r="G741" i="3"/>
  <c r="F741" i="3"/>
  <c r="C741" i="3"/>
  <c r="B741" i="3"/>
  <c r="A741" i="3"/>
  <c r="I740" i="3"/>
  <c r="H740" i="3"/>
  <c r="G740" i="3"/>
  <c r="F740" i="3"/>
  <c r="C740" i="3"/>
  <c r="B740" i="3"/>
  <c r="A740" i="3"/>
  <c r="I739" i="3"/>
  <c r="H739" i="3"/>
  <c r="G739" i="3"/>
  <c r="F739" i="3"/>
  <c r="C739" i="3"/>
  <c r="B739" i="3"/>
  <c r="A739" i="3"/>
  <c r="I738" i="3"/>
  <c r="H738" i="3"/>
  <c r="G738" i="3"/>
  <c r="F738" i="3"/>
  <c r="C738" i="3"/>
  <c r="B738" i="3"/>
  <c r="A738" i="3"/>
  <c r="I737" i="3"/>
  <c r="H737" i="3"/>
  <c r="G737" i="3"/>
  <c r="F737" i="3"/>
  <c r="C737" i="3"/>
  <c r="B737" i="3"/>
  <c r="A737" i="3"/>
  <c r="I736" i="3"/>
  <c r="H736" i="3"/>
  <c r="G736" i="3"/>
  <c r="F736" i="3"/>
  <c r="C736" i="3"/>
  <c r="B736" i="3"/>
  <c r="A736" i="3"/>
  <c r="I735" i="3"/>
  <c r="H735" i="3"/>
  <c r="G735" i="3"/>
  <c r="F735" i="3"/>
  <c r="C735" i="3"/>
  <c r="B735" i="3"/>
  <c r="A735" i="3"/>
  <c r="I734" i="3"/>
  <c r="H734" i="3"/>
  <c r="G734" i="3"/>
  <c r="F734" i="3"/>
  <c r="C734" i="3"/>
  <c r="B734" i="3"/>
  <c r="A734" i="3"/>
  <c r="I733" i="3"/>
  <c r="H733" i="3"/>
  <c r="G733" i="3"/>
  <c r="F733" i="3"/>
  <c r="C733" i="3"/>
  <c r="B733" i="3"/>
  <c r="A733" i="3"/>
  <c r="I732" i="3"/>
  <c r="H732" i="3"/>
  <c r="G732" i="3"/>
  <c r="F732" i="3"/>
  <c r="C732" i="3"/>
  <c r="B732" i="3"/>
  <c r="A732" i="3"/>
  <c r="I731" i="3"/>
  <c r="H731" i="3"/>
  <c r="G731" i="3"/>
  <c r="F731" i="3"/>
  <c r="C731" i="3"/>
  <c r="B731" i="3"/>
  <c r="A731" i="3"/>
  <c r="I730" i="3"/>
  <c r="H730" i="3"/>
  <c r="G730" i="3"/>
  <c r="F730" i="3"/>
  <c r="C730" i="3"/>
  <c r="B730" i="3"/>
  <c r="A730" i="3"/>
  <c r="I729" i="3"/>
  <c r="H729" i="3"/>
  <c r="G729" i="3"/>
  <c r="F729" i="3"/>
  <c r="C729" i="3"/>
  <c r="B729" i="3"/>
  <c r="A729" i="3"/>
  <c r="I728" i="3"/>
  <c r="H728" i="3"/>
  <c r="G728" i="3"/>
  <c r="F728" i="3"/>
  <c r="C728" i="3"/>
  <c r="B728" i="3"/>
  <c r="A728" i="3"/>
  <c r="I727" i="3"/>
  <c r="H727" i="3"/>
  <c r="G727" i="3"/>
  <c r="F727" i="3"/>
  <c r="C727" i="3"/>
  <c r="B727" i="3"/>
  <c r="A727" i="3"/>
  <c r="I726" i="3"/>
  <c r="H726" i="3"/>
  <c r="G726" i="3"/>
  <c r="F726" i="3"/>
  <c r="C726" i="3"/>
  <c r="B726" i="3"/>
  <c r="A726" i="3"/>
  <c r="I725" i="3"/>
  <c r="H725" i="3"/>
  <c r="G725" i="3"/>
  <c r="F725" i="3"/>
  <c r="C725" i="3"/>
  <c r="B725" i="3"/>
  <c r="A725" i="3"/>
  <c r="I724" i="3"/>
  <c r="H724" i="3"/>
  <c r="G724" i="3"/>
  <c r="F724" i="3"/>
  <c r="C724" i="3"/>
  <c r="B724" i="3"/>
  <c r="A724" i="3"/>
  <c r="I723" i="3"/>
  <c r="H723" i="3"/>
  <c r="G723" i="3"/>
  <c r="F723" i="3"/>
  <c r="C723" i="3"/>
  <c r="B723" i="3"/>
  <c r="A723" i="3"/>
  <c r="I722" i="3"/>
  <c r="H722" i="3"/>
  <c r="G722" i="3"/>
  <c r="F722" i="3"/>
  <c r="C722" i="3"/>
  <c r="B722" i="3"/>
  <c r="A722" i="3"/>
  <c r="I721" i="3"/>
  <c r="H721" i="3"/>
  <c r="G721" i="3"/>
  <c r="F721" i="3"/>
  <c r="C721" i="3"/>
  <c r="B721" i="3"/>
  <c r="A721" i="3"/>
  <c r="I720" i="3"/>
  <c r="H720" i="3"/>
  <c r="G720" i="3"/>
  <c r="F720" i="3"/>
  <c r="C720" i="3"/>
  <c r="B720" i="3"/>
  <c r="A720" i="3"/>
  <c r="I719" i="3"/>
  <c r="H719" i="3"/>
  <c r="G719" i="3"/>
  <c r="F719" i="3"/>
  <c r="C719" i="3"/>
  <c r="B719" i="3"/>
  <c r="A719" i="3"/>
  <c r="I718" i="3"/>
  <c r="H718" i="3"/>
  <c r="G718" i="3"/>
  <c r="F718" i="3"/>
  <c r="C718" i="3"/>
  <c r="B718" i="3"/>
  <c r="A718" i="3"/>
  <c r="I717" i="3"/>
  <c r="H717" i="3"/>
  <c r="G717" i="3"/>
  <c r="F717" i="3"/>
  <c r="C717" i="3"/>
  <c r="B717" i="3"/>
  <c r="A717" i="3"/>
  <c r="I716" i="3"/>
  <c r="H716" i="3"/>
  <c r="G716" i="3"/>
  <c r="F716" i="3"/>
  <c r="C716" i="3"/>
  <c r="B716" i="3"/>
  <c r="A716" i="3"/>
  <c r="I715" i="3"/>
  <c r="H715" i="3"/>
  <c r="G715" i="3"/>
  <c r="F715" i="3"/>
  <c r="C715" i="3"/>
  <c r="B715" i="3"/>
  <c r="A715" i="3"/>
  <c r="I714" i="3"/>
  <c r="H714" i="3"/>
  <c r="G714" i="3"/>
  <c r="F714" i="3"/>
  <c r="C714" i="3"/>
  <c r="B714" i="3"/>
  <c r="A714" i="3"/>
  <c r="I713" i="3"/>
  <c r="H713" i="3"/>
  <c r="G713" i="3"/>
  <c r="F713" i="3"/>
  <c r="C713" i="3"/>
  <c r="B713" i="3"/>
  <c r="A713" i="3"/>
  <c r="I712" i="3"/>
  <c r="H712" i="3"/>
  <c r="G712" i="3"/>
  <c r="F712" i="3"/>
  <c r="C712" i="3"/>
  <c r="B712" i="3"/>
  <c r="A712" i="3"/>
  <c r="I711" i="3"/>
  <c r="H711" i="3"/>
  <c r="G711" i="3"/>
  <c r="F711" i="3"/>
  <c r="C711" i="3"/>
  <c r="B711" i="3"/>
  <c r="A711" i="3"/>
  <c r="I710" i="3"/>
  <c r="H710" i="3"/>
  <c r="G710" i="3"/>
  <c r="F710" i="3"/>
  <c r="C710" i="3"/>
  <c r="B710" i="3"/>
  <c r="A710" i="3"/>
  <c r="I709" i="3"/>
  <c r="H709" i="3"/>
  <c r="G709" i="3"/>
  <c r="F709" i="3"/>
  <c r="C709" i="3"/>
  <c r="B709" i="3"/>
  <c r="A709" i="3"/>
  <c r="I708" i="3"/>
  <c r="H708" i="3"/>
  <c r="G708" i="3"/>
  <c r="F708" i="3"/>
  <c r="C708" i="3"/>
  <c r="B708" i="3"/>
  <c r="A708" i="3"/>
  <c r="I707" i="3"/>
  <c r="H707" i="3"/>
  <c r="G707" i="3"/>
  <c r="F707" i="3"/>
  <c r="C707" i="3"/>
  <c r="B707" i="3"/>
  <c r="A707" i="3"/>
  <c r="I706" i="3"/>
  <c r="H706" i="3"/>
  <c r="G706" i="3"/>
  <c r="F706" i="3"/>
  <c r="C706" i="3"/>
  <c r="B706" i="3"/>
  <c r="A706" i="3"/>
  <c r="I705" i="3"/>
  <c r="H705" i="3"/>
  <c r="G705" i="3"/>
  <c r="F705" i="3"/>
  <c r="C705" i="3"/>
  <c r="B705" i="3"/>
  <c r="A705" i="3"/>
  <c r="I704" i="3"/>
  <c r="H704" i="3"/>
  <c r="G704" i="3"/>
  <c r="F704" i="3"/>
  <c r="C704" i="3"/>
  <c r="B704" i="3"/>
  <c r="A704" i="3"/>
  <c r="I703" i="3"/>
  <c r="H703" i="3"/>
  <c r="G703" i="3"/>
  <c r="F703" i="3"/>
  <c r="C703" i="3"/>
  <c r="B703" i="3"/>
  <c r="A703" i="3"/>
  <c r="I702" i="3"/>
  <c r="H702" i="3"/>
  <c r="G702" i="3"/>
  <c r="F702" i="3"/>
  <c r="C702" i="3"/>
  <c r="B702" i="3"/>
  <c r="A702" i="3"/>
  <c r="I701" i="3"/>
  <c r="H701" i="3"/>
  <c r="G701" i="3"/>
  <c r="F701" i="3"/>
  <c r="C701" i="3"/>
  <c r="B701" i="3"/>
  <c r="A701" i="3"/>
  <c r="I700" i="3"/>
  <c r="H700" i="3"/>
  <c r="G700" i="3"/>
  <c r="F700" i="3"/>
  <c r="C700" i="3"/>
  <c r="B700" i="3"/>
  <c r="A700" i="3"/>
  <c r="I699" i="3"/>
  <c r="H699" i="3"/>
  <c r="G699" i="3"/>
  <c r="F699" i="3"/>
  <c r="C699" i="3"/>
  <c r="B699" i="3"/>
  <c r="A699" i="3"/>
  <c r="I698" i="3"/>
  <c r="H698" i="3"/>
  <c r="G698" i="3"/>
  <c r="F698" i="3"/>
  <c r="C698" i="3"/>
  <c r="B698" i="3"/>
  <c r="A698" i="3"/>
  <c r="I697" i="3"/>
  <c r="H697" i="3"/>
  <c r="G697" i="3"/>
  <c r="F697" i="3"/>
  <c r="C697" i="3"/>
  <c r="B697" i="3"/>
  <c r="A697" i="3"/>
  <c r="I696" i="3"/>
  <c r="H696" i="3"/>
  <c r="G696" i="3"/>
  <c r="F696" i="3"/>
  <c r="C696" i="3"/>
  <c r="B696" i="3"/>
  <c r="A696" i="3"/>
  <c r="I695" i="3"/>
  <c r="H695" i="3"/>
  <c r="G695" i="3"/>
  <c r="F695" i="3"/>
  <c r="C695" i="3"/>
  <c r="B695" i="3"/>
  <c r="A695" i="3"/>
  <c r="I694" i="3"/>
  <c r="H694" i="3"/>
  <c r="G694" i="3"/>
  <c r="F694" i="3"/>
  <c r="C694" i="3"/>
  <c r="B694" i="3"/>
  <c r="A694" i="3"/>
  <c r="I693" i="3"/>
  <c r="H693" i="3"/>
  <c r="G693" i="3"/>
  <c r="F693" i="3"/>
  <c r="C693" i="3"/>
  <c r="B693" i="3"/>
  <c r="A693" i="3"/>
  <c r="I692" i="3"/>
  <c r="H692" i="3"/>
  <c r="G692" i="3"/>
  <c r="F692" i="3"/>
  <c r="C692" i="3"/>
  <c r="B692" i="3"/>
  <c r="A692" i="3"/>
  <c r="I691" i="3"/>
  <c r="H691" i="3"/>
  <c r="G691" i="3"/>
  <c r="F691" i="3"/>
  <c r="C691" i="3"/>
  <c r="B691" i="3"/>
  <c r="A691" i="3"/>
  <c r="I690" i="3"/>
  <c r="H690" i="3"/>
  <c r="G690" i="3"/>
  <c r="F690" i="3"/>
  <c r="C690" i="3"/>
  <c r="B690" i="3"/>
  <c r="A690" i="3"/>
  <c r="I689" i="3"/>
  <c r="H689" i="3"/>
  <c r="G689" i="3"/>
  <c r="F689" i="3"/>
  <c r="C689" i="3"/>
  <c r="B689" i="3"/>
  <c r="A689" i="3"/>
  <c r="I688" i="3"/>
  <c r="H688" i="3"/>
  <c r="G688" i="3"/>
  <c r="F688" i="3"/>
  <c r="C688" i="3"/>
  <c r="B688" i="3"/>
  <c r="A688" i="3"/>
  <c r="I687" i="3"/>
  <c r="H687" i="3"/>
  <c r="G687" i="3"/>
  <c r="F687" i="3"/>
  <c r="C687" i="3"/>
  <c r="B687" i="3"/>
  <c r="A687" i="3"/>
  <c r="I686" i="3"/>
  <c r="H686" i="3"/>
  <c r="G686" i="3"/>
  <c r="F686" i="3"/>
  <c r="C686" i="3"/>
  <c r="B686" i="3"/>
  <c r="A686" i="3"/>
  <c r="I685" i="3"/>
  <c r="H685" i="3"/>
  <c r="G685" i="3"/>
  <c r="F685" i="3"/>
  <c r="C685" i="3"/>
  <c r="B685" i="3"/>
  <c r="A685" i="3"/>
  <c r="I684" i="3"/>
  <c r="H684" i="3"/>
  <c r="G684" i="3"/>
  <c r="F684" i="3"/>
  <c r="C684" i="3"/>
  <c r="B684" i="3"/>
  <c r="A684" i="3"/>
  <c r="I683" i="3"/>
  <c r="H683" i="3"/>
  <c r="G683" i="3"/>
  <c r="F683" i="3"/>
  <c r="C683" i="3"/>
  <c r="B683" i="3"/>
  <c r="A683" i="3"/>
  <c r="I682" i="3"/>
  <c r="H682" i="3"/>
  <c r="G682" i="3"/>
  <c r="F682" i="3"/>
  <c r="C682" i="3"/>
  <c r="B682" i="3"/>
  <c r="A682" i="3"/>
  <c r="I681" i="3"/>
  <c r="H681" i="3"/>
  <c r="G681" i="3"/>
  <c r="F681" i="3"/>
  <c r="C681" i="3"/>
  <c r="B681" i="3"/>
  <c r="A681" i="3"/>
  <c r="I680" i="3"/>
  <c r="H680" i="3"/>
  <c r="G680" i="3"/>
  <c r="F680" i="3"/>
  <c r="C680" i="3"/>
  <c r="B680" i="3"/>
  <c r="A680" i="3"/>
  <c r="I679" i="3"/>
  <c r="H679" i="3"/>
  <c r="G679" i="3"/>
  <c r="F679" i="3"/>
  <c r="C679" i="3"/>
  <c r="B679" i="3"/>
  <c r="A679" i="3"/>
  <c r="I678" i="3"/>
  <c r="H678" i="3"/>
  <c r="G678" i="3"/>
  <c r="F678" i="3"/>
  <c r="C678" i="3"/>
  <c r="B678" i="3"/>
  <c r="A678" i="3"/>
  <c r="I677" i="3"/>
  <c r="H677" i="3"/>
  <c r="G677" i="3"/>
  <c r="F677" i="3"/>
  <c r="C677" i="3"/>
  <c r="B677" i="3"/>
  <c r="A677" i="3"/>
  <c r="I676" i="3"/>
  <c r="H676" i="3"/>
  <c r="G676" i="3"/>
  <c r="F676" i="3"/>
  <c r="C676" i="3"/>
  <c r="B676" i="3"/>
  <c r="A676" i="3"/>
  <c r="I675" i="3"/>
  <c r="H675" i="3"/>
  <c r="G675" i="3"/>
  <c r="F675" i="3"/>
  <c r="C675" i="3"/>
  <c r="B675" i="3"/>
  <c r="A675" i="3"/>
  <c r="I674" i="3"/>
  <c r="H674" i="3"/>
  <c r="G674" i="3"/>
  <c r="F674" i="3"/>
  <c r="C674" i="3"/>
  <c r="B674" i="3"/>
  <c r="A674" i="3"/>
  <c r="I673" i="3"/>
  <c r="H673" i="3"/>
  <c r="G673" i="3"/>
  <c r="F673" i="3"/>
  <c r="C673" i="3"/>
  <c r="B673" i="3"/>
  <c r="A673" i="3"/>
  <c r="I672" i="3"/>
  <c r="H672" i="3"/>
  <c r="G672" i="3"/>
  <c r="F672" i="3"/>
  <c r="C672" i="3"/>
  <c r="B672" i="3"/>
  <c r="A672" i="3"/>
  <c r="I671" i="3"/>
  <c r="H671" i="3"/>
  <c r="G671" i="3"/>
  <c r="F671" i="3"/>
  <c r="C671" i="3"/>
  <c r="B671" i="3"/>
  <c r="A671" i="3"/>
  <c r="I670" i="3"/>
  <c r="H670" i="3"/>
  <c r="G670" i="3"/>
  <c r="F670" i="3"/>
  <c r="C670" i="3"/>
  <c r="B670" i="3"/>
  <c r="A670" i="3"/>
  <c r="I669" i="3"/>
  <c r="H669" i="3"/>
  <c r="G669" i="3"/>
  <c r="F669" i="3"/>
  <c r="C669" i="3"/>
  <c r="B669" i="3"/>
  <c r="A669" i="3"/>
  <c r="I668" i="3"/>
  <c r="H668" i="3"/>
  <c r="G668" i="3"/>
  <c r="F668" i="3"/>
  <c r="C668" i="3"/>
  <c r="B668" i="3"/>
  <c r="A668" i="3"/>
  <c r="I667" i="3"/>
  <c r="H667" i="3"/>
  <c r="G667" i="3"/>
  <c r="F667" i="3"/>
  <c r="C667" i="3"/>
  <c r="B667" i="3"/>
  <c r="A667" i="3"/>
  <c r="I666" i="3"/>
  <c r="H666" i="3"/>
  <c r="G666" i="3"/>
  <c r="F666" i="3"/>
  <c r="C666" i="3"/>
  <c r="B666" i="3"/>
  <c r="A666" i="3"/>
  <c r="I665" i="3"/>
  <c r="H665" i="3"/>
  <c r="G665" i="3"/>
  <c r="F665" i="3"/>
  <c r="C665" i="3"/>
  <c r="B665" i="3"/>
  <c r="A665" i="3"/>
  <c r="I664" i="3"/>
  <c r="H664" i="3"/>
  <c r="G664" i="3"/>
  <c r="F664" i="3"/>
  <c r="C664" i="3"/>
  <c r="B664" i="3"/>
  <c r="A664" i="3"/>
  <c r="I663" i="3"/>
  <c r="H663" i="3"/>
  <c r="G663" i="3"/>
  <c r="F663" i="3"/>
  <c r="C663" i="3"/>
  <c r="B663" i="3"/>
  <c r="A663" i="3"/>
  <c r="I662" i="3"/>
  <c r="H662" i="3"/>
  <c r="G662" i="3"/>
  <c r="F662" i="3"/>
  <c r="C662" i="3"/>
  <c r="B662" i="3"/>
  <c r="A662" i="3"/>
  <c r="I661" i="3"/>
  <c r="H661" i="3"/>
  <c r="G661" i="3"/>
  <c r="F661" i="3"/>
  <c r="C661" i="3"/>
  <c r="B661" i="3"/>
  <c r="A661" i="3"/>
  <c r="I660" i="3"/>
  <c r="H660" i="3"/>
  <c r="G660" i="3"/>
  <c r="F660" i="3"/>
  <c r="C660" i="3"/>
  <c r="B660" i="3"/>
  <c r="A660" i="3"/>
  <c r="I659" i="3"/>
  <c r="H659" i="3"/>
  <c r="G659" i="3"/>
  <c r="F659" i="3"/>
  <c r="C659" i="3"/>
  <c r="B659" i="3"/>
  <c r="A659" i="3"/>
  <c r="I658" i="3"/>
  <c r="H658" i="3"/>
  <c r="G658" i="3"/>
  <c r="F658" i="3"/>
  <c r="C658" i="3"/>
  <c r="B658" i="3"/>
  <c r="A658" i="3"/>
  <c r="I657" i="3"/>
  <c r="H657" i="3"/>
  <c r="G657" i="3"/>
  <c r="F657" i="3"/>
  <c r="C657" i="3"/>
  <c r="B657" i="3"/>
  <c r="A657" i="3"/>
  <c r="I656" i="3"/>
  <c r="H656" i="3"/>
  <c r="G656" i="3"/>
  <c r="F656" i="3"/>
  <c r="C656" i="3"/>
  <c r="B656" i="3"/>
  <c r="A656" i="3"/>
  <c r="I655" i="3"/>
  <c r="H655" i="3"/>
  <c r="G655" i="3"/>
  <c r="F655" i="3"/>
  <c r="C655" i="3"/>
  <c r="B655" i="3"/>
  <c r="A655" i="3"/>
  <c r="I654" i="3"/>
  <c r="H654" i="3"/>
  <c r="G654" i="3"/>
  <c r="F654" i="3"/>
  <c r="C654" i="3"/>
  <c r="B654" i="3"/>
  <c r="A654" i="3"/>
  <c r="I653" i="3"/>
  <c r="H653" i="3"/>
  <c r="G653" i="3"/>
  <c r="F653" i="3"/>
  <c r="C653" i="3"/>
  <c r="B653" i="3"/>
  <c r="A653" i="3"/>
  <c r="I652" i="3"/>
  <c r="H652" i="3"/>
  <c r="G652" i="3"/>
  <c r="F652" i="3"/>
  <c r="C652" i="3"/>
  <c r="B652" i="3"/>
  <c r="A652" i="3"/>
  <c r="I651" i="3"/>
  <c r="H651" i="3"/>
  <c r="G651" i="3"/>
  <c r="F651" i="3"/>
  <c r="C651" i="3"/>
  <c r="B651" i="3"/>
  <c r="A651" i="3"/>
  <c r="I650" i="3"/>
  <c r="H650" i="3"/>
  <c r="G650" i="3"/>
  <c r="F650" i="3"/>
  <c r="C650" i="3"/>
  <c r="B650" i="3"/>
  <c r="A650" i="3"/>
  <c r="I649" i="3"/>
  <c r="H649" i="3"/>
  <c r="G649" i="3"/>
  <c r="F649" i="3"/>
  <c r="C649" i="3"/>
  <c r="B649" i="3"/>
  <c r="A649" i="3"/>
  <c r="I648" i="3"/>
  <c r="H648" i="3"/>
  <c r="G648" i="3"/>
  <c r="F648" i="3"/>
  <c r="C648" i="3"/>
  <c r="B648" i="3"/>
  <c r="A648" i="3"/>
  <c r="I647" i="3"/>
  <c r="H647" i="3"/>
  <c r="G647" i="3"/>
  <c r="F647" i="3"/>
  <c r="C647" i="3"/>
  <c r="B647" i="3"/>
  <c r="A647" i="3"/>
  <c r="I646" i="3"/>
  <c r="H646" i="3"/>
  <c r="G646" i="3"/>
  <c r="F646" i="3"/>
  <c r="C646" i="3"/>
  <c r="B646" i="3"/>
  <c r="A646" i="3"/>
  <c r="I645" i="3"/>
  <c r="H645" i="3"/>
  <c r="G645" i="3"/>
  <c r="F645" i="3"/>
  <c r="C645" i="3"/>
  <c r="B645" i="3"/>
  <c r="A645" i="3"/>
  <c r="I644" i="3"/>
  <c r="H644" i="3"/>
  <c r="G644" i="3"/>
  <c r="F644" i="3"/>
  <c r="C644" i="3"/>
  <c r="B644" i="3"/>
  <c r="A644" i="3"/>
  <c r="I643" i="3"/>
  <c r="H643" i="3"/>
  <c r="G643" i="3"/>
  <c r="F643" i="3"/>
  <c r="C643" i="3"/>
  <c r="B643" i="3"/>
  <c r="A643" i="3"/>
  <c r="I642" i="3"/>
  <c r="H642" i="3"/>
  <c r="G642" i="3"/>
  <c r="F642" i="3"/>
  <c r="C642" i="3"/>
  <c r="B642" i="3"/>
  <c r="A642" i="3"/>
  <c r="I641" i="3"/>
  <c r="H641" i="3"/>
  <c r="G641" i="3"/>
  <c r="F641" i="3"/>
  <c r="C641" i="3"/>
  <c r="B641" i="3"/>
  <c r="A641" i="3"/>
  <c r="I640" i="3"/>
  <c r="H640" i="3"/>
  <c r="G640" i="3"/>
  <c r="F640" i="3"/>
  <c r="C640" i="3"/>
  <c r="B640" i="3"/>
  <c r="A640" i="3"/>
  <c r="I639" i="3"/>
  <c r="H639" i="3"/>
  <c r="G639" i="3"/>
  <c r="F639" i="3"/>
  <c r="C639" i="3"/>
  <c r="B639" i="3"/>
  <c r="A639" i="3"/>
  <c r="I638" i="3"/>
  <c r="H638" i="3"/>
  <c r="G638" i="3"/>
  <c r="F638" i="3"/>
  <c r="C638" i="3"/>
  <c r="B638" i="3"/>
  <c r="A638" i="3"/>
  <c r="I637" i="3"/>
  <c r="H637" i="3"/>
  <c r="G637" i="3"/>
  <c r="F637" i="3"/>
  <c r="C637" i="3"/>
  <c r="B637" i="3"/>
  <c r="A637" i="3"/>
  <c r="I636" i="3"/>
  <c r="H636" i="3"/>
  <c r="G636" i="3"/>
  <c r="F636" i="3"/>
  <c r="C636" i="3"/>
  <c r="B636" i="3"/>
  <c r="A636" i="3"/>
  <c r="I635" i="3"/>
  <c r="H635" i="3"/>
  <c r="G635" i="3"/>
  <c r="F635" i="3"/>
  <c r="C635" i="3"/>
  <c r="B635" i="3"/>
  <c r="A635" i="3"/>
  <c r="I634" i="3"/>
  <c r="H634" i="3"/>
  <c r="G634" i="3"/>
  <c r="F634" i="3"/>
  <c r="C634" i="3"/>
  <c r="B634" i="3"/>
  <c r="A634" i="3"/>
  <c r="I633" i="3"/>
  <c r="H633" i="3"/>
  <c r="G633" i="3"/>
  <c r="F633" i="3"/>
  <c r="C633" i="3"/>
  <c r="B633" i="3"/>
  <c r="A633" i="3"/>
  <c r="I632" i="3"/>
  <c r="H632" i="3"/>
  <c r="G632" i="3"/>
  <c r="F632" i="3"/>
  <c r="C632" i="3"/>
  <c r="B632" i="3"/>
  <c r="A632" i="3"/>
  <c r="I631" i="3"/>
  <c r="H631" i="3"/>
  <c r="G631" i="3"/>
  <c r="F631" i="3"/>
  <c r="C631" i="3"/>
  <c r="B631" i="3"/>
  <c r="A631" i="3"/>
  <c r="I630" i="3"/>
  <c r="H630" i="3"/>
  <c r="G630" i="3"/>
  <c r="F630" i="3"/>
  <c r="C630" i="3"/>
  <c r="B630" i="3"/>
  <c r="A630" i="3"/>
  <c r="I629" i="3"/>
  <c r="H629" i="3"/>
  <c r="G629" i="3"/>
  <c r="F629" i="3"/>
  <c r="C629" i="3"/>
  <c r="B629" i="3"/>
  <c r="A629" i="3"/>
  <c r="I628" i="3"/>
  <c r="H628" i="3"/>
  <c r="G628" i="3"/>
  <c r="F628" i="3"/>
  <c r="C628" i="3"/>
  <c r="B628" i="3"/>
  <c r="A628" i="3"/>
  <c r="I627" i="3"/>
  <c r="H627" i="3"/>
  <c r="G627" i="3"/>
  <c r="F627" i="3"/>
  <c r="C627" i="3"/>
  <c r="B627" i="3"/>
  <c r="A627" i="3"/>
  <c r="I626" i="3"/>
  <c r="H626" i="3"/>
  <c r="G626" i="3"/>
  <c r="F626" i="3"/>
  <c r="C626" i="3"/>
  <c r="B626" i="3"/>
  <c r="A626" i="3"/>
  <c r="I625" i="3"/>
  <c r="H625" i="3"/>
  <c r="G625" i="3"/>
  <c r="F625" i="3"/>
  <c r="C625" i="3"/>
  <c r="B625" i="3"/>
  <c r="A625" i="3"/>
  <c r="I624" i="3"/>
  <c r="H624" i="3"/>
  <c r="G624" i="3"/>
  <c r="F624" i="3"/>
  <c r="C624" i="3"/>
  <c r="B624" i="3"/>
  <c r="A624" i="3"/>
  <c r="I623" i="3"/>
  <c r="H623" i="3"/>
  <c r="G623" i="3"/>
  <c r="F623" i="3"/>
  <c r="C623" i="3"/>
  <c r="B623" i="3"/>
  <c r="A623" i="3"/>
  <c r="I622" i="3"/>
  <c r="H622" i="3"/>
  <c r="G622" i="3"/>
  <c r="F622" i="3"/>
  <c r="C622" i="3"/>
  <c r="B622" i="3"/>
  <c r="A622" i="3"/>
  <c r="I621" i="3"/>
  <c r="H621" i="3"/>
  <c r="G621" i="3"/>
  <c r="F621" i="3"/>
  <c r="C621" i="3"/>
  <c r="B621" i="3"/>
  <c r="A621" i="3"/>
  <c r="I620" i="3"/>
  <c r="H620" i="3"/>
  <c r="G620" i="3"/>
  <c r="F620" i="3"/>
  <c r="C620" i="3"/>
  <c r="B620" i="3"/>
  <c r="A620" i="3"/>
  <c r="I619" i="3"/>
  <c r="H619" i="3"/>
  <c r="G619" i="3"/>
  <c r="F619" i="3"/>
  <c r="C619" i="3"/>
  <c r="B619" i="3"/>
  <c r="A619" i="3"/>
  <c r="I618" i="3"/>
  <c r="H618" i="3"/>
  <c r="G618" i="3"/>
  <c r="F618" i="3"/>
  <c r="C618" i="3"/>
  <c r="B618" i="3"/>
  <c r="A618" i="3"/>
  <c r="I617" i="3"/>
  <c r="H617" i="3"/>
  <c r="G617" i="3"/>
  <c r="F617" i="3"/>
  <c r="C617" i="3"/>
  <c r="B617" i="3"/>
  <c r="A617" i="3"/>
  <c r="I616" i="3"/>
  <c r="H616" i="3"/>
  <c r="G616" i="3"/>
  <c r="F616" i="3"/>
  <c r="C616" i="3"/>
  <c r="B616" i="3"/>
  <c r="A616" i="3"/>
  <c r="I615" i="3"/>
  <c r="H615" i="3"/>
  <c r="G615" i="3"/>
  <c r="F615" i="3"/>
  <c r="C615" i="3"/>
  <c r="B615" i="3"/>
  <c r="A615" i="3"/>
  <c r="I614" i="3"/>
  <c r="H614" i="3"/>
  <c r="G614" i="3"/>
  <c r="F614" i="3"/>
  <c r="C614" i="3"/>
  <c r="B614" i="3"/>
  <c r="A614" i="3"/>
  <c r="I613" i="3"/>
  <c r="H613" i="3"/>
  <c r="G613" i="3"/>
  <c r="F613" i="3"/>
  <c r="C613" i="3"/>
  <c r="B613" i="3"/>
  <c r="A613" i="3"/>
  <c r="I612" i="3"/>
  <c r="H612" i="3"/>
  <c r="G612" i="3"/>
  <c r="F612" i="3"/>
  <c r="C612" i="3"/>
  <c r="B612" i="3"/>
  <c r="A612" i="3"/>
  <c r="I611" i="3"/>
  <c r="H611" i="3"/>
  <c r="G611" i="3"/>
  <c r="F611" i="3"/>
  <c r="C611" i="3"/>
  <c r="B611" i="3"/>
  <c r="A611" i="3"/>
  <c r="I610" i="3"/>
  <c r="H610" i="3"/>
  <c r="G610" i="3"/>
  <c r="F610" i="3"/>
  <c r="C610" i="3"/>
  <c r="B610" i="3"/>
  <c r="A610" i="3"/>
  <c r="I609" i="3"/>
  <c r="H609" i="3"/>
  <c r="G609" i="3"/>
  <c r="F609" i="3"/>
  <c r="C609" i="3"/>
  <c r="B609" i="3"/>
  <c r="A609" i="3"/>
  <c r="I608" i="3"/>
  <c r="H608" i="3"/>
  <c r="G608" i="3"/>
  <c r="F608" i="3"/>
  <c r="C608" i="3"/>
  <c r="B608" i="3"/>
  <c r="A608" i="3"/>
  <c r="I607" i="3"/>
  <c r="H607" i="3"/>
  <c r="G607" i="3"/>
  <c r="F607" i="3"/>
  <c r="C607" i="3"/>
  <c r="B607" i="3"/>
  <c r="A607" i="3"/>
  <c r="I606" i="3"/>
  <c r="H606" i="3"/>
  <c r="G606" i="3"/>
  <c r="F606" i="3"/>
  <c r="C606" i="3"/>
  <c r="B606" i="3"/>
  <c r="A606" i="3"/>
  <c r="I605" i="3"/>
  <c r="H605" i="3"/>
  <c r="G605" i="3"/>
  <c r="F605" i="3"/>
  <c r="C605" i="3"/>
  <c r="B605" i="3"/>
  <c r="A605" i="3"/>
  <c r="I604" i="3"/>
  <c r="H604" i="3"/>
  <c r="G604" i="3"/>
  <c r="F604" i="3"/>
  <c r="C604" i="3"/>
  <c r="B604" i="3"/>
  <c r="A604" i="3"/>
  <c r="I603" i="3"/>
  <c r="H603" i="3"/>
  <c r="G603" i="3"/>
  <c r="F603" i="3"/>
  <c r="C603" i="3"/>
  <c r="B603" i="3"/>
  <c r="A603" i="3"/>
  <c r="I602" i="3"/>
  <c r="H602" i="3"/>
  <c r="G602" i="3"/>
  <c r="F602" i="3"/>
  <c r="C602" i="3"/>
  <c r="B602" i="3"/>
  <c r="A602" i="3"/>
  <c r="I601" i="3"/>
  <c r="H601" i="3"/>
  <c r="G601" i="3"/>
  <c r="F601" i="3"/>
  <c r="C601" i="3"/>
  <c r="B601" i="3"/>
  <c r="A601" i="3"/>
  <c r="I600" i="3"/>
  <c r="H600" i="3"/>
  <c r="G600" i="3"/>
  <c r="F600" i="3"/>
  <c r="C600" i="3"/>
  <c r="B600" i="3"/>
  <c r="A600" i="3"/>
  <c r="I599" i="3"/>
  <c r="H599" i="3"/>
  <c r="G599" i="3"/>
  <c r="F599" i="3"/>
  <c r="C599" i="3"/>
  <c r="B599" i="3"/>
  <c r="A599" i="3"/>
  <c r="I598" i="3"/>
  <c r="H598" i="3"/>
  <c r="G598" i="3"/>
  <c r="F598" i="3"/>
  <c r="C598" i="3"/>
  <c r="B598" i="3"/>
  <c r="A598" i="3"/>
  <c r="I597" i="3"/>
  <c r="H597" i="3"/>
  <c r="G597" i="3"/>
  <c r="F597" i="3"/>
  <c r="C597" i="3"/>
  <c r="B597" i="3"/>
  <c r="A597" i="3"/>
  <c r="I596" i="3"/>
  <c r="H596" i="3"/>
  <c r="G596" i="3"/>
  <c r="F596" i="3"/>
  <c r="C596" i="3"/>
  <c r="B596" i="3"/>
  <c r="A596" i="3"/>
  <c r="I595" i="3"/>
  <c r="H595" i="3"/>
  <c r="G595" i="3"/>
  <c r="F595" i="3"/>
  <c r="C595" i="3"/>
  <c r="B595" i="3"/>
  <c r="A595" i="3"/>
  <c r="I594" i="3"/>
  <c r="H594" i="3"/>
  <c r="G594" i="3"/>
  <c r="F594" i="3"/>
  <c r="C594" i="3"/>
  <c r="B594" i="3"/>
  <c r="A594" i="3"/>
  <c r="I593" i="3"/>
  <c r="H593" i="3"/>
  <c r="G593" i="3"/>
  <c r="F593" i="3"/>
  <c r="C593" i="3"/>
  <c r="B593" i="3"/>
  <c r="A593" i="3"/>
  <c r="I592" i="3"/>
  <c r="H592" i="3"/>
  <c r="G592" i="3"/>
  <c r="F592" i="3"/>
  <c r="C592" i="3"/>
  <c r="B592" i="3"/>
  <c r="A592" i="3"/>
  <c r="I591" i="3"/>
  <c r="H591" i="3"/>
  <c r="G591" i="3"/>
  <c r="F591" i="3"/>
  <c r="C591" i="3"/>
  <c r="B591" i="3"/>
  <c r="A591" i="3"/>
  <c r="I590" i="3"/>
  <c r="H590" i="3"/>
  <c r="G590" i="3"/>
  <c r="F590" i="3"/>
  <c r="C590" i="3"/>
  <c r="B590" i="3"/>
  <c r="A590" i="3"/>
  <c r="I589" i="3"/>
  <c r="H589" i="3"/>
  <c r="G589" i="3"/>
  <c r="F589" i="3"/>
  <c r="C589" i="3"/>
  <c r="B589" i="3"/>
  <c r="A589" i="3"/>
  <c r="I588" i="3"/>
  <c r="H588" i="3"/>
  <c r="G588" i="3"/>
  <c r="F588" i="3"/>
  <c r="C588" i="3"/>
  <c r="B588" i="3"/>
  <c r="A588" i="3"/>
  <c r="I587" i="3"/>
  <c r="H587" i="3"/>
  <c r="G587" i="3"/>
  <c r="F587" i="3"/>
  <c r="C587" i="3"/>
  <c r="B587" i="3"/>
  <c r="A587" i="3"/>
  <c r="I586" i="3"/>
  <c r="H586" i="3"/>
  <c r="G586" i="3"/>
  <c r="F586" i="3"/>
  <c r="C586" i="3"/>
  <c r="B586" i="3"/>
  <c r="A586" i="3"/>
  <c r="I585" i="3"/>
  <c r="H585" i="3"/>
  <c r="G585" i="3"/>
  <c r="F585" i="3"/>
  <c r="C585" i="3"/>
  <c r="B585" i="3"/>
  <c r="A585" i="3"/>
  <c r="I584" i="3"/>
  <c r="H584" i="3"/>
  <c r="G584" i="3"/>
  <c r="F584" i="3"/>
  <c r="C584" i="3"/>
  <c r="B584" i="3"/>
  <c r="A584" i="3"/>
  <c r="I583" i="3"/>
  <c r="H583" i="3"/>
  <c r="G583" i="3"/>
  <c r="F583" i="3"/>
  <c r="C583" i="3"/>
  <c r="B583" i="3"/>
  <c r="A583" i="3"/>
  <c r="I582" i="3"/>
  <c r="H582" i="3"/>
  <c r="G582" i="3"/>
  <c r="F582" i="3"/>
  <c r="C582" i="3"/>
  <c r="B582" i="3"/>
  <c r="A582" i="3"/>
  <c r="I581" i="3"/>
  <c r="H581" i="3"/>
  <c r="G581" i="3"/>
  <c r="F581" i="3"/>
  <c r="C581" i="3"/>
  <c r="B581" i="3"/>
  <c r="A581" i="3"/>
  <c r="I580" i="3"/>
  <c r="H580" i="3"/>
  <c r="G580" i="3"/>
  <c r="F580" i="3"/>
  <c r="C580" i="3"/>
  <c r="B580" i="3"/>
  <c r="A580" i="3"/>
  <c r="I579" i="3"/>
  <c r="H579" i="3"/>
  <c r="G579" i="3"/>
  <c r="F579" i="3"/>
  <c r="C579" i="3"/>
  <c r="B579" i="3"/>
  <c r="A579" i="3"/>
  <c r="I578" i="3"/>
  <c r="H578" i="3"/>
  <c r="G578" i="3"/>
  <c r="F578" i="3"/>
  <c r="C578" i="3"/>
  <c r="B578" i="3"/>
  <c r="A578" i="3"/>
  <c r="I577" i="3"/>
  <c r="H577" i="3"/>
  <c r="G577" i="3"/>
  <c r="F577" i="3"/>
  <c r="C577" i="3"/>
  <c r="B577" i="3"/>
  <c r="A577" i="3"/>
  <c r="I576" i="3"/>
  <c r="H576" i="3"/>
  <c r="G576" i="3"/>
  <c r="F576" i="3"/>
  <c r="C576" i="3"/>
  <c r="B576" i="3"/>
  <c r="A576" i="3"/>
  <c r="I575" i="3"/>
  <c r="H575" i="3"/>
  <c r="G575" i="3"/>
  <c r="F575" i="3"/>
  <c r="C575" i="3"/>
  <c r="B575" i="3"/>
  <c r="A575" i="3"/>
  <c r="I574" i="3"/>
  <c r="H574" i="3"/>
  <c r="G574" i="3"/>
  <c r="F574" i="3"/>
  <c r="C574" i="3"/>
  <c r="B574" i="3"/>
  <c r="A574" i="3"/>
  <c r="I573" i="3"/>
  <c r="H573" i="3"/>
  <c r="G573" i="3"/>
  <c r="F573" i="3"/>
  <c r="C573" i="3"/>
  <c r="B573" i="3"/>
  <c r="A573" i="3"/>
  <c r="I572" i="3"/>
  <c r="H572" i="3"/>
  <c r="G572" i="3"/>
  <c r="F572" i="3"/>
  <c r="C572" i="3"/>
  <c r="B572" i="3"/>
  <c r="A572" i="3"/>
  <c r="I571" i="3"/>
  <c r="H571" i="3"/>
  <c r="G571" i="3"/>
  <c r="F571" i="3"/>
  <c r="C571" i="3"/>
  <c r="B571" i="3"/>
  <c r="A571" i="3"/>
  <c r="I570" i="3"/>
  <c r="H570" i="3"/>
  <c r="G570" i="3"/>
  <c r="F570" i="3"/>
  <c r="C570" i="3"/>
  <c r="B570" i="3"/>
  <c r="A570" i="3"/>
  <c r="I569" i="3"/>
  <c r="H569" i="3"/>
  <c r="G569" i="3"/>
  <c r="F569" i="3"/>
  <c r="C569" i="3"/>
  <c r="B569" i="3"/>
  <c r="A569" i="3"/>
  <c r="I568" i="3"/>
  <c r="H568" i="3"/>
  <c r="G568" i="3"/>
  <c r="F568" i="3"/>
  <c r="C568" i="3"/>
  <c r="B568" i="3"/>
  <c r="A568" i="3"/>
  <c r="I567" i="3"/>
  <c r="H567" i="3"/>
  <c r="G567" i="3"/>
  <c r="F567" i="3"/>
  <c r="C567" i="3"/>
  <c r="B567" i="3"/>
  <c r="A567" i="3"/>
  <c r="I566" i="3"/>
  <c r="H566" i="3"/>
  <c r="G566" i="3"/>
  <c r="F566" i="3"/>
  <c r="C566" i="3"/>
  <c r="B566" i="3"/>
  <c r="A566" i="3"/>
  <c r="I565" i="3"/>
  <c r="H565" i="3"/>
  <c r="G565" i="3"/>
  <c r="F565" i="3"/>
  <c r="C565" i="3"/>
  <c r="B565" i="3"/>
  <c r="A565" i="3"/>
  <c r="I564" i="3"/>
  <c r="H564" i="3"/>
  <c r="G564" i="3"/>
  <c r="F564" i="3"/>
  <c r="C564" i="3"/>
  <c r="B564" i="3"/>
  <c r="A564" i="3"/>
  <c r="I563" i="3"/>
  <c r="H563" i="3"/>
  <c r="G563" i="3"/>
  <c r="F563" i="3"/>
  <c r="C563" i="3"/>
  <c r="B563" i="3"/>
  <c r="A563" i="3"/>
  <c r="I562" i="3"/>
  <c r="H562" i="3"/>
  <c r="G562" i="3"/>
  <c r="F562" i="3"/>
  <c r="C562" i="3"/>
  <c r="B562" i="3"/>
  <c r="A562" i="3"/>
  <c r="I561" i="3"/>
  <c r="H561" i="3"/>
  <c r="G561" i="3"/>
  <c r="F561" i="3"/>
  <c r="C561" i="3"/>
  <c r="B561" i="3"/>
  <c r="A561" i="3"/>
  <c r="I560" i="3"/>
  <c r="H560" i="3"/>
  <c r="G560" i="3"/>
  <c r="F560" i="3"/>
  <c r="C560" i="3"/>
  <c r="B560" i="3"/>
  <c r="A560" i="3"/>
  <c r="I559" i="3"/>
  <c r="H559" i="3"/>
  <c r="G559" i="3"/>
  <c r="F559" i="3"/>
  <c r="C559" i="3"/>
  <c r="B559" i="3"/>
  <c r="A559" i="3"/>
  <c r="I558" i="3"/>
  <c r="H558" i="3"/>
  <c r="G558" i="3"/>
  <c r="F558" i="3"/>
  <c r="C558" i="3"/>
  <c r="B558" i="3"/>
  <c r="A558" i="3"/>
  <c r="I557" i="3"/>
  <c r="H557" i="3"/>
  <c r="G557" i="3"/>
  <c r="F557" i="3"/>
  <c r="C557" i="3"/>
  <c r="B557" i="3"/>
  <c r="A557" i="3"/>
  <c r="I556" i="3"/>
  <c r="H556" i="3"/>
  <c r="G556" i="3"/>
  <c r="F556" i="3"/>
  <c r="C556" i="3"/>
  <c r="B556" i="3"/>
  <c r="A556" i="3"/>
  <c r="I555" i="3"/>
  <c r="H555" i="3"/>
  <c r="G555" i="3"/>
  <c r="F555" i="3"/>
  <c r="C555" i="3"/>
  <c r="B555" i="3"/>
  <c r="A555" i="3"/>
  <c r="I554" i="3"/>
  <c r="H554" i="3"/>
  <c r="G554" i="3"/>
  <c r="F554" i="3"/>
  <c r="C554" i="3"/>
  <c r="B554" i="3"/>
  <c r="A554" i="3"/>
  <c r="I553" i="3"/>
  <c r="H553" i="3"/>
  <c r="G553" i="3"/>
  <c r="F553" i="3"/>
  <c r="C553" i="3"/>
  <c r="B553" i="3"/>
  <c r="A553" i="3"/>
  <c r="I552" i="3"/>
  <c r="H552" i="3"/>
  <c r="G552" i="3"/>
  <c r="F552" i="3"/>
  <c r="C552" i="3"/>
  <c r="B552" i="3"/>
  <c r="A552" i="3"/>
  <c r="I551" i="3"/>
  <c r="H551" i="3"/>
  <c r="G551" i="3"/>
  <c r="F551" i="3"/>
  <c r="C551" i="3"/>
  <c r="B551" i="3"/>
  <c r="A551" i="3"/>
  <c r="I550" i="3"/>
  <c r="H550" i="3"/>
  <c r="G550" i="3"/>
  <c r="F550" i="3"/>
  <c r="C550" i="3"/>
  <c r="B550" i="3"/>
  <c r="A550" i="3"/>
  <c r="I549" i="3"/>
  <c r="H549" i="3"/>
  <c r="G549" i="3"/>
  <c r="F549" i="3"/>
  <c r="C549" i="3"/>
  <c r="B549" i="3"/>
  <c r="A549" i="3"/>
  <c r="I548" i="3"/>
  <c r="H548" i="3"/>
  <c r="G548" i="3"/>
  <c r="F548" i="3"/>
  <c r="C548" i="3"/>
  <c r="B548" i="3"/>
  <c r="A548" i="3"/>
  <c r="I547" i="3"/>
  <c r="H547" i="3"/>
  <c r="G547" i="3"/>
  <c r="F547" i="3"/>
  <c r="C547" i="3"/>
  <c r="B547" i="3"/>
  <c r="A547" i="3"/>
  <c r="I546" i="3"/>
  <c r="H546" i="3"/>
  <c r="G546" i="3"/>
  <c r="F546" i="3"/>
  <c r="C546" i="3"/>
  <c r="B546" i="3"/>
  <c r="A546" i="3"/>
  <c r="I545" i="3"/>
  <c r="H545" i="3"/>
  <c r="G545" i="3"/>
  <c r="F545" i="3"/>
  <c r="C545" i="3"/>
  <c r="B545" i="3"/>
  <c r="A545" i="3"/>
  <c r="I544" i="3"/>
  <c r="H544" i="3"/>
  <c r="G544" i="3"/>
  <c r="F544" i="3"/>
  <c r="C544" i="3"/>
  <c r="B544" i="3"/>
  <c r="A544" i="3"/>
  <c r="I543" i="3"/>
  <c r="H543" i="3"/>
  <c r="G543" i="3"/>
  <c r="F543" i="3"/>
  <c r="C543" i="3"/>
  <c r="B543" i="3"/>
  <c r="A543" i="3"/>
  <c r="I542" i="3"/>
  <c r="H542" i="3"/>
  <c r="G542" i="3"/>
  <c r="F542" i="3"/>
  <c r="C542" i="3"/>
  <c r="B542" i="3"/>
  <c r="A542" i="3"/>
  <c r="I541" i="3"/>
  <c r="H541" i="3"/>
  <c r="G541" i="3"/>
  <c r="F541" i="3"/>
  <c r="C541" i="3"/>
  <c r="B541" i="3"/>
  <c r="A541" i="3"/>
  <c r="I540" i="3"/>
  <c r="H540" i="3"/>
  <c r="G540" i="3"/>
  <c r="F540" i="3"/>
  <c r="C540" i="3"/>
  <c r="B540" i="3"/>
  <c r="A540" i="3"/>
  <c r="I539" i="3"/>
  <c r="H539" i="3"/>
  <c r="G539" i="3"/>
  <c r="F539" i="3"/>
  <c r="C539" i="3"/>
  <c r="B539" i="3"/>
  <c r="A539" i="3"/>
  <c r="I538" i="3"/>
  <c r="H538" i="3"/>
  <c r="G538" i="3"/>
  <c r="F538" i="3"/>
  <c r="C538" i="3"/>
  <c r="B538" i="3"/>
  <c r="A538" i="3"/>
  <c r="I537" i="3"/>
  <c r="H537" i="3"/>
  <c r="G537" i="3"/>
  <c r="F537" i="3"/>
  <c r="C537" i="3"/>
  <c r="B537" i="3"/>
  <c r="A537" i="3"/>
  <c r="I536" i="3"/>
  <c r="H536" i="3"/>
  <c r="G536" i="3"/>
  <c r="F536" i="3"/>
  <c r="C536" i="3"/>
  <c r="B536" i="3"/>
  <c r="A536" i="3"/>
  <c r="I535" i="3"/>
  <c r="H535" i="3"/>
  <c r="G535" i="3"/>
  <c r="F535" i="3"/>
  <c r="C535" i="3"/>
  <c r="B535" i="3"/>
  <c r="A535" i="3"/>
  <c r="I534" i="3"/>
  <c r="H534" i="3"/>
  <c r="G534" i="3"/>
  <c r="F534" i="3"/>
  <c r="C534" i="3"/>
  <c r="B534" i="3"/>
  <c r="A534" i="3"/>
  <c r="I533" i="3"/>
  <c r="H533" i="3"/>
  <c r="G533" i="3"/>
  <c r="F533" i="3"/>
  <c r="C533" i="3"/>
  <c r="B533" i="3"/>
  <c r="A533" i="3"/>
  <c r="I532" i="3"/>
  <c r="H532" i="3"/>
  <c r="G532" i="3"/>
  <c r="F532" i="3"/>
  <c r="C532" i="3"/>
  <c r="B532" i="3"/>
  <c r="A532" i="3"/>
  <c r="I531" i="3"/>
  <c r="H531" i="3"/>
  <c r="G531" i="3"/>
  <c r="F531" i="3"/>
  <c r="C531" i="3"/>
  <c r="B531" i="3"/>
  <c r="A531" i="3"/>
  <c r="I530" i="3"/>
  <c r="H530" i="3"/>
  <c r="G530" i="3"/>
  <c r="F530" i="3"/>
  <c r="C530" i="3"/>
  <c r="B530" i="3"/>
  <c r="A530" i="3"/>
  <c r="I529" i="3"/>
  <c r="H529" i="3"/>
  <c r="G529" i="3"/>
  <c r="F529" i="3"/>
  <c r="C529" i="3"/>
  <c r="B529" i="3"/>
  <c r="A529" i="3"/>
  <c r="I528" i="3"/>
  <c r="H528" i="3"/>
  <c r="G528" i="3"/>
  <c r="F528" i="3"/>
  <c r="C528" i="3"/>
  <c r="B528" i="3"/>
  <c r="A528" i="3"/>
  <c r="I527" i="3"/>
  <c r="H527" i="3"/>
  <c r="G527" i="3"/>
  <c r="F527" i="3"/>
  <c r="C527" i="3"/>
  <c r="B527" i="3"/>
  <c r="A527" i="3"/>
  <c r="I526" i="3"/>
  <c r="H526" i="3"/>
  <c r="G526" i="3"/>
  <c r="F526" i="3"/>
  <c r="C526" i="3"/>
  <c r="B526" i="3"/>
  <c r="A526" i="3"/>
  <c r="I525" i="3"/>
  <c r="H525" i="3"/>
  <c r="G525" i="3"/>
  <c r="F525" i="3"/>
  <c r="C525" i="3"/>
  <c r="B525" i="3"/>
  <c r="A525" i="3"/>
  <c r="I524" i="3"/>
  <c r="H524" i="3"/>
  <c r="G524" i="3"/>
  <c r="F524" i="3"/>
  <c r="C524" i="3"/>
  <c r="B524" i="3"/>
  <c r="A524" i="3"/>
  <c r="I523" i="3"/>
  <c r="H523" i="3"/>
  <c r="G523" i="3"/>
  <c r="F523" i="3"/>
  <c r="C523" i="3"/>
  <c r="B523" i="3"/>
  <c r="A523" i="3"/>
  <c r="I522" i="3"/>
  <c r="H522" i="3"/>
  <c r="G522" i="3"/>
  <c r="F522" i="3"/>
  <c r="C522" i="3"/>
  <c r="B522" i="3"/>
  <c r="A522" i="3"/>
  <c r="I521" i="3"/>
  <c r="H521" i="3"/>
  <c r="G521" i="3"/>
  <c r="F521" i="3"/>
  <c r="C521" i="3"/>
  <c r="B521" i="3"/>
  <c r="A521" i="3"/>
  <c r="I520" i="3"/>
  <c r="H520" i="3"/>
  <c r="G520" i="3"/>
  <c r="F520" i="3"/>
  <c r="C520" i="3"/>
  <c r="B520" i="3"/>
  <c r="A520" i="3"/>
  <c r="I519" i="3"/>
  <c r="H519" i="3"/>
  <c r="G519" i="3"/>
  <c r="F519" i="3"/>
  <c r="C519" i="3"/>
  <c r="B519" i="3"/>
  <c r="A519" i="3"/>
  <c r="I518" i="3"/>
  <c r="H518" i="3"/>
  <c r="G518" i="3"/>
  <c r="F518" i="3"/>
  <c r="C518" i="3"/>
  <c r="B518" i="3"/>
  <c r="A518" i="3"/>
  <c r="I517" i="3"/>
  <c r="H517" i="3"/>
  <c r="G517" i="3"/>
  <c r="F517" i="3"/>
  <c r="C517" i="3"/>
  <c r="B517" i="3"/>
  <c r="A517" i="3"/>
  <c r="I516" i="3"/>
  <c r="H516" i="3"/>
  <c r="G516" i="3"/>
  <c r="F516" i="3"/>
  <c r="C516" i="3"/>
  <c r="B516" i="3"/>
  <c r="A516" i="3"/>
  <c r="I515" i="3"/>
  <c r="H515" i="3"/>
  <c r="G515" i="3"/>
  <c r="F515" i="3"/>
  <c r="C515" i="3"/>
  <c r="B515" i="3"/>
  <c r="A515" i="3"/>
  <c r="I514" i="3"/>
  <c r="H514" i="3"/>
  <c r="G514" i="3"/>
  <c r="F514" i="3"/>
  <c r="C514" i="3"/>
  <c r="B514" i="3"/>
  <c r="A514" i="3"/>
  <c r="I513" i="3"/>
  <c r="H513" i="3"/>
  <c r="G513" i="3"/>
  <c r="F513" i="3"/>
  <c r="C513" i="3"/>
  <c r="B513" i="3"/>
  <c r="A513" i="3"/>
  <c r="I512" i="3"/>
  <c r="H512" i="3"/>
  <c r="G512" i="3"/>
  <c r="F512" i="3"/>
  <c r="C512" i="3"/>
  <c r="A512" i="3"/>
  <c r="I511" i="3"/>
  <c r="H511" i="3"/>
  <c r="G511" i="3"/>
  <c r="F511" i="3"/>
  <c r="C511" i="3"/>
  <c r="A511" i="3"/>
  <c r="I510" i="3"/>
  <c r="H510" i="3"/>
  <c r="G510" i="3"/>
  <c r="F510" i="3"/>
  <c r="C510" i="3"/>
  <c r="A510" i="3"/>
  <c r="I509" i="3"/>
  <c r="H509" i="3"/>
  <c r="G509" i="3"/>
  <c r="F509" i="3"/>
  <c r="C509" i="3"/>
  <c r="A509" i="3"/>
  <c r="I508" i="3"/>
  <c r="H508" i="3"/>
  <c r="G508" i="3"/>
  <c r="F508" i="3"/>
  <c r="C508" i="3"/>
  <c r="B508" i="3"/>
  <c r="A508" i="3"/>
  <c r="I507" i="3"/>
  <c r="H507" i="3"/>
  <c r="G507" i="3"/>
  <c r="F507" i="3"/>
  <c r="C507" i="3"/>
  <c r="B507" i="3"/>
  <c r="A507" i="3"/>
  <c r="I506" i="3"/>
  <c r="H506" i="3"/>
  <c r="G506" i="3"/>
  <c r="F506" i="3"/>
  <c r="C506" i="3"/>
  <c r="A506" i="3"/>
  <c r="I505" i="3"/>
  <c r="H505" i="3"/>
  <c r="G505" i="3"/>
  <c r="F505" i="3"/>
  <c r="C505" i="3"/>
  <c r="A505" i="3"/>
  <c r="I504" i="3"/>
  <c r="H504" i="3"/>
  <c r="G504" i="3"/>
  <c r="F504" i="3"/>
  <c r="C504" i="3"/>
  <c r="A504" i="3"/>
  <c r="I503" i="3"/>
  <c r="H503" i="3"/>
  <c r="G503" i="3"/>
  <c r="F503" i="3"/>
  <c r="C503" i="3"/>
  <c r="A503" i="3"/>
  <c r="I502" i="3"/>
  <c r="H502" i="3"/>
  <c r="G502" i="3"/>
  <c r="F502" i="3"/>
  <c r="C502" i="3"/>
  <c r="A502" i="3"/>
  <c r="I501" i="3"/>
  <c r="H501" i="3"/>
  <c r="G501" i="3"/>
  <c r="F501" i="3"/>
  <c r="C501" i="3"/>
  <c r="A501" i="3"/>
  <c r="I500" i="3"/>
  <c r="H500" i="3"/>
  <c r="G500" i="3"/>
  <c r="F500" i="3"/>
  <c r="C500" i="3"/>
  <c r="A500" i="3"/>
  <c r="I499" i="3"/>
  <c r="H499" i="3"/>
  <c r="G499" i="3"/>
  <c r="F499" i="3"/>
  <c r="C499" i="3"/>
  <c r="A499" i="3"/>
  <c r="I498" i="3"/>
  <c r="H498" i="3"/>
  <c r="G498" i="3"/>
  <c r="F498" i="3"/>
  <c r="C498" i="3"/>
  <c r="A498" i="3"/>
  <c r="I497" i="3"/>
  <c r="H497" i="3"/>
  <c r="G497" i="3"/>
  <c r="F497" i="3"/>
  <c r="C497" i="3"/>
  <c r="A497" i="3"/>
  <c r="I496" i="3"/>
  <c r="H496" i="3"/>
  <c r="G496" i="3"/>
  <c r="F496" i="3"/>
  <c r="C496" i="3"/>
  <c r="A496" i="3"/>
  <c r="I495" i="3"/>
  <c r="H495" i="3"/>
  <c r="G495" i="3"/>
  <c r="F495" i="3"/>
  <c r="C495" i="3"/>
  <c r="A495" i="3"/>
  <c r="I494" i="3"/>
  <c r="H494" i="3"/>
  <c r="G494" i="3"/>
  <c r="F494" i="3"/>
  <c r="C494" i="3"/>
  <c r="A494" i="3"/>
  <c r="I493" i="3"/>
  <c r="H493" i="3"/>
  <c r="G493" i="3"/>
  <c r="F493" i="3"/>
  <c r="C493" i="3"/>
  <c r="A493" i="3"/>
  <c r="I492" i="3"/>
  <c r="H492" i="3"/>
  <c r="G492" i="3"/>
  <c r="F492" i="3"/>
  <c r="C492" i="3"/>
  <c r="A492" i="3"/>
  <c r="I491" i="3"/>
  <c r="H491" i="3"/>
  <c r="G491" i="3"/>
  <c r="F491" i="3"/>
  <c r="C491" i="3"/>
  <c r="A491" i="3"/>
  <c r="I490" i="3"/>
  <c r="H490" i="3"/>
  <c r="G490" i="3"/>
  <c r="F490" i="3"/>
  <c r="C490" i="3"/>
  <c r="A490" i="3"/>
  <c r="I489" i="3"/>
  <c r="H489" i="3"/>
  <c r="G489" i="3"/>
  <c r="F489" i="3"/>
  <c r="C489" i="3"/>
  <c r="A489" i="3"/>
  <c r="I488" i="3"/>
  <c r="H488" i="3"/>
  <c r="G488" i="3"/>
  <c r="F488" i="3"/>
  <c r="C488" i="3"/>
  <c r="A488" i="3"/>
  <c r="I487" i="3"/>
  <c r="H487" i="3"/>
  <c r="G487" i="3"/>
  <c r="F487" i="3"/>
  <c r="C487" i="3"/>
  <c r="A487" i="3"/>
  <c r="I486" i="3"/>
  <c r="H486" i="3"/>
  <c r="G486" i="3"/>
  <c r="F486" i="3"/>
  <c r="C486" i="3"/>
  <c r="A486" i="3"/>
  <c r="I485" i="3"/>
  <c r="H485" i="3"/>
  <c r="G485" i="3"/>
  <c r="F485" i="3"/>
  <c r="C485" i="3"/>
  <c r="A485" i="3"/>
  <c r="I484" i="3"/>
  <c r="H484" i="3"/>
  <c r="G484" i="3"/>
  <c r="F484" i="3"/>
  <c r="C484" i="3"/>
  <c r="A484" i="3"/>
  <c r="I483" i="3"/>
  <c r="H483" i="3"/>
  <c r="G483" i="3"/>
  <c r="F483" i="3"/>
  <c r="C483" i="3"/>
  <c r="A483" i="3"/>
  <c r="I482" i="3"/>
  <c r="H482" i="3"/>
  <c r="G482" i="3"/>
  <c r="F482" i="3"/>
  <c r="C482" i="3"/>
  <c r="A482" i="3"/>
  <c r="I481" i="3"/>
  <c r="H481" i="3"/>
  <c r="G481" i="3"/>
  <c r="F481" i="3"/>
  <c r="C481" i="3"/>
  <c r="A481" i="3"/>
  <c r="I480" i="3"/>
  <c r="H480" i="3"/>
  <c r="G480" i="3"/>
  <c r="F480" i="3"/>
  <c r="C480" i="3"/>
  <c r="A480" i="3"/>
  <c r="I479" i="3"/>
  <c r="H479" i="3"/>
  <c r="G479" i="3"/>
  <c r="F479" i="3"/>
  <c r="C479" i="3"/>
  <c r="A479" i="3"/>
  <c r="I478" i="3"/>
  <c r="H478" i="3"/>
  <c r="G478" i="3"/>
  <c r="F478" i="3"/>
  <c r="C478" i="3"/>
  <c r="A478" i="3"/>
  <c r="I477" i="3"/>
  <c r="H477" i="3"/>
  <c r="G477" i="3"/>
  <c r="F477" i="3"/>
  <c r="C477" i="3"/>
  <c r="A477" i="3"/>
  <c r="I476" i="3"/>
  <c r="H476" i="3"/>
  <c r="G476" i="3"/>
  <c r="F476" i="3"/>
  <c r="C476" i="3"/>
  <c r="A476" i="3"/>
  <c r="I475" i="3"/>
  <c r="H475" i="3"/>
  <c r="G475" i="3"/>
  <c r="F475" i="3"/>
  <c r="C475" i="3"/>
  <c r="A475" i="3"/>
  <c r="I474" i="3"/>
  <c r="H474" i="3"/>
  <c r="G474" i="3"/>
  <c r="F474" i="3"/>
  <c r="C474" i="3"/>
  <c r="B474" i="3"/>
  <c r="A474" i="3"/>
  <c r="I473" i="3"/>
  <c r="H473" i="3"/>
  <c r="G473" i="3"/>
  <c r="F473" i="3"/>
  <c r="C473" i="3"/>
  <c r="A473" i="3"/>
  <c r="I472" i="3"/>
  <c r="H472" i="3"/>
  <c r="G472" i="3"/>
  <c r="F472" i="3"/>
  <c r="C472" i="3"/>
  <c r="A472" i="3"/>
  <c r="I471" i="3"/>
  <c r="H471" i="3"/>
  <c r="G471" i="3"/>
  <c r="F471" i="3"/>
  <c r="C471" i="3"/>
  <c r="A471" i="3"/>
  <c r="I470" i="3"/>
  <c r="H470" i="3"/>
  <c r="G470" i="3"/>
  <c r="F470" i="3"/>
  <c r="C470" i="3"/>
  <c r="A470" i="3"/>
  <c r="I469" i="3"/>
  <c r="H469" i="3"/>
  <c r="G469" i="3"/>
  <c r="F469" i="3"/>
  <c r="C469" i="3"/>
  <c r="A469" i="3"/>
  <c r="I468" i="3"/>
  <c r="H468" i="3"/>
  <c r="G468" i="3"/>
  <c r="F468" i="3"/>
  <c r="C468" i="3"/>
  <c r="A468" i="3"/>
  <c r="I467" i="3"/>
  <c r="H467" i="3"/>
  <c r="G467" i="3"/>
  <c r="F467" i="3"/>
  <c r="C467" i="3"/>
  <c r="A467" i="3"/>
  <c r="I466" i="3"/>
  <c r="H466" i="3"/>
  <c r="G466" i="3"/>
  <c r="F466" i="3"/>
  <c r="C466" i="3"/>
  <c r="A466" i="3"/>
  <c r="I465" i="3"/>
  <c r="H465" i="3"/>
  <c r="G465" i="3"/>
  <c r="F465" i="3"/>
  <c r="C465" i="3"/>
  <c r="B465" i="3"/>
  <c r="A465" i="3"/>
  <c r="I464" i="3"/>
  <c r="H464" i="3"/>
  <c r="G464" i="3"/>
  <c r="F464" i="3"/>
  <c r="C464" i="3"/>
  <c r="A464" i="3"/>
  <c r="I463" i="3"/>
  <c r="H463" i="3"/>
  <c r="G463" i="3"/>
  <c r="F463" i="3"/>
  <c r="C463" i="3"/>
  <c r="A463" i="3"/>
  <c r="I462" i="3"/>
  <c r="H462" i="3"/>
  <c r="G462" i="3"/>
  <c r="F462" i="3"/>
  <c r="C462" i="3"/>
  <c r="A462" i="3"/>
  <c r="I461" i="3"/>
  <c r="H461" i="3"/>
  <c r="G461" i="3"/>
  <c r="F461" i="3"/>
  <c r="C461" i="3"/>
  <c r="A461" i="3"/>
  <c r="I460" i="3"/>
  <c r="H460" i="3"/>
  <c r="G460" i="3"/>
  <c r="F460" i="3"/>
  <c r="C460" i="3"/>
  <c r="A460" i="3"/>
  <c r="I459" i="3"/>
  <c r="H459" i="3"/>
  <c r="G459" i="3"/>
  <c r="F459" i="3"/>
  <c r="C459" i="3"/>
  <c r="A459" i="3"/>
  <c r="I458" i="3"/>
  <c r="H458" i="3"/>
  <c r="G458" i="3"/>
  <c r="F458" i="3"/>
  <c r="C458" i="3"/>
  <c r="A458" i="3"/>
  <c r="I457" i="3"/>
  <c r="H457" i="3"/>
  <c r="G457" i="3"/>
  <c r="F457" i="3"/>
  <c r="C457" i="3"/>
  <c r="A457" i="3"/>
  <c r="I456" i="3"/>
  <c r="H456" i="3"/>
  <c r="G456" i="3"/>
  <c r="F456" i="3"/>
  <c r="C456" i="3"/>
  <c r="A456" i="3"/>
  <c r="T455" i="3"/>
  <c r="S455" i="3"/>
  <c r="R455" i="3"/>
  <c r="Q455" i="3"/>
  <c r="P455" i="3"/>
  <c r="O455" i="3"/>
  <c r="I455" i="3"/>
  <c r="H455" i="3"/>
  <c r="G455" i="3"/>
  <c r="F455" i="3"/>
  <c r="C455" i="3"/>
  <c r="B455" i="3"/>
  <c r="A455" i="3"/>
  <c r="I454" i="3"/>
  <c r="H454" i="3"/>
  <c r="G454" i="3"/>
  <c r="F454" i="3"/>
  <c r="C454" i="3"/>
  <c r="B454" i="3"/>
  <c r="A454" i="3"/>
  <c r="I453" i="3"/>
  <c r="H453" i="3"/>
  <c r="G453" i="3"/>
  <c r="F453" i="3"/>
  <c r="C453" i="3"/>
  <c r="B453" i="3"/>
  <c r="A453" i="3"/>
  <c r="I452" i="3"/>
  <c r="H452" i="3"/>
  <c r="G452" i="3"/>
  <c r="F452" i="3"/>
  <c r="C452" i="3"/>
  <c r="B452" i="3"/>
  <c r="A452" i="3"/>
  <c r="I451" i="3"/>
  <c r="H451" i="3"/>
  <c r="G451" i="3"/>
  <c r="F451" i="3"/>
  <c r="C451" i="3"/>
  <c r="B451" i="3"/>
  <c r="A451" i="3"/>
  <c r="I450" i="3"/>
  <c r="H450" i="3"/>
  <c r="G450" i="3"/>
  <c r="F450" i="3"/>
  <c r="C450" i="3"/>
  <c r="B450" i="3"/>
  <c r="A450" i="3"/>
  <c r="I449" i="3"/>
  <c r="H449" i="3"/>
  <c r="G449" i="3"/>
  <c r="F449" i="3"/>
  <c r="C449" i="3"/>
  <c r="B449" i="3"/>
  <c r="A449" i="3"/>
  <c r="I448" i="3"/>
  <c r="H448" i="3"/>
  <c r="G448" i="3"/>
  <c r="F448" i="3"/>
  <c r="C448" i="3"/>
  <c r="B448" i="3"/>
  <c r="A448" i="3"/>
  <c r="I447" i="3"/>
  <c r="H447" i="3"/>
  <c r="G447" i="3"/>
  <c r="F447" i="3"/>
  <c r="C447" i="3"/>
  <c r="B447" i="3"/>
  <c r="A447" i="3"/>
  <c r="I446" i="3"/>
  <c r="H446" i="3"/>
  <c r="G446" i="3"/>
  <c r="F446" i="3"/>
  <c r="C446" i="3"/>
  <c r="B446" i="3"/>
  <c r="A446" i="3"/>
  <c r="I445" i="3"/>
  <c r="H445" i="3"/>
  <c r="G445" i="3"/>
  <c r="F445" i="3"/>
  <c r="C445" i="3"/>
  <c r="B445" i="3"/>
  <c r="A445" i="3"/>
  <c r="I444" i="3"/>
  <c r="H444" i="3"/>
  <c r="G444" i="3"/>
  <c r="F444" i="3"/>
  <c r="C444" i="3"/>
  <c r="B444" i="3"/>
  <c r="A444" i="3"/>
  <c r="I443" i="3"/>
  <c r="H443" i="3"/>
  <c r="G443" i="3"/>
  <c r="F443" i="3"/>
  <c r="C443" i="3"/>
  <c r="B443" i="3"/>
  <c r="A443" i="3"/>
  <c r="I442" i="3"/>
  <c r="H442" i="3"/>
  <c r="G442" i="3"/>
  <c r="F442" i="3"/>
  <c r="C442" i="3"/>
  <c r="B442" i="3"/>
  <c r="A442" i="3"/>
  <c r="I441" i="3"/>
  <c r="H441" i="3"/>
  <c r="G441" i="3"/>
  <c r="F441" i="3"/>
  <c r="C441" i="3"/>
  <c r="B441" i="3"/>
  <c r="A441" i="3"/>
  <c r="I440" i="3"/>
  <c r="H440" i="3"/>
  <c r="G440" i="3"/>
  <c r="F440" i="3"/>
  <c r="C440" i="3"/>
  <c r="B440" i="3"/>
  <c r="A440" i="3"/>
  <c r="I439" i="3"/>
  <c r="H439" i="3"/>
  <c r="G439" i="3"/>
  <c r="F439" i="3"/>
  <c r="C439" i="3"/>
  <c r="B439" i="3"/>
  <c r="A439" i="3"/>
  <c r="I438" i="3"/>
  <c r="H438" i="3"/>
  <c r="G438" i="3"/>
  <c r="F438" i="3"/>
  <c r="C438" i="3"/>
  <c r="B438" i="3"/>
  <c r="A438" i="3"/>
  <c r="I437" i="3"/>
  <c r="H437" i="3"/>
  <c r="G437" i="3"/>
  <c r="F437" i="3"/>
  <c r="C437" i="3"/>
  <c r="B437" i="3"/>
  <c r="A437" i="3"/>
  <c r="I436" i="3"/>
  <c r="H436" i="3"/>
  <c r="G436" i="3"/>
  <c r="F436" i="3"/>
  <c r="C436" i="3"/>
  <c r="B436" i="3"/>
  <c r="A436" i="3"/>
  <c r="I435" i="3"/>
  <c r="H435" i="3"/>
  <c r="G435" i="3"/>
  <c r="F435" i="3"/>
  <c r="C435" i="3"/>
  <c r="B435" i="3"/>
  <c r="A435" i="3"/>
  <c r="I434" i="3"/>
  <c r="H434" i="3"/>
  <c r="G434" i="3"/>
  <c r="F434" i="3"/>
  <c r="C434" i="3"/>
  <c r="B434" i="3"/>
  <c r="A434" i="3"/>
  <c r="I433" i="3"/>
  <c r="H433" i="3"/>
  <c r="G433" i="3"/>
  <c r="F433" i="3"/>
  <c r="C433" i="3"/>
  <c r="B433" i="3"/>
  <c r="A433" i="3"/>
  <c r="I432" i="3"/>
  <c r="H432" i="3"/>
  <c r="G432" i="3"/>
  <c r="F432" i="3"/>
  <c r="C432" i="3"/>
  <c r="B432" i="3"/>
  <c r="A432" i="3"/>
  <c r="I431" i="3"/>
  <c r="H431" i="3"/>
  <c r="G431" i="3"/>
  <c r="F431" i="3"/>
  <c r="C431" i="3"/>
  <c r="B431" i="3"/>
  <c r="A431" i="3"/>
  <c r="I430" i="3"/>
  <c r="H430" i="3"/>
  <c r="G430" i="3"/>
  <c r="F430" i="3"/>
  <c r="C430" i="3"/>
  <c r="B430" i="3"/>
  <c r="A430" i="3"/>
  <c r="I429" i="3"/>
  <c r="H429" i="3"/>
  <c r="G429" i="3"/>
  <c r="F429" i="3"/>
  <c r="C429" i="3"/>
  <c r="B429" i="3"/>
  <c r="A429" i="3"/>
  <c r="I428" i="3"/>
  <c r="H428" i="3"/>
  <c r="G428" i="3"/>
  <c r="F428" i="3"/>
  <c r="C428" i="3"/>
  <c r="B428" i="3"/>
  <c r="A428" i="3"/>
  <c r="I427" i="3"/>
  <c r="H427" i="3"/>
  <c r="G427" i="3"/>
  <c r="F427" i="3"/>
  <c r="C427" i="3"/>
  <c r="B427" i="3"/>
  <c r="A427" i="3"/>
  <c r="I426" i="3"/>
  <c r="H426" i="3"/>
  <c r="G426" i="3"/>
  <c r="F426" i="3"/>
  <c r="C426" i="3"/>
  <c r="B426" i="3"/>
  <c r="A426" i="3"/>
  <c r="I425" i="3"/>
  <c r="H425" i="3"/>
  <c r="G425" i="3"/>
  <c r="F425" i="3"/>
  <c r="C425" i="3"/>
  <c r="B425" i="3"/>
  <c r="A425" i="3"/>
  <c r="I424" i="3"/>
  <c r="H424" i="3"/>
  <c r="G424" i="3"/>
  <c r="F424" i="3"/>
  <c r="C424" i="3"/>
  <c r="B424" i="3"/>
  <c r="A424" i="3"/>
  <c r="I423" i="3"/>
  <c r="H423" i="3"/>
  <c r="G423" i="3"/>
  <c r="F423" i="3"/>
  <c r="C423" i="3"/>
  <c r="B423" i="3"/>
  <c r="A423" i="3"/>
  <c r="I422" i="3"/>
  <c r="H422" i="3"/>
  <c r="G422" i="3"/>
  <c r="F422" i="3"/>
  <c r="C422" i="3"/>
  <c r="B422" i="3"/>
  <c r="A422" i="3"/>
  <c r="I421" i="3"/>
  <c r="H421" i="3"/>
  <c r="G421" i="3"/>
  <c r="F421" i="3"/>
  <c r="C421" i="3"/>
  <c r="B421" i="3"/>
  <c r="A421" i="3"/>
  <c r="I420" i="3"/>
  <c r="H420" i="3"/>
  <c r="G420" i="3"/>
  <c r="F420" i="3"/>
  <c r="C420" i="3"/>
  <c r="B420" i="3"/>
  <c r="A420" i="3"/>
  <c r="I419" i="3"/>
  <c r="H419" i="3"/>
  <c r="G419" i="3"/>
  <c r="F419" i="3"/>
  <c r="C419" i="3"/>
  <c r="B419" i="3"/>
  <c r="A419" i="3"/>
  <c r="I418" i="3"/>
  <c r="H418" i="3"/>
  <c r="G418" i="3"/>
  <c r="F418" i="3"/>
  <c r="C418" i="3"/>
  <c r="B418" i="3"/>
  <c r="A418" i="3"/>
  <c r="I417" i="3"/>
  <c r="H417" i="3"/>
  <c r="G417" i="3"/>
  <c r="F417" i="3"/>
  <c r="C417" i="3"/>
  <c r="B417" i="3"/>
  <c r="A417" i="3"/>
  <c r="I416" i="3"/>
  <c r="H416" i="3"/>
  <c r="G416" i="3"/>
  <c r="F416" i="3"/>
  <c r="C416" i="3"/>
  <c r="B416" i="3"/>
  <c r="A416" i="3"/>
  <c r="I415" i="3"/>
  <c r="H415" i="3"/>
  <c r="G415" i="3"/>
  <c r="F415" i="3"/>
  <c r="C415" i="3"/>
  <c r="B415" i="3"/>
  <c r="A415" i="3"/>
  <c r="I414" i="3"/>
  <c r="H414" i="3"/>
  <c r="G414" i="3"/>
  <c r="F414" i="3"/>
  <c r="C414" i="3"/>
  <c r="B414" i="3"/>
  <c r="A414" i="3"/>
  <c r="I413" i="3"/>
  <c r="H413" i="3"/>
  <c r="G413" i="3"/>
  <c r="F413" i="3"/>
  <c r="C413" i="3"/>
  <c r="B413" i="3"/>
  <c r="A413" i="3"/>
  <c r="I412" i="3"/>
  <c r="H412" i="3"/>
  <c r="G412" i="3"/>
  <c r="F412" i="3"/>
  <c r="C412" i="3"/>
  <c r="B412" i="3"/>
  <c r="A412" i="3"/>
  <c r="I411" i="3"/>
  <c r="H411" i="3"/>
  <c r="G411" i="3"/>
  <c r="F411" i="3"/>
  <c r="C411" i="3"/>
  <c r="B411" i="3"/>
  <c r="A411" i="3"/>
  <c r="I410" i="3"/>
  <c r="H410" i="3"/>
  <c r="G410" i="3"/>
  <c r="F410" i="3"/>
  <c r="C410" i="3"/>
  <c r="B410" i="3"/>
  <c r="A410" i="3"/>
  <c r="I409" i="3"/>
  <c r="H409" i="3"/>
  <c r="G409" i="3"/>
  <c r="F409" i="3"/>
  <c r="C409" i="3"/>
  <c r="B409" i="3"/>
  <c r="A409" i="3"/>
  <c r="I408" i="3"/>
  <c r="H408" i="3"/>
  <c r="G408" i="3"/>
  <c r="F408" i="3"/>
  <c r="C408" i="3"/>
  <c r="B408" i="3"/>
  <c r="A408" i="3"/>
  <c r="I407" i="3"/>
  <c r="H407" i="3"/>
  <c r="G407" i="3"/>
  <c r="F407" i="3"/>
  <c r="C407" i="3"/>
  <c r="B407" i="3"/>
  <c r="A407" i="3"/>
  <c r="I406" i="3"/>
  <c r="H406" i="3"/>
  <c r="G406" i="3"/>
  <c r="F406" i="3"/>
  <c r="C406" i="3"/>
  <c r="B406" i="3"/>
  <c r="A406" i="3"/>
  <c r="I405" i="3"/>
  <c r="H405" i="3"/>
  <c r="G405" i="3"/>
  <c r="F405" i="3"/>
  <c r="C405" i="3"/>
  <c r="B405" i="3"/>
  <c r="A405" i="3"/>
  <c r="I404" i="3"/>
  <c r="H404" i="3"/>
  <c r="G404" i="3"/>
  <c r="F404" i="3"/>
  <c r="C404" i="3"/>
  <c r="B404" i="3"/>
  <c r="A404" i="3"/>
  <c r="I403" i="3"/>
  <c r="H403" i="3"/>
  <c r="G403" i="3"/>
  <c r="F403" i="3"/>
  <c r="C403" i="3"/>
  <c r="B403" i="3"/>
  <c r="A403" i="3"/>
  <c r="I402" i="3"/>
  <c r="H402" i="3"/>
  <c r="G402" i="3"/>
  <c r="F402" i="3"/>
  <c r="C402" i="3"/>
  <c r="B402" i="3"/>
  <c r="A402" i="3"/>
  <c r="I401" i="3"/>
  <c r="H401" i="3"/>
  <c r="G401" i="3"/>
  <c r="F401" i="3"/>
  <c r="C401" i="3"/>
  <c r="B401" i="3"/>
  <c r="A401" i="3"/>
  <c r="I400" i="3"/>
  <c r="H400" i="3"/>
  <c r="G400" i="3"/>
  <c r="F400" i="3"/>
  <c r="C400" i="3"/>
  <c r="B400" i="3"/>
  <c r="A400" i="3"/>
  <c r="I399" i="3"/>
  <c r="H399" i="3"/>
  <c r="G399" i="3"/>
  <c r="F399" i="3"/>
  <c r="C399" i="3"/>
  <c r="B399" i="3"/>
  <c r="A399" i="3"/>
  <c r="I398" i="3"/>
  <c r="H398" i="3"/>
  <c r="G398" i="3"/>
  <c r="F398" i="3"/>
  <c r="C398" i="3"/>
  <c r="B398" i="3"/>
  <c r="A398" i="3"/>
  <c r="I397" i="3"/>
  <c r="H397" i="3"/>
  <c r="G397" i="3"/>
  <c r="F397" i="3"/>
  <c r="C397" i="3"/>
  <c r="B397" i="3"/>
  <c r="A397" i="3"/>
  <c r="I396" i="3"/>
  <c r="H396" i="3"/>
  <c r="G396" i="3"/>
  <c r="F396" i="3"/>
  <c r="C396" i="3"/>
  <c r="B396" i="3"/>
  <c r="A396" i="3"/>
  <c r="I395" i="3"/>
  <c r="H395" i="3"/>
  <c r="G395" i="3"/>
  <c r="F395" i="3"/>
  <c r="C395" i="3"/>
  <c r="B395" i="3"/>
  <c r="A395" i="3"/>
  <c r="I394" i="3"/>
  <c r="H394" i="3"/>
  <c r="G394" i="3"/>
  <c r="F394" i="3"/>
  <c r="C394" i="3"/>
  <c r="B394" i="3"/>
  <c r="A394" i="3"/>
  <c r="I393" i="3"/>
  <c r="H393" i="3"/>
  <c r="G393" i="3"/>
  <c r="F393" i="3"/>
  <c r="C393" i="3"/>
  <c r="B393" i="3"/>
  <c r="A393" i="3"/>
  <c r="I392" i="3"/>
  <c r="H392" i="3"/>
  <c r="G392" i="3"/>
  <c r="F392" i="3"/>
  <c r="C392" i="3"/>
  <c r="B392" i="3"/>
  <c r="A392" i="3"/>
  <c r="I391" i="3"/>
  <c r="H391" i="3"/>
  <c r="G391" i="3"/>
  <c r="F391" i="3"/>
  <c r="C391" i="3"/>
  <c r="B391" i="3"/>
  <c r="A391" i="3"/>
  <c r="I390" i="3"/>
  <c r="H390" i="3"/>
  <c r="G390" i="3"/>
  <c r="F390" i="3"/>
  <c r="C390" i="3"/>
  <c r="B390" i="3"/>
  <c r="A390" i="3"/>
  <c r="I389" i="3"/>
  <c r="H389" i="3"/>
  <c r="G389" i="3"/>
  <c r="F389" i="3"/>
  <c r="C389" i="3"/>
  <c r="B389" i="3"/>
  <c r="A389" i="3"/>
  <c r="I388" i="3"/>
  <c r="H388" i="3"/>
  <c r="G388" i="3"/>
  <c r="F388" i="3"/>
  <c r="C388" i="3"/>
  <c r="B388" i="3"/>
  <c r="A388" i="3"/>
  <c r="I387" i="3"/>
  <c r="H387" i="3"/>
  <c r="G387" i="3"/>
  <c r="F387" i="3"/>
  <c r="C387" i="3"/>
  <c r="B387" i="3"/>
  <c r="A387" i="3"/>
  <c r="I386" i="3"/>
  <c r="H386" i="3"/>
  <c r="G386" i="3"/>
  <c r="F386" i="3"/>
  <c r="C386" i="3"/>
  <c r="B386" i="3"/>
  <c r="A386" i="3"/>
  <c r="I385" i="3"/>
  <c r="H385" i="3"/>
  <c r="G385" i="3"/>
  <c r="F385" i="3"/>
  <c r="C385" i="3"/>
  <c r="B385" i="3"/>
  <c r="A385" i="3"/>
  <c r="I384" i="3"/>
  <c r="H384" i="3"/>
  <c r="G384" i="3"/>
  <c r="F384" i="3"/>
  <c r="C384" i="3"/>
  <c r="B384" i="3"/>
  <c r="A384" i="3"/>
  <c r="I383" i="3"/>
  <c r="H383" i="3"/>
  <c r="G383" i="3"/>
  <c r="F383" i="3"/>
  <c r="C383" i="3"/>
  <c r="B383" i="3"/>
  <c r="A383" i="3"/>
  <c r="I382" i="3"/>
  <c r="H382" i="3"/>
  <c r="G382" i="3"/>
  <c r="F382" i="3"/>
  <c r="C382" i="3"/>
  <c r="B382" i="3"/>
  <c r="A382" i="3"/>
  <c r="I381" i="3"/>
  <c r="H381" i="3"/>
  <c r="G381" i="3"/>
  <c r="F381" i="3"/>
  <c r="C381" i="3"/>
  <c r="B381" i="3"/>
  <c r="A381" i="3"/>
  <c r="I380" i="3"/>
  <c r="H380" i="3"/>
  <c r="G380" i="3"/>
  <c r="F380" i="3"/>
  <c r="C380" i="3"/>
  <c r="B380" i="3"/>
  <c r="A380" i="3"/>
  <c r="I379" i="3"/>
  <c r="H379" i="3"/>
  <c r="G379" i="3"/>
  <c r="F379" i="3"/>
  <c r="C379" i="3"/>
  <c r="B379" i="3"/>
  <c r="A379" i="3"/>
  <c r="I378" i="3"/>
  <c r="H378" i="3"/>
  <c r="G378" i="3"/>
  <c r="F378" i="3"/>
  <c r="C378" i="3"/>
  <c r="B378" i="3"/>
  <c r="A378" i="3"/>
  <c r="I377" i="3"/>
  <c r="H377" i="3"/>
  <c r="G377" i="3"/>
  <c r="F377" i="3"/>
  <c r="C377" i="3"/>
  <c r="B377" i="3"/>
  <c r="A377" i="3"/>
  <c r="I376" i="3"/>
  <c r="H376" i="3"/>
  <c r="G376" i="3"/>
  <c r="F376" i="3"/>
  <c r="C376" i="3"/>
  <c r="B376" i="3"/>
  <c r="A376" i="3"/>
  <c r="I375" i="3"/>
  <c r="H375" i="3"/>
  <c r="G375" i="3"/>
  <c r="F375" i="3"/>
  <c r="C375" i="3"/>
  <c r="B375" i="3"/>
  <c r="A375" i="3"/>
  <c r="I374" i="3"/>
  <c r="H374" i="3"/>
  <c r="G374" i="3"/>
  <c r="F374" i="3"/>
  <c r="C374" i="3"/>
  <c r="B374" i="3"/>
  <c r="A374" i="3"/>
  <c r="I373" i="3"/>
  <c r="H373" i="3"/>
  <c r="G373" i="3"/>
  <c r="F373" i="3"/>
  <c r="C373" i="3"/>
  <c r="B373" i="3"/>
  <c r="A373" i="3"/>
  <c r="I372" i="3"/>
  <c r="H372" i="3"/>
  <c r="G372" i="3"/>
  <c r="F372" i="3"/>
  <c r="C372" i="3"/>
  <c r="B372" i="3"/>
  <c r="A372" i="3"/>
  <c r="I371" i="3"/>
  <c r="H371" i="3"/>
  <c r="G371" i="3"/>
  <c r="F371" i="3"/>
  <c r="C371" i="3"/>
  <c r="B371" i="3"/>
  <c r="A371" i="3"/>
  <c r="I370" i="3"/>
  <c r="H370" i="3"/>
  <c r="G370" i="3"/>
  <c r="F370" i="3"/>
  <c r="C370" i="3"/>
  <c r="B370" i="3"/>
  <c r="A370" i="3"/>
  <c r="I369" i="3"/>
  <c r="H369" i="3"/>
  <c r="G369" i="3"/>
  <c r="F369" i="3"/>
  <c r="C369" i="3"/>
  <c r="B369" i="3"/>
  <c r="A369" i="3"/>
  <c r="I368" i="3"/>
  <c r="H368" i="3"/>
  <c r="G368" i="3"/>
  <c r="F368" i="3"/>
  <c r="C368" i="3"/>
  <c r="B368" i="3"/>
  <c r="A368" i="3"/>
  <c r="I367" i="3"/>
  <c r="H367" i="3"/>
  <c r="G367" i="3"/>
  <c r="F367" i="3"/>
  <c r="C367" i="3"/>
  <c r="B367" i="3"/>
  <c r="A367" i="3"/>
  <c r="I366" i="3"/>
  <c r="H366" i="3"/>
  <c r="G366" i="3"/>
  <c r="F366" i="3"/>
  <c r="C366" i="3"/>
  <c r="B366" i="3"/>
  <c r="A366" i="3"/>
  <c r="I365" i="3"/>
  <c r="H365" i="3"/>
  <c r="G365" i="3"/>
  <c r="F365" i="3"/>
  <c r="C365" i="3"/>
  <c r="B365" i="3"/>
  <c r="A365" i="3"/>
  <c r="I364" i="3"/>
  <c r="H364" i="3"/>
  <c r="G364" i="3"/>
  <c r="F364" i="3"/>
  <c r="C364" i="3"/>
  <c r="B364" i="3"/>
  <c r="A364" i="3"/>
  <c r="I363" i="3"/>
  <c r="H363" i="3"/>
  <c r="G363" i="3"/>
  <c r="F363" i="3"/>
  <c r="C363" i="3"/>
  <c r="B363" i="3"/>
  <c r="A363" i="3"/>
  <c r="I362" i="3"/>
  <c r="H362" i="3"/>
  <c r="G362" i="3"/>
  <c r="F362" i="3"/>
  <c r="C362" i="3"/>
  <c r="B362" i="3"/>
  <c r="A362" i="3"/>
  <c r="I361" i="3"/>
  <c r="H361" i="3"/>
  <c r="G361" i="3"/>
  <c r="F361" i="3"/>
  <c r="C361" i="3"/>
  <c r="B361" i="3"/>
  <c r="A361" i="3"/>
  <c r="I360" i="3"/>
  <c r="H360" i="3"/>
  <c r="G360" i="3"/>
  <c r="F360" i="3"/>
  <c r="C360" i="3"/>
  <c r="B360" i="3"/>
  <c r="A360" i="3"/>
  <c r="I359" i="3"/>
  <c r="H359" i="3"/>
  <c r="G359" i="3"/>
  <c r="F359" i="3"/>
  <c r="C359" i="3"/>
  <c r="B359" i="3"/>
  <c r="A359" i="3"/>
  <c r="I358" i="3"/>
  <c r="H358" i="3"/>
  <c r="G358" i="3"/>
  <c r="F358" i="3"/>
  <c r="C358" i="3"/>
  <c r="B358" i="3"/>
  <c r="A358" i="3"/>
  <c r="I357" i="3"/>
  <c r="H357" i="3"/>
  <c r="G357" i="3"/>
  <c r="F357" i="3"/>
  <c r="C357" i="3"/>
  <c r="B357" i="3"/>
  <c r="A357" i="3"/>
  <c r="I356" i="3"/>
  <c r="H356" i="3"/>
  <c r="G356" i="3"/>
  <c r="F356" i="3"/>
  <c r="C356" i="3"/>
  <c r="B356" i="3"/>
  <c r="A356" i="3"/>
  <c r="I355" i="3"/>
  <c r="H355" i="3"/>
  <c r="G355" i="3"/>
  <c r="F355" i="3"/>
  <c r="C355" i="3"/>
  <c r="B355" i="3"/>
  <c r="A355" i="3"/>
  <c r="I354" i="3"/>
  <c r="H354" i="3"/>
  <c r="G354" i="3"/>
  <c r="F354" i="3"/>
  <c r="C354" i="3"/>
  <c r="B354" i="3"/>
  <c r="A354" i="3"/>
  <c r="I353" i="3"/>
  <c r="H353" i="3"/>
  <c r="G353" i="3"/>
  <c r="F353" i="3"/>
  <c r="C353" i="3"/>
  <c r="B353" i="3"/>
  <c r="A353" i="3"/>
  <c r="I352" i="3"/>
  <c r="H352" i="3"/>
  <c r="G352" i="3"/>
  <c r="F352" i="3"/>
  <c r="C352" i="3"/>
  <c r="B352" i="3"/>
  <c r="A352" i="3"/>
  <c r="I351" i="3"/>
  <c r="H351" i="3"/>
  <c r="G351" i="3"/>
  <c r="F351" i="3"/>
  <c r="C351" i="3"/>
  <c r="B351" i="3"/>
  <c r="A351" i="3"/>
  <c r="I350" i="3"/>
  <c r="H350" i="3"/>
  <c r="G350" i="3"/>
  <c r="F350" i="3"/>
  <c r="C350" i="3"/>
  <c r="B350" i="3"/>
  <c r="A350" i="3"/>
  <c r="I349" i="3"/>
  <c r="H349" i="3"/>
  <c r="G349" i="3"/>
  <c r="F349" i="3"/>
  <c r="C349" i="3"/>
  <c r="B349" i="3"/>
  <c r="A349" i="3"/>
  <c r="I348" i="3"/>
  <c r="H348" i="3"/>
  <c r="G348" i="3"/>
  <c r="F348" i="3"/>
  <c r="C348" i="3"/>
  <c r="B348" i="3"/>
  <c r="A348" i="3"/>
  <c r="I347" i="3"/>
  <c r="H347" i="3"/>
  <c r="G347" i="3"/>
  <c r="F347" i="3"/>
  <c r="C347" i="3"/>
  <c r="B347" i="3"/>
  <c r="A347" i="3"/>
  <c r="I346" i="3"/>
  <c r="H346" i="3"/>
  <c r="G346" i="3"/>
  <c r="F346" i="3"/>
  <c r="C346" i="3"/>
  <c r="B346" i="3"/>
  <c r="A346" i="3"/>
  <c r="I345" i="3"/>
  <c r="H345" i="3"/>
  <c r="G345" i="3"/>
  <c r="F345" i="3"/>
  <c r="C345" i="3"/>
  <c r="B345" i="3"/>
  <c r="A345" i="3"/>
  <c r="I344" i="3"/>
  <c r="H344" i="3"/>
  <c r="G344" i="3"/>
  <c r="F344" i="3"/>
  <c r="C344" i="3"/>
  <c r="B344" i="3"/>
  <c r="A344" i="3"/>
  <c r="I343" i="3"/>
  <c r="H343" i="3"/>
  <c r="G343" i="3"/>
  <c r="F343" i="3"/>
  <c r="C343" i="3"/>
  <c r="B343" i="3"/>
  <c r="A343" i="3"/>
  <c r="I342" i="3"/>
  <c r="H342" i="3"/>
  <c r="G342" i="3"/>
  <c r="F342" i="3"/>
  <c r="C342" i="3"/>
  <c r="B342" i="3"/>
  <c r="A342" i="3"/>
  <c r="I341" i="3"/>
  <c r="H341" i="3"/>
  <c r="G341" i="3"/>
  <c r="F341" i="3"/>
  <c r="C341" i="3"/>
  <c r="B341" i="3"/>
  <c r="A341" i="3"/>
  <c r="I340" i="3"/>
  <c r="H340" i="3"/>
  <c r="G340" i="3"/>
  <c r="F340" i="3"/>
  <c r="C340" i="3"/>
  <c r="B340" i="3"/>
  <c r="A340" i="3"/>
  <c r="I339" i="3"/>
  <c r="H339" i="3"/>
  <c r="G339" i="3"/>
  <c r="F339" i="3"/>
  <c r="C339" i="3"/>
  <c r="B339" i="3"/>
  <c r="A339" i="3"/>
  <c r="I338" i="3"/>
  <c r="H338" i="3"/>
  <c r="G338" i="3"/>
  <c r="F338" i="3"/>
  <c r="C338" i="3"/>
  <c r="B338" i="3"/>
  <c r="A338" i="3"/>
  <c r="I337" i="3"/>
  <c r="H337" i="3"/>
  <c r="G337" i="3"/>
  <c r="F337" i="3"/>
  <c r="C337" i="3"/>
  <c r="B337" i="3"/>
  <c r="A337" i="3"/>
  <c r="I336" i="3"/>
  <c r="H336" i="3"/>
  <c r="G336" i="3"/>
  <c r="F336" i="3"/>
  <c r="C336" i="3"/>
  <c r="B336" i="3"/>
  <c r="A336" i="3"/>
  <c r="I335" i="3"/>
  <c r="H335" i="3"/>
  <c r="G335" i="3"/>
  <c r="F335" i="3"/>
  <c r="C335" i="3"/>
  <c r="B335" i="3"/>
  <c r="A335" i="3"/>
  <c r="I334" i="3"/>
  <c r="H334" i="3"/>
  <c r="G334" i="3"/>
  <c r="F334" i="3"/>
  <c r="C334" i="3"/>
  <c r="B334" i="3"/>
  <c r="A334" i="3"/>
  <c r="I333" i="3"/>
  <c r="H333" i="3"/>
  <c r="G333" i="3"/>
  <c r="F333" i="3"/>
  <c r="C333" i="3"/>
  <c r="B333" i="3"/>
  <c r="A333" i="3"/>
  <c r="I332" i="3"/>
  <c r="H332" i="3"/>
  <c r="G332" i="3"/>
  <c r="F332" i="3"/>
  <c r="C332" i="3"/>
  <c r="B332" i="3"/>
  <c r="A332" i="3"/>
  <c r="I331" i="3"/>
  <c r="H331" i="3"/>
  <c r="G331" i="3"/>
  <c r="F331" i="3"/>
  <c r="C331" i="3"/>
  <c r="B331" i="3"/>
  <c r="A331" i="3"/>
  <c r="I330" i="3"/>
  <c r="H330" i="3"/>
  <c r="G330" i="3"/>
  <c r="F330" i="3"/>
  <c r="C330" i="3"/>
  <c r="B330" i="3"/>
  <c r="A330" i="3"/>
  <c r="I329" i="3"/>
  <c r="H329" i="3"/>
  <c r="G329" i="3"/>
  <c r="F329" i="3"/>
  <c r="C329" i="3"/>
  <c r="B329" i="3"/>
  <c r="A329" i="3"/>
  <c r="I328" i="3"/>
  <c r="H328" i="3"/>
  <c r="G328" i="3"/>
  <c r="F328" i="3"/>
  <c r="C328" i="3"/>
  <c r="B328" i="3"/>
  <c r="A328" i="3"/>
  <c r="I327" i="3"/>
  <c r="H327" i="3"/>
  <c r="G327" i="3"/>
  <c r="F327" i="3"/>
  <c r="C327" i="3"/>
  <c r="B327" i="3"/>
  <c r="A327" i="3"/>
  <c r="I326" i="3"/>
  <c r="H326" i="3"/>
  <c r="G326" i="3"/>
  <c r="F326" i="3"/>
  <c r="C326" i="3"/>
  <c r="B326" i="3"/>
  <c r="A326" i="3"/>
  <c r="I325" i="3"/>
  <c r="H325" i="3"/>
  <c r="G325" i="3"/>
  <c r="F325" i="3"/>
  <c r="C325" i="3"/>
  <c r="B325" i="3"/>
  <c r="A325" i="3"/>
  <c r="I324" i="3"/>
  <c r="H324" i="3"/>
  <c r="G324" i="3"/>
  <c r="F324" i="3"/>
  <c r="C324" i="3"/>
  <c r="B324" i="3"/>
  <c r="A324" i="3"/>
  <c r="I323" i="3"/>
  <c r="H323" i="3"/>
  <c r="G323" i="3"/>
  <c r="F323" i="3"/>
  <c r="C323" i="3"/>
  <c r="B323" i="3"/>
  <c r="A323" i="3"/>
  <c r="I322" i="3"/>
  <c r="H322" i="3"/>
  <c r="G322" i="3"/>
  <c r="F322" i="3"/>
  <c r="C322" i="3"/>
  <c r="B322" i="3"/>
  <c r="A322" i="3"/>
  <c r="I321" i="3"/>
  <c r="H321" i="3"/>
  <c r="G321" i="3"/>
  <c r="F321" i="3"/>
  <c r="C321" i="3"/>
  <c r="B321" i="3"/>
  <c r="A321" i="3"/>
  <c r="I320" i="3"/>
  <c r="H320" i="3"/>
  <c r="G320" i="3"/>
  <c r="F320" i="3"/>
  <c r="C320" i="3"/>
  <c r="B320" i="3"/>
  <c r="A320" i="3"/>
  <c r="I319" i="3"/>
  <c r="H319" i="3"/>
  <c r="G319" i="3"/>
  <c r="F319" i="3"/>
  <c r="C319" i="3"/>
  <c r="B319" i="3"/>
  <c r="A319" i="3"/>
  <c r="I318" i="3"/>
  <c r="H318" i="3"/>
  <c r="G318" i="3"/>
  <c r="F318" i="3"/>
  <c r="C318" i="3"/>
  <c r="B318" i="3"/>
  <c r="A318" i="3"/>
  <c r="I317" i="3"/>
  <c r="H317" i="3"/>
  <c r="G317" i="3"/>
  <c r="F317" i="3"/>
  <c r="C317" i="3"/>
  <c r="B317" i="3"/>
  <c r="A317" i="3"/>
  <c r="I316" i="3"/>
  <c r="H316" i="3"/>
  <c r="G316" i="3"/>
  <c r="F316" i="3"/>
  <c r="C316" i="3"/>
  <c r="B316" i="3"/>
  <c r="A316" i="3"/>
  <c r="I315" i="3"/>
  <c r="H315" i="3"/>
  <c r="G315" i="3"/>
  <c r="F315" i="3"/>
  <c r="C315" i="3"/>
  <c r="B315" i="3"/>
  <c r="A315" i="3"/>
  <c r="I314" i="3"/>
  <c r="H314" i="3"/>
  <c r="G314" i="3"/>
  <c r="F314" i="3"/>
  <c r="C314" i="3"/>
  <c r="B314" i="3"/>
  <c r="A314" i="3"/>
  <c r="I313" i="3"/>
  <c r="H313" i="3"/>
  <c r="G313" i="3"/>
  <c r="F313" i="3"/>
  <c r="C313" i="3"/>
  <c r="B313" i="3"/>
  <c r="A313" i="3"/>
  <c r="I312" i="3"/>
  <c r="H312" i="3"/>
  <c r="G312" i="3"/>
  <c r="F312" i="3"/>
  <c r="C312" i="3"/>
  <c r="B312" i="3"/>
  <c r="A312" i="3"/>
  <c r="I311" i="3"/>
  <c r="H311" i="3"/>
  <c r="G311" i="3"/>
  <c r="F311" i="3"/>
  <c r="C311" i="3"/>
  <c r="B311" i="3"/>
  <c r="A311" i="3"/>
  <c r="I310" i="3"/>
  <c r="H310" i="3"/>
  <c r="G310" i="3"/>
  <c r="F310" i="3"/>
  <c r="C310" i="3"/>
  <c r="B310" i="3"/>
  <c r="A310" i="3"/>
  <c r="I309" i="3"/>
  <c r="H309" i="3"/>
  <c r="G309" i="3"/>
  <c r="F309" i="3"/>
  <c r="C309" i="3"/>
  <c r="B309" i="3"/>
  <c r="A309" i="3"/>
  <c r="I308" i="3"/>
  <c r="H308" i="3"/>
  <c r="G308" i="3"/>
  <c r="F308" i="3"/>
  <c r="C308" i="3"/>
  <c r="B308" i="3"/>
  <c r="A308" i="3"/>
  <c r="I307" i="3"/>
  <c r="H307" i="3"/>
  <c r="G307" i="3"/>
  <c r="F307" i="3"/>
  <c r="C307" i="3"/>
  <c r="B307" i="3"/>
  <c r="A307" i="3"/>
  <c r="I306" i="3"/>
  <c r="H306" i="3"/>
  <c r="G306" i="3"/>
  <c r="F306" i="3"/>
  <c r="C306" i="3"/>
  <c r="B306" i="3"/>
  <c r="A306" i="3"/>
  <c r="I305" i="3"/>
  <c r="H305" i="3"/>
  <c r="G305" i="3"/>
  <c r="F305" i="3"/>
  <c r="C305" i="3"/>
  <c r="B305" i="3"/>
  <c r="A305" i="3"/>
  <c r="I304" i="3"/>
  <c r="H304" i="3"/>
  <c r="G304" i="3"/>
  <c r="F304" i="3"/>
  <c r="C304" i="3"/>
  <c r="B304" i="3"/>
  <c r="A304" i="3"/>
  <c r="I303" i="3"/>
  <c r="H303" i="3"/>
  <c r="G303" i="3"/>
  <c r="F303" i="3"/>
  <c r="C303" i="3"/>
  <c r="B303" i="3"/>
  <c r="A303" i="3"/>
  <c r="I302" i="3"/>
  <c r="H302" i="3"/>
  <c r="G302" i="3"/>
  <c r="F302" i="3"/>
  <c r="C302" i="3"/>
  <c r="B302" i="3"/>
  <c r="A302" i="3"/>
  <c r="I301" i="3"/>
  <c r="H301" i="3"/>
  <c r="G301" i="3"/>
  <c r="F301" i="3"/>
  <c r="C301" i="3"/>
  <c r="B301" i="3"/>
  <c r="A301" i="3"/>
  <c r="I300" i="3"/>
  <c r="H300" i="3"/>
  <c r="G300" i="3"/>
  <c r="F300" i="3"/>
  <c r="C300" i="3"/>
  <c r="B300" i="3"/>
  <c r="A300" i="3"/>
  <c r="I299" i="3"/>
  <c r="H299" i="3"/>
  <c r="G299" i="3"/>
  <c r="F299" i="3"/>
  <c r="C299" i="3"/>
  <c r="B299" i="3"/>
  <c r="A299" i="3"/>
  <c r="I298" i="3"/>
  <c r="H298" i="3"/>
  <c r="G298" i="3"/>
  <c r="F298" i="3"/>
  <c r="C298" i="3"/>
  <c r="B298" i="3"/>
  <c r="A298" i="3"/>
  <c r="I297" i="3"/>
  <c r="H297" i="3"/>
  <c r="G297" i="3"/>
  <c r="F297" i="3"/>
  <c r="C297" i="3"/>
  <c r="B297" i="3"/>
  <c r="A297" i="3"/>
  <c r="I296" i="3"/>
  <c r="H296" i="3"/>
  <c r="G296" i="3"/>
  <c r="F296" i="3"/>
  <c r="C296" i="3"/>
  <c r="B296" i="3"/>
  <c r="A296" i="3"/>
  <c r="I295" i="3"/>
  <c r="H295" i="3"/>
  <c r="G295" i="3"/>
  <c r="F295" i="3"/>
  <c r="C295" i="3"/>
  <c r="B295" i="3"/>
  <c r="A295" i="3"/>
  <c r="I294" i="3"/>
  <c r="H294" i="3"/>
  <c r="G294" i="3"/>
  <c r="F294" i="3"/>
  <c r="C294" i="3"/>
  <c r="B294" i="3"/>
  <c r="A294" i="3"/>
  <c r="I293" i="3"/>
  <c r="H293" i="3"/>
  <c r="G293" i="3"/>
  <c r="F293" i="3"/>
  <c r="C293" i="3"/>
  <c r="B293" i="3"/>
  <c r="A293" i="3"/>
  <c r="I292" i="3"/>
  <c r="H292" i="3"/>
  <c r="G292" i="3"/>
  <c r="F292" i="3"/>
  <c r="C292" i="3"/>
  <c r="B292" i="3"/>
  <c r="A292" i="3"/>
  <c r="I291" i="3"/>
  <c r="H291" i="3"/>
  <c r="G291" i="3"/>
  <c r="F291" i="3"/>
  <c r="C291" i="3"/>
  <c r="B291" i="3"/>
  <c r="A291" i="3"/>
  <c r="I290" i="3"/>
  <c r="H290" i="3"/>
  <c r="G290" i="3"/>
  <c r="F290" i="3"/>
  <c r="C290" i="3"/>
  <c r="B290" i="3"/>
  <c r="A290" i="3"/>
  <c r="I289" i="3"/>
  <c r="H289" i="3"/>
  <c r="G289" i="3"/>
  <c r="F289" i="3"/>
  <c r="C289" i="3"/>
  <c r="B289" i="3"/>
  <c r="A289" i="3"/>
  <c r="I288" i="3"/>
  <c r="H288" i="3"/>
  <c r="G288" i="3"/>
  <c r="F288" i="3"/>
  <c r="C288" i="3"/>
  <c r="B288" i="3"/>
  <c r="A288" i="3"/>
  <c r="I287" i="3"/>
  <c r="H287" i="3"/>
  <c r="G287" i="3"/>
  <c r="F287" i="3"/>
  <c r="C287" i="3"/>
  <c r="B287" i="3"/>
  <c r="A287" i="3"/>
  <c r="I286" i="3"/>
  <c r="H286" i="3"/>
  <c r="G286" i="3"/>
  <c r="F286" i="3"/>
  <c r="C286" i="3"/>
  <c r="B286" i="3"/>
  <c r="A286" i="3"/>
  <c r="I285" i="3"/>
  <c r="H285" i="3"/>
  <c r="G285" i="3"/>
  <c r="F285" i="3"/>
  <c r="C285" i="3"/>
  <c r="B285" i="3"/>
  <c r="A285" i="3"/>
  <c r="I284" i="3"/>
  <c r="H284" i="3"/>
  <c r="G284" i="3"/>
  <c r="F284" i="3"/>
  <c r="C284" i="3"/>
  <c r="B284" i="3"/>
  <c r="A284" i="3"/>
  <c r="I283" i="3"/>
  <c r="H283" i="3"/>
  <c r="G283" i="3"/>
  <c r="F283" i="3"/>
  <c r="C283" i="3"/>
  <c r="B283" i="3"/>
  <c r="A283" i="3"/>
  <c r="I282" i="3"/>
  <c r="H282" i="3"/>
  <c r="G282" i="3"/>
  <c r="F282" i="3"/>
  <c r="C282" i="3"/>
  <c r="B282" i="3"/>
  <c r="A282" i="3"/>
  <c r="I281" i="3"/>
  <c r="H281" i="3"/>
  <c r="G281" i="3"/>
  <c r="F281" i="3"/>
  <c r="C281" i="3"/>
  <c r="B281" i="3"/>
  <c r="A281" i="3"/>
  <c r="I280" i="3"/>
  <c r="H280" i="3"/>
  <c r="G280" i="3"/>
  <c r="F280" i="3"/>
  <c r="C280" i="3"/>
  <c r="B280" i="3"/>
  <c r="A280" i="3"/>
  <c r="I279" i="3"/>
  <c r="H279" i="3"/>
  <c r="G279" i="3"/>
  <c r="F279" i="3"/>
  <c r="C279" i="3"/>
  <c r="B279" i="3"/>
  <c r="A279" i="3"/>
  <c r="I278" i="3"/>
  <c r="H278" i="3"/>
  <c r="G278" i="3"/>
  <c r="F278" i="3"/>
  <c r="C278" i="3"/>
  <c r="B278" i="3"/>
  <c r="A278" i="3"/>
  <c r="I277" i="3"/>
  <c r="H277" i="3"/>
  <c r="G277" i="3"/>
  <c r="F277" i="3"/>
  <c r="C277" i="3"/>
  <c r="B277" i="3"/>
  <c r="A277" i="3"/>
  <c r="I276" i="3"/>
  <c r="H276" i="3"/>
  <c r="G276" i="3"/>
  <c r="F276" i="3"/>
  <c r="C276" i="3"/>
  <c r="B276" i="3"/>
  <c r="A276" i="3"/>
  <c r="I275" i="3"/>
  <c r="H275" i="3"/>
  <c r="G275" i="3"/>
  <c r="F275" i="3"/>
  <c r="C275" i="3"/>
  <c r="B275" i="3"/>
  <c r="A275" i="3"/>
  <c r="I274" i="3"/>
  <c r="H274" i="3"/>
  <c r="G274" i="3"/>
  <c r="F274" i="3"/>
  <c r="C274" i="3"/>
  <c r="B274" i="3"/>
  <c r="A274" i="3"/>
  <c r="I273" i="3"/>
  <c r="H273" i="3"/>
  <c r="G273" i="3"/>
  <c r="F273" i="3"/>
  <c r="C273" i="3"/>
  <c r="B273" i="3"/>
  <c r="A273" i="3"/>
  <c r="I272" i="3"/>
  <c r="H272" i="3"/>
  <c r="G272" i="3"/>
  <c r="F272" i="3"/>
  <c r="C272" i="3"/>
  <c r="B272" i="3"/>
  <c r="A272" i="3"/>
  <c r="I271" i="3"/>
  <c r="H271" i="3"/>
  <c r="G271" i="3"/>
  <c r="F271" i="3"/>
  <c r="C271" i="3"/>
  <c r="B271" i="3"/>
  <c r="A271" i="3"/>
  <c r="I270" i="3"/>
  <c r="H270" i="3"/>
  <c r="G270" i="3"/>
  <c r="F270" i="3"/>
  <c r="C270" i="3"/>
  <c r="B270" i="3"/>
  <c r="A270" i="3"/>
  <c r="I269" i="3"/>
  <c r="H269" i="3"/>
  <c r="G269" i="3"/>
  <c r="F269" i="3"/>
  <c r="C269" i="3"/>
  <c r="B269" i="3"/>
  <c r="A269" i="3"/>
  <c r="I268" i="3"/>
  <c r="H268" i="3"/>
  <c r="G268" i="3"/>
  <c r="F268" i="3"/>
  <c r="C268" i="3"/>
  <c r="B268" i="3"/>
  <c r="A268" i="3"/>
  <c r="I267" i="3"/>
  <c r="H267" i="3"/>
  <c r="G267" i="3"/>
  <c r="F267" i="3"/>
  <c r="C267" i="3"/>
  <c r="B267" i="3"/>
  <c r="A267" i="3"/>
  <c r="I266" i="3"/>
  <c r="H266" i="3"/>
  <c r="G266" i="3"/>
  <c r="F266" i="3"/>
  <c r="C266" i="3"/>
  <c r="B266" i="3"/>
  <c r="A266" i="3"/>
  <c r="I265" i="3"/>
  <c r="H265" i="3"/>
  <c r="G265" i="3"/>
  <c r="F265" i="3"/>
  <c r="C265" i="3"/>
  <c r="B265" i="3"/>
  <c r="A265" i="3"/>
  <c r="I264" i="3"/>
  <c r="H264" i="3"/>
  <c r="G264" i="3"/>
  <c r="F264" i="3"/>
  <c r="C264" i="3"/>
  <c r="B264" i="3"/>
  <c r="A264" i="3"/>
  <c r="I263" i="3"/>
  <c r="H263" i="3"/>
  <c r="G263" i="3"/>
  <c r="F263" i="3"/>
  <c r="C263" i="3"/>
  <c r="B263" i="3"/>
  <c r="A263" i="3"/>
  <c r="I262" i="3"/>
  <c r="H262" i="3"/>
  <c r="G262" i="3"/>
  <c r="F262" i="3"/>
  <c r="C262" i="3"/>
  <c r="B262" i="3"/>
  <c r="A262" i="3"/>
  <c r="I261" i="3"/>
  <c r="H261" i="3"/>
  <c r="G261" i="3"/>
  <c r="F261" i="3"/>
  <c r="C261" i="3"/>
  <c r="B261" i="3"/>
  <c r="A261" i="3"/>
  <c r="I260" i="3"/>
  <c r="H260" i="3"/>
  <c r="G260" i="3"/>
  <c r="F260" i="3"/>
  <c r="C260" i="3"/>
  <c r="B260" i="3"/>
  <c r="A260" i="3"/>
  <c r="I259" i="3"/>
  <c r="H259" i="3"/>
  <c r="G259" i="3"/>
  <c r="F259" i="3"/>
  <c r="C259" i="3"/>
  <c r="B259" i="3"/>
  <c r="A259" i="3"/>
  <c r="I258" i="3"/>
  <c r="H258" i="3"/>
  <c r="G258" i="3"/>
  <c r="F258" i="3"/>
  <c r="C258" i="3"/>
  <c r="B258" i="3"/>
  <c r="A258" i="3"/>
  <c r="I257" i="3"/>
  <c r="H257" i="3"/>
  <c r="G257" i="3"/>
  <c r="F257" i="3"/>
  <c r="C257" i="3"/>
  <c r="B257" i="3"/>
  <c r="A257" i="3"/>
  <c r="I256" i="3"/>
  <c r="H256" i="3"/>
  <c r="G256" i="3"/>
  <c r="F256" i="3"/>
  <c r="C256" i="3"/>
  <c r="B256" i="3"/>
  <c r="A256" i="3"/>
  <c r="I255" i="3"/>
  <c r="H255" i="3"/>
  <c r="G255" i="3"/>
  <c r="F255" i="3"/>
  <c r="C255" i="3"/>
  <c r="B255" i="3"/>
  <c r="A255" i="3"/>
  <c r="I254" i="3"/>
  <c r="H254" i="3"/>
  <c r="G254" i="3"/>
  <c r="F254" i="3"/>
  <c r="C254" i="3"/>
  <c r="B254" i="3"/>
  <c r="A254" i="3"/>
  <c r="I253" i="3"/>
  <c r="H253" i="3"/>
  <c r="G253" i="3"/>
  <c r="F253" i="3"/>
  <c r="C253" i="3"/>
  <c r="B253" i="3"/>
  <c r="A253" i="3"/>
  <c r="I252" i="3"/>
  <c r="H252" i="3"/>
  <c r="G252" i="3"/>
  <c r="F252" i="3"/>
  <c r="C252" i="3"/>
  <c r="B252" i="3"/>
  <c r="A252" i="3"/>
  <c r="I251" i="3"/>
  <c r="H251" i="3"/>
  <c r="G251" i="3"/>
  <c r="F251" i="3"/>
  <c r="C251" i="3"/>
  <c r="B251" i="3"/>
  <c r="A251" i="3"/>
  <c r="I250" i="3"/>
  <c r="H250" i="3"/>
  <c r="G250" i="3"/>
  <c r="F250" i="3"/>
  <c r="C250" i="3"/>
  <c r="B250" i="3"/>
  <c r="A250" i="3"/>
  <c r="I249" i="3"/>
  <c r="H249" i="3"/>
  <c r="G249" i="3"/>
  <c r="F249" i="3"/>
  <c r="C249" i="3"/>
  <c r="B249" i="3"/>
  <c r="A249" i="3"/>
  <c r="I248" i="3"/>
  <c r="H248" i="3"/>
  <c r="G248" i="3"/>
  <c r="F248" i="3"/>
  <c r="C248" i="3"/>
  <c r="B248" i="3"/>
  <c r="A248" i="3"/>
  <c r="I247" i="3"/>
  <c r="H247" i="3"/>
  <c r="G247" i="3"/>
  <c r="F247" i="3"/>
  <c r="C247" i="3"/>
  <c r="B247" i="3"/>
  <c r="A247" i="3"/>
  <c r="I246" i="3"/>
  <c r="H246" i="3"/>
  <c r="G246" i="3"/>
  <c r="F246" i="3"/>
  <c r="C246" i="3"/>
  <c r="B246" i="3"/>
  <c r="A246" i="3"/>
  <c r="I245" i="3"/>
  <c r="H245" i="3"/>
  <c r="G245" i="3"/>
  <c r="F245" i="3"/>
  <c r="C245" i="3"/>
  <c r="B245" i="3"/>
  <c r="A245" i="3"/>
  <c r="I244" i="3"/>
  <c r="H244" i="3"/>
  <c r="G244" i="3"/>
  <c r="F244" i="3"/>
  <c r="C244" i="3"/>
  <c r="B244" i="3"/>
  <c r="A244" i="3"/>
  <c r="I243" i="3"/>
  <c r="H243" i="3"/>
  <c r="G243" i="3"/>
  <c r="F243" i="3"/>
  <c r="C243" i="3"/>
  <c r="B243" i="3"/>
  <c r="A243" i="3"/>
  <c r="I242" i="3"/>
  <c r="H242" i="3"/>
  <c r="G242" i="3"/>
  <c r="F242" i="3"/>
  <c r="C242" i="3"/>
  <c r="B242" i="3"/>
  <c r="A242" i="3"/>
  <c r="I241" i="3"/>
  <c r="H241" i="3"/>
  <c r="G241" i="3"/>
  <c r="F241" i="3"/>
  <c r="C241" i="3"/>
  <c r="B241" i="3"/>
  <c r="A241" i="3"/>
  <c r="I240" i="3"/>
  <c r="H240" i="3"/>
  <c r="G240" i="3"/>
  <c r="F240" i="3"/>
  <c r="C240" i="3"/>
  <c r="B240" i="3"/>
  <c r="A240" i="3"/>
  <c r="I239" i="3"/>
  <c r="H239" i="3"/>
  <c r="G239" i="3"/>
  <c r="F239" i="3"/>
  <c r="C239" i="3"/>
  <c r="B239" i="3"/>
  <c r="A239" i="3"/>
  <c r="I238" i="3"/>
  <c r="H238" i="3"/>
  <c r="G238" i="3"/>
  <c r="F238" i="3"/>
  <c r="C238" i="3"/>
  <c r="B238" i="3"/>
  <c r="A238" i="3"/>
  <c r="I237" i="3"/>
  <c r="H237" i="3"/>
  <c r="G237" i="3"/>
  <c r="F237" i="3"/>
  <c r="C237" i="3"/>
  <c r="B237" i="3"/>
  <c r="A237" i="3"/>
  <c r="I236" i="3"/>
  <c r="H236" i="3"/>
  <c r="G236" i="3"/>
  <c r="F236" i="3"/>
  <c r="C236" i="3"/>
  <c r="B236" i="3"/>
  <c r="A236" i="3"/>
  <c r="I235" i="3"/>
  <c r="H235" i="3"/>
  <c r="G235" i="3"/>
  <c r="F235" i="3"/>
  <c r="C235" i="3"/>
  <c r="B235" i="3"/>
  <c r="A235" i="3"/>
  <c r="I234" i="3"/>
  <c r="H234" i="3"/>
  <c r="G234" i="3"/>
  <c r="F234" i="3"/>
  <c r="C234" i="3"/>
  <c r="B234" i="3"/>
  <c r="A234" i="3"/>
  <c r="I233" i="3"/>
  <c r="H233" i="3"/>
  <c r="G233" i="3"/>
  <c r="F233" i="3"/>
  <c r="C233" i="3"/>
  <c r="B233" i="3"/>
  <c r="A233" i="3"/>
  <c r="I232" i="3"/>
  <c r="H232" i="3"/>
  <c r="G232" i="3"/>
  <c r="F232" i="3"/>
  <c r="C232" i="3"/>
  <c r="B232" i="3"/>
  <c r="A232" i="3"/>
  <c r="I231" i="3"/>
  <c r="H231" i="3"/>
  <c r="G231" i="3"/>
  <c r="F231" i="3"/>
  <c r="C231" i="3"/>
  <c r="B231" i="3"/>
  <c r="A231" i="3"/>
  <c r="I230" i="3"/>
  <c r="H230" i="3"/>
  <c r="G230" i="3"/>
  <c r="F230" i="3"/>
  <c r="C230" i="3"/>
  <c r="B230" i="3"/>
  <c r="A230" i="3"/>
  <c r="I229" i="3"/>
  <c r="H229" i="3"/>
  <c r="G229" i="3"/>
  <c r="F229" i="3"/>
  <c r="C229" i="3"/>
  <c r="B229" i="3"/>
  <c r="A229" i="3"/>
  <c r="I228" i="3"/>
  <c r="H228" i="3"/>
  <c r="G228" i="3"/>
  <c r="F228" i="3"/>
  <c r="C228" i="3"/>
  <c r="B228" i="3"/>
  <c r="A228" i="3"/>
  <c r="I227" i="3"/>
  <c r="H227" i="3"/>
  <c r="G227" i="3"/>
  <c r="F227" i="3"/>
  <c r="C227" i="3"/>
  <c r="B227" i="3"/>
  <c r="A227" i="3"/>
  <c r="I226" i="3"/>
  <c r="H226" i="3"/>
  <c r="G226" i="3"/>
  <c r="F226" i="3"/>
  <c r="C226" i="3"/>
  <c r="B226" i="3"/>
  <c r="A226" i="3"/>
  <c r="I225" i="3"/>
  <c r="H225" i="3"/>
  <c r="G225" i="3"/>
  <c r="F225" i="3"/>
  <c r="C225" i="3"/>
  <c r="B225" i="3"/>
  <c r="A225" i="3"/>
  <c r="I224" i="3"/>
  <c r="H224" i="3"/>
  <c r="G224" i="3"/>
  <c r="F224" i="3"/>
  <c r="C224" i="3"/>
  <c r="B224" i="3"/>
  <c r="A224" i="3"/>
  <c r="I223" i="3"/>
  <c r="H223" i="3"/>
  <c r="G223" i="3"/>
  <c r="F223" i="3"/>
  <c r="C223" i="3"/>
  <c r="B223" i="3"/>
  <c r="A223" i="3"/>
  <c r="I222" i="3"/>
  <c r="H222" i="3"/>
  <c r="G222" i="3"/>
  <c r="F222" i="3"/>
  <c r="C222" i="3"/>
  <c r="B222" i="3"/>
  <c r="A222" i="3"/>
  <c r="I221" i="3"/>
  <c r="H221" i="3"/>
  <c r="G221" i="3"/>
  <c r="F221" i="3"/>
  <c r="C221" i="3"/>
  <c r="B221" i="3"/>
  <c r="A221" i="3"/>
  <c r="I220" i="3"/>
  <c r="H220" i="3"/>
  <c r="G220" i="3"/>
  <c r="F220" i="3"/>
  <c r="C220" i="3"/>
  <c r="B220" i="3"/>
  <c r="A220" i="3"/>
  <c r="I219" i="3"/>
  <c r="H219" i="3"/>
  <c r="G219" i="3"/>
  <c r="F219" i="3"/>
  <c r="C219" i="3"/>
  <c r="B219" i="3"/>
  <c r="A219" i="3"/>
  <c r="I218" i="3"/>
  <c r="H218" i="3"/>
  <c r="G218" i="3"/>
  <c r="F218" i="3"/>
  <c r="C218" i="3"/>
  <c r="B218" i="3"/>
  <c r="A218" i="3"/>
  <c r="I217" i="3"/>
  <c r="H217" i="3"/>
  <c r="G217" i="3"/>
  <c r="F217" i="3"/>
  <c r="C217" i="3"/>
  <c r="B217" i="3"/>
  <c r="A217" i="3"/>
  <c r="I216" i="3"/>
  <c r="H216" i="3"/>
  <c r="G216" i="3"/>
  <c r="F216" i="3"/>
  <c r="C216" i="3"/>
  <c r="B216" i="3"/>
  <c r="A216" i="3"/>
  <c r="I215" i="3"/>
  <c r="H215" i="3"/>
  <c r="G215" i="3"/>
  <c r="F215" i="3"/>
  <c r="C215" i="3"/>
  <c r="B215" i="3"/>
  <c r="A215" i="3"/>
  <c r="I214" i="3"/>
  <c r="H214" i="3"/>
  <c r="G214" i="3"/>
  <c r="F214" i="3"/>
  <c r="C214" i="3"/>
  <c r="B214" i="3"/>
  <c r="A214" i="3"/>
  <c r="I213" i="3"/>
  <c r="H213" i="3"/>
  <c r="G213" i="3"/>
  <c r="F213" i="3"/>
  <c r="C213" i="3"/>
  <c r="B213" i="3"/>
  <c r="A213" i="3"/>
  <c r="I212" i="3"/>
  <c r="H212" i="3"/>
  <c r="G212" i="3"/>
  <c r="F212" i="3"/>
  <c r="C212" i="3"/>
  <c r="B212" i="3"/>
  <c r="A212" i="3"/>
  <c r="I211" i="3"/>
  <c r="H211" i="3"/>
  <c r="G211" i="3"/>
  <c r="F211" i="3"/>
  <c r="C211" i="3"/>
  <c r="B211" i="3"/>
  <c r="A211" i="3"/>
  <c r="I210" i="3"/>
  <c r="H210" i="3"/>
  <c r="G210" i="3"/>
  <c r="F210" i="3"/>
  <c r="C210" i="3"/>
  <c r="B210" i="3"/>
  <c r="A210" i="3"/>
  <c r="I209" i="3"/>
  <c r="H209" i="3"/>
  <c r="G209" i="3"/>
  <c r="F209" i="3"/>
  <c r="C209" i="3"/>
  <c r="B209" i="3"/>
  <c r="A209" i="3"/>
  <c r="I208" i="3"/>
  <c r="H208" i="3"/>
  <c r="G208" i="3"/>
  <c r="F208" i="3"/>
  <c r="C208" i="3"/>
  <c r="B208" i="3"/>
  <c r="A208" i="3"/>
  <c r="I207" i="3"/>
  <c r="H207" i="3"/>
  <c r="G207" i="3"/>
  <c r="F207" i="3"/>
  <c r="C207" i="3"/>
  <c r="B207" i="3"/>
  <c r="A207" i="3"/>
  <c r="I206" i="3"/>
  <c r="H206" i="3"/>
  <c r="G206" i="3"/>
  <c r="F206" i="3"/>
  <c r="C206" i="3"/>
  <c r="B206" i="3"/>
  <c r="A206" i="3"/>
  <c r="I205" i="3"/>
  <c r="H205" i="3"/>
  <c r="G205" i="3"/>
  <c r="F205" i="3"/>
  <c r="C205" i="3"/>
  <c r="B205" i="3"/>
  <c r="A205" i="3"/>
  <c r="I204" i="3"/>
  <c r="H204" i="3"/>
  <c r="G204" i="3"/>
  <c r="F204" i="3"/>
  <c r="C204" i="3"/>
  <c r="B204" i="3"/>
  <c r="A204" i="3"/>
  <c r="I203" i="3"/>
  <c r="H203" i="3"/>
  <c r="G203" i="3"/>
  <c r="F203" i="3"/>
  <c r="C203" i="3"/>
  <c r="B203" i="3"/>
  <c r="A203" i="3"/>
  <c r="I202" i="3"/>
  <c r="H202" i="3"/>
  <c r="G202" i="3"/>
  <c r="F202" i="3"/>
  <c r="C202" i="3"/>
  <c r="B202" i="3"/>
  <c r="A202" i="3"/>
  <c r="I201" i="3"/>
  <c r="H201" i="3"/>
  <c r="G201" i="3"/>
  <c r="F201" i="3"/>
  <c r="C201" i="3"/>
  <c r="B201" i="3"/>
  <c r="A201" i="3"/>
  <c r="I200" i="3"/>
  <c r="H200" i="3"/>
  <c r="G200" i="3"/>
  <c r="F200" i="3"/>
  <c r="C200" i="3"/>
  <c r="B200" i="3"/>
  <c r="A200" i="3"/>
  <c r="I199" i="3"/>
  <c r="H199" i="3"/>
  <c r="G199" i="3"/>
  <c r="F199" i="3"/>
  <c r="C199" i="3"/>
  <c r="B199" i="3"/>
  <c r="A199" i="3"/>
  <c r="I198" i="3"/>
  <c r="H198" i="3"/>
  <c r="G198" i="3"/>
  <c r="F198" i="3"/>
  <c r="C198" i="3"/>
  <c r="B198" i="3"/>
  <c r="A198" i="3"/>
  <c r="I197" i="3"/>
  <c r="H197" i="3"/>
  <c r="G197" i="3"/>
  <c r="F197" i="3"/>
  <c r="C197" i="3"/>
  <c r="B197" i="3"/>
  <c r="A197" i="3"/>
  <c r="I196" i="3"/>
  <c r="H196" i="3"/>
  <c r="G196" i="3"/>
  <c r="F196" i="3"/>
  <c r="C196" i="3"/>
  <c r="B196" i="3"/>
  <c r="A196" i="3"/>
  <c r="I195" i="3"/>
  <c r="H195" i="3"/>
  <c r="G195" i="3"/>
  <c r="F195" i="3"/>
  <c r="C195" i="3"/>
  <c r="B195" i="3"/>
  <c r="A195" i="3"/>
  <c r="I194" i="3"/>
  <c r="H194" i="3"/>
  <c r="G194" i="3"/>
  <c r="F194" i="3"/>
  <c r="C194" i="3"/>
  <c r="B194" i="3"/>
  <c r="A194" i="3"/>
  <c r="I193" i="3"/>
  <c r="H193" i="3"/>
  <c r="G193" i="3"/>
  <c r="F193" i="3"/>
  <c r="C193" i="3"/>
  <c r="B193" i="3"/>
  <c r="A193" i="3"/>
  <c r="I192" i="3"/>
  <c r="H192" i="3"/>
  <c r="G192" i="3"/>
  <c r="F192" i="3"/>
  <c r="C192" i="3"/>
  <c r="B192" i="3"/>
  <c r="A192" i="3"/>
  <c r="I191" i="3"/>
  <c r="H191" i="3"/>
  <c r="G191" i="3"/>
  <c r="F191" i="3"/>
  <c r="C191" i="3"/>
  <c r="B191" i="3"/>
  <c r="A191" i="3"/>
  <c r="I190" i="3"/>
  <c r="H190" i="3"/>
  <c r="G190" i="3"/>
  <c r="F190" i="3"/>
  <c r="C190" i="3"/>
  <c r="B190" i="3"/>
  <c r="A190" i="3"/>
  <c r="I189" i="3"/>
  <c r="H189" i="3"/>
  <c r="G189" i="3"/>
  <c r="F189" i="3"/>
  <c r="C189" i="3"/>
  <c r="B189" i="3"/>
  <c r="A189" i="3"/>
  <c r="I188" i="3"/>
  <c r="H188" i="3"/>
  <c r="G188" i="3"/>
  <c r="F188" i="3"/>
  <c r="C188" i="3"/>
  <c r="B188" i="3"/>
  <c r="A188" i="3"/>
  <c r="I187" i="3"/>
  <c r="H187" i="3"/>
  <c r="G187" i="3"/>
  <c r="F187" i="3"/>
  <c r="C187" i="3"/>
  <c r="B187" i="3"/>
  <c r="A187" i="3"/>
  <c r="I186" i="3"/>
  <c r="H186" i="3"/>
  <c r="G186" i="3"/>
  <c r="F186" i="3"/>
  <c r="C186" i="3"/>
  <c r="B186" i="3"/>
  <c r="A186" i="3"/>
  <c r="I185" i="3"/>
  <c r="H185" i="3"/>
  <c r="G185" i="3"/>
  <c r="F185" i="3"/>
  <c r="C185" i="3"/>
  <c r="B185" i="3"/>
  <c r="A185" i="3"/>
  <c r="I184" i="3"/>
  <c r="H184" i="3"/>
  <c r="G184" i="3"/>
  <c r="F184" i="3"/>
  <c r="C184" i="3"/>
  <c r="B184" i="3"/>
  <c r="A184" i="3"/>
  <c r="I183" i="3"/>
  <c r="H183" i="3"/>
  <c r="G183" i="3"/>
  <c r="F183" i="3"/>
  <c r="C183" i="3"/>
  <c r="B183" i="3"/>
  <c r="A183" i="3"/>
  <c r="I182" i="3"/>
  <c r="H182" i="3"/>
  <c r="G182" i="3"/>
  <c r="F182" i="3"/>
  <c r="C182" i="3"/>
  <c r="B182" i="3"/>
  <c r="A182" i="3"/>
  <c r="I181" i="3"/>
  <c r="H181" i="3"/>
  <c r="G181" i="3"/>
  <c r="F181" i="3"/>
  <c r="C181" i="3"/>
  <c r="B181" i="3"/>
  <c r="A181" i="3"/>
  <c r="I180" i="3"/>
  <c r="H180" i="3"/>
  <c r="G180" i="3"/>
  <c r="F180" i="3"/>
  <c r="C180" i="3"/>
  <c r="B180" i="3"/>
  <c r="A180" i="3"/>
  <c r="I179" i="3"/>
  <c r="H179" i="3"/>
  <c r="G179" i="3"/>
  <c r="F179" i="3"/>
  <c r="C179" i="3"/>
  <c r="B179" i="3"/>
  <c r="A179" i="3"/>
  <c r="I178" i="3"/>
  <c r="H178" i="3"/>
  <c r="G178" i="3"/>
  <c r="F178" i="3"/>
  <c r="C178" i="3"/>
  <c r="B178" i="3"/>
  <c r="A178" i="3"/>
  <c r="I177" i="3"/>
  <c r="H177" i="3"/>
  <c r="G177" i="3"/>
  <c r="F177" i="3"/>
  <c r="C177" i="3"/>
  <c r="B177" i="3"/>
  <c r="A177" i="3"/>
  <c r="I176" i="3"/>
  <c r="H176" i="3"/>
  <c r="G176" i="3"/>
  <c r="F176" i="3"/>
  <c r="C176" i="3"/>
  <c r="B176" i="3"/>
  <c r="A176" i="3"/>
  <c r="I175" i="3"/>
  <c r="H175" i="3"/>
  <c r="G175" i="3"/>
  <c r="F175" i="3"/>
  <c r="C175" i="3"/>
  <c r="B175" i="3"/>
  <c r="A175" i="3"/>
  <c r="I174" i="3"/>
  <c r="H174" i="3"/>
  <c r="G174" i="3"/>
  <c r="F174" i="3"/>
  <c r="C174" i="3"/>
  <c r="B174" i="3"/>
  <c r="A174" i="3"/>
  <c r="I173" i="3"/>
  <c r="H173" i="3"/>
  <c r="G173" i="3"/>
  <c r="F173" i="3"/>
  <c r="C173" i="3"/>
  <c r="B173" i="3"/>
  <c r="A173" i="3"/>
  <c r="I172" i="3"/>
  <c r="H172" i="3"/>
  <c r="G172" i="3"/>
  <c r="F172" i="3"/>
  <c r="C172" i="3"/>
  <c r="B172" i="3"/>
  <c r="A172" i="3"/>
  <c r="I171" i="3"/>
  <c r="H171" i="3"/>
  <c r="G171" i="3"/>
  <c r="F171" i="3"/>
  <c r="C171" i="3"/>
  <c r="B171" i="3"/>
  <c r="A171" i="3"/>
  <c r="I170" i="3"/>
  <c r="H170" i="3"/>
  <c r="G170" i="3"/>
  <c r="F170" i="3"/>
  <c r="C170" i="3"/>
  <c r="B170" i="3"/>
  <c r="A170" i="3"/>
  <c r="I169" i="3"/>
  <c r="H169" i="3"/>
  <c r="G169" i="3"/>
  <c r="F169" i="3"/>
  <c r="C169" i="3"/>
  <c r="B169" i="3"/>
  <c r="A169" i="3"/>
  <c r="I168" i="3"/>
  <c r="H168" i="3"/>
  <c r="G168" i="3"/>
  <c r="F168" i="3"/>
  <c r="C168" i="3"/>
  <c r="B168" i="3"/>
  <c r="A168" i="3"/>
  <c r="I167" i="3"/>
  <c r="H167" i="3"/>
  <c r="G167" i="3"/>
  <c r="F167" i="3"/>
  <c r="C167" i="3"/>
  <c r="B167" i="3"/>
  <c r="A167" i="3"/>
  <c r="I166" i="3"/>
  <c r="H166" i="3"/>
  <c r="G166" i="3"/>
  <c r="F166" i="3"/>
  <c r="C166" i="3"/>
  <c r="B166" i="3"/>
  <c r="A166" i="3"/>
  <c r="I165" i="3"/>
  <c r="H165" i="3"/>
  <c r="G165" i="3"/>
  <c r="F165" i="3"/>
  <c r="C165" i="3"/>
  <c r="B165" i="3"/>
  <c r="A165" i="3"/>
  <c r="I164" i="3"/>
  <c r="H164" i="3"/>
  <c r="G164" i="3"/>
  <c r="F164" i="3"/>
  <c r="C164" i="3"/>
  <c r="B164" i="3"/>
  <c r="A164" i="3"/>
  <c r="I163" i="3"/>
  <c r="H163" i="3"/>
  <c r="G163" i="3"/>
  <c r="F163" i="3"/>
  <c r="C163" i="3"/>
  <c r="B163" i="3"/>
  <c r="A163" i="3"/>
  <c r="I162" i="3"/>
  <c r="H162" i="3"/>
  <c r="G162" i="3"/>
  <c r="F162" i="3"/>
  <c r="C162" i="3"/>
  <c r="B162" i="3"/>
  <c r="A162" i="3"/>
  <c r="I161" i="3"/>
  <c r="H161" i="3"/>
  <c r="G161" i="3"/>
  <c r="F161" i="3"/>
  <c r="C161" i="3"/>
  <c r="B161" i="3"/>
  <c r="A161" i="3"/>
  <c r="I160" i="3"/>
  <c r="H160" i="3"/>
  <c r="G160" i="3"/>
  <c r="F160" i="3"/>
  <c r="C160" i="3"/>
  <c r="B160" i="3"/>
  <c r="A160" i="3"/>
  <c r="I159" i="3"/>
  <c r="H159" i="3"/>
  <c r="G159" i="3"/>
  <c r="F159" i="3"/>
  <c r="C159" i="3"/>
  <c r="B159" i="3"/>
  <c r="A159" i="3"/>
  <c r="I158" i="3"/>
  <c r="H158" i="3"/>
  <c r="G158" i="3"/>
  <c r="F158" i="3"/>
  <c r="C158" i="3"/>
  <c r="B158" i="3"/>
  <c r="A158" i="3"/>
  <c r="I157" i="3"/>
  <c r="H157" i="3"/>
  <c r="G157" i="3"/>
  <c r="F157" i="3"/>
  <c r="C157" i="3"/>
  <c r="B157" i="3"/>
  <c r="A157" i="3"/>
  <c r="I156" i="3"/>
  <c r="H156" i="3"/>
  <c r="G156" i="3"/>
  <c r="F156" i="3"/>
  <c r="C156" i="3"/>
  <c r="B156" i="3"/>
  <c r="A156" i="3"/>
  <c r="I155" i="3"/>
  <c r="H155" i="3"/>
  <c r="G155" i="3"/>
  <c r="F155" i="3"/>
  <c r="C155" i="3"/>
  <c r="B155" i="3"/>
  <c r="A155" i="3"/>
  <c r="I154" i="3"/>
  <c r="H154" i="3"/>
  <c r="G154" i="3"/>
  <c r="F154" i="3"/>
  <c r="C154" i="3"/>
  <c r="B154" i="3"/>
  <c r="A154" i="3"/>
  <c r="I153" i="3"/>
  <c r="H153" i="3"/>
  <c r="G153" i="3"/>
  <c r="F153" i="3"/>
  <c r="C153" i="3"/>
  <c r="B153" i="3"/>
  <c r="A153" i="3"/>
  <c r="I152" i="3"/>
  <c r="H152" i="3"/>
  <c r="G152" i="3"/>
  <c r="F152" i="3"/>
  <c r="C152" i="3"/>
  <c r="B152" i="3"/>
  <c r="A152" i="3"/>
  <c r="I151" i="3"/>
  <c r="H151" i="3"/>
  <c r="G151" i="3"/>
  <c r="F151" i="3"/>
  <c r="C151" i="3"/>
  <c r="B151" i="3"/>
  <c r="A151" i="3"/>
  <c r="I150" i="3"/>
  <c r="H150" i="3"/>
  <c r="G150" i="3"/>
  <c r="F150" i="3"/>
  <c r="C150" i="3"/>
  <c r="B150" i="3"/>
  <c r="A150" i="3"/>
  <c r="I149" i="3"/>
  <c r="H149" i="3"/>
  <c r="G149" i="3"/>
  <c r="F149" i="3"/>
  <c r="C149" i="3"/>
  <c r="B149" i="3"/>
  <c r="A149" i="3"/>
  <c r="I148" i="3"/>
  <c r="H148" i="3"/>
  <c r="G148" i="3"/>
  <c r="F148" i="3"/>
  <c r="C148" i="3"/>
  <c r="B148" i="3"/>
  <c r="A148" i="3"/>
  <c r="I147" i="3"/>
  <c r="H147" i="3"/>
  <c r="G147" i="3"/>
  <c r="F147" i="3"/>
  <c r="C147" i="3"/>
  <c r="B147" i="3"/>
  <c r="A147" i="3"/>
  <c r="I146" i="3"/>
  <c r="H146" i="3"/>
  <c r="G146" i="3"/>
  <c r="F146" i="3"/>
  <c r="C146" i="3"/>
  <c r="B146" i="3"/>
  <c r="A146" i="3"/>
  <c r="I145" i="3"/>
  <c r="H145" i="3"/>
  <c r="G145" i="3"/>
  <c r="F145" i="3"/>
  <c r="C145" i="3"/>
  <c r="B145" i="3"/>
  <c r="A145" i="3"/>
  <c r="I144" i="3"/>
  <c r="H144" i="3"/>
  <c r="G144" i="3"/>
  <c r="F144" i="3"/>
  <c r="C144" i="3"/>
  <c r="B144" i="3"/>
  <c r="A144" i="3"/>
  <c r="I143" i="3"/>
  <c r="H143" i="3"/>
  <c r="G143" i="3"/>
  <c r="F143" i="3"/>
  <c r="C143" i="3"/>
  <c r="B143" i="3"/>
  <c r="A143" i="3"/>
  <c r="I142" i="3"/>
  <c r="H142" i="3"/>
  <c r="G142" i="3"/>
  <c r="F142" i="3"/>
  <c r="C142" i="3"/>
  <c r="B142" i="3"/>
  <c r="A142" i="3"/>
  <c r="I141" i="3"/>
  <c r="H141" i="3"/>
  <c r="G141" i="3"/>
  <c r="F141" i="3"/>
  <c r="C141" i="3"/>
  <c r="B141" i="3"/>
  <c r="A141" i="3"/>
  <c r="I140" i="3"/>
  <c r="H140" i="3"/>
  <c r="G140" i="3"/>
  <c r="F140" i="3"/>
  <c r="C140" i="3"/>
  <c r="B140" i="3"/>
  <c r="A140" i="3"/>
  <c r="I139" i="3"/>
  <c r="H139" i="3"/>
  <c r="G139" i="3"/>
  <c r="F139" i="3"/>
  <c r="C139" i="3"/>
  <c r="B139" i="3"/>
  <c r="A139" i="3"/>
  <c r="I138" i="3"/>
  <c r="H138" i="3"/>
  <c r="G138" i="3"/>
  <c r="F138" i="3"/>
  <c r="C138" i="3"/>
  <c r="B138" i="3"/>
  <c r="A138" i="3"/>
  <c r="I137" i="3"/>
  <c r="H137" i="3"/>
  <c r="G137" i="3"/>
  <c r="F137" i="3"/>
  <c r="C137" i="3"/>
  <c r="B137" i="3"/>
  <c r="A137" i="3"/>
  <c r="I136" i="3"/>
  <c r="H136" i="3"/>
  <c r="G136" i="3"/>
  <c r="F136" i="3"/>
  <c r="C136" i="3"/>
  <c r="B136" i="3"/>
  <c r="A136" i="3"/>
  <c r="I135" i="3"/>
  <c r="H135" i="3"/>
  <c r="G135" i="3"/>
  <c r="F135" i="3"/>
  <c r="C135" i="3"/>
  <c r="B135" i="3"/>
  <c r="A135" i="3"/>
  <c r="I134" i="3"/>
  <c r="H134" i="3"/>
  <c r="G134" i="3"/>
  <c r="F134" i="3"/>
  <c r="C134" i="3"/>
  <c r="B134" i="3"/>
  <c r="A134" i="3"/>
  <c r="I133" i="3"/>
  <c r="H133" i="3"/>
  <c r="G133" i="3"/>
  <c r="F133" i="3"/>
  <c r="C133" i="3"/>
  <c r="B133" i="3"/>
  <c r="A133" i="3"/>
  <c r="I132" i="3"/>
  <c r="H132" i="3"/>
  <c r="G132" i="3"/>
  <c r="F132" i="3"/>
  <c r="C132" i="3"/>
  <c r="B132" i="3"/>
  <c r="A132" i="3"/>
  <c r="I131" i="3"/>
  <c r="H131" i="3"/>
  <c r="G131" i="3"/>
  <c r="F131" i="3"/>
  <c r="C131" i="3"/>
  <c r="B131" i="3"/>
  <c r="A131" i="3"/>
  <c r="I130" i="3"/>
  <c r="H130" i="3"/>
  <c r="G130" i="3"/>
  <c r="F130" i="3"/>
  <c r="C130" i="3"/>
  <c r="B130" i="3"/>
  <c r="A130" i="3"/>
  <c r="I129" i="3"/>
  <c r="H129" i="3"/>
  <c r="G129" i="3"/>
  <c r="F129" i="3"/>
  <c r="C129" i="3"/>
  <c r="B129" i="3"/>
  <c r="A129" i="3"/>
  <c r="I128" i="3"/>
  <c r="H128" i="3"/>
  <c r="G128" i="3"/>
  <c r="F128" i="3"/>
  <c r="C128" i="3"/>
  <c r="B128" i="3"/>
  <c r="A128" i="3"/>
  <c r="I127" i="3"/>
  <c r="H127" i="3"/>
  <c r="G127" i="3"/>
  <c r="F127" i="3"/>
  <c r="C127" i="3"/>
  <c r="B127" i="3"/>
  <c r="A127" i="3"/>
  <c r="I126" i="3"/>
  <c r="H126" i="3"/>
  <c r="G126" i="3"/>
  <c r="F126" i="3"/>
  <c r="C126" i="3"/>
  <c r="B126" i="3"/>
  <c r="A126" i="3"/>
  <c r="I125" i="3"/>
  <c r="H125" i="3"/>
  <c r="G125" i="3"/>
  <c r="F125" i="3"/>
  <c r="C125" i="3"/>
  <c r="B125" i="3"/>
  <c r="A125" i="3"/>
  <c r="I124" i="3"/>
  <c r="H124" i="3"/>
  <c r="G124" i="3"/>
  <c r="F124" i="3"/>
  <c r="C124" i="3"/>
  <c r="B124" i="3"/>
  <c r="A124" i="3"/>
  <c r="I123" i="3"/>
  <c r="H123" i="3"/>
  <c r="G123" i="3"/>
  <c r="F123" i="3"/>
  <c r="C123" i="3"/>
  <c r="B123" i="3"/>
  <c r="A123" i="3"/>
  <c r="I122" i="3"/>
  <c r="H122" i="3"/>
  <c r="G122" i="3"/>
  <c r="F122" i="3"/>
  <c r="C122" i="3"/>
  <c r="B122" i="3"/>
  <c r="A122" i="3"/>
  <c r="I121" i="3"/>
  <c r="H121" i="3"/>
  <c r="G121" i="3"/>
  <c r="F121" i="3"/>
  <c r="C121" i="3"/>
  <c r="B121" i="3"/>
  <c r="A121" i="3"/>
  <c r="I120" i="3"/>
  <c r="H120" i="3"/>
  <c r="G120" i="3"/>
  <c r="F120" i="3"/>
  <c r="C120" i="3"/>
  <c r="B120" i="3"/>
  <c r="A120" i="3"/>
  <c r="I119" i="3"/>
  <c r="H119" i="3"/>
  <c r="G119" i="3"/>
  <c r="F119" i="3"/>
  <c r="C119" i="3"/>
  <c r="B119" i="3"/>
  <c r="A119" i="3"/>
  <c r="I118" i="3"/>
  <c r="H118" i="3"/>
  <c r="G118" i="3"/>
  <c r="F118" i="3"/>
  <c r="C118" i="3"/>
  <c r="B118" i="3"/>
  <c r="A118" i="3"/>
  <c r="I117" i="3"/>
  <c r="H117" i="3"/>
  <c r="G117" i="3"/>
  <c r="F117" i="3"/>
  <c r="C117" i="3"/>
  <c r="B117" i="3"/>
  <c r="A117" i="3"/>
  <c r="I116" i="3"/>
  <c r="H116" i="3"/>
  <c r="G116" i="3"/>
  <c r="F116" i="3"/>
  <c r="C116" i="3"/>
  <c r="B116" i="3"/>
  <c r="A116" i="3"/>
  <c r="I115" i="3"/>
  <c r="H115" i="3"/>
  <c r="G115" i="3"/>
  <c r="F115" i="3"/>
  <c r="C115" i="3"/>
  <c r="B115" i="3"/>
  <c r="A115" i="3"/>
  <c r="I114" i="3"/>
  <c r="H114" i="3"/>
  <c r="G114" i="3"/>
  <c r="F114" i="3"/>
  <c r="C114" i="3"/>
  <c r="B114" i="3"/>
  <c r="A114" i="3"/>
  <c r="I113" i="3"/>
  <c r="H113" i="3"/>
  <c r="G113" i="3"/>
  <c r="F113" i="3"/>
  <c r="C113" i="3"/>
  <c r="B113" i="3"/>
  <c r="A113" i="3"/>
  <c r="I112" i="3"/>
  <c r="H112" i="3"/>
  <c r="G112" i="3"/>
  <c r="F112" i="3"/>
  <c r="C112" i="3"/>
  <c r="B112" i="3"/>
  <c r="A112" i="3"/>
  <c r="I111" i="3"/>
  <c r="H111" i="3"/>
  <c r="G111" i="3"/>
  <c r="F111" i="3"/>
  <c r="C111" i="3"/>
  <c r="B111" i="3"/>
  <c r="A111" i="3"/>
  <c r="I110" i="3"/>
  <c r="H110" i="3"/>
  <c r="G110" i="3"/>
  <c r="F110" i="3"/>
  <c r="C110" i="3"/>
  <c r="B110" i="3"/>
  <c r="A110" i="3"/>
  <c r="I109" i="3"/>
  <c r="H109" i="3"/>
  <c r="G109" i="3"/>
  <c r="F109" i="3"/>
  <c r="C109" i="3"/>
  <c r="B109" i="3"/>
  <c r="A109" i="3"/>
  <c r="I108" i="3"/>
  <c r="H108" i="3"/>
  <c r="G108" i="3"/>
  <c r="F108" i="3"/>
  <c r="C108" i="3"/>
  <c r="B108" i="3"/>
  <c r="A108" i="3"/>
  <c r="I107" i="3"/>
  <c r="H107" i="3"/>
  <c r="G107" i="3"/>
  <c r="F107" i="3"/>
  <c r="C107" i="3"/>
  <c r="B107" i="3"/>
  <c r="A107" i="3"/>
  <c r="I106" i="3"/>
  <c r="H106" i="3"/>
  <c r="G106" i="3"/>
  <c r="F106" i="3"/>
  <c r="C106" i="3"/>
  <c r="B106" i="3"/>
  <c r="A106" i="3"/>
  <c r="I105" i="3"/>
  <c r="H105" i="3"/>
  <c r="G105" i="3"/>
  <c r="F105" i="3"/>
  <c r="C105" i="3"/>
  <c r="B105" i="3"/>
  <c r="A105" i="3"/>
  <c r="I104" i="3"/>
  <c r="H104" i="3"/>
  <c r="G104" i="3"/>
  <c r="F104" i="3"/>
  <c r="C104" i="3"/>
  <c r="B104" i="3"/>
  <c r="A104" i="3"/>
  <c r="I103" i="3"/>
  <c r="H103" i="3"/>
  <c r="G103" i="3"/>
  <c r="F103" i="3"/>
  <c r="C103" i="3"/>
  <c r="B103" i="3"/>
  <c r="A103" i="3"/>
  <c r="I102" i="3"/>
  <c r="H102" i="3"/>
  <c r="G102" i="3"/>
  <c r="F102" i="3"/>
  <c r="C102" i="3"/>
  <c r="B102" i="3"/>
  <c r="A102" i="3"/>
  <c r="I101" i="3"/>
  <c r="H101" i="3"/>
  <c r="G101" i="3"/>
  <c r="F101" i="3"/>
  <c r="C101" i="3"/>
  <c r="B101" i="3"/>
  <c r="A101" i="3"/>
  <c r="I100" i="3"/>
  <c r="H100" i="3"/>
  <c r="G100" i="3"/>
  <c r="F100" i="3"/>
  <c r="C100" i="3"/>
  <c r="B100" i="3"/>
  <c r="A100" i="3"/>
  <c r="I99" i="3"/>
  <c r="H99" i="3"/>
  <c r="G99" i="3"/>
  <c r="F99" i="3"/>
  <c r="C99" i="3"/>
  <c r="B99" i="3"/>
  <c r="A99" i="3"/>
  <c r="I98" i="3"/>
  <c r="H98" i="3"/>
  <c r="G98" i="3"/>
  <c r="F98" i="3"/>
  <c r="C98" i="3"/>
  <c r="B98" i="3"/>
  <c r="A98" i="3"/>
  <c r="I97" i="3"/>
  <c r="H97" i="3"/>
  <c r="G97" i="3"/>
  <c r="F97" i="3"/>
  <c r="C97" i="3"/>
  <c r="B97" i="3"/>
  <c r="A97" i="3"/>
  <c r="I96" i="3"/>
  <c r="H96" i="3"/>
  <c r="G96" i="3"/>
  <c r="F96" i="3"/>
  <c r="C96" i="3"/>
  <c r="B96" i="3"/>
  <c r="A96" i="3"/>
  <c r="I95" i="3"/>
  <c r="H95" i="3"/>
  <c r="G95" i="3"/>
  <c r="F95" i="3"/>
  <c r="C95" i="3"/>
  <c r="B95" i="3"/>
  <c r="A95" i="3"/>
  <c r="I94" i="3"/>
  <c r="H94" i="3"/>
  <c r="G94" i="3"/>
  <c r="F94" i="3"/>
  <c r="C94" i="3"/>
  <c r="B94" i="3"/>
  <c r="A94" i="3"/>
  <c r="I93" i="3"/>
  <c r="H93" i="3"/>
  <c r="G93" i="3"/>
  <c r="F93" i="3"/>
  <c r="C93" i="3"/>
  <c r="B93" i="3"/>
  <c r="A93" i="3"/>
  <c r="I92" i="3"/>
  <c r="H92" i="3"/>
  <c r="G92" i="3"/>
  <c r="F92" i="3"/>
  <c r="C92" i="3"/>
  <c r="B92" i="3"/>
  <c r="A92" i="3"/>
  <c r="I91" i="3"/>
  <c r="H91" i="3"/>
  <c r="G91" i="3"/>
  <c r="F91" i="3"/>
  <c r="C91" i="3"/>
  <c r="B91" i="3"/>
  <c r="A91" i="3"/>
  <c r="I90" i="3"/>
  <c r="H90" i="3"/>
  <c r="G90" i="3"/>
  <c r="F90" i="3"/>
  <c r="C90" i="3"/>
  <c r="B90" i="3"/>
  <c r="A90" i="3"/>
  <c r="I89" i="3"/>
  <c r="H89" i="3"/>
  <c r="G89" i="3"/>
  <c r="F89" i="3"/>
  <c r="C89" i="3"/>
  <c r="B89" i="3"/>
  <c r="A89" i="3"/>
  <c r="I88" i="3"/>
  <c r="H88" i="3"/>
  <c r="G88" i="3"/>
  <c r="F88" i="3"/>
  <c r="C88" i="3"/>
  <c r="B88" i="3"/>
  <c r="A88" i="3"/>
  <c r="I87" i="3"/>
  <c r="H87" i="3"/>
  <c r="G87" i="3"/>
  <c r="F87" i="3"/>
  <c r="C87" i="3"/>
  <c r="B87" i="3"/>
  <c r="A87" i="3"/>
  <c r="I86" i="3"/>
  <c r="H86" i="3"/>
  <c r="G86" i="3"/>
  <c r="F86" i="3"/>
  <c r="C86" i="3"/>
  <c r="B86" i="3"/>
  <c r="A86" i="3"/>
  <c r="I85" i="3"/>
  <c r="H85" i="3"/>
  <c r="G85" i="3"/>
  <c r="F85" i="3"/>
  <c r="C85" i="3"/>
  <c r="B85" i="3"/>
  <c r="A85" i="3"/>
  <c r="I84" i="3"/>
  <c r="H84" i="3"/>
  <c r="G84" i="3"/>
  <c r="F84" i="3"/>
  <c r="C84" i="3"/>
  <c r="B84" i="3"/>
  <c r="A84" i="3"/>
  <c r="I83" i="3"/>
  <c r="H83" i="3"/>
  <c r="G83" i="3"/>
  <c r="F83" i="3"/>
  <c r="C83" i="3"/>
  <c r="B83" i="3"/>
  <c r="A83" i="3"/>
  <c r="I82" i="3"/>
  <c r="H82" i="3"/>
  <c r="G82" i="3"/>
  <c r="F82" i="3"/>
  <c r="C82" i="3"/>
  <c r="B82" i="3"/>
  <c r="A82" i="3"/>
  <c r="I81" i="3"/>
  <c r="H81" i="3"/>
  <c r="G81" i="3"/>
  <c r="F81" i="3"/>
  <c r="C81" i="3"/>
  <c r="B81" i="3"/>
  <c r="A81" i="3"/>
  <c r="I80" i="3"/>
  <c r="H80" i="3"/>
  <c r="G80" i="3"/>
  <c r="F80" i="3"/>
  <c r="C80" i="3"/>
  <c r="B80" i="3"/>
  <c r="A80" i="3"/>
  <c r="I79" i="3"/>
  <c r="H79" i="3"/>
  <c r="G79" i="3"/>
  <c r="F79" i="3"/>
  <c r="C79" i="3"/>
  <c r="B79" i="3"/>
  <c r="A79" i="3"/>
  <c r="I78" i="3"/>
  <c r="H78" i="3"/>
  <c r="G78" i="3"/>
  <c r="F78" i="3"/>
  <c r="C78" i="3"/>
  <c r="B78" i="3"/>
  <c r="A78" i="3"/>
  <c r="I77" i="3"/>
  <c r="H77" i="3"/>
  <c r="G77" i="3"/>
  <c r="F77" i="3"/>
  <c r="C77" i="3"/>
  <c r="B77" i="3"/>
  <c r="A77" i="3"/>
  <c r="I76" i="3"/>
  <c r="H76" i="3"/>
  <c r="G76" i="3"/>
  <c r="F76" i="3"/>
  <c r="C76" i="3"/>
  <c r="B76" i="3"/>
  <c r="A76" i="3"/>
  <c r="I75" i="3"/>
  <c r="H75" i="3"/>
  <c r="G75" i="3"/>
  <c r="F75" i="3"/>
  <c r="C75" i="3"/>
  <c r="B75" i="3"/>
  <c r="A75" i="3"/>
  <c r="I74" i="3"/>
  <c r="H74" i="3"/>
  <c r="G74" i="3"/>
  <c r="F74" i="3"/>
  <c r="C74" i="3"/>
  <c r="B74" i="3"/>
  <c r="A74" i="3"/>
  <c r="I73" i="3"/>
  <c r="H73" i="3"/>
  <c r="G73" i="3"/>
  <c r="F73" i="3"/>
  <c r="C73" i="3"/>
  <c r="B73" i="3"/>
  <c r="A73" i="3"/>
  <c r="I72" i="3"/>
  <c r="H72" i="3"/>
  <c r="G72" i="3"/>
  <c r="F72" i="3"/>
  <c r="C72" i="3"/>
  <c r="B72" i="3"/>
  <c r="A72" i="3"/>
  <c r="I71" i="3"/>
  <c r="H71" i="3"/>
  <c r="G71" i="3"/>
  <c r="F71" i="3"/>
  <c r="C71" i="3"/>
  <c r="B71" i="3"/>
  <c r="A71" i="3"/>
  <c r="I70" i="3"/>
  <c r="H70" i="3"/>
  <c r="G70" i="3"/>
  <c r="F70" i="3"/>
  <c r="C70" i="3"/>
  <c r="B70" i="3"/>
  <c r="A70" i="3"/>
  <c r="I69" i="3"/>
  <c r="H69" i="3"/>
  <c r="G69" i="3"/>
  <c r="F69" i="3"/>
  <c r="C69" i="3"/>
  <c r="B69" i="3"/>
  <c r="A69" i="3"/>
  <c r="I68" i="3"/>
  <c r="H68" i="3"/>
  <c r="G68" i="3"/>
  <c r="F68" i="3"/>
  <c r="C68" i="3"/>
  <c r="B68" i="3"/>
  <c r="A68" i="3"/>
  <c r="I67" i="3"/>
  <c r="H67" i="3"/>
  <c r="G67" i="3"/>
  <c r="F67" i="3"/>
  <c r="C67" i="3"/>
  <c r="B67" i="3"/>
  <c r="A67" i="3"/>
  <c r="I66" i="3"/>
  <c r="H66" i="3"/>
  <c r="G66" i="3"/>
  <c r="F66" i="3"/>
  <c r="C66" i="3"/>
  <c r="B66" i="3"/>
  <c r="A66" i="3"/>
  <c r="I65" i="3"/>
  <c r="H65" i="3"/>
  <c r="G65" i="3"/>
  <c r="F65" i="3"/>
  <c r="C65" i="3"/>
  <c r="B65" i="3"/>
  <c r="A65" i="3"/>
  <c r="I64" i="3"/>
  <c r="H64" i="3"/>
  <c r="G64" i="3"/>
  <c r="F64" i="3"/>
  <c r="C64" i="3"/>
  <c r="B64" i="3"/>
  <c r="A64" i="3"/>
  <c r="I63" i="3"/>
  <c r="H63" i="3"/>
  <c r="G63" i="3"/>
  <c r="F63" i="3"/>
  <c r="C63" i="3"/>
  <c r="B63" i="3"/>
  <c r="A63" i="3"/>
  <c r="I62" i="3"/>
  <c r="H62" i="3"/>
  <c r="G62" i="3"/>
  <c r="F62" i="3"/>
  <c r="C62" i="3"/>
  <c r="B62" i="3"/>
  <c r="A62" i="3"/>
  <c r="I61" i="3"/>
  <c r="H61" i="3"/>
  <c r="G61" i="3"/>
  <c r="F61" i="3"/>
  <c r="C61" i="3"/>
  <c r="B61" i="3"/>
  <c r="A61" i="3"/>
  <c r="I60" i="3"/>
  <c r="H60" i="3"/>
  <c r="G60" i="3"/>
  <c r="F60" i="3"/>
  <c r="C60" i="3"/>
  <c r="B60" i="3"/>
  <c r="A60" i="3"/>
  <c r="I59" i="3"/>
  <c r="H59" i="3"/>
  <c r="G59" i="3"/>
  <c r="F59" i="3"/>
  <c r="C59" i="3"/>
  <c r="B59" i="3"/>
  <c r="A59" i="3"/>
  <c r="I58" i="3"/>
  <c r="H58" i="3"/>
  <c r="G58" i="3"/>
  <c r="F58" i="3"/>
  <c r="C58" i="3"/>
  <c r="B58" i="3"/>
  <c r="A58" i="3"/>
  <c r="I57" i="3"/>
  <c r="H57" i="3"/>
  <c r="G57" i="3"/>
  <c r="F57" i="3"/>
  <c r="C57" i="3"/>
  <c r="B57" i="3"/>
  <c r="A57" i="3"/>
  <c r="I56" i="3"/>
  <c r="H56" i="3"/>
  <c r="G56" i="3"/>
  <c r="F56" i="3"/>
  <c r="C56" i="3"/>
  <c r="B56" i="3"/>
  <c r="A56" i="3"/>
  <c r="I55" i="3"/>
  <c r="H55" i="3"/>
  <c r="G55" i="3"/>
  <c r="F55" i="3"/>
  <c r="C55" i="3"/>
  <c r="B55" i="3"/>
  <c r="A55" i="3"/>
  <c r="I54" i="3"/>
  <c r="H54" i="3"/>
  <c r="G54" i="3"/>
  <c r="F54" i="3"/>
  <c r="C54" i="3"/>
  <c r="B54" i="3"/>
  <c r="A54" i="3"/>
  <c r="I53" i="3"/>
  <c r="H53" i="3"/>
  <c r="G53" i="3"/>
  <c r="F53" i="3"/>
  <c r="C53" i="3"/>
  <c r="B53" i="3"/>
  <c r="A53" i="3"/>
  <c r="I52" i="3"/>
  <c r="H52" i="3"/>
  <c r="G52" i="3"/>
  <c r="F52" i="3"/>
  <c r="C52" i="3"/>
  <c r="B52" i="3"/>
  <c r="A52" i="3"/>
  <c r="I51" i="3"/>
  <c r="H51" i="3"/>
  <c r="G51" i="3"/>
  <c r="F51" i="3"/>
  <c r="C51" i="3"/>
  <c r="B51" i="3"/>
  <c r="A51" i="3"/>
  <c r="I50" i="3"/>
  <c r="H50" i="3"/>
  <c r="G50" i="3"/>
  <c r="F50" i="3"/>
  <c r="C50" i="3"/>
  <c r="B50" i="3"/>
  <c r="A50" i="3"/>
  <c r="I49" i="3"/>
  <c r="H49" i="3"/>
  <c r="G49" i="3"/>
  <c r="F49" i="3"/>
  <c r="C49" i="3"/>
  <c r="B49" i="3"/>
  <c r="A49" i="3"/>
  <c r="I48" i="3"/>
  <c r="H48" i="3"/>
  <c r="G48" i="3"/>
  <c r="F48" i="3"/>
  <c r="C48" i="3"/>
  <c r="B48" i="3"/>
  <c r="A48" i="3"/>
  <c r="I47" i="3"/>
  <c r="H47" i="3"/>
  <c r="G47" i="3"/>
  <c r="F47" i="3"/>
  <c r="C47" i="3"/>
  <c r="B47" i="3"/>
  <c r="A47" i="3"/>
  <c r="I46" i="3"/>
  <c r="H46" i="3"/>
  <c r="G46" i="3"/>
  <c r="F46" i="3"/>
  <c r="C46" i="3"/>
  <c r="B46" i="3"/>
  <c r="A46" i="3"/>
  <c r="I45" i="3"/>
  <c r="H45" i="3"/>
  <c r="G45" i="3"/>
  <c r="F45" i="3"/>
  <c r="C45" i="3"/>
  <c r="B45" i="3"/>
  <c r="A45" i="3"/>
  <c r="I44" i="3"/>
  <c r="H44" i="3"/>
  <c r="G44" i="3"/>
  <c r="F44" i="3"/>
  <c r="C44" i="3"/>
  <c r="B44" i="3"/>
  <c r="A44" i="3"/>
  <c r="I43" i="3"/>
  <c r="H43" i="3"/>
  <c r="G43" i="3"/>
  <c r="F43" i="3"/>
  <c r="C43" i="3"/>
  <c r="B43" i="3"/>
  <c r="A43" i="3"/>
  <c r="I42" i="3"/>
  <c r="H42" i="3"/>
  <c r="G42" i="3"/>
  <c r="F42" i="3"/>
  <c r="C42" i="3"/>
  <c r="B42" i="3"/>
  <c r="A42" i="3"/>
  <c r="I41" i="3"/>
  <c r="H41" i="3"/>
  <c r="G41" i="3"/>
  <c r="F41" i="3"/>
  <c r="C41" i="3"/>
  <c r="B41" i="3"/>
  <c r="A41" i="3"/>
  <c r="I40" i="3"/>
  <c r="H40" i="3"/>
  <c r="G40" i="3"/>
  <c r="F40" i="3"/>
  <c r="C40" i="3"/>
  <c r="B40" i="3"/>
  <c r="A40" i="3"/>
  <c r="I39" i="3"/>
  <c r="H39" i="3"/>
  <c r="G39" i="3"/>
  <c r="F39" i="3"/>
  <c r="C39" i="3"/>
  <c r="B39" i="3"/>
  <c r="A39" i="3"/>
  <c r="I38" i="3"/>
  <c r="H38" i="3"/>
  <c r="G38" i="3"/>
  <c r="F38" i="3"/>
  <c r="C38" i="3"/>
  <c r="B38" i="3"/>
  <c r="A38" i="3"/>
  <c r="I37" i="3"/>
  <c r="H37" i="3"/>
  <c r="G37" i="3"/>
  <c r="F37" i="3"/>
  <c r="C37" i="3"/>
  <c r="B37" i="3"/>
  <c r="A37" i="3"/>
  <c r="I36" i="3"/>
  <c r="H36" i="3"/>
  <c r="G36" i="3"/>
  <c r="F36" i="3"/>
  <c r="C36" i="3"/>
  <c r="B36" i="3"/>
  <c r="A36" i="3"/>
  <c r="I35" i="3"/>
  <c r="H35" i="3"/>
  <c r="G35" i="3"/>
  <c r="F35" i="3"/>
  <c r="C35" i="3"/>
  <c r="B35" i="3"/>
  <c r="A35" i="3"/>
  <c r="I34" i="3"/>
  <c r="H34" i="3"/>
  <c r="G34" i="3"/>
  <c r="F34" i="3"/>
  <c r="C34" i="3"/>
  <c r="B34" i="3"/>
  <c r="A34" i="3"/>
  <c r="I33" i="3"/>
  <c r="H33" i="3"/>
  <c r="G33" i="3"/>
  <c r="F33" i="3"/>
  <c r="C33" i="3"/>
  <c r="B33" i="3"/>
  <c r="A33" i="3"/>
  <c r="I32" i="3"/>
  <c r="H32" i="3"/>
  <c r="G32" i="3"/>
  <c r="F32" i="3"/>
  <c r="C32" i="3"/>
  <c r="B32" i="3"/>
  <c r="A32" i="3"/>
  <c r="I31" i="3"/>
  <c r="H31" i="3"/>
  <c r="G31" i="3"/>
  <c r="F31" i="3"/>
  <c r="C31" i="3"/>
  <c r="B31" i="3"/>
  <c r="A31" i="3"/>
  <c r="I30" i="3"/>
  <c r="H30" i="3"/>
  <c r="G30" i="3"/>
  <c r="F30" i="3"/>
  <c r="C30" i="3"/>
  <c r="B30" i="3"/>
  <c r="A30" i="3"/>
  <c r="I29" i="3"/>
  <c r="H29" i="3"/>
  <c r="G29" i="3"/>
  <c r="F29" i="3"/>
  <c r="C29" i="3"/>
  <c r="B29" i="3"/>
  <c r="A29" i="3"/>
  <c r="I28" i="3"/>
  <c r="H28" i="3"/>
  <c r="G28" i="3"/>
  <c r="F28" i="3"/>
  <c r="C28" i="3"/>
  <c r="B28" i="3"/>
  <c r="A28" i="3"/>
  <c r="I27" i="3"/>
  <c r="H27" i="3"/>
  <c r="G27" i="3"/>
  <c r="F27" i="3"/>
  <c r="C27" i="3"/>
  <c r="B27" i="3"/>
  <c r="A27" i="3"/>
  <c r="I26" i="3"/>
  <c r="H26" i="3"/>
  <c r="G26" i="3"/>
  <c r="F26" i="3"/>
  <c r="C26" i="3"/>
  <c r="B26" i="3"/>
  <c r="A26" i="3"/>
  <c r="I25" i="3"/>
  <c r="H25" i="3"/>
  <c r="G25" i="3"/>
  <c r="F25" i="3"/>
  <c r="C25" i="3"/>
  <c r="B25" i="3"/>
  <c r="A25" i="3"/>
  <c r="I24" i="3"/>
  <c r="H24" i="3"/>
  <c r="G24" i="3"/>
  <c r="F24" i="3"/>
  <c r="C24" i="3"/>
  <c r="B24" i="3"/>
  <c r="A24" i="3"/>
  <c r="I23" i="3"/>
  <c r="H23" i="3"/>
  <c r="G23" i="3"/>
  <c r="F23" i="3"/>
  <c r="C23" i="3"/>
  <c r="B23" i="3"/>
  <c r="A23" i="3"/>
  <c r="I22" i="3"/>
  <c r="H22" i="3"/>
  <c r="G22" i="3"/>
  <c r="F22" i="3"/>
  <c r="C22" i="3"/>
  <c r="B22" i="3"/>
  <c r="A22" i="3"/>
  <c r="I21" i="3"/>
  <c r="H21" i="3"/>
  <c r="G21" i="3"/>
  <c r="F21" i="3"/>
  <c r="C21" i="3"/>
  <c r="B21" i="3"/>
  <c r="A21" i="3"/>
  <c r="I20" i="3"/>
  <c r="H20" i="3"/>
  <c r="G20" i="3"/>
  <c r="F20" i="3"/>
  <c r="C20" i="3"/>
  <c r="B20" i="3"/>
  <c r="A20" i="3"/>
  <c r="I19" i="3"/>
  <c r="H19" i="3"/>
  <c r="G19" i="3"/>
  <c r="F19" i="3"/>
  <c r="C19" i="3"/>
  <c r="B19" i="3"/>
  <c r="A19" i="3"/>
  <c r="I18" i="3"/>
  <c r="H18" i="3"/>
  <c r="G18" i="3"/>
  <c r="F18" i="3"/>
  <c r="C18" i="3"/>
  <c r="B18" i="3"/>
  <c r="A18" i="3"/>
  <c r="I17" i="3"/>
  <c r="H17" i="3"/>
  <c r="G17" i="3"/>
  <c r="F17" i="3"/>
  <c r="C17" i="3"/>
  <c r="B17" i="3"/>
  <c r="A17" i="3"/>
  <c r="I16" i="3"/>
  <c r="H16" i="3"/>
  <c r="G16" i="3"/>
  <c r="F16" i="3"/>
  <c r="C16" i="3"/>
  <c r="B16" i="3"/>
  <c r="A16" i="3"/>
  <c r="I15" i="3"/>
  <c r="H15" i="3"/>
  <c r="G15" i="3"/>
  <c r="F15" i="3"/>
  <c r="C15" i="3"/>
  <c r="B15" i="3"/>
  <c r="A15" i="3"/>
  <c r="I14" i="3"/>
  <c r="H14" i="3"/>
  <c r="G14" i="3"/>
  <c r="F14" i="3"/>
  <c r="C14" i="3"/>
  <c r="B14" i="3"/>
  <c r="A14" i="3"/>
  <c r="I13" i="3"/>
  <c r="H13" i="3"/>
  <c r="G13" i="3"/>
  <c r="F13" i="3"/>
  <c r="C13" i="3"/>
  <c r="B13" i="3"/>
  <c r="A13" i="3"/>
  <c r="I12" i="3"/>
  <c r="H12" i="3"/>
  <c r="G12" i="3"/>
  <c r="F12" i="3"/>
  <c r="C12" i="3"/>
  <c r="A12" i="3"/>
  <c r="I11" i="3"/>
  <c r="H11" i="3"/>
  <c r="G11" i="3"/>
  <c r="F11" i="3"/>
  <c r="C11" i="3"/>
  <c r="A11" i="3"/>
  <c r="I10" i="3"/>
  <c r="H10" i="3"/>
  <c r="G10" i="3"/>
  <c r="F10" i="3"/>
  <c r="C10" i="3"/>
  <c r="A10" i="3"/>
  <c r="I9" i="3"/>
  <c r="H9" i="3"/>
  <c r="G9" i="3"/>
  <c r="F9" i="3"/>
  <c r="C9" i="3"/>
  <c r="A9" i="3"/>
  <c r="I8" i="3"/>
  <c r="H8" i="3"/>
  <c r="G8" i="3"/>
  <c r="F8" i="3"/>
  <c r="C8" i="3"/>
  <c r="A8" i="3"/>
  <c r="I7" i="3"/>
  <c r="H7" i="3"/>
  <c r="G7" i="3"/>
  <c r="F7" i="3"/>
  <c r="C7" i="3"/>
  <c r="A7" i="3"/>
  <c r="I6" i="3"/>
  <c r="H6" i="3"/>
  <c r="G6" i="3"/>
  <c r="F6" i="3"/>
  <c r="C6" i="3"/>
  <c r="A6" i="3"/>
  <c r="I5" i="3"/>
  <c r="H5" i="3"/>
  <c r="G5" i="3"/>
  <c r="F5" i="3"/>
  <c r="C5" i="3"/>
  <c r="A5" i="3"/>
  <c r="I4" i="3"/>
  <c r="H4" i="3"/>
  <c r="G4" i="3"/>
  <c r="F4" i="3"/>
  <c r="C4" i="3"/>
  <c r="A4" i="3"/>
  <c r="G91" i="1"/>
  <c r="F91" i="1"/>
  <c r="E91" i="1"/>
  <c r="D91" i="1"/>
  <c r="C91" i="1"/>
  <c r="B91" i="1"/>
  <c r="G90" i="1"/>
  <c r="F90" i="1"/>
  <c r="E90" i="1"/>
  <c r="D90" i="1"/>
  <c r="C90" i="1"/>
  <c r="B90" i="1"/>
  <c r="G9" i="1"/>
  <c r="F9" i="1"/>
  <c r="E9" i="1"/>
  <c r="D9" i="1"/>
  <c r="C9" i="1"/>
  <c r="B9" i="1"/>
  <c r="D41" i="4" l="1"/>
  <c r="F21" i="4"/>
  <c r="T2724" i="3"/>
  <c r="S2724" i="3"/>
  <c r="R2724" i="3"/>
  <c r="Q2724" i="3"/>
  <c r="P2724" i="3"/>
  <c r="O2724" i="3"/>
  <c r="M2724" i="3"/>
  <c r="L2724" i="3"/>
  <c r="N2724" i="3" s="1"/>
  <c r="K2724" i="3"/>
  <c r="J2724" i="3"/>
  <c r="E2724" i="3"/>
  <c r="D2724" i="3"/>
  <c r="T2723" i="3"/>
  <c r="S2723" i="3"/>
  <c r="R2723" i="3"/>
  <c r="Q2723" i="3"/>
  <c r="P2723" i="3"/>
  <c r="O2723" i="3"/>
  <c r="M2723" i="3"/>
  <c r="L2723" i="3"/>
  <c r="N2723" i="3" s="1"/>
  <c r="K2723" i="3"/>
  <c r="J2723" i="3"/>
  <c r="E2723" i="3"/>
  <c r="D2723" i="3"/>
  <c r="T2722" i="3"/>
  <c r="S2722" i="3"/>
  <c r="R2722" i="3"/>
  <c r="Q2722" i="3"/>
  <c r="P2722" i="3"/>
  <c r="O2722" i="3"/>
  <c r="M2722" i="3"/>
  <c r="L2722" i="3"/>
  <c r="N2722" i="3" s="1"/>
  <c r="K2722" i="3"/>
  <c r="J2722" i="3"/>
  <c r="E2722" i="3"/>
  <c r="D2722" i="3"/>
  <c r="T2721" i="3"/>
  <c r="S2721" i="3"/>
  <c r="R2721" i="3"/>
  <c r="Q2721" i="3"/>
  <c r="P2721" i="3"/>
  <c r="O2721" i="3"/>
  <c r="M2721" i="3"/>
  <c r="L2721" i="3"/>
  <c r="N2721" i="3" s="1"/>
  <c r="K2721" i="3"/>
  <c r="J2721" i="3"/>
  <c r="E2721" i="3"/>
  <c r="D2721" i="3"/>
  <c r="T2720" i="3"/>
  <c r="S2720" i="3"/>
  <c r="R2720" i="3"/>
  <c r="Q2720" i="3"/>
  <c r="P2720" i="3"/>
  <c r="O2720" i="3"/>
  <c r="M2720" i="3"/>
  <c r="L2720" i="3"/>
  <c r="N2720" i="3" s="1"/>
  <c r="K2720" i="3"/>
  <c r="J2720" i="3"/>
  <c r="E2720" i="3"/>
  <c r="D2720" i="3"/>
  <c r="T2719" i="3"/>
  <c r="S2719" i="3"/>
  <c r="R2719" i="3"/>
  <c r="Q2719" i="3"/>
  <c r="P2719" i="3"/>
  <c r="O2719" i="3"/>
  <c r="M2719" i="3"/>
  <c r="L2719" i="3"/>
  <c r="N2719" i="3" s="1"/>
  <c r="K2719" i="3"/>
  <c r="J2719" i="3"/>
  <c r="E2719" i="3"/>
  <c r="D2719" i="3"/>
  <c r="T2718" i="3"/>
  <c r="S2718" i="3"/>
  <c r="R2718" i="3"/>
  <c r="Q2718" i="3"/>
  <c r="P2718" i="3"/>
  <c r="O2718" i="3"/>
  <c r="M2718" i="3"/>
  <c r="L2718" i="3"/>
  <c r="N2718" i="3" s="1"/>
  <c r="K2718" i="3"/>
  <c r="J2718" i="3"/>
  <c r="E2718" i="3"/>
  <c r="D2718" i="3"/>
  <c r="T2717" i="3"/>
  <c r="S2717" i="3"/>
  <c r="R2717" i="3"/>
  <c r="Q2717" i="3"/>
  <c r="P2717" i="3"/>
  <c r="O2717" i="3"/>
  <c r="M2717" i="3"/>
  <c r="L2717" i="3"/>
  <c r="N2717" i="3" s="1"/>
  <c r="K2717" i="3"/>
  <c r="J2717" i="3"/>
  <c r="E2717" i="3"/>
  <c r="D2717" i="3"/>
  <c r="T2716" i="3"/>
  <c r="S2716" i="3"/>
  <c r="R2716" i="3"/>
  <c r="Q2716" i="3"/>
  <c r="P2716" i="3"/>
  <c r="O2716" i="3"/>
  <c r="M2716" i="3"/>
  <c r="L2716" i="3"/>
  <c r="N2716" i="3" s="1"/>
  <c r="K2716" i="3"/>
  <c r="J2716" i="3"/>
  <c r="E2716" i="3"/>
  <c r="D2716" i="3"/>
  <c r="T2715" i="3"/>
  <c r="S2715" i="3"/>
  <c r="R2715" i="3"/>
  <c r="Q2715" i="3"/>
  <c r="P2715" i="3"/>
  <c r="O2715" i="3"/>
  <c r="M2715" i="3"/>
  <c r="L2715" i="3"/>
  <c r="N2715" i="3" s="1"/>
  <c r="K2715" i="3"/>
  <c r="J2715" i="3"/>
  <c r="E2715" i="3"/>
  <c r="D2715" i="3"/>
  <c r="T2714" i="3"/>
  <c r="S2714" i="3"/>
  <c r="R2714" i="3"/>
  <c r="Q2714" i="3"/>
  <c r="P2714" i="3"/>
  <c r="O2714" i="3"/>
  <c r="M2714" i="3"/>
  <c r="L2714" i="3"/>
  <c r="N2714" i="3" s="1"/>
  <c r="K2714" i="3"/>
  <c r="J2714" i="3"/>
  <c r="E2714" i="3"/>
  <c r="D2714" i="3"/>
  <c r="T2713" i="3"/>
  <c r="S2713" i="3"/>
  <c r="R2713" i="3"/>
  <c r="Q2713" i="3"/>
  <c r="P2713" i="3"/>
  <c r="O2713" i="3"/>
  <c r="M2713" i="3"/>
  <c r="L2713" i="3"/>
  <c r="N2713" i="3" s="1"/>
  <c r="K2713" i="3"/>
  <c r="J2713" i="3"/>
  <c r="E2713" i="3"/>
  <c r="D2713" i="3"/>
  <c r="T2712" i="3"/>
  <c r="S2712" i="3"/>
  <c r="R2712" i="3"/>
  <c r="Q2712" i="3"/>
  <c r="P2712" i="3"/>
  <c r="O2712" i="3"/>
  <c r="M2712" i="3"/>
  <c r="L2712" i="3"/>
  <c r="N2712" i="3" s="1"/>
  <c r="K2712" i="3"/>
  <c r="J2712" i="3"/>
  <c r="E2712" i="3"/>
  <c r="D2712" i="3"/>
  <c r="T2711" i="3"/>
  <c r="S2711" i="3"/>
  <c r="R2711" i="3"/>
  <c r="Q2711" i="3"/>
  <c r="P2711" i="3"/>
  <c r="O2711" i="3"/>
  <c r="M2711" i="3"/>
  <c r="L2711" i="3"/>
  <c r="N2711" i="3" s="1"/>
  <c r="K2711" i="3"/>
  <c r="J2711" i="3"/>
  <c r="E2711" i="3"/>
  <c r="D2711" i="3"/>
  <c r="T2710" i="3"/>
  <c r="S2710" i="3"/>
  <c r="R2710" i="3"/>
  <c r="Q2710" i="3"/>
  <c r="P2710" i="3"/>
  <c r="O2710" i="3"/>
  <c r="M2710" i="3"/>
  <c r="L2710" i="3"/>
  <c r="N2710" i="3" s="1"/>
  <c r="K2710" i="3"/>
  <c r="J2710" i="3"/>
  <c r="E2710" i="3"/>
  <c r="D2710" i="3"/>
  <c r="T2709" i="3"/>
  <c r="S2709" i="3"/>
  <c r="R2709" i="3"/>
  <c r="Q2709" i="3"/>
  <c r="P2709" i="3"/>
  <c r="O2709" i="3"/>
  <c r="M2709" i="3"/>
  <c r="L2709" i="3"/>
  <c r="N2709" i="3" s="1"/>
  <c r="K2709" i="3"/>
  <c r="J2709" i="3"/>
  <c r="E2709" i="3"/>
  <c r="D2709" i="3"/>
  <c r="T2708" i="3"/>
  <c r="S2708" i="3"/>
  <c r="R2708" i="3"/>
  <c r="Q2708" i="3"/>
  <c r="P2708" i="3"/>
  <c r="O2708" i="3"/>
  <c r="M2708" i="3"/>
  <c r="L2708" i="3"/>
  <c r="N2708" i="3" s="1"/>
  <c r="K2708" i="3"/>
  <c r="J2708" i="3"/>
  <c r="E2708" i="3"/>
  <c r="D2708" i="3"/>
  <c r="T2707" i="3"/>
  <c r="S2707" i="3"/>
  <c r="R2707" i="3"/>
  <c r="Q2707" i="3"/>
  <c r="P2707" i="3"/>
  <c r="O2707" i="3"/>
  <c r="M2707" i="3"/>
  <c r="L2707" i="3"/>
  <c r="N2707" i="3" s="1"/>
  <c r="K2707" i="3"/>
  <c r="J2707" i="3"/>
  <c r="E2707" i="3"/>
  <c r="D2707" i="3"/>
  <c r="T2706" i="3"/>
  <c r="S2706" i="3"/>
  <c r="R2706" i="3"/>
  <c r="Q2706" i="3"/>
  <c r="P2706" i="3"/>
  <c r="O2706" i="3"/>
  <c r="M2706" i="3"/>
  <c r="L2706" i="3"/>
  <c r="N2706" i="3" s="1"/>
  <c r="K2706" i="3"/>
  <c r="J2706" i="3"/>
  <c r="E2706" i="3"/>
  <c r="D2706" i="3"/>
  <c r="T2705" i="3"/>
  <c r="S2705" i="3"/>
  <c r="R2705" i="3"/>
  <c r="Q2705" i="3"/>
  <c r="P2705" i="3"/>
  <c r="O2705" i="3"/>
  <c r="M2705" i="3"/>
  <c r="L2705" i="3"/>
  <c r="N2705" i="3" s="1"/>
  <c r="K2705" i="3"/>
  <c r="J2705" i="3"/>
  <c r="E2705" i="3"/>
  <c r="D2705" i="3"/>
  <c r="T2704" i="3"/>
  <c r="S2704" i="3"/>
  <c r="R2704" i="3"/>
  <c r="Q2704" i="3"/>
  <c r="P2704" i="3"/>
  <c r="O2704" i="3"/>
  <c r="M2704" i="3"/>
  <c r="L2704" i="3"/>
  <c r="N2704" i="3" s="1"/>
  <c r="K2704" i="3"/>
  <c r="J2704" i="3"/>
  <c r="E2704" i="3"/>
  <c r="D2704" i="3"/>
  <c r="T2703" i="3"/>
  <c r="S2703" i="3"/>
  <c r="R2703" i="3"/>
  <c r="Q2703" i="3"/>
  <c r="P2703" i="3"/>
  <c r="O2703" i="3"/>
  <c r="M2703" i="3"/>
  <c r="L2703" i="3"/>
  <c r="N2703" i="3" s="1"/>
  <c r="K2703" i="3"/>
  <c r="J2703" i="3"/>
  <c r="E2703" i="3"/>
  <c r="D2703" i="3"/>
  <c r="T2702" i="3"/>
  <c r="S2702" i="3"/>
  <c r="R2702" i="3"/>
  <c r="Q2702" i="3"/>
  <c r="P2702" i="3"/>
  <c r="O2702" i="3"/>
  <c r="M2702" i="3"/>
  <c r="L2702" i="3"/>
  <c r="N2702" i="3" s="1"/>
  <c r="K2702" i="3"/>
  <c r="J2702" i="3"/>
  <c r="E2702" i="3"/>
  <c r="D2702" i="3"/>
  <c r="T2701" i="3"/>
  <c r="S2701" i="3"/>
  <c r="R2701" i="3"/>
  <c r="Q2701" i="3"/>
  <c r="P2701" i="3"/>
  <c r="O2701" i="3"/>
  <c r="M2701" i="3"/>
  <c r="L2701" i="3"/>
  <c r="N2701" i="3" s="1"/>
  <c r="K2701" i="3"/>
  <c r="J2701" i="3"/>
  <c r="E2701" i="3"/>
  <c r="D2701" i="3"/>
  <c r="T2700" i="3"/>
  <c r="S2700" i="3"/>
  <c r="R2700" i="3"/>
  <c r="Q2700" i="3"/>
  <c r="P2700" i="3"/>
  <c r="O2700" i="3"/>
  <c r="M2700" i="3"/>
  <c r="L2700" i="3"/>
  <c r="N2700" i="3" s="1"/>
  <c r="K2700" i="3"/>
  <c r="J2700" i="3"/>
  <c r="E2700" i="3"/>
  <c r="D2700" i="3"/>
  <c r="T2699" i="3"/>
  <c r="S2699" i="3"/>
  <c r="R2699" i="3"/>
  <c r="Q2699" i="3"/>
  <c r="P2699" i="3"/>
  <c r="O2699" i="3"/>
  <c r="M2699" i="3"/>
  <c r="L2699" i="3"/>
  <c r="N2699" i="3" s="1"/>
  <c r="K2699" i="3"/>
  <c r="J2699" i="3"/>
  <c r="E2699" i="3"/>
  <c r="D2699" i="3"/>
  <c r="T2698" i="3"/>
  <c r="S2698" i="3"/>
  <c r="R2698" i="3"/>
  <c r="Q2698" i="3"/>
  <c r="P2698" i="3"/>
  <c r="O2698" i="3"/>
  <c r="M2698" i="3"/>
  <c r="L2698" i="3"/>
  <c r="N2698" i="3" s="1"/>
  <c r="K2698" i="3"/>
  <c r="J2698" i="3"/>
  <c r="E2698" i="3"/>
  <c r="D2698" i="3"/>
  <c r="T2697" i="3"/>
  <c r="S2697" i="3"/>
  <c r="R2697" i="3"/>
  <c r="Q2697" i="3"/>
  <c r="P2697" i="3"/>
  <c r="O2697" i="3"/>
  <c r="M2697" i="3"/>
  <c r="L2697" i="3"/>
  <c r="N2697" i="3" s="1"/>
  <c r="K2697" i="3"/>
  <c r="J2697" i="3"/>
  <c r="E2697" i="3"/>
  <c r="D2697" i="3"/>
  <c r="T2696" i="3"/>
  <c r="S2696" i="3"/>
  <c r="R2696" i="3"/>
  <c r="Q2696" i="3"/>
  <c r="P2696" i="3"/>
  <c r="O2696" i="3"/>
  <c r="M2696" i="3"/>
  <c r="L2696" i="3"/>
  <c r="N2696" i="3" s="1"/>
  <c r="K2696" i="3"/>
  <c r="J2696" i="3"/>
  <c r="E2696" i="3"/>
  <c r="D2696" i="3"/>
  <c r="T2695" i="3"/>
  <c r="S2695" i="3"/>
  <c r="R2695" i="3"/>
  <c r="Q2695" i="3"/>
  <c r="P2695" i="3"/>
  <c r="O2695" i="3"/>
  <c r="M2695" i="3"/>
  <c r="L2695" i="3"/>
  <c r="N2695" i="3" s="1"/>
  <c r="K2695" i="3"/>
  <c r="J2695" i="3"/>
  <c r="E2695" i="3"/>
  <c r="D2695" i="3"/>
  <c r="T2694" i="3"/>
  <c r="S2694" i="3"/>
  <c r="R2694" i="3"/>
  <c r="Q2694" i="3"/>
  <c r="P2694" i="3"/>
  <c r="O2694" i="3"/>
  <c r="M2694" i="3"/>
  <c r="L2694" i="3"/>
  <c r="N2694" i="3" s="1"/>
  <c r="K2694" i="3"/>
  <c r="J2694" i="3"/>
  <c r="E2694" i="3"/>
  <c r="D2694" i="3"/>
  <c r="T2693" i="3"/>
  <c r="S2693" i="3"/>
  <c r="R2693" i="3"/>
  <c r="Q2693" i="3"/>
  <c r="P2693" i="3"/>
  <c r="O2693" i="3"/>
  <c r="M2693" i="3"/>
  <c r="L2693" i="3"/>
  <c r="N2693" i="3" s="1"/>
  <c r="K2693" i="3"/>
  <c r="J2693" i="3"/>
  <c r="E2693" i="3"/>
  <c r="D2693" i="3"/>
  <c r="T2692" i="3"/>
  <c r="S2692" i="3"/>
  <c r="R2692" i="3"/>
  <c r="Q2692" i="3"/>
  <c r="P2692" i="3"/>
  <c r="O2692" i="3"/>
  <c r="M2692" i="3"/>
  <c r="L2692" i="3"/>
  <c r="N2692" i="3" s="1"/>
  <c r="K2692" i="3"/>
  <c r="J2692" i="3"/>
  <c r="E2692" i="3"/>
  <c r="D2692" i="3"/>
  <c r="T2691" i="3"/>
  <c r="S2691" i="3"/>
  <c r="R2691" i="3"/>
  <c r="Q2691" i="3"/>
  <c r="P2691" i="3"/>
  <c r="O2691" i="3"/>
  <c r="M2691" i="3"/>
  <c r="L2691" i="3"/>
  <c r="N2691" i="3" s="1"/>
  <c r="K2691" i="3"/>
  <c r="J2691" i="3"/>
  <c r="E2691" i="3"/>
  <c r="D2691" i="3"/>
  <c r="T2690" i="3"/>
  <c r="S2690" i="3"/>
  <c r="R2690" i="3"/>
  <c r="Q2690" i="3"/>
  <c r="P2690" i="3"/>
  <c r="O2690" i="3"/>
  <c r="M2690" i="3"/>
  <c r="L2690" i="3"/>
  <c r="N2690" i="3" s="1"/>
  <c r="K2690" i="3"/>
  <c r="J2690" i="3"/>
  <c r="E2690" i="3"/>
  <c r="D2690" i="3"/>
  <c r="T2689" i="3"/>
  <c r="S2689" i="3"/>
  <c r="R2689" i="3"/>
  <c r="Q2689" i="3"/>
  <c r="P2689" i="3"/>
  <c r="O2689" i="3"/>
  <c r="M2689" i="3"/>
  <c r="L2689" i="3"/>
  <c r="N2689" i="3" s="1"/>
  <c r="K2689" i="3"/>
  <c r="J2689" i="3"/>
  <c r="E2689" i="3"/>
  <c r="D2689" i="3"/>
  <c r="T2688" i="3"/>
  <c r="S2688" i="3"/>
  <c r="R2688" i="3"/>
  <c r="Q2688" i="3"/>
  <c r="P2688" i="3"/>
  <c r="O2688" i="3"/>
  <c r="M2688" i="3"/>
  <c r="L2688" i="3"/>
  <c r="N2688" i="3" s="1"/>
  <c r="K2688" i="3"/>
  <c r="J2688" i="3"/>
  <c r="E2688" i="3"/>
  <c r="D2688" i="3"/>
  <c r="T2687" i="3"/>
  <c r="S2687" i="3"/>
  <c r="R2687" i="3"/>
  <c r="Q2687" i="3"/>
  <c r="P2687" i="3"/>
  <c r="O2687" i="3"/>
  <c r="M2687" i="3"/>
  <c r="L2687" i="3"/>
  <c r="N2687" i="3" s="1"/>
  <c r="K2687" i="3"/>
  <c r="J2687" i="3"/>
  <c r="E2687" i="3"/>
  <c r="D2687" i="3"/>
  <c r="T2686" i="3"/>
  <c r="S2686" i="3"/>
  <c r="R2686" i="3"/>
  <c r="Q2686" i="3"/>
  <c r="P2686" i="3"/>
  <c r="O2686" i="3"/>
  <c r="M2686" i="3"/>
  <c r="L2686" i="3"/>
  <c r="N2686" i="3" s="1"/>
  <c r="K2686" i="3"/>
  <c r="J2686" i="3"/>
  <c r="E2686" i="3"/>
  <c r="D2686" i="3"/>
  <c r="T2685" i="3"/>
  <c r="S2685" i="3"/>
  <c r="R2685" i="3"/>
  <c r="Q2685" i="3"/>
  <c r="P2685" i="3"/>
  <c r="O2685" i="3"/>
  <c r="M2685" i="3"/>
  <c r="L2685" i="3"/>
  <c r="N2685" i="3" s="1"/>
  <c r="K2685" i="3"/>
  <c r="J2685" i="3"/>
  <c r="E2685" i="3"/>
  <c r="D2685" i="3"/>
  <c r="T2684" i="3"/>
  <c r="S2684" i="3"/>
  <c r="R2684" i="3"/>
  <c r="Q2684" i="3"/>
  <c r="P2684" i="3"/>
  <c r="O2684" i="3"/>
  <c r="M2684" i="3"/>
  <c r="L2684" i="3"/>
  <c r="N2684" i="3" s="1"/>
  <c r="K2684" i="3"/>
  <c r="J2684" i="3"/>
  <c r="E2684" i="3"/>
  <c r="D2684" i="3"/>
  <c r="T2683" i="3"/>
  <c r="S2683" i="3"/>
  <c r="R2683" i="3"/>
  <c r="Q2683" i="3"/>
  <c r="P2683" i="3"/>
  <c r="O2683" i="3"/>
  <c r="M2683" i="3"/>
  <c r="L2683" i="3"/>
  <c r="N2683" i="3" s="1"/>
  <c r="K2683" i="3"/>
  <c r="J2683" i="3"/>
  <c r="E2683" i="3"/>
  <c r="D2683" i="3"/>
  <c r="T2682" i="3"/>
  <c r="S2682" i="3"/>
  <c r="R2682" i="3"/>
  <c r="Q2682" i="3"/>
  <c r="P2682" i="3"/>
  <c r="O2682" i="3"/>
  <c r="M2682" i="3"/>
  <c r="L2682" i="3"/>
  <c r="N2682" i="3" s="1"/>
  <c r="K2682" i="3"/>
  <c r="J2682" i="3"/>
  <c r="E2682" i="3"/>
  <c r="D2682" i="3"/>
  <c r="T2681" i="3"/>
  <c r="S2681" i="3"/>
  <c r="R2681" i="3"/>
  <c r="Q2681" i="3"/>
  <c r="P2681" i="3"/>
  <c r="O2681" i="3"/>
  <c r="M2681" i="3"/>
  <c r="L2681" i="3"/>
  <c r="N2681" i="3" s="1"/>
  <c r="K2681" i="3"/>
  <c r="J2681" i="3"/>
  <c r="E2681" i="3"/>
  <c r="D2681" i="3"/>
  <c r="T2680" i="3"/>
  <c r="S2680" i="3"/>
  <c r="R2680" i="3"/>
  <c r="Q2680" i="3"/>
  <c r="P2680" i="3"/>
  <c r="O2680" i="3"/>
  <c r="M2680" i="3"/>
  <c r="L2680" i="3"/>
  <c r="N2680" i="3" s="1"/>
  <c r="K2680" i="3"/>
  <c r="J2680" i="3"/>
  <c r="E2680" i="3"/>
  <c r="D2680" i="3"/>
  <c r="T2679" i="3"/>
  <c r="S2679" i="3"/>
  <c r="R2679" i="3"/>
  <c r="Q2679" i="3"/>
  <c r="P2679" i="3"/>
  <c r="O2679" i="3"/>
  <c r="M2679" i="3"/>
  <c r="L2679" i="3"/>
  <c r="N2679" i="3" s="1"/>
  <c r="K2679" i="3"/>
  <c r="J2679" i="3"/>
  <c r="E2679" i="3"/>
  <c r="D2679" i="3"/>
  <c r="T2678" i="3"/>
  <c r="S2678" i="3"/>
  <c r="R2678" i="3"/>
  <c r="Q2678" i="3"/>
  <c r="P2678" i="3"/>
  <c r="O2678" i="3"/>
  <c r="M2678" i="3"/>
  <c r="L2678" i="3"/>
  <c r="N2678" i="3" s="1"/>
  <c r="K2678" i="3"/>
  <c r="J2678" i="3"/>
  <c r="E2678" i="3"/>
  <c r="D2678" i="3"/>
  <c r="T2677" i="3"/>
  <c r="S2677" i="3"/>
  <c r="R2677" i="3"/>
  <c r="Q2677" i="3"/>
  <c r="P2677" i="3"/>
  <c r="O2677" i="3"/>
  <c r="M2677" i="3"/>
  <c r="L2677" i="3"/>
  <c r="N2677" i="3" s="1"/>
  <c r="K2677" i="3"/>
  <c r="J2677" i="3"/>
  <c r="E2677" i="3"/>
  <c r="D2677" i="3"/>
  <c r="T2676" i="3"/>
  <c r="S2676" i="3"/>
  <c r="R2676" i="3"/>
  <c r="Q2676" i="3"/>
  <c r="P2676" i="3"/>
  <c r="O2676" i="3"/>
  <c r="M2676" i="3"/>
  <c r="L2676" i="3"/>
  <c r="N2676" i="3" s="1"/>
  <c r="K2676" i="3"/>
  <c r="J2676" i="3"/>
  <c r="E2676" i="3"/>
  <c r="D2676" i="3"/>
  <c r="T2675" i="3"/>
  <c r="S2675" i="3"/>
  <c r="R2675" i="3"/>
  <c r="Q2675" i="3"/>
  <c r="P2675" i="3"/>
  <c r="O2675" i="3"/>
  <c r="M2675" i="3"/>
  <c r="L2675" i="3"/>
  <c r="N2675" i="3" s="1"/>
  <c r="K2675" i="3"/>
  <c r="J2675" i="3"/>
  <c r="E2675" i="3"/>
  <c r="D2675" i="3"/>
  <c r="T2674" i="3"/>
  <c r="S2674" i="3"/>
  <c r="R2674" i="3"/>
  <c r="Q2674" i="3"/>
  <c r="P2674" i="3"/>
  <c r="O2674" i="3"/>
  <c r="M2674" i="3"/>
  <c r="L2674" i="3"/>
  <c r="N2674" i="3" s="1"/>
  <c r="K2674" i="3"/>
  <c r="J2674" i="3"/>
  <c r="E2674" i="3"/>
  <c r="D2674" i="3"/>
  <c r="T2673" i="3"/>
  <c r="S2673" i="3"/>
  <c r="R2673" i="3"/>
  <c r="Q2673" i="3"/>
  <c r="P2673" i="3"/>
  <c r="O2673" i="3"/>
  <c r="M2673" i="3"/>
  <c r="L2673" i="3"/>
  <c r="N2673" i="3" s="1"/>
  <c r="K2673" i="3"/>
  <c r="J2673" i="3"/>
  <c r="E2673" i="3"/>
  <c r="D2673" i="3"/>
  <c r="T2672" i="3"/>
  <c r="S2672" i="3"/>
  <c r="R2672" i="3"/>
  <c r="Q2672" i="3"/>
  <c r="P2672" i="3"/>
  <c r="O2672" i="3"/>
  <c r="M2672" i="3"/>
  <c r="L2672" i="3"/>
  <c r="N2672" i="3" s="1"/>
  <c r="K2672" i="3"/>
  <c r="J2672" i="3"/>
  <c r="E2672" i="3"/>
  <c r="D2672" i="3"/>
  <c r="T2671" i="3"/>
  <c r="S2671" i="3"/>
  <c r="R2671" i="3"/>
  <c r="Q2671" i="3"/>
  <c r="P2671" i="3"/>
  <c r="O2671" i="3"/>
  <c r="M2671" i="3"/>
  <c r="L2671" i="3"/>
  <c r="N2671" i="3" s="1"/>
  <c r="K2671" i="3"/>
  <c r="J2671" i="3"/>
  <c r="E2671" i="3"/>
  <c r="D2671" i="3"/>
  <c r="T2670" i="3"/>
  <c r="S2670" i="3"/>
  <c r="R2670" i="3"/>
  <c r="Q2670" i="3"/>
  <c r="P2670" i="3"/>
  <c r="O2670" i="3"/>
  <c r="M2670" i="3"/>
  <c r="L2670" i="3"/>
  <c r="N2670" i="3" s="1"/>
  <c r="K2670" i="3"/>
  <c r="J2670" i="3"/>
  <c r="E2670" i="3"/>
  <c r="D2670" i="3"/>
  <c r="T2669" i="3"/>
  <c r="S2669" i="3"/>
  <c r="R2669" i="3"/>
  <c r="Q2669" i="3"/>
  <c r="P2669" i="3"/>
  <c r="O2669" i="3"/>
  <c r="M2669" i="3"/>
  <c r="L2669" i="3"/>
  <c r="N2669" i="3" s="1"/>
  <c r="K2669" i="3"/>
  <c r="J2669" i="3"/>
  <c r="E2669" i="3"/>
  <c r="D2669" i="3"/>
  <c r="T2668" i="3"/>
  <c r="S2668" i="3"/>
  <c r="R2668" i="3"/>
  <c r="Q2668" i="3"/>
  <c r="P2668" i="3"/>
  <c r="O2668" i="3"/>
  <c r="M2668" i="3"/>
  <c r="L2668" i="3"/>
  <c r="N2668" i="3" s="1"/>
  <c r="K2668" i="3"/>
  <c r="J2668" i="3"/>
  <c r="E2668" i="3"/>
  <c r="D2668" i="3"/>
  <c r="T2667" i="3"/>
  <c r="S2667" i="3"/>
  <c r="R2667" i="3"/>
  <c r="Q2667" i="3"/>
  <c r="P2667" i="3"/>
  <c r="O2667" i="3"/>
  <c r="M2667" i="3"/>
  <c r="L2667" i="3"/>
  <c r="N2667" i="3" s="1"/>
  <c r="K2667" i="3"/>
  <c r="J2667" i="3"/>
  <c r="E2667" i="3"/>
  <c r="D2667" i="3"/>
  <c r="T2666" i="3"/>
  <c r="S2666" i="3"/>
  <c r="R2666" i="3"/>
  <c r="Q2666" i="3"/>
  <c r="P2666" i="3"/>
  <c r="O2666" i="3"/>
  <c r="M2666" i="3"/>
  <c r="L2666" i="3"/>
  <c r="N2666" i="3" s="1"/>
  <c r="K2666" i="3"/>
  <c r="J2666" i="3"/>
  <c r="E2666" i="3"/>
  <c r="D2666" i="3"/>
  <c r="T2665" i="3"/>
  <c r="S2665" i="3"/>
  <c r="R2665" i="3"/>
  <c r="Q2665" i="3"/>
  <c r="P2665" i="3"/>
  <c r="O2665" i="3"/>
  <c r="M2665" i="3"/>
  <c r="L2665" i="3"/>
  <c r="N2665" i="3" s="1"/>
  <c r="K2665" i="3"/>
  <c r="J2665" i="3"/>
  <c r="E2665" i="3"/>
  <c r="D2665" i="3"/>
  <c r="T2664" i="3"/>
  <c r="S2664" i="3"/>
  <c r="R2664" i="3"/>
  <c r="Q2664" i="3"/>
  <c r="P2664" i="3"/>
  <c r="O2664" i="3"/>
  <c r="M2664" i="3"/>
  <c r="L2664" i="3"/>
  <c r="N2664" i="3" s="1"/>
  <c r="K2664" i="3"/>
  <c r="J2664" i="3"/>
  <c r="E2664" i="3"/>
  <c r="D2664" i="3"/>
  <c r="T2663" i="3"/>
  <c r="S2663" i="3"/>
  <c r="R2663" i="3"/>
  <c r="Q2663" i="3"/>
  <c r="P2663" i="3"/>
  <c r="O2663" i="3"/>
  <c r="M2663" i="3"/>
  <c r="L2663" i="3"/>
  <c r="N2663" i="3" s="1"/>
  <c r="K2663" i="3"/>
  <c r="J2663" i="3"/>
  <c r="E2663" i="3"/>
  <c r="D2663" i="3"/>
  <c r="T2662" i="3"/>
  <c r="S2662" i="3"/>
  <c r="R2662" i="3"/>
  <c r="Q2662" i="3"/>
  <c r="P2662" i="3"/>
  <c r="O2662" i="3"/>
  <c r="M2662" i="3"/>
  <c r="L2662" i="3"/>
  <c r="N2662" i="3" s="1"/>
  <c r="K2662" i="3"/>
  <c r="J2662" i="3"/>
  <c r="E2662" i="3"/>
  <c r="D2662" i="3"/>
  <c r="T2661" i="3"/>
  <c r="S2661" i="3"/>
  <c r="R2661" i="3"/>
  <c r="Q2661" i="3"/>
  <c r="P2661" i="3"/>
  <c r="O2661" i="3"/>
  <c r="M2661" i="3"/>
  <c r="L2661" i="3"/>
  <c r="N2661" i="3" s="1"/>
  <c r="K2661" i="3"/>
  <c r="J2661" i="3"/>
  <c r="E2661" i="3"/>
  <c r="D2661" i="3"/>
  <c r="T2660" i="3"/>
  <c r="S2660" i="3"/>
  <c r="R2660" i="3"/>
  <c r="Q2660" i="3"/>
  <c r="P2660" i="3"/>
  <c r="O2660" i="3"/>
  <c r="M2660" i="3"/>
  <c r="L2660" i="3"/>
  <c r="N2660" i="3" s="1"/>
  <c r="K2660" i="3"/>
  <c r="J2660" i="3"/>
  <c r="E2660" i="3"/>
  <c r="D2660" i="3"/>
  <c r="T2659" i="3"/>
  <c r="S2659" i="3"/>
  <c r="R2659" i="3"/>
  <c r="Q2659" i="3"/>
  <c r="P2659" i="3"/>
  <c r="O2659" i="3"/>
  <c r="M2659" i="3"/>
  <c r="L2659" i="3"/>
  <c r="N2659" i="3" s="1"/>
  <c r="K2659" i="3"/>
  <c r="J2659" i="3"/>
  <c r="E2659" i="3"/>
  <c r="D2659" i="3"/>
  <c r="T2658" i="3"/>
  <c r="S2658" i="3"/>
  <c r="R2658" i="3"/>
  <c r="Q2658" i="3"/>
  <c r="P2658" i="3"/>
  <c r="O2658" i="3"/>
  <c r="M2658" i="3"/>
  <c r="L2658" i="3"/>
  <c r="N2658" i="3" s="1"/>
  <c r="K2658" i="3"/>
  <c r="J2658" i="3"/>
  <c r="E2658" i="3"/>
  <c r="D2658" i="3"/>
  <c r="T2657" i="3"/>
  <c r="S2657" i="3"/>
  <c r="R2657" i="3"/>
  <c r="Q2657" i="3"/>
  <c r="P2657" i="3"/>
  <c r="O2657" i="3"/>
  <c r="M2657" i="3"/>
  <c r="L2657" i="3"/>
  <c r="N2657" i="3" s="1"/>
  <c r="K2657" i="3"/>
  <c r="J2657" i="3"/>
  <c r="E2657" i="3"/>
  <c r="D2657" i="3"/>
  <c r="T2656" i="3"/>
  <c r="S2656" i="3"/>
  <c r="R2656" i="3"/>
  <c r="Q2656" i="3"/>
  <c r="P2656" i="3"/>
  <c r="O2656" i="3"/>
  <c r="M2656" i="3"/>
  <c r="L2656" i="3"/>
  <c r="N2656" i="3" s="1"/>
  <c r="K2656" i="3"/>
  <c r="J2656" i="3"/>
  <c r="E2656" i="3"/>
  <c r="D2656" i="3"/>
  <c r="T2655" i="3"/>
  <c r="S2655" i="3"/>
  <c r="R2655" i="3"/>
  <c r="Q2655" i="3"/>
  <c r="P2655" i="3"/>
  <c r="O2655" i="3"/>
  <c r="M2655" i="3"/>
  <c r="L2655" i="3"/>
  <c r="N2655" i="3" s="1"/>
  <c r="K2655" i="3"/>
  <c r="J2655" i="3"/>
  <c r="E2655" i="3"/>
  <c r="D2655" i="3"/>
  <c r="T2654" i="3"/>
  <c r="S2654" i="3"/>
  <c r="R2654" i="3"/>
  <c r="Q2654" i="3"/>
  <c r="P2654" i="3"/>
  <c r="O2654" i="3"/>
  <c r="M2654" i="3"/>
  <c r="L2654" i="3"/>
  <c r="N2654" i="3" s="1"/>
  <c r="K2654" i="3"/>
  <c r="J2654" i="3"/>
  <c r="E2654" i="3"/>
  <c r="D2654" i="3"/>
  <c r="T2653" i="3"/>
  <c r="S2653" i="3"/>
  <c r="R2653" i="3"/>
  <c r="Q2653" i="3"/>
  <c r="P2653" i="3"/>
  <c r="O2653" i="3"/>
  <c r="M2653" i="3"/>
  <c r="L2653" i="3"/>
  <c r="N2653" i="3" s="1"/>
  <c r="K2653" i="3"/>
  <c r="J2653" i="3"/>
  <c r="E2653" i="3"/>
  <c r="D2653" i="3"/>
  <c r="T2652" i="3"/>
  <c r="S2652" i="3"/>
  <c r="R2652" i="3"/>
  <c r="Q2652" i="3"/>
  <c r="P2652" i="3"/>
  <c r="O2652" i="3"/>
  <c r="M2652" i="3"/>
  <c r="L2652" i="3"/>
  <c r="N2652" i="3" s="1"/>
  <c r="K2652" i="3"/>
  <c r="J2652" i="3"/>
  <c r="E2652" i="3"/>
  <c r="D2652" i="3"/>
  <c r="T2651" i="3"/>
  <c r="S2651" i="3"/>
  <c r="R2651" i="3"/>
  <c r="Q2651" i="3"/>
  <c r="P2651" i="3"/>
  <c r="O2651" i="3"/>
  <c r="M2651" i="3"/>
  <c r="L2651" i="3"/>
  <c r="N2651" i="3" s="1"/>
  <c r="K2651" i="3"/>
  <c r="J2651" i="3"/>
  <c r="E2651" i="3"/>
  <c r="D2651" i="3"/>
  <c r="T2650" i="3"/>
  <c r="S2650" i="3"/>
  <c r="R2650" i="3"/>
  <c r="Q2650" i="3"/>
  <c r="P2650" i="3"/>
  <c r="O2650" i="3"/>
  <c r="M2650" i="3"/>
  <c r="L2650" i="3"/>
  <c r="N2650" i="3" s="1"/>
  <c r="K2650" i="3"/>
  <c r="J2650" i="3"/>
  <c r="E2650" i="3"/>
  <c r="D2650" i="3"/>
  <c r="T2649" i="3"/>
  <c r="S2649" i="3"/>
  <c r="R2649" i="3"/>
  <c r="Q2649" i="3"/>
  <c r="P2649" i="3"/>
  <c r="O2649" i="3"/>
  <c r="M2649" i="3"/>
  <c r="L2649" i="3"/>
  <c r="N2649" i="3" s="1"/>
  <c r="K2649" i="3"/>
  <c r="J2649" i="3"/>
  <c r="E2649" i="3"/>
  <c r="D2649" i="3"/>
  <c r="T2648" i="3"/>
  <c r="S2648" i="3"/>
  <c r="R2648" i="3"/>
  <c r="Q2648" i="3"/>
  <c r="P2648" i="3"/>
  <c r="O2648" i="3"/>
  <c r="M2648" i="3"/>
  <c r="L2648" i="3"/>
  <c r="N2648" i="3" s="1"/>
  <c r="K2648" i="3"/>
  <c r="J2648" i="3"/>
  <c r="E2648" i="3"/>
  <c r="D2648" i="3"/>
  <c r="T2647" i="3"/>
  <c r="S2647" i="3"/>
  <c r="R2647" i="3"/>
  <c r="Q2647" i="3"/>
  <c r="P2647" i="3"/>
  <c r="O2647" i="3"/>
  <c r="M2647" i="3"/>
  <c r="L2647" i="3"/>
  <c r="N2647" i="3" s="1"/>
  <c r="K2647" i="3"/>
  <c r="J2647" i="3"/>
  <c r="E2647" i="3"/>
  <c r="D2647" i="3"/>
  <c r="T2646" i="3"/>
  <c r="S2646" i="3"/>
  <c r="R2646" i="3"/>
  <c r="Q2646" i="3"/>
  <c r="P2646" i="3"/>
  <c r="O2646" i="3"/>
  <c r="M2646" i="3"/>
  <c r="L2646" i="3"/>
  <c r="N2646" i="3" s="1"/>
  <c r="K2646" i="3"/>
  <c r="J2646" i="3"/>
  <c r="E2646" i="3"/>
  <c r="D2646" i="3"/>
  <c r="T2645" i="3"/>
  <c r="S2645" i="3"/>
  <c r="R2645" i="3"/>
  <c r="Q2645" i="3"/>
  <c r="P2645" i="3"/>
  <c r="O2645" i="3"/>
  <c r="M2645" i="3"/>
  <c r="L2645" i="3"/>
  <c r="N2645" i="3" s="1"/>
  <c r="K2645" i="3"/>
  <c r="J2645" i="3"/>
  <c r="E2645" i="3"/>
  <c r="D2645" i="3"/>
  <c r="T2644" i="3"/>
  <c r="S2644" i="3"/>
  <c r="R2644" i="3"/>
  <c r="Q2644" i="3"/>
  <c r="P2644" i="3"/>
  <c r="O2644" i="3"/>
  <c r="M2644" i="3"/>
  <c r="L2644" i="3"/>
  <c r="N2644" i="3" s="1"/>
  <c r="K2644" i="3"/>
  <c r="J2644" i="3"/>
  <c r="E2644" i="3"/>
  <c r="D2644" i="3"/>
  <c r="T2643" i="3"/>
  <c r="S2643" i="3"/>
  <c r="R2643" i="3"/>
  <c r="Q2643" i="3"/>
  <c r="P2643" i="3"/>
  <c r="O2643" i="3"/>
  <c r="M2643" i="3"/>
  <c r="L2643" i="3"/>
  <c r="N2643" i="3" s="1"/>
  <c r="K2643" i="3"/>
  <c r="J2643" i="3"/>
  <c r="E2643" i="3"/>
  <c r="D2643" i="3"/>
  <c r="T2642" i="3"/>
  <c r="S2642" i="3"/>
  <c r="R2642" i="3"/>
  <c r="Q2642" i="3"/>
  <c r="P2642" i="3"/>
  <c r="O2642" i="3"/>
  <c r="M2642" i="3"/>
  <c r="L2642" i="3"/>
  <c r="N2642" i="3" s="1"/>
  <c r="K2642" i="3"/>
  <c r="J2642" i="3"/>
  <c r="E2642" i="3"/>
  <c r="D2642" i="3"/>
  <c r="T2641" i="3"/>
  <c r="S2641" i="3"/>
  <c r="R2641" i="3"/>
  <c r="Q2641" i="3"/>
  <c r="P2641" i="3"/>
  <c r="O2641" i="3"/>
  <c r="M2641" i="3"/>
  <c r="L2641" i="3"/>
  <c r="N2641" i="3" s="1"/>
  <c r="K2641" i="3"/>
  <c r="J2641" i="3"/>
  <c r="E2641" i="3"/>
  <c r="D2641" i="3"/>
  <c r="T2640" i="3"/>
  <c r="S2640" i="3"/>
  <c r="R2640" i="3"/>
  <c r="Q2640" i="3"/>
  <c r="P2640" i="3"/>
  <c r="O2640" i="3"/>
  <c r="M2640" i="3"/>
  <c r="L2640" i="3"/>
  <c r="N2640" i="3" s="1"/>
  <c r="K2640" i="3"/>
  <c r="J2640" i="3"/>
  <c r="E2640" i="3"/>
  <c r="D2640" i="3"/>
  <c r="T2639" i="3"/>
  <c r="S2639" i="3"/>
  <c r="R2639" i="3"/>
  <c r="Q2639" i="3"/>
  <c r="P2639" i="3"/>
  <c r="O2639" i="3"/>
  <c r="M2639" i="3"/>
  <c r="L2639" i="3"/>
  <c r="N2639" i="3" s="1"/>
  <c r="K2639" i="3"/>
  <c r="J2639" i="3"/>
  <c r="E2639" i="3"/>
  <c r="D2639" i="3"/>
  <c r="T2638" i="3"/>
  <c r="S2638" i="3"/>
  <c r="R2638" i="3"/>
  <c r="Q2638" i="3"/>
  <c r="P2638" i="3"/>
  <c r="O2638" i="3"/>
  <c r="M2638" i="3"/>
  <c r="L2638" i="3"/>
  <c r="N2638" i="3" s="1"/>
  <c r="K2638" i="3"/>
  <c r="J2638" i="3"/>
  <c r="E2638" i="3"/>
  <c r="D2638" i="3"/>
  <c r="T2637" i="3"/>
  <c r="S2637" i="3"/>
  <c r="R2637" i="3"/>
  <c r="Q2637" i="3"/>
  <c r="P2637" i="3"/>
  <c r="O2637" i="3"/>
  <c r="M2637" i="3"/>
  <c r="L2637" i="3"/>
  <c r="N2637" i="3" s="1"/>
  <c r="K2637" i="3"/>
  <c r="J2637" i="3"/>
  <c r="E2637" i="3"/>
  <c r="D2637" i="3"/>
  <c r="T2636" i="3"/>
  <c r="S2636" i="3"/>
  <c r="R2636" i="3"/>
  <c r="Q2636" i="3"/>
  <c r="P2636" i="3"/>
  <c r="O2636" i="3"/>
  <c r="M2636" i="3"/>
  <c r="L2636" i="3"/>
  <c r="N2636" i="3" s="1"/>
  <c r="K2636" i="3"/>
  <c r="J2636" i="3"/>
  <c r="E2636" i="3"/>
  <c r="D2636" i="3"/>
  <c r="T2635" i="3"/>
  <c r="S2635" i="3"/>
  <c r="R2635" i="3"/>
  <c r="Q2635" i="3"/>
  <c r="P2635" i="3"/>
  <c r="O2635" i="3"/>
  <c r="M2635" i="3"/>
  <c r="L2635" i="3"/>
  <c r="N2635" i="3" s="1"/>
  <c r="K2635" i="3"/>
  <c r="J2635" i="3"/>
  <c r="E2635" i="3"/>
  <c r="D2635" i="3"/>
  <c r="T2634" i="3"/>
  <c r="S2634" i="3"/>
  <c r="R2634" i="3"/>
  <c r="Q2634" i="3"/>
  <c r="P2634" i="3"/>
  <c r="O2634" i="3"/>
  <c r="M2634" i="3"/>
  <c r="L2634" i="3"/>
  <c r="N2634" i="3" s="1"/>
  <c r="K2634" i="3"/>
  <c r="J2634" i="3"/>
  <c r="E2634" i="3"/>
  <c r="D2634" i="3"/>
  <c r="T2633" i="3"/>
  <c r="S2633" i="3"/>
  <c r="R2633" i="3"/>
  <c r="Q2633" i="3"/>
  <c r="P2633" i="3"/>
  <c r="O2633" i="3"/>
  <c r="M2633" i="3"/>
  <c r="L2633" i="3"/>
  <c r="N2633" i="3" s="1"/>
  <c r="K2633" i="3"/>
  <c r="J2633" i="3"/>
  <c r="E2633" i="3"/>
  <c r="D2633" i="3"/>
  <c r="T2632" i="3"/>
  <c r="S2632" i="3"/>
  <c r="R2632" i="3"/>
  <c r="Q2632" i="3"/>
  <c r="P2632" i="3"/>
  <c r="O2632" i="3"/>
  <c r="M2632" i="3"/>
  <c r="L2632" i="3"/>
  <c r="N2632" i="3" s="1"/>
  <c r="K2632" i="3"/>
  <c r="J2632" i="3"/>
  <c r="E2632" i="3"/>
  <c r="D2632" i="3"/>
  <c r="T2631" i="3"/>
  <c r="S2631" i="3"/>
  <c r="R2631" i="3"/>
  <c r="Q2631" i="3"/>
  <c r="P2631" i="3"/>
  <c r="O2631" i="3"/>
  <c r="M2631" i="3"/>
  <c r="L2631" i="3"/>
  <c r="N2631" i="3" s="1"/>
  <c r="K2631" i="3"/>
  <c r="J2631" i="3"/>
  <c r="E2631" i="3"/>
  <c r="D2631" i="3"/>
  <c r="T2630" i="3"/>
  <c r="S2630" i="3"/>
  <c r="R2630" i="3"/>
  <c r="Q2630" i="3"/>
  <c r="P2630" i="3"/>
  <c r="O2630" i="3"/>
  <c r="M2630" i="3"/>
  <c r="L2630" i="3"/>
  <c r="N2630" i="3" s="1"/>
  <c r="K2630" i="3"/>
  <c r="J2630" i="3"/>
  <c r="E2630" i="3"/>
  <c r="D2630" i="3"/>
  <c r="T2629" i="3"/>
  <c r="S2629" i="3"/>
  <c r="R2629" i="3"/>
  <c r="Q2629" i="3"/>
  <c r="P2629" i="3"/>
  <c r="O2629" i="3"/>
  <c r="M2629" i="3"/>
  <c r="L2629" i="3"/>
  <c r="N2629" i="3" s="1"/>
  <c r="K2629" i="3"/>
  <c r="J2629" i="3"/>
  <c r="E2629" i="3"/>
  <c r="D2629" i="3"/>
  <c r="T2628" i="3"/>
  <c r="S2628" i="3"/>
  <c r="R2628" i="3"/>
  <c r="Q2628" i="3"/>
  <c r="P2628" i="3"/>
  <c r="O2628" i="3"/>
  <c r="M2628" i="3"/>
  <c r="L2628" i="3"/>
  <c r="N2628" i="3" s="1"/>
  <c r="K2628" i="3"/>
  <c r="J2628" i="3"/>
  <c r="E2628" i="3"/>
  <c r="D2628" i="3"/>
  <c r="T2627" i="3"/>
  <c r="S2627" i="3"/>
  <c r="R2627" i="3"/>
  <c r="Q2627" i="3"/>
  <c r="P2627" i="3"/>
  <c r="O2627" i="3"/>
  <c r="M2627" i="3"/>
  <c r="L2627" i="3"/>
  <c r="N2627" i="3" s="1"/>
  <c r="K2627" i="3"/>
  <c r="J2627" i="3"/>
  <c r="E2627" i="3"/>
  <c r="D2627" i="3"/>
  <c r="T2626" i="3"/>
  <c r="S2626" i="3"/>
  <c r="R2626" i="3"/>
  <c r="Q2626" i="3"/>
  <c r="P2626" i="3"/>
  <c r="O2626" i="3"/>
  <c r="M2626" i="3"/>
  <c r="L2626" i="3"/>
  <c r="N2626" i="3" s="1"/>
  <c r="K2626" i="3"/>
  <c r="J2626" i="3"/>
  <c r="E2626" i="3"/>
  <c r="D2626" i="3"/>
  <c r="T2625" i="3"/>
  <c r="S2625" i="3"/>
  <c r="R2625" i="3"/>
  <c r="Q2625" i="3"/>
  <c r="P2625" i="3"/>
  <c r="O2625" i="3"/>
  <c r="M2625" i="3"/>
  <c r="L2625" i="3"/>
  <c r="N2625" i="3" s="1"/>
  <c r="K2625" i="3"/>
  <c r="J2625" i="3"/>
  <c r="E2625" i="3"/>
  <c r="D2625" i="3"/>
  <c r="T2624" i="3"/>
  <c r="S2624" i="3"/>
  <c r="R2624" i="3"/>
  <c r="Q2624" i="3"/>
  <c r="P2624" i="3"/>
  <c r="O2624" i="3"/>
  <c r="M2624" i="3"/>
  <c r="L2624" i="3"/>
  <c r="N2624" i="3" s="1"/>
  <c r="K2624" i="3"/>
  <c r="J2624" i="3"/>
  <c r="E2624" i="3"/>
  <c r="D2624" i="3"/>
  <c r="T2623" i="3"/>
  <c r="S2623" i="3"/>
  <c r="R2623" i="3"/>
  <c r="Q2623" i="3"/>
  <c r="P2623" i="3"/>
  <c r="O2623" i="3"/>
  <c r="M2623" i="3"/>
  <c r="L2623" i="3"/>
  <c r="N2623" i="3" s="1"/>
  <c r="K2623" i="3"/>
  <c r="J2623" i="3"/>
  <c r="E2623" i="3"/>
  <c r="D2623" i="3"/>
  <c r="T2622" i="3"/>
  <c r="S2622" i="3"/>
  <c r="R2622" i="3"/>
  <c r="Q2622" i="3"/>
  <c r="P2622" i="3"/>
  <c r="O2622" i="3"/>
  <c r="M2622" i="3"/>
  <c r="L2622" i="3"/>
  <c r="N2622" i="3" s="1"/>
  <c r="K2622" i="3"/>
  <c r="J2622" i="3"/>
  <c r="E2622" i="3"/>
  <c r="D2622" i="3"/>
  <c r="T2621" i="3"/>
  <c r="S2621" i="3"/>
  <c r="R2621" i="3"/>
  <c r="Q2621" i="3"/>
  <c r="P2621" i="3"/>
  <c r="O2621" i="3"/>
  <c r="M2621" i="3"/>
  <c r="L2621" i="3"/>
  <c r="N2621" i="3" s="1"/>
  <c r="K2621" i="3"/>
  <c r="J2621" i="3"/>
  <c r="E2621" i="3"/>
  <c r="D2621" i="3"/>
  <c r="T2620" i="3"/>
  <c r="S2620" i="3"/>
  <c r="R2620" i="3"/>
  <c r="Q2620" i="3"/>
  <c r="P2620" i="3"/>
  <c r="O2620" i="3"/>
  <c r="M2620" i="3"/>
  <c r="L2620" i="3"/>
  <c r="N2620" i="3" s="1"/>
  <c r="K2620" i="3"/>
  <c r="J2620" i="3"/>
  <c r="E2620" i="3"/>
  <c r="D2620" i="3"/>
  <c r="T2619" i="3"/>
  <c r="S2619" i="3"/>
  <c r="R2619" i="3"/>
  <c r="Q2619" i="3"/>
  <c r="P2619" i="3"/>
  <c r="O2619" i="3"/>
  <c r="M2619" i="3"/>
  <c r="L2619" i="3"/>
  <c r="N2619" i="3" s="1"/>
  <c r="K2619" i="3"/>
  <c r="J2619" i="3"/>
  <c r="E2619" i="3"/>
  <c r="D2619" i="3"/>
  <c r="T2618" i="3"/>
  <c r="S2618" i="3"/>
  <c r="R2618" i="3"/>
  <c r="Q2618" i="3"/>
  <c r="P2618" i="3"/>
  <c r="O2618" i="3"/>
  <c r="M2618" i="3"/>
  <c r="L2618" i="3"/>
  <c r="N2618" i="3" s="1"/>
  <c r="K2618" i="3"/>
  <c r="J2618" i="3"/>
  <c r="E2618" i="3"/>
  <c r="D2618" i="3"/>
  <c r="T2617" i="3"/>
  <c r="S2617" i="3"/>
  <c r="R2617" i="3"/>
  <c r="Q2617" i="3"/>
  <c r="P2617" i="3"/>
  <c r="O2617" i="3"/>
  <c r="M2617" i="3"/>
  <c r="L2617" i="3"/>
  <c r="N2617" i="3" s="1"/>
  <c r="K2617" i="3"/>
  <c r="J2617" i="3"/>
  <c r="E2617" i="3"/>
  <c r="D2617" i="3"/>
  <c r="T2616" i="3"/>
  <c r="S2616" i="3"/>
  <c r="R2616" i="3"/>
  <c r="Q2616" i="3"/>
  <c r="P2616" i="3"/>
  <c r="O2616" i="3"/>
  <c r="M2616" i="3"/>
  <c r="L2616" i="3"/>
  <c r="N2616" i="3" s="1"/>
  <c r="K2616" i="3"/>
  <c r="J2616" i="3"/>
  <c r="E2616" i="3"/>
  <c r="D2616" i="3"/>
  <c r="T2615" i="3"/>
  <c r="S2615" i="3"/>
  <c r="R2615" i="3"/>
  <c r="Q2615" i="3"/>
  <c r="P2615" i="3"/>
  <c r="O2615" i="3"/>
  <c r="M2615" i="3"/>
  <c r="L2615" i="3"/>
  <c r="N2615" i="3" s="1"/>
  <c r="K2615" i="3"/>
  <c r="J2615" i="3"/>
  <c r="E2615" i="3"/>
  <c r="D2615" i="3"/>
  <c r="T2614" i="3"/>
  <c r="S2614" i="3"/>
  <c r="R2614" i="3"/>
  <c r="Q2614" i="3"/>
  <c r="P2614" i="3"/>
  <c r="O2614" i="3"/>
  <c r="M2614" i="3"/>
  <c r="L2614" i="3"/>
  <c r="N2614" i="3" s="1"/>
  <c r="K2614" i="3"/>
  <c r="J2614" i="3"/>
  <c r="E2614" i="3"/>
  <c r="D2614" i="3"/>
  <c r="T2613" i="3"/>
  <c r="S2613" i="3"/>
  <c r="R2613" i="3"/>
  <c r="Q2613" i="3"/>
  <c r="P2613" i="3"/>
  <c r="O2613" i="3"/>
  <c r="M2613" i="3"/>
  <c r="L2613" i="3"/>
  <c r="N2613" i="3" s="1"/>
  <c r="K2613" i="3"/>
  <c r="J2613" i="3"/>
  <c r="E2613" i="3"/>
  <c r="D2613" i="3"/>
  <c r="T2612" i="3"/>
  <c r="S2612" i="3"/>
  <c r="R2612" i="3"/>
  <c r="Q2612" i="3"/>
  <c r="P2612" i="3"/>
  <c r="O2612" i="3"/>
  <c r="M2612" i="3"/>
  <c r="L2612" i="3"/>
  <c r="N2612" i="3" s="1"/>
  <c r="K2612" i="3"/>
  <c r="J2612" i="3"/>
  <c r="E2612" i="3"/>
  <c r="D2612" i="3"/>
  <c r="T2611" i="3"/>
  <c r="S2611" i="3"/>
  <c r="R2611" i="3"/>
  <c r="Q2611" i="3"/>
  <c r="P2611" i="3"/>
  <c r="O2611" i="3"/>
  <c r="M2611" i="3"/>
  <c r="L2611" i="3"/>
  <c r="N2611" i="3" s="1"/>
  <c r="K2611" i="3"/>
  <c r="J2611" i="3"/>
  <c r="E2611" i="3"/>
  <c r="D2611" i="3"/>
  <c r="T2610" i="3"/>
  <c r="S2610" i="3"/>
  <c r="R2610" i="3"/>
  <c r="Q2610" i="3"/>
  <c r="P2610" i="3"/>
  <c r="O2610" i="3"/>
  <c r="M2610" i="3"/>
  <c r="L2610" i="3"/>
  <c r="N2610" i="3" s="1"/>
  <c r="K2610" i="3"/>
  <c r="J2610" i="3"/>
  <c r="E2610" i="3"/>
  <c r="D2610" i="3"/>
  <c r="T2609" i="3"/>
  <c r="S2609" i="3"/>
  <c r="R2609" i="3"/>
  <c r="Q2609" i="3"/>
  <c r="P2609" i="3"/>
  <c r="O2609" i="3"/>
  <c r="M2609" i="3"/>
  <c r="L2609" i="3"/>
  <c r="N2609" i="3" s="1"/>
  <c r="K2609" i="3"/>
  <c r="J2609" i="3"/>
  <c r="E2609" i="3"/>
  <c r="D2609" i="3"/>
  <c r="T2608" i="3"/>
  <c r="S2608" i="3"/>
  <c r="R2608" i="3"/>
  <c r="Q2608" i="3"/>
  <c r="P2608" i="3"/>
  <c r="O2608" i="3"/>
  <c r="M2608" i="3"/>
  <c r="L2608" i="3"/>
  <c r="N2608" i="3" s="1"/>
  <c r="K2608" i="3"/>
  <c r="J2608" i="3"/>
  <c r="E2608" i="3"/>
  <c r="D2608" i="3"/>
  <c r="T2607" i="3"/>
  <c r="S2607" i="3"/>
  <c r="R2607" i="3"/>
  <c r="Q2607" i="3"/>
  <c r="P2607" i="3"/>
  <c r="O2607" i="3"/>
  <c r="M2607" i="3"/>
  <c r="L2607" i="3"/>
  <c r="N2607" i="3" s="1"/>
  <c r="K2607" i="3"/>
  <c r="J2607" i="3"/>
  <c r="E2607" i="3"/>
  <c r="D2607" i="3"/>
  <c r="T2606" i="3"/>
  <c r="S2606" i="3"/>
  <c r="R2606" i="3"/>
  <c r="Q2606" i="3"/>
  <c r="P2606" i="3"/>
  <c r="O2606" i="3"/>
  <c r="M2606" i="3"/>
  <c r="L2606" i="3"/>
  <c r="N2606" i="3" s="1"/>
  <c r="K2606" i="3"/>
  <c r="J2606" i="3"/>
  <c r="E2606" i="3"/>
  <c r="D2606" i="3"/>
  <c r="T2605" i="3"/>
  <c r="S2605" i="3"/>
  <c r="R2605" i="3"/>
  <c r="Q2605" i="3"/>
  <c r="P2605" i="3"/>
  <c r="O2605" i="3"/>
  <c r="M2605" i="3"/>
  <c r="L2605" i="3"/>
  <c r="N2605" i="3" s="1"/>
  <c r="K2605" i="3"/>
  <c r="J2605" i="3"/>
  <c r="E2605" i="3"/>
  <c r="D2605" i="3"/>
  <c r="T2604" i="3"/>
  <c r="S2604" i="3"/>
  <c r="R2604" i="3"/>
  <c r="Q2604" i="3"/>
  <c r="P2604" i="3"/>
  <c r="O2604" i="3"/>
  <c r="M2604" i="3"/>
  <c r="L2604" i="3"/>
  <c r="N2604" i="3" s="1"/>
  <c r="K2604" i="3"/>
  <c r="J2604" i="3"/>
  <c r="E2604" i="3"/>
  <c r="D2604" i="3"/>
  <c r="T2603" i="3"/>
  <c r="S2603" i="3"/>
  <c r="R2603" i="3"/>
  <c r="Q2603" i="3"/>
  <c r="P2603" i="3"/>
  <c r="O2603" i="3"/>
  <c r="M2603" i="3"/>
  <c r="L2603" i="3"/>
  <c r="N2603" i="3" s="1"/>
  <c r="K2603" i="3"/>
  <c r="J2603" i="3"/>
  <c r="E2603" i="3"/>
  <c r="D2603" i="3"/>
  <c r="T2602" i="3"/>
  <c r="S2602" i="3"/>
  <c r="R2602" i="3"/>
  <c r="Q2602" i="3"/>
  <c r="P2602" i="3"/>
  <c r="O2602" i="3"/>
  <c r="M2602" i="3"/>
  <c r="L2602" i="3"/>
  <c r="N2602" i="3" s="1"/>
  <c r="K2602" i="3"/>
  <c r="J2602" i="3"/>
  <c r="E2602" i="3"/>
  <c r="D2602" i="3"/>
  <c r="T2601" i="3"/>
  <c r="S2601" i="3"/>
  <c r="R2601" i="3"/>
  <c r="Q2601" i="3"/>
  <c r="P2601" i="3"/>
  <c r="O2601" i="3"/>
  <c r="M2601" i="3"/>
  <c r="L2601" i="3"/>
  <c r="N2601" i="3" s="1"/>
  <c r="K2601" i="3"/>
  <c r="J2601" i="3"/>
  <c r="E2601" i="3"/>
  <c r="D2601" i="3"/>
  <c r="T2600" i="3"/>
  <c r="S2600" i="3"/>
  <c r="R2600" i="3"/>
  <c r="Q2600" i="3"/>
  <c r="P2600" i="3"/>
  <c r="O2600" i="3"/>
  <c r="M2600" i="3"/>
  <c r="L2600" i="3"/>
  <c r="N2600" i="3" s="1"/>
  <c r="K2600" i="3"/>
  <c r="J2600" i="3"/>
  <c r="E2600" i="3"/>
  <c r="D2600" i="3"/>
  <c r="T2599" i="3"/>
  <c r="S2599" i="3"/>
  <c r="R2599" i="3"/>
  <c r="Q2599" i="3"/>
  <c r="P2599" i="3"/>
  <c r="O2599" i="3"/>
  <c r="M2599" i="3"/>
  <c r="L2599" i="3"/>
  <c r="N2599" i="3" s="1"/>
  <c r="K2599" i="3"/>
  <c r="J2599" i="3"/>
  <c r="E2599" i="3"/>
  <c r="D2599" i="3"/>
  <c r="T2598" i="3"/>
  <c r="S2598" i="3"/>
  <c r="R2598" i="3"/>
  <c r="Q2598" i="3"/>
  <c r="P2598" i="3"/>
  <c r="O2598" i="3"/>
  <c r="M2598" i="3"/>
  <c r="L2598" i="3"/>
  <c r="N2598" i="3" s="1"/>
  <c r="K2598" i="3"/>
  <c r="J2598" i="3"/>
  <c r="E2598" i="3"/>
  <c r="D2598" i="3"/>
  <c r="T2597" i="3"/>
  <c r="S2597" i="3"/>
  <c r="R2597" i="3"/>
  <c r="Q2597" i="3"/>
  <c r="P2597" i="3"/>
  <c r="O2597" i="3"/>
  <c r="M2597" i="3"/>
  <c r="L2597" i="3"/>
  <c r="N2597" i="3" s="1"/>
  <c r="K2597" i="3"/>
  <c r="J2597" i="3"/>
  <c r="E2597" i="3"/>
  <c r="D2597" i="3"/>
  <c r="T2596" i="3"/>
  <c r="S2596" i="3"/>
  <c r="R2596" i="3"/>
  <c r="Q2596" i="3"/>
  <c r="P2596" i="3"/>
  <c r="O2596" i="3"/>
  <c r="M2596" i="3"/>
  <c r="L2596" i="3"/>
  <c r="N2596" i="3" s="1"/>
  <c r="K2596" i="3"/>
  <c r="J2596" i="3"/>
  <c r="E2596" i="3"/>
  <c r="D2596" i="3"/>
  <c r="T2595" i="3"/>
  <c r="S2595" i="3"/>
  <c r="R2595" i="3"/>
  <c r="Q2595" i="3"/>
  <c r="P2595" i="3"/>
  <c r="O2595" i="3"/>
  <c r="M2595" i="3"/>
  <c r="L2595" i="3"/>
  <c r="N2595" i="3" s="1"/>
  <c r="K2595" i="3"/>
  <c r="J2595" i="3"/>
  <c r="E2595" i="3"/>
  <c r="D2595" i="3"/>
  <c r="T2594" i="3"/>
  <c r="S2594" i="3"/>
  <c r="R2594" i="3"/>
  <c r="Q2594" i="3"/>
  <c r="P2594" i="3"/>
  <c r="O2594" i="3"/>
  <c r="M2594" i="3"/>
  <c r="L2594" i="3"/>
  <c r="N2594" i="3" s="1"/>
  <c r="K2594" i="3"/>
  <c r="J2594" i="3"/>
  <c r="E2594" i="3"/>
  <c r="D2594" i="3"/>
  <c r="T2593" i="3"/>
  <c r="S2593" i="3"/>
  <c r="R2593" i="3"/>
  <c r="Q2593" i="3"/>
  <c r="P2593" i="3"/>
  <c r="O2593" i="3"/>
  <c r="M2593" i="3"/>
  <c r="L2593" i="3"/>
  <c r="N2593" i="3" s="1"/>
  <c r="K2593" i="3"/>
  <c r="J2593" i="3"/>
  <c r="E2593" i="3"/>
  <c r="D2593" i="3"/>
  <c r="T2592" i="3"/>
  <c r="S2592" i="3"/>
  <c r="R2592" i="3"/>
  <c r="Q2592" i="3"/>
  <c r="P2592" i="3"/>
  <c r="O2592" i="3"/>
  <c r="M2592" i="3"/>
  <c r="L2592" i="3"/>
  <c r="N2592" i="3" s="1"/>
  <c r="K2592" i="3"/>
  <c r="J2592" i="3"/>
  <c r="E2592" i="3"/>
  <c r="D2592" i="3"/>
  <c r="T2591" i="3"/>
  <c r="S2591" i="3"/>
  <c r="R2591" i="3"/>
  <c r="Q2591" i="3"/>
  <c r="P2591" i="3"/>
  <c r="O2591" i="3"/>
  <c r="M2591" i="3"/>
  <c r="L2591" i="3"/>
  <c r="N2591" i="3" s="1"/>
  <c r="K2591" i="3"/>
  <c r="J2591" i="3"/>
  <c r="E2591" i="3"/>
  <c r="D2591" i="3"/>
  <c r="T2590" i="3"/>
  <c r="S2590" i="3"/>
  <c r="R2590" i="3"/>
  <c r="Q2590" i="3"/>
  <c r="P2590" i="3"/>
  <c r="O2590" i="3"/>
  <c r="M2590" i="3"/>
  <c r="L2590" i="3"/>
  <c r="N2590" i="3" s="1"/>
  <c r="K2590" i="3"/>
  <c r="J2590" i="3"/>
  <c r="E2590" i="3"/>
  <c r="D2590" i="3"/>
  <c r="T2589" i="3"/>
  <c r="S2589" i="3"/>
  <c r="R2589" i="3"/>
  <c r="Q2589" i="3"/>
  <c r="P2589" i="3"/>
  <c r="O2589" i="3"/>
  <c r="M2589" i="3"/>
  <c r="L2589" i="3"/>
  <c r="N2589" i="3" s="1"/>
  <c r="K2589" i="3"/>
  <c r="J2589" i="3"/>
  <c r="E2589" i="3"/>
  <c r="D2589" i="3"/>
  <c r="T2588" i="3"/>
  <c r="S2588" i="3"/>
  <c r="R2588" i="3"/>
  <c r="Q2588" i="3"/>
  <c r="P2588" i="3"/>
  <c r="O2588" i="3"/>
  <c r="M2588" i="3"/>
  <c r="L2588" i="3"/>
  <c r="N2588" i="3" s="1"/>
  <c r="K2588" i="3"/>
  <c r="J2588" i="3"/>
  <c r="E2588" i="3"/>
  <c r="D2588" i="3"/>
  <c r="T2587" i="3"/>
  <c r="S2587" i="3"/>
  <c r="R2587" i="3"/>
  <c r="Q2587" i="3"/>
  <c r="P2587" i="3"/>
  <c r="O2587" i="3"/>
  <c r="M2587" i="3"/>
  <c r="L2587" i="3"/>
  <c r="N2587" i="3" s="1"/>
  <c r="K2587" i="3"/>
  <c r="J2587" i="3"/>
  <c r="E2587" i="3"/>
  <c r="D2587" i="3"/>
  <c r="T2586" i="3"/>
  <c r="S2586" i="3"/>
  <c r="R2586" i="3"/>
  <c r="Q2586" i="3"/>
  <c r="P2586" i="3"/>
  <c r="O2586" i="3"/>
  <c r="M2586" i="3"/>
  <c r="L2586" i="3"/>
  <c r="N2586" i="3" s="1"/>
  <c r="K2586" i="3"/>
  <c r="J2586" i="3"/>
  <c r="E2586" i="3"/>
  <c r="D2586" i="3"/>
  <c r="T2585" i="3"/>
  <c r="S2585" i="3"/>
  <c r="R2585" i="3"/>
  <c r="Q2585" i="3"/>
  <c r="P2585" i="3"/>
  <c r="O2585" i="3"/>
  <c r="M2585" i="3"/>
  <c r="L2585" i="3"/>
  <c r="N2585" i="3" s="1"/>
  <c r="K2585" i="3"/>
  <c r="J2585" i="3"/>
  <c r="E2585" i="3"/>
  <c r="D2585" i="3"/>
  <c r="T2584" i="3"/>
  <c r="S2584" i="3"/>
  <c r="R2584" i="3"/>
  <c r="Q2584" i="3"/>
  <c r="P2584" i="3"/>
  <c r="O2584" i="3"/>
  <c r="M2584" i="3"/>
  <c r="L2584" i="3"/>
  <c r="N2584" i="3" s="1"/>
  <c r="K2584" i="3"/>
  <c r="J2584" i="3"/>
  <c r="E2584" i="3"/>
  <c r="D2584" i="3"/>
  <c r="T2583" i="3"/>
  <c r="S2583" i="3"/>
  <c r="R2583" i="3"/>
  <c r="Q2583" i="3"/>
  <c r="P2583" i="3"/>
  <c r="O2583" i="3"/>
  <c r="M2583" i="3"/>
  <c r="L2583" i="3"/>
  <c r="N2583" i="3" s="1"/>
  <c r="K2583" i="3"/>
  <c r="J2583" i="3"/>
  <c r="E2583" i="3"/>
  <c r="D2583" i="3"/>
  <c r="T2582" i="3"/>
  <c r="S2582" i="3"/>
  <c r="R2582" i="3"/>
  <c r="Q2582" i="3"/>
  <c r="P2582" i="3"/>
  <c r="O2582" i="3"/>
  <c r="M2582" i="3"/>
  <c r="L2582" i="3"/>
  <c r="N2582" i="3" s="1"/>
  <c r="K2582" i="3"/>
  <c r="J2582" i="3"/>
  <c r="E2582" i="3"/>
  <c r="D2582" i="3"/>
  <c r="T2581" i="3"/>
  <c r="S2581" i="3"/>
  <c r="R2581" i="3"/>
  <c r="Q2581" i="3"/>
  <c r="P2581" i="3"/>
  <c r="O2581" i="3"/>
  <c r="M2581" i="3"/>
  <c r="L2581" i="3"/>
  <c r="N2581" i="3" s="1"/>
  <c r="K2581" i="3"/>
  <c r="J2581" i="3"/>
  <c r="E2581" i="3"/>
  <c r="D2581" i="3"/>
  <c r="T2580" i="3"/>
  <c r="S2580" i="3"/>
  <c r="R2580" i="3"/>
  <c r="Q2580" i="3"/>
  <c r="P2580" i="3"/>
  <c r="O2580" i="3"/>
  <c r="M2580" i="3"/>
  <c r="L2580" i="3"/>
  <c r="N2580" i="3" s="1"/>
  <c r="K2580" i="3"/>
  <c r="J2580" i="3"/>
  <c r="E2580" i="3"/>
  <c r="D2580" i="3"/>
  <c r="T2579" i="3"/>
  <c r="S2579" i="3"/>
  <c r="R2579" i="3"/>
  <c r="Q2579" i="3"/>
  <c r="P2579" i="3"/>
  <c r="O2579" i="3"/>
  <c r="M2579" i="3"/>
  <c r="L2579" i="3"/>
  <c r="N2579" i="3" s="1"/>
  <c r="K2579" i="3"/>
  <c r="J2579" i="3"/>
  <c r="E2579" i="3"/>
  <c r="D2579" i="3"/>
  <c r="T2578" i="3"/>
  <c r="S2578" i="3"/>
  <c r="R2578" i="3"/>
  <c r="Q2578" i="3"/>
  <c r="P2578" i="3"/>
  <c r="O2578" i="3"/>
  <c r="M2578" i="3"/>
  <c r="L2578" i="3"/>
  <c r="N2578" i="3" s="1"/>
  <c r="K2578" i="3"/>
  <c r="J2578" i="3"/>
  <c r="E2578" i="3"/>
  <c r="D2578" i="3"/>
  <c r="T2577" i="3"/>
  <c r="S2577" i="3"/>
  <c r="R2577" i="3"/>
  <c r="Q2577" i="3"/>
  <c r="P2577" i="3"/>
  <c r="O2577" i="3"/>
  <c r="M2577" i="3"/>
  <c r="L2577" i="3"/>
  <c r="N2577" i="3" s="1"/>
  <c r="K2577" i="3"/>
  <c r="J2577" i="3"/>
  <c r="E2577" i="3"/>
  <c r="D2577" i="3"/>
  <c r="T2576" i="3"/>
  <c r="S2576" i="3"/>
  <c r="R2576" i="3"/>
  <c r="Q2576" i="3"/>
  <c r="P2576" i="3"/>
  <c r="O2576" i="3"/>
  <c r="M2576" i="3"/>
  <c r="L2576" i="3"/>
  <c r="N2576" i="3" s="1"/>
  <c r="K2576" i="3"/>
  <c r="J2576" i="3"/>
  <c r="E2576" i="3"/>
  <c r="D2576" i="3"/>
  <c r="T2575" i="3"/>
  <c r="S2575" i="3"/>
  <c r="R2575" i="3"/>
  <c r="Q2575" i="3"/>
  <c r="P2575" i="3"/>
  <c r="O2575" i="3"/>
  <c r="M2575" i="3"/>
  <c r="L2575" i="3"/>
  <c r="N2575" i="3" s="1"/>
  <c r="K2575" i="3"/>
  <c r="J2575" i="3"/>
  <c r="E2575" i="3"/>
  <c r="D2575" i="3"/>
  <c r="T2574" i="3"/>
  <c r="S2574" i="3"/>
  <c r="R2574" i="3"/>
  <c r="Q2574" i="3"/>
  <c r="P2574" i="3"/>
  <c r="O2574" i="3"/>
  <c r="M2574" i="3"/>
  <c r="L2574" i="3"/>
  <c r="N2574" i="3" s="1"/>
  <c r="K2574" i="3"/>
  <c r="J2574" i="3"/>
  <c r="E2574" i="3"/>
  <c r="D2574" i="3"/>
  <c r="T2573" i="3"/>
  <c r="S2573" i="3"/>
  <c r="R2573" i="3"/>
  <c r="Q2573" i="3"/>
  <c r="P2573" i="3"/>
  <c r="O2573" i="3"/>
  <c r="M2573" i="3"/>
  <c r="L2573" i="3"/>
  <c r="N2573" i="3" s="1"/>
  <c r="K2573" i="3"/>
  <c r="J2573" i="3"/>
  <c r="E2573" i="3"/>
  <c r="D2573" i="3"/>
  <c r="T2572" i="3"/>
  <c r="S2572" i="3"/>
  <c r="R2572" i="3"/>
  <c r="Q2572" i="3"/>
  <c r="P2572" i="3"/>
  <c r="O2572" i="3"/>
  <c r="M2572" i="3"/>
  <c r="L2572" i="3"/>
  <c r="N2572" i="3" s="1"/>
  <c r="K2572" i="3"/>
  <c r="J2572" i="3"/>
  <c r="E2572" i="3"/>
  <c r="D2572" i="3"/>
  <c r="T2571" i="3"/>
  <c r="S2571" i="3"/>
  <c r="R2571" i="3"/>
  <c r="Q2571" i="3"/>
  <c r="P2571" i="3"/>
  <c r="O2571" i="3"/>
  <c r="M2571" i="3"/>
  <c r="L2571" i="3"/>
  <c r="N2571" i="3" s="1"/>
  <c r="K2571" i="3"/>
  <c r="J2571" i="3"/>
  <c r="E2571" i="3"/>
  <c r="D2571" i="3"/>
  <c r="T2570" i="3"/>
  <c r="S2570" i="3"/>
  <c r="R2570" i="3"/>
  <c r="Q2570" i="3"/>
  <c r="P2570" i="3"/>
  <c r="O2570" i="3"/>
  <c r="M2570" i="3"/>
  <c r="L2570" i="3"/>
  <c r="N2570" i="3" s="1"/>
  <c r="K2570" i="3"/>
  <c r="J2570" i="3"/>
  <c r="E2570" i="3"/>
  <c r="D2570" i="3"/>
  <c r="T2569" i="3"/>
  <c r="S2569" i="3"/>
  <c r="R2569" i="3"/>
  <c r="Q2569" i="3"/>
  <c r="P2569" i="3"/>
  <c r="O2569" i="3"/>
  <c r="M2569" i="3"/>
  <c r="L2569" i="3"/>
  <c r="N2569" i="3" s="1"/>
  <c r="K2569" i="3"/>
  <c r="J2569" i="3"/>
  <c r="E2569" i="3"/>
  <c r="D2569" i="3"/>
  <c r="T2568" i="3"/>
  <c r="S2568" i="3"/>
  <c r="R2568" i="3"/>
  <c r="Q2568" i="3"/>
  <c r="P2568" i="3"/>
  <c r="O2568" i="3"/>
  <c r="M2568" i="3"/>
  <c r="L2568" i="3"/>
  <c r="N2568" i="3" s="1"/>
  <c r="K2568" i="3"/>
  <c r="J2568" i="3"/>
  <c r="E2568" i="3"/>
  <c r="D2568" i="3"/>
  <c r="T2567" i="3"/>
  <c r="S2567" i="3"/>
  <c r="R2567" i="3"/>
  <c r="Q2567" i="3"/>
  <c r="P2567" i="3"/>
  <c r="O2567" i="3"/>
  <c r="M2567" i="3"/>
  <c r="L2567" i="3"/>
  <c r="N2567" i="3" s="1"/>
  <c r="K2567" i="3"/>
  <c r="J2567" i="3"/>
  <c r="E2567" i="3"/>
  <c r="D2567" i="3"/>
  <c r="T2566" i="3"/>
  <c r="S2566" i="3"/>
  <c r="R2566" i="3"/>
  <c r="Q2566" i="3"/>
  <c r="P2566" i="3"/>
  <c r="O2566" i="3"/>
  <c r="M2566" i="3"/>
  <c r="L2566" i="3"/>
  <c r="N2566" i="3" s="1"/>
  <c r="K2566" i="3"/>
  <c r="J2566" i="3"/>
  <c r="E2566" i="3"/>
  <c r="D2566" i="3"/>
  <c r="T2565" i="3"/>
  <c r="S2565" i="3"/>
  <c r="R2565" i="3"/>
  <c r="Q2565" i="3"/>
  <c r="P2565" i="3"/>
  <c r="O2565" i="3"/>
  <c r="M2565" i="3"/>
  <c r="L2565" i="3"/>
  <c r="N2565" i="3" s="1"/>
  <c r="K2565" i="3"/>
  <c r="J2565" i="3"/>
  <c r="E2565" i="3"/>
  <c r="D2565" i="3"/>
  <c r="T2564" i="3"/>
  <c r="S2564" i="3"/>
  <c r="R2564" i="3"/>
  <c r="Q2564" i="3"/>
  <c r="P2564" i="3"/>
  <c r="O2564" i="3"/>
  <c r="M2564" i="3"/>
  <c r="L2564" i="3"/>
  <c r="N2564" i="3" s="1"/>
  <c r="K2564" i="3"/>
  <c r="J2564" i="3"/>
  <c r="E2564" i="3"/>
  <c r="D2564" i="3"/>
  <c r="T2563" i="3"/>
  <c r="S2563" i="3"/>
  <c r="R2563" i="3"/>
  <c r="Q2563" i="3"/>
  <c r="P2563" i="3"/>
  <c r="O2563" i="3"/>
  <c r="M2563" i="3"/>
  <c r="L2563" i="3"/>
  <c r="N2563" i="3" s="1"/>
  <c r="K2563" i="3"/>
  <c r="J2563" i="3"/>
  <c r="E2563" i="3"/>
  <c r="D2563" i="3"/>
  <c r="T2562" i="3"/>
  <c r="S2562" i="3"/>
  <c r="R2562" i="3"/>
  <c r="Q2562" i="3"/>
  <c r="P2562" i="3"/>
  <c r="O2562" i="3"/>
  <c r="M2562" i="3"/>
  <c r="L2562" i="3"/>
  <c r="N2562" i="3" s="1"/>
  <c r="K2562" i="3"/>
  <c r="J2562" i="3"/>
  <c r="E2562" i="3"/>
  <c r="D2562" i="3"/>
  <c r="T2561" i="3"/>
  <c r="S2561" i="3"/>
  <c r="R2561" i="3"/>
  <c r="Q2561" i="3"/>
  <c r="P2561" i="3"/>
  <c r="O2561" i="3"/>
  <c r="M2561" i="3"/>
  <c r="L2561" i="3"/>
  <c r="N2561" i="3" s="1"/>
  <c r="K2561" i="3"/>
  <c r="J2561" i="3"/>
  <c r="E2561" i="3"/>
  <c r="D2561" i="3"/>
  <c r="T2560" i="3"/>
  <c r="S2560" i="3"/>
  <c r="R2560" i="3"/>
  <c r="Q2560" i="3"/>
  <c r="P2560" i="3"/>
  <c r="O2560" i="3"/>
  <c r="M2560" i="3"/>
  <c r="L2560" i="3"/>
  <c r="N2560" i="3" s="1"/>
  <c r="K2560" i="3"/>
  <c r="J2560" i="3"/>
  <c r="E2560" i="3"/>
  <c r="D2560" i="3"/>
  <c r="T2559" i="3"/>
  <c r="S2559" i="3"/>
  <c r="R2559" i="3"/>
  <c r="Q2559" i="3"/>
  <c r="P2559" i="3"/>
  <c r="O2559" i="3"/>
  <c r="M2559" i="3"/>
  <c r="L2559" i="3"/>
  <c r="N2559" i="3" s="1"/>
  <c r="K2559" i="3"/>
  <c r="J2559" i="3"/>
  <c r="E2559" i="3"/>
  <c r="D2559" i="3"/>
  <c r="T2558" i="3"/>
  <c r="S2558" i="3"/>
  <c r="R2558" i="3"/>
  <c r="Q2558" i="3"/>
  <c r="P2558" i="3"/>
  <c r="O2558" i="3"/>
  <c r="M2558" i="3"/>
  <c r="L2558" i="3"/>
  <c r="N2558" i="3" s="1"/>
  <c r="K2558" i="3"/>
  <c r="J2558" i="3"/>
  <c r="E2558" i="3"/>
  <c r="D2558" i="3"/>
  <c r="T2557" i="3"/>
  <c r="S2557" i="3"/>
  <c r="R2557" i="3"/>
  <c r="Q2557" i="3"/>
  <c r="P2557" i="3"/>
  <c r="O2557" i="3"/>
  <c r="M2557" i="3"/>
  <c r="L2557" i="3"/>
  <c r="N2557" i="3" s="1"/>
  <c r="K2557" i="3"/>
  <c r="J2557" i="3"/>
  <c r="E2557" i="3"/>
  <c r="D2557" i="3"/>
  <c r="T2556" i="3"/>
  <c r="S2556" i="3"/>
  <c r="R2556" i="3"/>
  <c r="Q2556" i="3"/>
  <c r="P2556" i="3"/>
  <c r="O2556" i="3"/>
  <c r="M2556" i="3"/>
  <c r="L2556" i="3"/>
  <c r="N2556" i="3" s="1"/>
  <c r="K2556" i="3"/>
  <c r="J2556" i="3"/>
  <c r="E2556" i="3"/>
  <c r="D2556" i="3"/>
  <c r="T2555" i="3"/>
  <c r="S2555" i="3"/>
  <c r="R2555" i="3"/>
  <c r="Q2555" i="3"/>
  <c r="P2555" i="3"/>
  <c r="O2555" i="3"/>
  <c r="M2555" i="3"/>
  <c r="L2555" i="3"/>
  <c r="N2555" i="3" s="1"/>
  <c r="K2555" i="3"/>
  <c r="J2555" i="3"/>
  <c r="E2555" i="3"/>
  <c r="D2555" i="3"/>
  <c r="T2554" i="3"/>
  <c r="S2554" i="3"/>
  <c r="R2554" i="3"/>
  <c r="Q2554" i="3"/>
  <c r="P2554" i="3"/>
  <c r="O2554" i="3"/>
  <c r="M2554" i="3"/>
  <c r="L2554" i="3"/>
  <c r="N2554" i="3" s="1"/>
  <c r="K2554" i="3"/>
  <c r="J2554" i="3"/>
  <c r="E2554" i="3"/>
  <c r="D2554" i="3"/>
  <c r="T2553" i="3"/>
  <c r="S2553" i="3"/>
  <c r="R2553" i="3"/>
  <c r="Q2553" i="3"/>
  <c r="P2553" i="3"/>
  <c r="O2553" i="3"/>
  <c r="M2553" i="3"/>
  <c r="L2553" i="3"/>
  <c r="N2553" i="3" s="1"/>
  <c r="K2553" i="3"/>
  <c r="J2553" i="3"/>
  <c r="E2553" i="3"/>
  <c r="D2553" i="3"/>
  <c r="T2552" i="3"/>
  <c r="S2552" i="3"/>
  <c r="R2552" i="3"/>
  <c r="Q2552" i="3"/>
  <c r="P2552" i="3"/>
  <c r="O2552" i="3"/>
  <c r="M2552" i="3"/>
  <c r="L2552" i="3"/>
  <c r="N2552" i="3" s="1"/>
  <c r="K2552" i="3"/>
  <c r="J2552" i="3"/>
  <c r="E2552" i="3"/>
  <c r="D2552" i="3"/>
  <c r="T2551" i="3"/>
  <c r="S2551" i="3"/>
  <c r="R2551" i="3"/>
  <c r="Q2551" i="3"/>
  <c r="P2551" i="3"/>
  <c r="O2551" i="3"/>
  <c r="M2551" i="3"/>
  <c r="L2551" i="3"/>
  <c r="N2551" i="3" s="1"/>
  <c r="K2551" i="3"/>
  <c r="J2551" i="3"/>
  <c r="E2551" i="3"/>
  <c r="D2551" i="3"/>
  <c r="T2550" i="3"/>
  <c r="S2550" i="3"/>
  <c r="R2550" i="3"/>
  <c r="Q2550" i="3"/>
  <c r="P2550" i="3"/>
  <c r="O2550" i="3"/>
  <c r="M2550" i="3"/>
  <c r="L2550" i="3"/>
  <c r="N2550" i="3" s="1"/>
  <c r="K2550" i="3"/>
  <c r="J2550" i="3"/>
  <c r="E2550" i="3"/>
  <c r="D2550" i="3"/>
  <c r="T2549" i="3"/>
  <c r="S2549" i="3"/>
  <c r="R2549" i="3"/>
  <c r="Q2549" i="3"/>
  <c r="P2549" i="3"/>
  <c r="O2549" i="3"/>
  <c r="M2549" i="3"/>
  <c r="L2549" i="3"/>
  <c r="N2549" i="3" s="1"/>
  <c r="K2549" i="3"/>
  <c r="J2549" i="3"/>
  <c r="E2549" i="3"/>
  <c r="D2549" i="3"/>
  <c r="T2548" i="3"/>
  <c r="S2548" i="3"/>
  <c r="R2548" i="3"/>
  <c r="Q2548" i="3"/>
  <c r="P2548" i="3"/>
  <c r="O2548" i="3"/>
  <c r="M2548" i="3"/>
  <c r="L2548" i="3"/>
  <c r="N2548" i="3" s="1"/>
  <c r="K2548" i="3"/>
  <c r="J2548" i="3"/>
  <c r="E2548" i="3"/>
  <c r="D2548" i="3"/>
  <c r="T2547" i="3"/>
  <c r="S2547" i="3"/>
  <c r="R2547" i="3"/>
  <c r="Q2547" i="3"/>
  <c r="P2547" i="3"/>
  <c r="O2547" i="3"/>
  <c r="M2547" i="3"/>
  <c r="L2547" i="3"/>
  <c r="N2547" i="3" s="1"/>
  <c r="K2547" i="3"/>
  <c r="J2547" i="3"/>
  <c r="E2547" i="3"/>
  <c r="D2547" i="3"/>
  <c r="T2546" i="3"/>
  <c r="S2546" i="3"/>
  <c r="R2546" i="3"/>
  <c r="Q2546" i="3"/>
  <c r="P2546" i="3"/>
  <c r="O2546" i="3"/>
  <c r="M2546" i="3"/>
  <c r="L2546" i="3"/>
  <c r="N2546" i="3" s="1"/>
  <c r="K2546" i="3"/>
  <c r="J2546" i="3"/>
  <c r="E2546" i="3"/>
  <c r="D2546" i="3"/>
  <c r="T2545" i="3"/>
  <c r="S2545" i="3"/>
  <c r="R2545" i="3"/>
  <c r="Q2545" i="3"/>
  <c r="P2545" i="3"/>
  <c r="O2545" i="3"/>
  <c r="M2545" i="3"/>
  <c r="L2545" i="3"/>
  <c r="N2545" i="3" s="1"/>
  <c r="K2545" i="3"/>
  <c r="J2545" i="3"/>
  <c r="E2545" i="3"/>
  <c r="D2545" i="3"/>
  <c r="T2544" i="3"/>
  <c r="S2544" i="3"/>
  <c r="R2544" i="3"/>
  <c r="Q2544" i="3"/>
  <c r="P2544" i="3"/>
  <c r="O2544" i="3"/>
  <c r="M2544" i="3"/>
  <c r="L2544" i="3"/>
  <c r="N2544" i="3" s="1"/>
  <c r="K2544" i="3"/>
  <c r="J2544" i="3"/>
  <c r="E2544" i="3"/>
  <c r="D2544" i="3"/>
  <c r="T2543" i="3"/>
  <c r="S2543" i="3"/>
  <c r="R2543" i="3"/>
  <c r="Q2543" i="3"/>
  <c r="P2543" i="3"/>
  <c r="O2543" i="3"/>
  <c r="M2543" i="3"/>
  <c r="L2543" i="3"/>
  <c r="N2543" i="3" s="1"/>
  <c r="K2543" i="3"/>
  <c r="J2543" i="3"/>
  <c r="E2543" i="3"/>
  <c r="D2543" i="3"/>
  <c r="T2542" i="3"/>
  <c r="S2542" i="3"/>
  <c r="R2542" i="3"/>
  <c r="Q2542" i="3"/>
  <c r="P2542" i="3"/>
  <c r="O2542" i="3"/>
  <c r="M2542" i="3"/>
  <c r="L2542" i="3"/>
  <c r="N2542" i="3" s="1"/>
  <c r="K2542" i="3"/>
  <c r="J2542" i="3"/>
  <c r="E2542" i="3"/>
  <c r="D2542" i="3"/>
  <c r="T2541" i="3"/>
  <c r="S2541" i="3"/>
  <c r="R2541" i="3"/>
  <c r="Q2541" i="3"/>
  <c r="P2541" i="3"/>
  <c r="O2541" i="3"/>
  <c r="M2541" i="3"/>
  <c r="L2541" i="3"/>
  <c r="N2541" i="3" s="1"/>
  <c r="K2541" i="3"/>
  <c r="J2541" i="3"/>
  <c r="E2541" i="3"/>
  <c r="D2541" i="3"/>
  <c r="T2540" i="3"/>
  <c r="S2540" i="3"/>
  <c r="R2540" i="3"/>
  <c r="Q2540" i="3"/>
  <c r="P2540" i="3"/>
  <c r="O2540" i="3"/>
  <c r="M2540" i="3"/>
  <c r="L2540" i="3"/>
  <c r="N2540" i="3" s="1"/>
  <c r="K2540" i="3"/>
  <c r="J2540" i="3"/>
  <c r="E2540" i="3"/>
  <c r="D2540" i="3"/>
  <c r="T2539" i="3"/>
  <c r="S2539" i="3"/>
  <c r="R2539" i="3"/>
  <c r="Q2539" i="3"/>
  <c r="P2539" i="3"/>
  <c r="O2539" i="3"/>
  <c r="M2539" i="3"/>
  <c r="L2539" i="3"/>
  <c r="N2539" i="3" s="1"/>
  <c r="K2539" i="3"/>
  <c r="J2539" i="3"/>
  <c r="E2539" i="3"/>
  <c r="D2539" i="3"/>
  <c r="T2538" i="3"/>
  <c r="S2538" i="3"/>
  <c r="R2538" i="3"/>
  <c r="Q2538" i="3"/>
  <c r="P2538" i="3"/>
  <c r="O2538" i="3"/>
  <c r="M2538" i="3"/>
  <c r="L2538" i="3"/>
  <c r="N2538" i="3" s="1"/>
  <c r="K2538" i="3"/>
  <c r="J2538" i="3"/>
  <c r="E2538" i="3"/>
  <c r="D2538" i="3"/>
  <c r="T2537" i="3"/>
  <c r="S2537" i="3"/>
  <c r="R2537" i="3"/>
  <c r="Q2537" i="3"/>
  <c r="P2537" i="3"/>
  <c r="O2537" i="3"/>
  <c r="M2537" i="3"/>
  <c r="L2537" i="3"/>
  <c r="N2537" i="3" s="1"/>
  <c r="K2537" i="3"/>
  <c r="J2537" i="3"/>
  <c r="E2537" i="3"/>
  <c r="D2537" i="3"/>
  <c r="T2536" i="3"/>
  <c r="S2536" i="3"/>
  <c r="R2536" i="3"/>
  <c r="Q2536" i="3"/>
  <c r="P2536" i="3"/>
  <c r="O2536" i="3"/>
  <c r="M2536" i="3"/>
  <c r="L2536" i="3"/>
  <c r="N2536" i="3" s="1"/>
  <c r="K2536" i="3"/>
  <c r="J2536" i="3"/>
  <c r="E2536" i="3"/>
  <c r="D2536" i="3"/>
  <c r="T2535" i="3"/>
  <c r="S2535" i="3"/>
  <c r="R2535" i="3"/>
  <c r="Q2535" i="3"/>
  <c r="P2535" i="3"/>
  <c r="O2535" i="3"/>
  <c r="M2535" i="3"/>
  <c r="L2535" i="3"/>
  <c r="N2535" i="3" s="1"/>
  <c r="K2535" i="3"/>
  <c r="J2535" i="3"/>
  <c r="E2535" i="3"/>
  <c r="D2535" i="3"/>
  <c r="T2534" i="3"/>
  <c r="S2534" i="3"/>
  <c r="R2534" i="3"/>
  <c r="Q2534" i="3"/>
  <c r="P2534" i="3"/>
  <c r="O2534" i="3"/>
  <c r="M2534" i="3"/>
  <c r="L2534" i="3"/>
  <c r="N2534" i="3" s="1"/>
  <c r="K2534" i="3"/>
  <c r="J2534" i="3"/>
  <c r="E2534" i="3"/>
  <c r="D2534" i="3"/>
  <c r="T2533" i="3"/>
  <c r="S2533" i="3"/>
  <c r="R2533" i="3"/>
  <c r="Q2533" i="3"/>
  <c r="P2533" i="3"/>
  <c r="O2533" i="3"/>
  <c r="M2533" i="3"/>
  <c r="L2533" i="3"/>
  <c r="N2533" i="3" s="1"/>
  <c r="K2533" i="3"/>
  <c r="J2533" i="3"/>
  <c r="E2533" i="3"/>
  <c r="D2533" i="3"/>
  <c r="T2532" i="3"/>
  <c r="S2532" i="3"/>
  <c r="R2532" i="3"/>
  <c r="Q2532" i="3"/>
  <c r="P2532" i="3"/>
  <c r="O2532" i="3"/>
  <c r="M2532" i="3"/>
  <c r="L2532" i="3"/>
  <c r="N2532" i="3" s="1"/>
  <c r="K2532" i="3"/>
  <c r="J2532" i="3"/>
  <c r="E2532" i="3"/>
  <c r="D2532" i="3"/>
  <c r="T2531" i="3"/>
  <c r="S2531" i="3"/>
  <c r="R2531" i="3"/>
  <c r="Q2531" i="3"/>
  <c r="P2531" i="3"/>
  <c r="O2531" i="3"/>
  <c r="M2531" i="3"/>
  <c r="L2531" i="3"/>
  <c r="N2531" i="3" s="1"/>
  <c r="K2531" i="3"/>
  <c r="J2531" i="3"/>
  <c r="E2531" i="3"/>
  <c r="D2531" i="3"/>
  <c r="T2530" i="3"/>
  <c r="S2530" i="3"/>
  <c r="R2530" i="3"/>
  <c r="Q2530" i="3"/>
  <c r="P2530" i="3"/>
  <c r="O2530" i="3"/>
  <c r="M2530" i="3"/>
  <c r="L2530" i="3"/>
  <c r="N2530" i="3" s="1"/>
  <c r="K2530" i="3"/>
  <c r="J2530" i="3"/>
  <c r="E2530" i="3"/>
  <c r="D2530" i="3"/>
  <c r="T2529" i="3"/>
  <c r="S2529" i="3"/>
  <c r="R2529" i="3"/>
  <c r="Q2529" i="3"/>
  <c r="P2529" i="3"/>
  <c r="O2529" i="3"/>
  <c r="M2529" i="3"/>
  <c r="L2529" i="3"/>
  <c r="N2529" i="3" s="1"/>
  <c r="K2529" i="3"/>
  <c r="J2529" i="3"/>
  <c r="E2529" i="3"/>
  <c r="D2529" i="3"/>
  <c r="T2528" i="3"/>
  <c r="S2528" i="3"/>
  <c r="R2528" i="3"/>
  <c r="Q2528" i="3"/>
  <c r="P2528" i="3"/>
  <c r="O2528" i="3"/>
  <c r="M2528" i="3"/>
  <c r="L2528" i="3"/>
  <c r="N2528" i="3" s="1"/>
  <c r="K2528" i="3"/>
  <c r="J2528" i="3"/>
  <c r="E2528" i="3"/>
  <c r="D2528" i="3"/>
  <c r="T2527" i="3"/>
  <c r="S2527" i="3"/>
  <c r="R2527" i="3"/>
  <c r="Q2527" i="3"/>
  <c r="P2527" i="3"/>
  <c r="O2527" i="3"/>
  <c r="M2527" i="3"/>
  <c r="L2527" i="3"/>
  <c r="N2527" i="3" s="1"/>
  <c r="K2527" i="3"/>
  <c r="J2527" i="3"/>
  <c r="E2527" i="3"/>
  <c r="D2527" i="3"/>
  <c r="T2526" i="3"/>
  <c r="S2526" i="3"/>
  <c r="R2526" i="3"/>
  <c r="Q2526" i="3"/>
  <c r="P2526" i="3"/>
  <c r="O2526" i="3"/>
  <c r="M2526" i="3"/>
  <c r="L2526" i="3"/>
  <c r="N2526" i="3" s="1"/>
  <c r="K2526" i="3"/>
  <c r="J2526" i="3"/>
  <c r="E2526" i="3"/>
  <c r="D2526" i="3"/>
  <c r="T2525" i="3"/>
  <c r="S2525" i="3"/>
  <c r="R2525" i="3"/>
  <c r="Q2525" i="3"/>
  <c r="P2525" i="3"/>
  <c r="O2525" i="3"/>
  <c r="M2525" i="3"/>
  <c r="L2525" i="3"/>
  <c r="N2525" i="3" s="1"/>
  <c r="K2525" i="3"/>
  <c r="J2525" i="3"/>
  <c r="E2525" i="3"/>
  <c r="D2525" i="3"/>
  <c r="T2524" i="3"/>
  <c r="S2524" i="3"/>
  <c r="R2524" i="3"/>
  <c r="Q2524" i="3"/>
  <c r="P2524" i="3"/>
  <c r="O2524" i="3"/>
  <c r="M2524" i="3"/>
  <c r="L2524" i="3"/>
  <c r="N2524" i="3" s="1"/>
  <c r="K2524" i="3"/>
  <c r="J2524" i="3"/>
  <c r="E2524" i="3"/>
  <c r="D2524" i="3"/>
  <c r="T2523" i="3"/>
  <c r="S2523" i="3"/>
  <c r="R2523" i="3"/>
  <c r="Q2523" i="3"/>
  <c r="P2523" i="3"/>
  <c r="O2523" i="3"/>
  <c r="M2523" i="3"/>
  <c r="L2523" i="3"/>
  <c r="N2523" i="3" s="1"/>
  <c r="K2523" i="3"/>
  <c r="J2523" i="3"/>
  <c r="E2523" i="3"/>
  <c r="D2523" i="3"/>
  <c r="T2522" i="3"/>
  <c r="S2522" i="3"/>
  <c r="R2522" i="3"/>
  <c r="Q2522" i="3"/>
  <c r="P2522" i="3"/>
  <c r="O2522" i="3"/>
  <c r="M2522" i="3"/>
  <c r="L2522" i="3"/>
  <c r="N2522" i="3" s="1"/>
  <c r="K2522" i="3"/>
  <c r="J2522" i="3"/>
  <c r="E2522" i="3"/>
  <c r="D2522" i="3"/>
  <c r="T2521" i="3"/>
  <c r="S2521" i="3"/>
  <c r="R2521" i="3"/>
  <c r="Q2521" i="3"/>
  <c r="P2521" i="3"/>
  <c r="O2521" i="3"/>
  <c r="M2521" i="3"/>
  <c r="L2521" i="3"/>
  <c r="N2521" i="3" s="1"/>
  <c r="K2521" i="3"/>
  <c r="J2521" i="3"/>
  <c r="E2521" i="3"/>
  <c r="D2521" i="3"/>
  <c r="T2520" i="3"/>
  <c r="S2520" i="3"/>
  <c r="R2520" i="3"/>
  <c r="Q2520" i="3"/>
  <c r="P2520" i="3"/>
  <c r="O2520" i="3"/>
  <c r="M2520" i="3"/>
  <c r="L2520" i="3"/>
  <c r="N2520" i="3" s="1"/>
  <c r="K2520" i="3"/>
  <c r="J2520" i="3"/>
  <c r="E2520" i="3"/>
  <c r="D2520" i="3"/>
  <c r="T2519" i="3"/>
  <c r="S2519" i="3"/>
  <c r="R2519" i="3"/>
  <c r="Q2519" i="3"/>
  <c r="P2519" i="3"/>
  <c r="O2519" i="3"/>
  <c r="M2519" i="3"/>
  <c r="L2519" i="3"/>
  <c r="N2519" i="3" s="1"/>
  <c r="K2519" i="3"/>
  <c r="J2519" i="3"/>
  <c r="E2519" i="3"/>
  <c r="D2519" i="3"/>
  <c r="T2518" i="3"/>
  <c r="S2518" i="3"/>
  <c r="R2518" i="3"/>
  <c r="Q2518" i="3"/>
  <c r="P2518" i="3"/>
  <c r="O2518" i="3"/>
  <c r="M2518" i="3"/>
  <c r="L2518" i="3"/>
  <c r="N2518" i="3" s="1"/>
  <c r="K2518" i="3"/>
  <c r="J2518" i="3"/>
  <c r="E2518" i="3"/>
  <c r="D2518" i="3"/>
  <c r="T2517" i="3"/>
  <c r="S2517" i="3"/>
  <c r="R2517" i="3"/>
  <c r="Q2517" i="3"/>
  <c r="P2517" i="3"/>
  <c r="O2517" i="3"/>
  <c r="M2517" i="3"/>
  <c r="L2517" i="3"/>
  <c r="N2517" i="3" s="1"/>
  <c r="K2517" i="3"/>
  <c r="J2517" i="3"/>
  <c r="E2517" i="3"/>
  <c r="D2517" i="3"/>
  <c r="T2516" i="3"/>
  <c r="S2516" i="3"/>
  <c r="R2516" i="3"/>
  <c r="Q2516" i="3"/>
  <c r="P2516" i="3"/>
  <c r="O2516" i="3"/>
  <c r="M2516" i="3"/>
  <c r="L2516" i="3"/>
  <c r="N2516" i="3" s="1"/>
  <c r="K2516" i="3"/>
  <c r="J2516" i="3"/>
  <c r="E2516" i="3"/>
  <c r="D2516" i="3"/>
  <c r="T2515" i="3"/>
  <c r="S2515" i="3"/>
  <c r="R2515" i="3"/>
  <c r="Q2515" i="3"/>
  <c r="P2515" i="3"/>
  <c r="O2515" i="3"/>
  <c r="M2515" i="3"/>
  <c r="L2515" i="3"/>
  <c r="N2515" i="3" s="1"/>
  <c r="K2515" i="3"/>
  <c r="J2515" i="3"/>
  <c r="E2515" i="3"/>
  <c r="D2515" i="3"/>
  <c r="T2514" i="3"/>
  <c r="S2514" i="3"/>
  <c r="R2514" i="3"/>
  <c r="Q2514" i="3"/>
  <c r="P2514" i="3"/>
  <c r="O2514" i="3"/>
  <c r="M2514" i="3"/>
  <c r="L2514" i="3"/>
  <c r="N2514" i="3" s="1"/>
  <c r="K2514" i="3"/>
  <c r="J2514" i="3"/>
  <c r="E2514" i="3"/>
  <c r="D2514" i="3"/>
  <c r="T2513" i="3"/>
  <c r="S2513" i="3"/>
  <c r="R2513" i="3"/>
  <c r="Q2513" i="3"/>
  <c r="P2513" i="3"/>
  <c r="O2513" i="3"/>
  <c r="M2513" i="3"/>
  <c r="L2513" i="3"/>
  <c r="N2513" i="3" s="1"/>
  <c r="K2513" i="3"/>
  <c r="J2513" i="3"/>
  <c r="E2513" i="3"/>
  <c r="D2513" i="3"/>
  <c r="T2512" i="3"/>
  <c r="S2512" i="3"/>
  <c r="R2512" i="3"/>
  <c r="Q2512" i="3"/>
  <c r="P2512" i="3"/>
  <c r="O2512" i="3"/>
  <c r="M2512" i="3"/>
  <c r="L2512" i="3"/>
  <c r="N2512" i="3" s="1"/>
  <c r="K2512" i="3"/>
  <c r="J2512" i="3"/>
  <c r="E2512" i="3"/>
  <c r="D2512" i="3"/>
  <c r="T2511" i="3"/>
  <c r="S2511" i="3"/>
  <c r="R2511" i="3"/>
  <c r="Q2511" i="3"/>
  <c r="P2511" i="3"/>
  <c r="O2511" i="3"/>
  <c r="M2511" i="3"/>
  <c r="L2511" i="3"/>
  <c r="N2511" i="3" s="1"/>
  <c r="K2511" i="3"/>
  <c r="J2511" i="3"/>
  <c r="E2511" i="3"/>
  <c r="D2511" i="3"/>
  <c r="T2510" i="3"/>
  <c r="S2510" i="3"/>
  <c r="R2510" i="3"/>
  <c r="Q2510" i="3"/>
  <c r="P2510" i="3"/>
  <c r="O2510" i="3"/>
  <c r="M2510" i="3"/>
  <c r="L2510" i="3"/>
  <c r="N2510" i="3" s="1"/>
  <c r="K2510" i="3"/>
  <c r="J2510" i="3"/>
  <c r="E2510" i="3"/>
  <c r="D2510" i="3"/>
  <c r="T2509" i="3"/>
  <c r="S2509" i="3"/>
  <c r="R2509" i="3"/>
  <c r="Q2509" i="3"/>
  <c r="P2509" i="3"/>
  <c r="O2509" i="3"/>
  <c r="M2509" i="3"/>
  <c r="L2509" i="3"/>
  <c r="N2509" i="3" s="1"/>
  <c r="K2509" i="3"/>
  <c r="J2509" i="3"/>
  <c r="E2509" i="3"/>
  <c r="D2509" i="3"/>
  <c r="T2508" i="3"/>
  <c r="S2508" i="3"/>
  <c r="R2508" i="3"/>
  <c r="Q2508" i="3"/>
  <c r="P2508" i="3"/>
  <c r="O2508" i="3"/>
  <c r="M2508" i="3"/>
  <c r="L2508" i="3"/>
  <c r="N2508" i="3" s="1"/>
  <c r="K2508" i="3"/>
  <c r="J2508" i="3"/>
  <c r="E2508" i="3"/>
  <c r="D2508" i="3"/>
  <c r="T2507" i="3"/>
  <c r="S2507" i="3"/>
  <c r="R2507" i="3"/>
  <c r="Q2507" i="3"/>
  <c r="P2507" i="3"/>
  <c r="O2507" i="3"/>
  <c r="M2507" i="3"/>
  <c r="L2507" i="3"/>
  <c r="N2507" i="3" s="1"/>
  <c r="K2507" i="3"/>
  <c r="J2507" i="3"/>
  <c r="E2507" i="3"/>
  <c r="D2507" i="3"/>
  <c r="T2506" i="3"/>
  <c r="S2506" i="3"/>
  <c r="R2506" i="3"/>
  <c r="Q2506" i="3"/>
  <c r="P2506" i="3"/>
  <c r="O2506" i="3"/>
  <c r="M2506" i="3"/>
  <c r="L2506" i="3"/>
  <c r="N2506" i="3" s="1"/>
  <c r="K2506" i="3"/>
  <c r="J2506" i="3"/>
  <c r="E2506" i="3"/>
  <c r="D2506" i="3"/>
  <c r="T2505" i="3"/>
  <c r="S2505" i="3"/>
  <c r="R2505" i="3"/>
  <c r="Q2505" i="3"/>
  <c r="P2505" i="3"/>
  <c r="O2505" i="3"/>
  <c r="M2505" i="3"/>
  <c r="L2505" i="3"/>
  <c r="N2505" i="3" s="1"/>
  <c r="K2505" i="3"/>
  <c r="J2505" i="3"/>
  <c r="E2505" i="3"/>
  <c r="D2505" i="3"/>
  <c r="T2504" i="3"/>
  <c r="S2504" i="3"/>
  <c r="R2504" i="3"/>
  <c r="Q2504" i="3"/>
  <c r="P2504" i="3"/>
  <c r="O2504" i="3"/>
  <c r="M2504" i="3"/>
  <c r="L2504" i="3"/>
  <c r="N2504" i="3" s="1"/>
  <c r="K2504" i="3"/>
  <c r="J2504" i="3"/>
  <c r="E2504" i="3"/>
  <c r="D2504" i="3"/>
  <c r="T2503" i="3"/>
  <c r="S2503" i="3"/>
  <c r="R2503" i="3"/>
  <c r="Q2503" i="3"/>
  <c r="P2503" i="3"/>
  <c r="O2503" i="3"/>
  <c r="M2503" i="3"/>
  <c r="L2503" i="3"/>
  <c r="N2503" i="3" s="1"/>
  <c r="K2503" i="3"/>
  <c r="J2503" i="3"/>
  <c r="E2503" i="3"/>
  <c r="D2503" i="3"/>
  <c r="T2502" i="3"/>
  <c r="S2502" i="3"/>
  <c r="R2502" i="3"/>
  <c r="Q2502" i="3"/>
  <c r="P2502" i="3"/>
  <c r="O2502" i="3"/>
  <c r="M2502" i="3"/>
  <c r="L2502" i="3"/>
  <c r="N2502" i="3" s="1"/>
  <c r="K2502" i="3"/>
  <c r="J2502" i="3"/>
  <c r="E2502" i="3"/>
  <c r="D2502" i="3"/>
  <c r="T2501" i="3"/>
  <c r="S2501" i="3"/>
  <c r="R2501" i="3"/>
  <c r="Q2501" i="3"/>
  <c r="P2501" i="3"/>
  <c r="O2501" i="3"/>
  <c r="M2501" i="3"/>
  <c r="L2501" i="3"/>
  <c r="N2501" i="3" s="1"/>
  <c r="K2501" i="3"/>
  <c r="J2501" i="3"/>
  <c r="E2501" i="3"/>
  <c r="D2501" i="3"/>
  <c r="T2500" i="3"/>
  <c r="S2500" i="3"/>
  <c r="R2500" i="3"/>
  <c r="Q2500" i="3"/>
  <c r="P2500" i="3"/>
  <c r="O2500" i="3"/>
  <c r="M2500" i="3"/>
  <c r="L2500" i="3"/>
  <c r="N2500" i="3" s="1"/>
  <c r="K2500" i="3"/>
  <c r="J2500" i="3"/>
  <c r="E2500" i="3"/>
  <c r="D2500" i="3"/>
  <c r="T2499" i="3"/>
  <c r="S2499" i="3"/>
  <c r="R2499" i="3"/>
  <c r="Q2499" i="3"/>
  <c r="P2499" i="3"/>
  <c r="O2499" i="3"/>
  <c r="M2499" i="3"/>
  <c r="L2499" i="3"/>
  <c r="N2499" i="3" s="1"/>
  <c r="K2499" i="3"/>
  <c r="J2499" i="3"/>
  <c r="E2499" i="3"/>
  <c r="D2499" i="3"/>
  <c r="T2498" i="3"/>
  <c r="S2498" i="3"/>
  <c r="R2498" i="3"/>
  <c r="Q2498" i="3"/>
  <c r="P2498" i="3"/>
  <c r="O2498" i="3"/>
  <c r="M2498" i="3"/>
  <c r="L2498" i="3"/>
  <c r="N2498" i="3" s="1"/>
  <c r="K2498" i="3"/>
  <c r="J2498" i="3"/>
  <c r="E2498" i="3"/>
  <c r="D2498" i="3"/>
  <c r="T2497" i="3"/>
  <c r="S2497" i="3"/>
  <c r="R2497" i="3"/>
  <c r="Q2497" i="3"/>
  <c r="P2497" i="3"/>
  <c r="O2497" i="3"/>
  <c r="M2497" i="3"/>
  <c r="L2497" i="3"/>
  <c r="N2497" i="3" s="1"/>
  <c r="K2497" i="3"/>
  <c r="J2497" i="3"/>
  <c r="E2497" i="3"/>
  <c r="D2497" i="3"/>
  <c r="T2496" i="3"/>
  <c r="S2496" i="3"/>
  <c r="R2496" i="3"/>
  <c r="Q2496" i="3"/>
  <c r="P2496" i="3"/>
  <c r="O2496" i="3"/>
  <c r="M2496" i="3"/>
  <c r="L2496" i="3"/>
  <c r="N2496" i="3" s="1"/>
  <c r="K2496" i="3"/>
  <c r="J2496" i="3"/>
  <c r="E2496" i="3"/>
  <c r="D2496" i="3"/>
  <c r="T2495" i="3"/>
  <c r="S2495" i="3"/>
  <c r="R2495" i="3"/>
  <c r="Q2495" i="3"/>
  <c r="P2495" i="3"/>
  <c r="O2495" i="3"/>
  <c r="M2495" i="3"/>
  <c r="L2495" i="3"/>
  <c r="N2495" i="3" s="1"/>
  <c r="K2495" i="3"/>
  <c r="J2495" i="3"/>
  <c r="E2495" i="3"/>
  <c r="D2495" i="3"/>
  <c r="T2494" i="3"/>
  <c r="S2494" i="3"/>
  <c r="R2494" i="3"/>
  <c r="Q2494" i="3"/>
  <c r="P2494" i="3"/>
  <c r="O2494" i="3"/>
  <c r="M2494" i="3"/>
  <c r="L2494" i="3"/>
  <c r="N2494" i="3" s="1"/>
  <c r="K2494" i="3"/>
  <c r="J2494" i="3"/>
  <c r="E2494" i="3"/>
  <c r="D2494" i="3"/>
  <c r="T2493" i="3"/>
  <c r="S2493" i="3"/>
  <c r="R2493" i="3"/>
  <c r="Q2493" i="3"/>
  <c r="P2493" i="3"/>
  <c r="O2493" i="3"/>
  <c r="M2493" i="3"/>
  <c r="L2493" i="3"/>
  <c r="N2493" i="3" s="1"/>
  <c r="K2493" i="3"/>
  <c r="J2493" i="3"/>
  <c r="E2493" i="3"/>
  <c r="D2493" i="3"/>
  <c r="T2492" i="3"/>
  <c r="S2492" i="3"/>
  <c r="R2492" i="3"/>
  <c r="Q2492" i="3"/>
  <c r="P2492" i="3"/>
  <c r="O2492" i="3"/>
  <c r="M2492" i="3"/>
  <c r="L2492" i="3"/>
  <c r="N2492" i="3" s="1"/>
  <c r="K2492" i="3"/>
  <c r="J2492" i="3"/>
  <c r="E2492" i="3"/>
  <c r="D2492" i="3"/>
  <c r="T2491" i="3"/>
  <c r="S2491" i="3"/>
  <c r="R2491" i="3"/>
  <c r="Q2491" i="3"/>
  <c r="P2491" i="3"/>
  <c r="O2491" i="3"/>
  <c r="M2491" i="3"/>
  <c r="L2491" i="3"/>
  <c r="N2491" i="3" s="1"/>
  <c r="K2491" i="3"/>
  <c r="J2491" i="3"/>
  <c r="E2491" i="3"/>
  <c r="D2491" i="3"/>
  <c r="T2490" i="3"/>
  <c r="S2490" i="3"/>
  <c r="R2490" i="3"/>
  <c r="Q2490" i="3"/>
  <c r="P2490" i="3"/>
  <c r="O2490" i="3"/>
  <c r="M2490" i="3"/>
  <c r="L2490" i="3"/>
  <c r="N2490" i="3" s="1"/>
  <c r="K2490" i="3"/>
  <c r="J2490" i="3"/>
  <c r="E2490" i="3"/>
  <c r="D2490" i="3"/>
  <c r="T2489" i="3"/>
  <c r="S2489" i="3"/>
  <c r="R2489" i="3"/>
  <c r="Q2489" i="3"/>
  <c r="P2489" i="3"/>
  <c r="O2489" i="3"/>
  <c r="M2489" i="3"/>
  <c r="L2489" i="3"/>
  <c r="N2489" i="3" s="1"/>
  <c r="K2489" i="3"/>
  <c r="J2489" i="3"/>
  <c r="E2489" i="3"/>
  <c r="D2489" i="3"/>
  <c r="T2488" i="3"/>
  <c r="S2488" i="3"/>
  <c r="R2488" i="3"/>
  <c r="Q2488" i="3"/>
  <c r="P2488" i="3"/>
  <c r="O2488" i="3"/>
  <c r="M2488" i="3"/>
  <c r="L2488" i="3"/>
  <c r="N2488" i="3" s="1"/>
  <c r="K2488" i="3"/>
  <c r="J2488" i="3"/>
  <c r="E2488" i="3"/>
  <c r="D2488" i="3"/>
  <c r="T2487" i="3"/>
  <c r="S2487" i="3"/>
  <c r="R2487" i="3"/>
  <c r="Q2487" i="3"/>
  <c r="P2487" i="3"/>
  <c r="O2487" i="3"/>
  <c r="M2487" i="3"/>
  <c r="L2487" i="3"/>
  <c r="N2487" i="3" s="1"/>
  <c r="K2487" i="3"/>
  <c r="J2487" i="3"/>
  <c r="E2487" i="3"/>
  <c r="D2487" i="3"/>
  <c r="T2486" i="3"/>
  <c r="S2486" i="3"/>
  <c r="R2486" i="3"/>
  <c r="Q2486" i="3"/>
  <c r="P2486" i="3"/>
  <c r="O2486" i="3"/>
  <c r="M2486" i="3"/>
  <c r="L2486" i="3"/>
  <c r="N2486" i="3" s="1"/>
  <c r="K2486" i="3"/>
  <c r="J2486" i="3"/>
  <c r="E2486" i="3"/>
  <c r="D2486" i="3"/>
  <c r="T2485" i="3"/>
  <c r="S2485" i="3"/>
  <c r="R2485" i="3"/>
  <c r="Q2485" i="3"/>
  <c r="P2485" i="3"/>
  <c r="O2485" i="3"/>
  <c r="M2485" i="3"/>
  <c r="L2485" i="3"/>
  <c r="N2485" i="3" s="1"/>
  <c r="K2485" i="3"/>
  <c r="J2485" i="3"/>
  <c r="E2485" i="3"/>
  <c r="D2485" i="3"/>
  <c r="T2484" i="3"/>
  <c r="S2484" i="3"/>
  <c r="R2484" i="3"/>
  <c r="Q2484" i="3"/>
  <c r="P2484" i="3"/>
  <c r="O2484" i="3"/>
  <c r="M2484" i="3"/>
  <c r="L2484" i="3"/>
  <c r="N2484" i="3" s="1"/>
  <c r="K2484" i="3"/>
  <c r="J2484" i="3"/>
  <c r="E2484" i="3"/>
  <c r="D2484" i="3"/>
  <c r="T2483" i="3"/>
  <c r="S2483" i="3"/>
  <c r="R2483" i="3"/>
  <c r="Q2483" i="3"/>
  <c r="P2483" i="3"/>
  <c r="O2483" i="3"/>
  <c r="M2483" i="3"/>
  <c r="L2483" i="3"/>
  <c r="N2483" i="3" s="1"/>
  <c r="K2483" i="3"/>
  <c r="J2483" i="3"/>
  <c r="E2483" i="3"/>
  <c r="D2483" i="3"/>
  <c r="T2482" i="3"/>
  <c r="S2482" i="3"/>
  <c r="R2482" i="3"/>
  <c r="Q2482" i="3"/>
  <c r="P2482" i="3"/>
  <c r="O2482" i="3"/>
  <c r="M2482" i="3"/>
  <c r="L2482" i="3"/>
  <c r="N2482" i="3" s="1"/>
  <c r="K2482" i="3"/>
  <c r="J2482" i="3"/>
  <c r="E2482" i="3"/>
  <c r="D2482" i="3"/>
  <c r="T2481" i="3"/>
  <c r="S2481" i="3"/>
  <c r="R2481" i="3"/>
  <c r="Q2481" i="3"/>
  <c r="P2481" i="3"/>
  <c r="O2481" i="3"/>
  <c r="M2481" i="3"/>
  <c r="L2481" i="3"/>
  <c r="N2481" i="3" s="1"/>
  <c r="K2481" i="3"/>
  <c r="J2481" i="3"/>
  <c r="E2481" i="3"/>
  <c r="D2481" i="3"/>
  <c r="T2480" i="3"/>
  <c r="S2480" i="3"/>
  <c r="R2480" i="3"/>
  <c r="Q2480" i="3"/>
  <c r="P2480" i="3"/>
  <c r="O2480" i="3"/>
  <c r="M2480" i="3"/>
  <c r="L2480" i="3"/>
  <c r="N2480" i="3" s="1"/>
  <c r="K2480" i="3"/>
  <c r="J2480" i="3"/>
  <c r="E2480" i="3"/>
  <c r="D2480" i="3"/>
  <c r="T2479" i="3"/>
  <c r="S2479" i="3"/>
  <c r="R2479" i="3"/>
  <c r="Q2479" i="3"/>
  <c r="P2479" i="3"/>
  <c r="O2479" i="3"/>
  <c r="M2479" i="3"/>
  <c r="L2479" i="3"/>
  <c r="N2479" i="3" s="1"/>
  <c r="K2479" i="3"/>
  <c r="J2479" i="3"/>
  <c r="E2479" i="3"/>
  <c r="D2479" i="3"/>
  <c r="T2478" i="3"/>
  <c r="S2478" i="3"/>
  <c r="R2478" i="3"/>
  <c r="Q2478" i="3"/>
  <c r="P2478" i="3"/>
  <c r="O2478" i="3"/>
  <c r="M2478" i="3"/>
  <c r="L2478" i="3"/>
  <c r="N2478" i="3" s="1"/>
  <c r="K2478" i="3"/>
  <c r="J2478" i="3"/>
  <c r="E2478" i="3"/>
  <c r="D2478" i="3"/>
  <c r="T2477" i="3"/>
  <c r="S2477" i="3"/>
  <c r="R2477" i="3"/>
  <c r="Q2477" i="3"/>
  <c r="P2477" i="3"/>
  <c r="O2477" i="3"/>
  <c r="M2477" i="3"/>
  <c r="L2477" i="3"/>
  <c r="N2477" i="3" s="1"/>
  <c r="K2477" i="3"/>
  <c r="J2477" i="3"/>
  <c r="E2477" i="3"/>
  <c r="D2477" i="3"/>
  <c r="T2476" i="3"/>
  <c r="S2476" i="3"/>
  <c r="R2476" i="3"/>
  <c r="Q2476" i="3"/>
  <c r="P2476" i="3"/>
  <c r="O2476" i="3"/>
  <c r="M2476" i="3"/>
  <c r="L2476" i="3"/>
  <c r="N2476" i="3" s="1"/>
  <c r="K2476" i="3"/>
  <c r="J2476" i="3"/>
  <c r="E2476" i="3"/>
  <c r="D2476" i="3"/>
  <c r="T2475" i="3"/>
  <c r="S2475" i="3"/>
  <c r="R2475" i="3"/>
  <c r="Q2475" i="3"/>
  <c r="P2475" i="3"/>
  <c r="O2475" i="3"/>
  <c r="M2475" i="3"/>
  <c r="L2475" i="3"/>
  <c r="N2475" i="3" s="1"/>
  <c r="K2475" i="3"/>
  <c r="J2475" i="3"/>
  <c r="E2475" i="3"/>
  <c r="D2475" i="3"/>
  <c r="T2474" i="3"/>
  <c r="S2474" i="3"/>
  <c r="R2474" i="3"/>
  <c r="Q2474" i="3"/>
  <c r="P2474" i="3"/>
  <c r="O2474" i="3"/>
  <c r="M2474" i="3"/>
  <c r="L2474" i="3"/>
  <c r="N2474" i="3" s="1"/>
  <c r="K2474" i="3"/>
  <c r="J2474" i="3"/>
  <c r="E2474" i="3"/>
  <c r="D2474" i="3"/>
  <c r="T2473" i="3"/>
  <c r="S2473" i="3"/>
  <c r="R2473" i="3"/>
  <c r="Q2473" i="3"/>
  <c r="P2473" i="3"/>
  <c r="O2473" i="3"/>
  <c r="M2473" i="3"/>
  <c r="L2473" i="3"/>
  <c r="N2473" i="3" s="1"/>
  <c r="K2473" i="3"/>
  <c r="J2473" i="3"/>
  <c r="E2473" i="3"/>
  <c r="D2473" i="3"/>
  <c r="T2472" i="3"/>
  <c r="S2472" i="3"/>
  <c r="R2472" i="3"/>
  <c r="Q2472" i="3"/>
  <c r="P2472" i="3"/>
  <c r="O2472" i="3"/>
  <c r="M2472" i="3"/>
  <c r="L2472" i="3"/>
  <c r="N2472" i="3" s="1"/>
  <c r="K2472" i="3"/>
  <c r="J2472" i="3"/>
  <c r="E2472" i="3"/>
  <c r="D2472" i="3"/>
  <c r="T2471" i="3"/>
  <c r="S2471" i="3"/>
  <c r="R2471" i="3"/>
  <c r="Q2471" i="3"/>
  <c r="P2471" i="3"/>
  <c r="O2471" i="3"/>
  <c r="M2471" i="3"/>
  <c r="L2471" i="3"/>
  <c r="N2471" i="3" s="1"/>
  <c r="K2471" i="3"/>
  <c r="J2471" i="3"/>
  <c r="E2471" i="3"/>
  <c r="D2471" i="3"/>
  <c r="T2470" i="3"/>
  <c r="S2470" i="3"/>
  <c r="R2470" i="3"/>
  <c r="Q2470" i="3"/>
  <c r="P2470" i="3"/>
  <c r="O2470" i="3"/>
  <c r="M2470" i="3"/>
  <c r="L2470" i="3"/>
  <c r="N2470" i="3" s="1"/>
  <c r="K2470" i="3"/>
  <c r="J2470" i="3"/>
  <c r="E2470" i="3"/>
  <c r="D2470" i="3"/>
  <c r="T2469" i="3"/>
  <c r="S2469" i="3"/>
  <c r="R2469" i="3"/>
  <c r="Q2469" i="3"/>
  <c r="P2469" i="3"/>
  <c r="O2469" i="3"/>
  <c r="M2469" i="3"/>
  <c r="L2469" i="3"/>
  <c r="N2469" i="3" s="1"/>
  <c r="K2469" i="3"/>
  <c r="J2469" i="3"/>
  <c r="E2469" i="3"/>
  <c r="D2469" i="3"/>
  <c r="T2468" i="3"/>
  <c r="S2468" i="3"/>
  <c r="R2468" i="3"/>
  <c r="Q2468" i="3"/>
  <c r="P2468" i="3"/>
  <c r="O2468" i="3"/>
  <c r="M2468" i="3"/>
  <c r="L2468" i="3"/>
  <c r="N2468" i="3" s="1"/>
  <c r="K2468" i="3"/>
  <c r="J2468" i="3"/>
  <c r="E2468" i="3"/>
  <c r="D2468" i="3"/>
  <c r="T2467" i="3"/>
  <c r="S2467" i="3"/>
  <c r="R2467" i="3"/>
  <c r="Q2467" i="3"/>
  <c r="P2467" i="3"/>
  <c r="O2467" i="3"/>
  <c r="M2467" i="3"/>
  <c r="L2467" i="3"/>
  <c r="N2467" i="3" s="1"/>
  <c r="K2467" i="3"/>
  <c r="J2467" i="3"/>
  <c r="E2467" i="3"/>
  <c r="D2467" i="3"/>
  <c r="T2466" i="3"/>
  <c r="S2466" i="3"/>
  <c r="R2466" i="3"/>
  <c r="Q2466" i="3"/>
  <c r="P2466" i="3"/>
  <c r="O2466" i="3"/>
  <c r="M2466" i="3"/>
  <c r="L2466" i="3"/>
  <c r="N2466" i="3" s="1"/>
  <c r="K2466" i="3"/>
  <c r="J2466" i="3"/>
  <c r="E2466" i="3"/>
  <c r="D2466" i="3"/>
  <c r="T2465" i="3"/>
  <c r="S2465" i="3"/>
  <c r="R2465" i="3"/>
  <c r="Q2465" i="3"/>
  <c r="P2465" i="3"/>
  <c r="O2465" i="3"/>
  <c r="M2465" i="3"/>
  <c r="L2465" i="3"/>
  <c r="N2465" i="3" s="1"/>
  <c r="K2465" i="3"/>
  <c r="J2465" i="3"/>
  <c r="E2465" i="3"/>
  <c r="D2465" i="3"/>
  <c r="T2464" i="3"/>
  <c r="S2464" i="3"/>
  <c r="R2464" i="3"/>
  <c r="Q2464" i="3"/>
  <c r="P2464" i="3"/>
  <c r="O2464" i="3"/>
  <c r="M2464" i="3"/>
  <c r="L2464" i="3"/>
  <c r="N2464" i="3" s="1"/>
  <c r="K2464" i="3"/>
  <c r="J2464" i="3"/>
  <c r="E2464" i="3"/>
  <c r="D2464" i="3"/>
  <c r="T2463" i="3"/>
  <c r="S2463" i="3"/>
  <c r="R2463" i="3"/>
  <c r="Q2463" i="3"/>
  <c r="P2463" i="3"/>
  <c r="O2463" i="3"/>
  <c r="M2463" i="3"/>
  <c r="L2463" i="3"/>
  <c r="N2463" i="3" s="1"/>
  <c r="K2463" i="3"/>
  <c r="J2463" i="3"/>
  <c r="E2463" i="3"/>
  <c r="D2463" i="3"/>
  <c r="T2462" i="3"/>
  <c r="S2462" i="3"/>
  <c r="R2462" i="3"/>
  <c r="Q2462" i="3"/>
  <c r="P2462" i="3"/>
  <c r="O2462" i="3"/>
  <c r="M2462" i="3"/>
  <c r="L2462" i="3"/>
  <c r="N2462" i="3" s="1"/>
  <c r="K2462" i="3"/>
  <c r="J2462" i="3"/>
  <c r="E2462" i="3"/>
  <c r="D2462" i="3"/>
  <c r="T2461" i="3"/>
  <c r="S2461" i="3"/>
  <c r="R2461" i="3"/>
  <c r="Q2461" i="3"/>
  <c r="P2461" i="3"/>
  <c r="O2461" i="3"/>
  <c r="M2461" i="3"/>
  <c r="L2461" i="3"/>
  <c r="N2461" i="3" s="1"/>
  <c r="K2461" i="3"/>
  <c r="J2461" i="3"/>
  <c r="E2461" i="3"/>
  <c r="D2461" i="3"/>
  <c r="T2460" i="3"/>
  <c r="S2460" i="3"/>
  <c r="R2460" i="3"/>
  <c r="Q2460" i="3"/>
  <c r="P2460" i="3"/>
  <c r="O2460" i="3"/>
  <c r="M2460" i="3"/>
  <c r="L2460" i="3"/>
  <c r="N2460" i="3" s="1"/>
  <c r="K2460" i="3"/>
  <c r="J2460" i="3"/>
  <c r="E2460" i="3"/>
  <c r="D2460" i="3"/>
  <c r="T2459" i="3"/>
  <c r="S2459" i="3"/>
  <c r="R2459" i="3"/>
  <c r="Q2459" i="3"/>
  <c r="P2459" i="3"/>
  <c r="O2459" i="3"/>
  <c r="M2459" i="3"/>
  <c r="L2459" i="3"/>
  <c r="N2459" i="3" s="1"/>
  <c r="K2459" i="3"/>
  <c r="J2459" i="3"/>
  <c r="E2459" i="3"/>
  <c r="D2459" i="3"/>
  <c r="T2458" i="3"/>
  <c r="S2458" i="3"/>
  <c r="R2458" i="3"/>
  <c r="Q2458" i="3"/>
  <c r="P2458" i="3"/>
  <c r="O2458" i="3"/>
  <c r="M2458" i="3"/>
  <c r="L2458" i="3"/>
  <c r="N2458" i="3" s="1"/>
  <c r="K2458" i="3"/>
  <c r="J2458" i="3"/>
  <c r="E2458" i="3"/>
  <c r="D2458" i="3"/>
  <c r="T2457" i="3"/>
  <c r="S2457" i="3"/>
  <c r="R2457" i="3"/>
  <c r="Q2457" i="3"/>
  <c r="P2457" i="3"/>
  <c r="O2457" i="3"/>
  <c r="M2457" i="3"/>
  <c r="L2457" i="3"/>
  <c r="N2457" i="3" s="1"/>
  <c r="K2457" i="3"/>
  <c r="J2457" i="3"/>
  <c r="E2457" i="3"/>
  <c r="D2457" i="3"/>
  <c r="T2456" i="3"/>
  <c r="S2456" i="3"/>
  <c r="R2456" i="3"/>
  <c r="Q2456" i="3"/>
  <c r="P2456" i="3"/>
  <c r="O2456" i="3"/>
  <c r="M2456" i="3"/>
  <c r="L2456" i="3"/>
  <c r="N2456" i="3" s="1"/>
  <c r="K2456" i="3"/>
  <c r="J2456" i="3"/>
  <c r="E2456" i="3"/>
  <c r="D2456" i="3"/>
  <c r="T2455" i="3"/>
  <c r="S2455" i="3"/>
  <c r="R2455" i="3"/>
  <c r="Q2455" i="3"/>
  <c r="P2455" i="3"/>
  <c r="O2455" i="3"/>
  <c r="M2455" i="3"/>
  <c r="L2455" i="3"/>
  <c r="N2455" i="3" s="1"/>
  <c r="K2455" i="3"/>
  <c r="J2455" i="3"/>
  <c r="E2455" i="3"/>
  <c r="D2455" i="3"/>
  <c r="T2454" i="3"/>
  <c r="S2454" i="3"/>
  <c r="R2454" i="3"/>
  <c r="Q2454" i="3"/>
  <c r="P2454" i="3"/>
  <c r="O2454" i="3"/>
  <c r="M2454" i="3"/>
  <c r="L2454" i="3"/>
  <c r="N2454" i="3" s="1"/>
  <c r="K2454" i="3"/>
  <c r="J2454" i="3"/>
  <c r="E2454" i="3"/>
  <c r="D2454" i="3"/>
  <c r="T2453" i="3"/>
  <c r="S2453" i="3"/>
  <c r="R2453" i="3"/>
  <c r="Q2453" i="3"/>
  <c r="P2453" i="3"/>
  <c r="O2453" i="3"/>
  <c r="M2453" i="3"/>
  <c r="L2453" i="3"/>
  <c r="N2453" i="3" s="1"/>
  <c r="K2453" i="3"/>
  <c r="J2453" i="3"/>
  <c r="E2453" i="3"/>
  <c r="D2453" i="3"/>
  <c r="T2452" i="3"/>
  <c r="S2452" i="3"/>
  <c r="R2452" i="3"/>
  <c r="Q2452" i="3"/>
  <c r="P2452" i="3"/>
  <c r="O2452" i="3"/>
  <c r="M2452" i="3"/>
  <c r="L2452" i="3"/>
  <c r="N2452" i="3" s="1"/>
  <c r="K2452" i="3"/>
  <c r="J2452" i="3"/>
  <c r="E2452" i="3"/>
  <c r="D2452" i="3"/>
  <c r="T2451" i="3"/>
  <c r="S2451" i="3"/>
  <c r="R2451" i="3"/>
  <c r="Q2451" i="3"/>
  <c r="P2451" i="3"/>
  <c r="O2451" i="3"/>
  <c r="M2451" i="3"/>
  <c r="L2451" i="3"/>
  <c r="N2451" i="3" s="1"/>
  <c r="K2451" i="3"/>
  <c r="J2451" i="3"/>
  <c r="E2451" i="3"/>
  <c r="D2451" i="3"/>
  <c r="T2450" i="3"/>
  <c r="S2450" i="3"/>
  <c r="R2450" i="3"/>
  <c r="Q2450" i="3"/>
  <c r="P2450" i="3"/>
  <c r="O2450" i="3"/>
  <c r="M2450" i="3"/>
  <c r="L2450" i="3"/>
  <c r="N2450" i="3" s="1"/>
  <c r="K2450" i="3"/>
  <c r="J2450" i="3"/>
  <c r="E2450" i="3"/>
  <c r="D2450" i="3"/>
  <c r="T2449" i="3"/>
  <c r="S2449" i="3"/>
  <c r="R2449" i="3"/>
  <c r="Q2449" i="3"/>
  <c r="P2449" i="3"/>
  <c r="O2449" i="3"/>
  <c r="M2449" i="3"/>
  <c r="L2449" i="3"/>
  <c r="N2449" i="3" s="1"/>
  <c r="K2449" i="3"/>
  <c r="J2449" i="3"/>
  <c r="E2449" i="3"/>
  <c r="D2449" i="3"/>
  <c r="T2448" i="3"/>
  <c r="S2448" i="3"/>
  <c r="R2448" i="3"/>
  <c r="Q2448" i="3"/>
  <c r="P2448" i="3"/>
  <c r="O2448" i="3"/>
  <c r="M2448" i="3"/>
  <c r="L2448" i="3"/>
  <c r="N2448" i="3" s="1"/>
  <c r="K2448" i="3"/>
  <c r="J2448" i="3"/>
  <c r="E2448" i="3"/>
  <c r="D2448" i="3"/>
  <c r="T2447" i="3"/>
  <c r="S2447" i="3"/>
  <c r="R2447" i="3"/>
  <c r="Q2447" i="3"/>
  <c r="P2447" i="3"/>
  <c r="O2447" i="3"/>
  <c r="M2447" i="3"/>
  <c r="L2447" i="3"/>
  <c r="N2447" i="3" s="1"/>
  <c r="K2447" i="3"/>
  <c r="J2447" i="3"/>
  <c r="E2447" i="3"/>
  <c r="D2447" i="3"/>
  <c r="T2446" i="3"/>
  <c r="S2446" i="3"/>
  <c r="R2446" i="3"/>
  <c r="Q2446" i="3"/>
  <c r="P2446" i="3"/>
  <c r="O2446" i="3"/>
  <c r="M2446" i="3"/>
  <c r="L2446" i="3"/>
  <c r="N2446" i="3" s="1"/>
  <c r="K2446" i="3"/>
  <c r="J2446" i="3"/>
  <c r="E2446" i="3"/>
  <c r="D2446" i="3"/>
  <c r="T2445" i="3"/>
  <c r="S2445" i="3"/>
  <c r="R2445" i="3"/>
  <c r="Q2445" i="3"/>
  <c r="P2445" i="3"/>
  <c r="O2445" i="3"/>
  <c r="M2445" i="3"/>
  <c r="L2445" i="3"/>
  <c r="N2445" i="3" s="1"/>
  <c r="K2445" i="3"/>
  <c r="J2445" i="3"/>
  <c r="E2445" i="3"/>
  <c r="D2445" i="3"/>
  <c r="T2444" i="3"/>
  <c r="S2444" i="3"/>
  <c r="R2444" i="3"/>
  <c r="Q2444" i="3"/>
  <c r="P2444" i="3"/>
  <c r="O2444" i="3"/>
  <c r="M2444" i="3"/>
  <c r="L2444" i="3"/>
  <c r="N2444" i="3" s="1"/>
  <c r="K2444" i="3"/>
  <c r="J2444" i="3"/>
  <c r="E2444" i="3"/>
  <c r="D2444" i="3"/>
  <c r="T2443" i="3"/>
  <c r="S2443" i="3"/>
  <c r="R2443" i="3"/>
  <c r="Q2443" i="3"/>
  <c r="P2443" i="3"/>
  <c r="O2443" i="3"/>
  <c r="M2443" i="3"/>
  <c r="L2443" i="3"/>
  <c r="N2443" i="3" s="1"/>
  <c r="K2443" i="3"/>
  <c r="J2443" i="3"/>
  <c r="E2443" i="3"/>
  <c r="D2443" i="3"/>
  <c r="T2442" i="3"/>
  <c r="S2442" i="3"/>
  <c r="R2442" i="3"/>
  <c r="Q2442" i="3"/>
  <c r="P2442" i="3"/>
  <c r="O2442" i="3"/>
  <c r="M2442" i="3"/>
  <c r="L2442" i="3"/>
  <c r="N2442" i="3" s="1"/>
  <c r="K2442" i="3"/>
  <c r="J2442" i="3"/>
  <c r="E2442" i="3"/>
  <c r="D2442" i="3"/>
  <c r="T2441" i="3"/>
  <c r="S2441" i="3"/>
  <c r="R2441" i="3"/>
  <c r="Q2441" i="3"/>
  <c r="P2441" i="3"/>
  <c r="O2441" i="3"/>
  <c r="M2441" i="3"/>
  <c r="L2441" i="3"/>
  <c r="N2441" i="3" s="1"/>
  <c r="K2441" i="3"/>
  <c r="J2441" i="3"/>
  <c r="E2441" i="3"/>
  <c r="D2441" i="3"/>
  <c r="T2440" i="3"/>
  <c r="S2440" i="3"/>
  <c r="R2440" i="3"/>
  <c r="Q2440" i="3"/>
  <c r="P2440" i="3"/>
  <c r="O2440" i="3"/>
  <c r="M2440" i="3"/>
  <c r="L2440" i="3"/>
  <c r="N2440" i="3" s="1"/>
  <c r="K2440" i="3"/>
  <c r="J2440" i="3"/>
  <c r="E2440" i="3"/>
  <c r="D2440" i="3"/>
  <c r="T2439" i="3"/>
  <c r="S2439" i="3"/>
  <c r="R2439" i="3"/>
  <c r="Q2439" i="3"/>
  <c r="P2439" i="3"/>
  <c r="O2439" i="3"/>
  <c r="M2439" i="3"/>
  <c r="L2439" i="3"/>
  <c r="N2439" i="3" s="1"/>
  <c r="K2439" i="3"/>
  <c r="J2439" i="3"/>
  <c r="E2439" i="3"/>
  <c r="D2439" i="3"/>
  <c r="T2438" i="3"/>
  <c r="S2438" i="3"/>
  <c r="R2438" i="3"/>
  <c r="Q2438" i="3"/>
  <c r="P2438" i="3"/>
  <c r="O2438" i="3"/>
  <c r="M2438" i="3"/>
  <c r="L2438" i="3"/>
  <c r="N2438" i="3" s="1"/>
  <c r="K2438" i="3"/>
  <c r="J2438" i="3"/>
  <c r="E2438" i="3"/>
  <c r="D2438" i="3"/>
  <c r="T2437" i="3"/>
  <c r="S2437" i="3"/>
  <c r="R2437" i="3"/>
  <c r="Q2437" i="3"/>
  <c r="P2437" i="3"/>
  <c r="O2437" i="3"/>
  <c r="M2437" i="3"/>
  <c r="L2437" i="3"/>
  <c r="N2437" i="3" s="1"/>
  <c r="K2437" i="3"/>
  <c r="J2437" i="3"/>
  <c r="E2437" i="3"/>
  <c r="D2437" i="3"/>
  <c r="T2436" i="3"/>
  <c r="S2436" i="3"/>
  <c r="R2436" i="3"/>
  <c r="Q2436" i="3"/>
  <c r="P2436" i="3"/>
  <c r="O2436" i="3"/>
  <c r="M2436" i="3"/>
  <c r="L2436" i="3"/>
  <c r="N2436" i="3" s="1"/>
  <c r="K2436" i="3"/>
  <c r="J2436" i="3"/>
  <c r="E2436" i="3"/>
  <c r="D2436" i="3"/>
  <c r="T2435" i="3"/>
  <c r="S2435" i="3"/>
  <c r="R2435" i="3"/>
  <c r="Q2435" i="3"/>
  <c r="P2435" i="3"/>
  <c r="O2435" i="3"/>
  <c r="M2435" i="3"/>
  <c r="L2435" i="3"/>
  <c r="N2435" i="3" s="1"/>
  <c r="K2435" i="3"/>
  <c r="J2435" i="3"/>
  <c r="E2435" i="3"/>
  <c r="D2435" i="3"/>
  <c r="T2434" i="3"/>
  <c r="S2434" i="3"/>
  <c r="R2434" i="3"/>
  <c r="Q2434" i="3"/>
  <c r="P2434" i="3"/>
  <c r="O2434" i="3"/>
  <c r="M2434" i="3"/>
  <c r="L2434" i="3"/>
  <c r="N2434" i="3" s="1"/>
  <c r="K2434" i="3"/>
  <c r="J2434" i="3"/>
  <c r="E2434" i="3"/>
  <c r="D2434" i="3"/>
  <c r="T2433" i="3"/>
  <c r="S2433" i="3"/>
  <c r="R2433" i="3"/>
  <c r="Q2433" i="3"/>
  <c r="P2433" i="3"/>
  <c r="O2433" i="3"/>
  <c r="M2433" i="3"/>
  <c r="L2433" i="3"/>
  <c r="N2433" i="3" s="1"/>
  <c r="K2433" i="3"/>
  <c r="J2433" i="3"/>
  <c r="E2433" i="3"/>
  <c r="D2433" i="3"/>
  <c r="T2432" i="3"/>
  <c r="S2432" i="3"/>
  <c r="R2432" i="3"/>
  <c r="Q2432" i="3"/>
  <c r="P2432" i="3"/>
  <c r="O2432" i="3"/>
  <c r="M2432" i="3"/>
  <c r="L2432" i="3"/>
  <c r="N2432" i="3" s="1"/>
  <c r="K2432" i="3"/>
  <c r="J2432" i="3"/>
  <c r="E2432" i="3"/>
  <c r="D2432" i="3"/>
  <c r="T2431" i="3"/>
  <c r="S2431" i="3"/>
  <c r="R2431" i="3"/>
  <c r="Q2431" i="3"/>
  <c r="P2431" i="3"/>
  <c r="O2431" i="3"/>
  <c r="M2431" i="3"/>
  <c r="L2431" i="3"/>
  <c r="N2431" i="3" s="1"/>
  <c r="K2431" i="3"/>
  <c r="J2431" i="3"/>
  <c r="E2431" i="3"/>
  <c r="D2431" i="3"/>
  <c r="T2430" i="3"/>
  <c r="S2430" i="3"/>
  <c r="R2430" i="3"/>
  <c r="Q2430" i="3"/>
  <c r="P2430" i="3"/>
  <c r="O2430" i="3"/>
  <c r="M2430" i="3"/>
  <c r="L2430" i="3"/>
  <c r="N2430" i="3" s="1"/>
  <c r="K2430" i="3"/>
  <c r="J2430" i="3"/>
  <c r="E2430" i="3"/>
  <c r="D2430" i="3"/>
  <c r="T2429" i="3"/>
  <c r="S2429" i="3"/>
  <c r="R2429" i="3"/>
  <c r="Q2429" i="3"/>
  <c r="P2429" i="3"/>
  <c r="O2429" i="3"/>
  <c r="M2429" i="3"/>
  <c r="L2429" i="3"/>
  <c r="N2429" i="3" s="1"/>
  <c r="K2429" i="3"/>
  <c r="J2429" i="3"/>
  <c r="E2429" i="3"/>
  <c r="D2429" i="3"/>
  <c r="T2428" i="3"/>
  <c r="S2428" i="3"/>
  <c r="R2428" i="3"/>
  <c r="Q2428" i="3"/>
  <c r="P2428" i="3"/>
  <c r="O2428" i="3"/>
  <c r="M2428" i="3"/>
  <c r="L2428" i="3"/>
  <c r="N2428" i="3" s="1"/>
  <c r="K2428" i="3"/>
  <c r="J2428" i="3"/>
  <c r="E2428" i="3"/>
  <c r="D2428" i="3"/>
  <c r="T2427" i="3"/>
  <c r="S2427" i="3"/>
  <c r="R2427" i="3"/>
  <c r="Q2427" i="3"/>
  <c r="P2427" i="3"/>
  <c r="O2427" i="3"/>
  <c r="M2427" i="3"/>
  <c r="L2427" i="3"/>
  <c r="N2427" i="3" s="1"/>
  <c r="K2427" i="3"/>
  <c r="J2427" i="3"/>
  <c r="E2427" i="3"/>
  <c r="D2427" i="3"/>
  <c r="T2426" i="3"/>
  <c r="S2426" i="3"/>
  <c r="R2426" i="3"/>
  <c r="Q2426" i="3"/>
  <c r="P2426" i="3"/>
  <c r="O2426" i="3"/>
  <c r="M2426" i="3"/>
  <c r="L2426" i="3"/>
  <c r="N2426" i="3" s="1"/>
  <c r="K2426" i="3"/>
  <c r="J2426" i="3"/>
  <c r="E2426" i="3"/>
  <c r="D2426" i="3"/>
  <c r="T2425" i="3"/>
  <c r="S2425" i="3"/>
  <c r="R2425" i="3"/>
  <c r="Q2425" i="3"/>
  <c r="P2425" i="3"/>
  <c r="O2425" i="3"/>
  <c r="M2425" i="3"/>
  <c r="L2425" i="3"/>
  <c r="N2425" i="3" s="1"/>
  <c r="K2425" i="3"/>
  <c r="J2425" i="3"/>
  <c r="E2425" i="3"/>
  <c r="D2425" i="3"/>
  <c r="T2424" i="3"/>
  <c r="S2424" i="3"/>
  <c r="R2424" i="3"/>
  <c r="Q2424" i="3"/>
  <c r="P2424" i="3"/>
  <c r="O2424" i="3"/>
  <c r="M2424" i="3"/>
  <c r="L2424" i="3"/>
  <c r="N2424" i="3" s="1"/>
  <c r="K2424" i="3"/>
  <c r="J2424" i="3"/>
  <c r="E2424" i="3"/>
  <c r="D2424" i="3"/>
  <c r="T2423" i="3"/>
  <c r="S2423" i="3"/>
  <c r="R2423" i="3"/>
  <c r="Q2423" i="3"/>
  <c r="P2423" i="3"/>
  <c r="O2423" i="3"/>
  <c r="M2423" i="3"/>
  <c r="L2423" i="3"/>
  <c r="N2423" i="3" s="1"/>
  <c r="K2423" i="3"/>
  <c r="J2423" i="3"/>
  <c r="E2423" i="3"/>
  <c r="D2423" i="3"/>
  <c r="T2422" i="3"/>
  <c r="S2422" i="3"/>
  <c r="R2422" i="3"/>
  <c r="Q2422" i="3"/>
  <c r="P2422" i="3"/>
  <c r="O2422" i="3"/>
  <c r="M2422" i="3"/>
  <c r="L2422" i="3"/>
  <c r="N2422" i="3" s="1"/>
  <c r="K2422" i="3"/>
  <c r="J2422" i="3"/>
  <c r="E2422" i="3"/>
  <c r="D2422" i="3"/>
  <c r="T2421" i="3"/>
  <c r="S2421" i="3"/>
  <c r="R2421" i="3"/>
  <c r="Q2421" i="3"/>
  <c r="P2421" i="3"/>
  <c r="O2421" i="3"/>
  <c r="M2421" i="3"/>
  <c r="L2421" i="3"/>
  <c r="N2421" i="3" s="1"/>
  <c r="K2421" i="3"/>
  <c r="J2421" i="3"/>
  <c r="E2421" i="3"/>
  <c r="D2421" i="3"/>
  <c r="T2420" i="3"/>
  <c r="S2420" i="3"/>
  <c r="R2420" i="3"/>
  <c r="Q2420" i="3"/>
  <c r="P2420" i="3"/>
  <c r="O2420" i="3"/>
  <c r="M2420" i="3"/>
  <c r="L2420" i="3"/>
  <c r="N2420" i="3" s="1"/>
  <c r="K2420" i="3"/>
  <c r="J2420" i="3"/>
  <c r="E2420" i="3"/>
  <c r="D2420" i="3"/>
  <c r="T2419" i="3"/>
  <c r="S2419" i="3"/>
  <c r="R2419" i="3"/>
  <c r="Q2419" i="3"/>
  <c r="P2419" i="3"/>
  <c r="O2419" i="3"/>
  <c r="M2419" i="3"/>
  <c r="L2419" i="3"/>
  <c r="N2419" i="3" s="1"/>
  <c r="K2419" i="3"/>
  <c r="J2419" i="3"/>
  <c r="E2419" i="3"/>
  <c r="D2419" i="3"/>
  <c r="T2418" i="3"/>
  <c r="S2418" i="3"/>
  <c r="R2418" i="3"/>
  <c r="Q2418" i="3"/>
  <c r="P2418" i="3"/>
  <c r="O2418" i="3"/>
  <c r="M2418" i="3"/>
  <c r="L2418" i="3"/>
  <c r="N2418" i="3" s="1"/>
  <c r="K2418" i="3"/>
  <c r="J2418" i="3"/>
  <c r="E2418" i="3"/>
  <c r="D2418" i="3"/>
  <c r="T2417" i="3"/>
  <c r="S2417" i="3"/>
  <c r="R2417" i="3"/>
  <c r="Q2417" i="3"/>
  <c r="P2417" i="3"/>
  <c r="O2417" i="3"/>
  <c r="M2417" i="3"/>
  <c r="L2417" i="3"/>
  <c r="N2417" i="3" s="1"/>
  <c r="K2417" i="3"/>
  <c r="J2417" i="3"/>
  <c r="E2417" i="3"/>
  <c r="D2417" i="3"/>
  <c r="T2416" i="3"/>
  <c r="S2416" i="3"/>
  <c r="R2416" i="3"/>
  <c r="Q2416" i="3"/>
  <c r="P2416" i="3"/>
  <c r="O2416" i="3"/>
  <c r="M2416" i="3"/>
  <c r="L2416" i="3"/>
  <c r="N2416" i="3" s="1"/>
  <c r="K2416" i="3"/>
  <c r="J2416" i="3"/>
  <c r="E2416" i="3"/>
  <c r="D2416" i="3"/>
  <c r="T2415" i="3"/>
  <c r="S2415" i="3"/>
  <c r="R2415" i="3"/>
  <c r="Q2415" i="3"/>
  <c r="P2415" i="3"/>
  <c r="O2415" i="3"/>
  <c r="M2415" i="3"/>
  <c r="L2415" i="3"/>
  <c r="N2415" i="3" s="1"/>
  <c r="K2415" i="3"/>
  <c r="J2415" i="3"/>
  <c r="E2415" i="3"/>
  <c r="D2415" i="3"/>
  <c r="T2414" i="3"/>
  <c r="S2414" i="3"/>
  <c r="R2414" i="3"/>
  <c r="Q2414" i="3"/>
  <c r="P2414" i="3"/>
  <c r="O2414" i="3"/>
  <c r="M2414" i="3"/>
  <c r="L2414" i="3"/>
  <c r="N2414" i="3" s="1"/>
  <c r="K2414" i="3"/>
  <c r="J2414" i="3"/>
  <c r="E2414" i="3"/>
  <c r="D2414" i="3"/>
  <c r="T2413" i="3"/>
  <c r="S2413" i="3"/>
  <c r="R2413" i="3"/>
  <c r="Q2413" i="3"/>
  <c r="P2413" i="3"/>
  <c r="O2413" i="3"/>
  <c r="M2413" i="3"/>
  <c r="L2413" i="3"/>
  <c r="N2413" i="3" s="1"/>
  <c r="K2413" i="3"/>
  <c r="J2413" i="3"/>
  <c r="E2413" i="3"/>
  <c r="D2413" i="3"/>
  <c r="T2412" i="3"/>
  <c r="S2412" i="3"/>
  <c r="R2412" i="3"/>
  <c r="Q2412" i="3"/>
  <c r="P2412" i="3"/>
  <c r="O2412" i="3"/>
  <c r="M2412" i="3"/>
  <c r="L2412" i="3"/>
  <c r="N2412" i="3" s="1"/>
  <c r="K2412" i="3"/>
  <c r="J2412" i="3"/>
  <c r="E2412" i="3"/>
  <c r="D2412" i="3"/>
  <c r="T2411" i="3"/>
  <c r="S2411" i="3"/>
  <c r="R2411" i="3"/>
  <c r="Q2411" i="3"/>
  <c r="P2411" i="3"/>
  <c r="O2411" i="3"/>
  <c r="M2411" i="3"/>
  <c r="L2411" i="3"/>
  <c r="N2411" i="3" s="1"/>
  <c r="K2411" i="3"/>
  <c r="J2411" i="3"/>
  <c r="E2411" i="3"/>
  <c r="D2411" i="3"/>
  <c r="T2410" i="3"/>
  <c r="S2410" i="3"/>
  <c r="R2410" i="3"/>
  <c r="Q2410" i="3"/>
  <c r="P2410" i="3"/>
  <c r="O2410" i="3"/>
  <c r="M2410" i="3"/>
  <c r="L2410" i="3"/>
  <c r="N2410" i="3" s="1"/>
  <c r="K2410" i="3"/>
  <c r="J2410" i="3"/>
  <c r="E2410" i="3"/>
  <c r="D2410" i="3"/>
  <c r="T2409" i="3"/>
  <c r="S2409" i="3"/>
  <c r="R2409" i="3"/>
  <c r="Q2409" i="3"/>
  <c r="P2409" i="3"/>
  <c r="O2409" i="3"/>
  <c r="M2409" i="3"/>
  <c r="L2409" i="3"/>
  <c r="N2409" i="3" s="1"/>
  <c r="K2409" i="3"/>
  <c r="J2409" i="3"/>
  <c r="E2409" i="3"/>
  <c r="D2409" i="3"/>
  <c r="T2408" i="3"/>
  <c r="S2408" i="3"/>
  <c r="R2408" i="3"/>
  <c r="Q2408" i="3"/>
  <c r="P2408" i="3"/>
  <c r="O2408" i="3"/>
  <c r="M2408" i="3"/>
  <c r="L2408" i="3"/>
  <c r="N2408" i="3" s="1"/>
  <c r="K2408" i="3"/>
  <c r="J2408" i="3"/>
  <c r="E2408" i="3"/>
  <c r="D2408" i="3"/>
  <c r="T2407" i="3"/>
  <c r="S2407" i="3"/>
  <c r="R2407" i="3"/>
  <c r="Q2407" i="3"/>
  <c r="P2407" i="3"/>
  <c r="O2407" i="3"/>
  <c r="M2407" i="3"/>
  <c r="L2407" i="3"/>
  <c r="N2407" i="3" s="1"/>
  <c r="K2407" i="3"/>
  <c r="J2407" i="3"/>
  <c r="E2407" i="3"/>
  <c r="D2407" i="3"/>
  <c r="T2406" i="3"/>
  <c r="S2406" i="3"/>
  <c r="R2406" i="3"/>
  <c r="Q2406" i="3"/>
  <c r="P2406" i="3"/>
  <c r="O2406" i="3"/>
  <c r="M2406" i="3"/>
  <c r="L2406" i="3"/>
  <c r="N2406" i="3" s="1"/>
  <c r="K2406" i="3"/>
  <c r="J2406" i="3"/>
  <c r="E2406" i="3"/>
  <c r="D2406" i="3"/>
  <c r="T2405" i="3"/>
  <c r="S2405" i="3"/>
  <c r="R2405" i="3"/>
  <c r="Q2405" i="3"/>
  <c r="P2405" i="3"/>
  <c r="O2405" i="3"/>
  <c r="M2405" i="3"/>
  <c r="L2405" i="3"/>
  <c r="N2405" i="3" s="1"/>
  <c r="K2405" i="3"/>
  <c r="J2405" i="3"/>
  <c r="E2405" i="3"/>
  <c r="D2405" i="3"/>
  <c r="T2404" i="3"/>
  <c r="S2404" i="3"/>
  <c r="R2404" i="3"/>
  <c r="Q2404" i="3"/>
  <c r="P2404" i="3"/>
  <c r="O2404" i="3"/>
  <c r="M2404" i="3"/>
  <c r="L2404" i="3"/>
  <c r="N2404" i="3" s="1"/>
  <c r="K2404" i="3"/>
  <c r="J2404" i="3"/>
  <c r="E2404" i="3"/>
  <c r="D2404" i="3"/>
  <c r="T2403" i="3"/>
  <c r="S2403" i="3"/>
  <c r="R2403" i="3"/>
  <c r="Q2403" i="3"/>
  <c r="P2403" i="3"/>
  <c r="O2403" i="3"/>
  <c r="M2403" i="3"/>
  <c r="L2403" i="3"/>
  <c r="N2403" i="3" s="1"/>
  <c r="K2403" i="3"/>
  <c r="J2403" i="3"/>
  <c r="E2403" i="3"/>
  <c r="D2403" i="3"/>
  <c r="T2402" i="3"/>
  <c r="S2402" i="3"/>
  <c r="R2402" i="3"/>
  <c r="Q2402" i="3"/>
  <c r="P2402" i="3"/>
  <c r="O2402" i="3"/>
  <c r="M2402" i="3"/>
  <c r="L2402" i="3"/>
  <c r="N2402" i="3" s="1"/>
  <c r="K2402" i="3"/>
  <c r="J2402" i="3"/>
  <c r="E2402" i="3"/>
  <c r="D2402" i="3"/>
  <c r="T2401" i="3"/>
  <c r="S2401" i="3"/>
  <c r="R2401" i="3"/>
  <c r="Q2401" i="3"/>
  <c r="P2401" i="3"/>
  <c r="O2401" i="3"/>
  <c r="M2401" i="3"/>
  <c r="L2401" i="3"/>
  <c r="N2401" i="3" s="1"/>
  <c r="K2401" i="3"/>
  <c r="J2401" i="3"/>
  <c r="E2401" i="3"/>
  <c r="D2401" i="3"/>
  <c r="T2400" i="3"/>
  <c r="S2400" i="3"/>
  <c r="R2400" i="3"/>
  <c r="Q2400" i="3"/>
  <c r="P2400" i="3"/>
  <c r="O2400" i="3"/>
  <c r="M2400" i="3"/>
  <c r="L2400" i="3"/>
  <c r="N2400" i="3" s="1"/>
  <c r="K2400" i="3"/>
  <c r="J2400" i="3"/>
  <c r="E2400" i="3"/>
  <c r="D2400" i="3"/>
  <c r="T2399" i="3"/>
  <c r="S2399" i="3"/>
  <c r="R2399" i="3"/>
  <c r="Q2399" i="3"/>
  <c r="P2399" i="3"/>
  <c r="O2399" i="3"/>
  <c r="M2399" i="3"/>
  <c r="L2399" i="3"/>
  <c r="N2399" i="3" s="1"/>
  <c r="K2399" i="3"/>
  <c r="J2399" i="3"/>
  <c r="E2399" i="3"/>
  <c r="D2399" i="3"/>
  <c r="T2398" i="3"/>
  <c r="S2398" i="3"/>
  <c r="R2398" i="3"/>
  <c r="Q2398" i="3"/>
  <c r="P2398" i="3"/>
  <c r="O2398" i="3"/>
  <c r="M2398" i="3"/>
  <c r="L2398" i="3"/>
  <c r="N2398" i="3" s="1"/>
  <c r="K2398" i="3"/>
  <c r="J2398" i="3"/>
  <c r="E2398" i="3"/>
  <c r="D2398" i="3"/>
  <c r="T2397" i="3"/>
  <c r="S2397" i="3"/>
  <c r="R2397" i="3"/>
  <c r="Q2397" i="3"/>
  <c r="P2397" i="3"/>
  <c r="O2397" i="3"/>
  <c r="M2397" i="3"/>
  <c r="L2397" i="3"/>
  <c r="N2397" i="3" s="1"/>
  <c r="K2397" i="3"/>
  <c r="J2397" i="3"/>
  <c r="E2397" i="3"/>
  <c r="D2397" i="3"/>
  <c r="T2396" i="3"/>
  <c r="S2396" i="3"/>
  <c r="R2396" i="3"/>
  <c r="Q2396" i="3"/>
  <c r="P2396" i="3"/>
  <c r="O2396" i="3"/>
  <c r="M2396" i="3"/>
  <c r="L2396" i="3"/>
  <c r="N2396" i="3" s="1"/>
  <c r="K2396" i="3"/>
  <c r="J2396" i="3"/>
  <c r="E2396" i="3"/>
  <c r="D2396" i="3"/>
  <c r="T2395" i="3"/>
  <c r="S2395" i="3"/>
  <c r="R2395" i="3"/>
  <c r="Q2395" i="3"/>
  <c r="P2395" i="3"/>
  <c r="O2395" i="3"/>
  <c r="M2395" i="3"/>
  <c r="L2395" i="3"/>
  <c r="N2395" i="3" s="1"/>
  <c r="K2395" i="3"/>
  <c r="J2395" i="3"/>
  <c r="E2395" i="3"/>
  <c r="D2395" i="3"/>
  <c r="T2394" i="3"/>
  <c r="S2394" i="3"/>
  <c r="R2394" i="3"/>
  <c r="Q2394" i="3"/>
  <c r="P2394" i="3"/>
  <c r="O2394" i="3"/>
  <c r="M2394" i="3"/>
  <c r="L2394" i="3"/>
  <c r="N2394" i="3" s="1"/>
  <c r="K2394" i="3"/>
  <c r="J2394" i="3"/>
  <c r="E2394" i="3"/>
  <c r="D2394" i="3"/>
  <c r="T2393" i="3"/>
  <c r="S2393" i="3"/>
  <c r="R2393" i="3"/>
  <c r="Q2393" i="3"/>
  <c r="P2393" i="3"/>
  <c r="O2393" i="3"/>
  <c r="M2393" i="3"/>
  <c r="L2393" i="3"/>
  <c r="N2393" i="3" s="1"/>
  <c r="K2393" i="3"/>
  <c r="J2393" i="3"/>
  <c r="E2393" i="3"/>
  <c r="D2393" i="3"/>
  <c r="T2392" i="3"/>
  <c r="S2392" i="3"/>
  <c r="R2392" i="3"/>
  <c r="Q2392" i="3"/>
  <c r="P2392" i="3"/>
  <c r="O2392" i="3"/>
  <c r="M2392" i="3"/>
  <c r="L2392" i="3"/>
  <c r="N2392" i="3" s="1"/>
  <c r="K2392" i="3"/>
  <c r="J2392" i="3"/>
  <c r="E2392" i="3"/>
  <c r="D2392" i="3"/>
  <c r="T2391" i="3"/>
  <c r="S2391" i="3"/>
  <c r="R2391" i="3"/>
  <c r="Q2391" i="3"/>
  <c r="P2391" i="3"/>
  <c r="O2391" i="3"/>
  <c r="M2391" i="3"/>
  <c r="L2391" i="3"/>
  <c r="N2391" i="3" s="1"/>
  <c r="K2391" i="3"/>
  <c r="J2391" i="3"/>
  <c r="E2391" i="3"/>
  <c r="D2391" i="3"/>
  <c r="T2390" i="3"/>
  <c r="S2390" i="3"/>
  <c r="R2390" i="3"/>
  <c r="Q2390" i="3"/>
  <c r="P2390" i="3"/>
  <c r="O2390" i="3"/>
  <c r="M2390" i="3"/>
  <c r="L2390" i="3"/>
  <c r="N2390" i="3" s="1"/>
  <c r="K2390" i="3"/>
  <c r="J2390" i="3"/>
  <c r="E2390" i="3"/>
  <c r="D2390" i="3"/>
  <c r="T2389" i="3"/>
  <c r="S2389" i="3"/>
  <c r="R2389" i="3"/>
  <c r="Q2389" i="3"/>
  <c r="P2389" i="3"/>
  <c r="O2389" i="3"/>
  <c r="M2389" i="3"/>
  <c r="L2389" i="3"/>
  <c r="N2389" i="3" s="1"/>
  <c r="K2389" i="3"/>
  <c r="J2389" i="3"/>
  <c r="E2389" i="3"/>
  <c r="D2389" i="3"/>
  <c r="T2388" i="3"/>
  <c r="S2388" i="3"/>
  <c r="R2388" i="3"/>
  <c r="Q2388" i="3"/>
  <c r="P2388" i="3"/>
  <c r="O2388" i="3"/>
  <c r="M2388" i="3"/>
  <c r="L2388" i="3"/>
  <c r="N2388" i="3" s="1"/>
  <c r="K2388" i="3"/>
  <c r="J2388" i="3"/>
  <c r="E2388" i="3"/>
  <c r="D2388" i="3"/>
  <c r="T2387" i="3"/>
  <c r="S2387" i="3"/>
  <c r="R2387" i="3"/>
  <c r="Q2387" i="3"/>
  <c r="P2387" i="3"/>
  <c r="O2387" i="3"/>
  <c r="M2387" i="3"/>
  <c r="L2387" i="3"/>
  <c r="N2387" i="3" s="1"/>
  <c r="K2387" i="3"/>
  <c r="J2387" i="3"/>
  <c r="E2387" i="3"/>
  <c r="D2387" i="3"/>
  <c r="T2386" i="3"/>
  <c r="S2386" i="3"/>
  <c r="R2386" i="3"/>
  <c r="Q2386" i="3"/>
  <c r="P2386" i="3"/>
  <c r="O2386" i="3"/>
  <c r="M2386" i="3"/>
  <c r="L2386" i="3"/>
  <c r="N2386" i="3" s="1"/>
  <c r="K2386" i="3"/>
  <c r="J2386" i="3"/>
  <c r="E2386" i="3"/>
  <c r="D2386" i="3"/>
  <c r="T2385" i="3"/>
  <c r="S2385" i="3"/>
  <c r="R2385" i="3"/>
  <c r="Q2385" i="3"/>
  <c r="P2385" i="3"/>
  <c r="O2385" i="3"/>
  <c r="M2385" i="3"/>
  <c r="L2385" i="3"/>
  <c r="N2385" i="3" s="1"/>
  <c r="K2385" i="3"/>
  <c r="J2385" i="3"/>
  <c r="E2385" i="3"/>
  <c r="D2385" i="3"/>
  <c r="T2384" i="3"/>
  <c r="S2384" i="3"/>
  <c r="R2384" i="3"/>
  <c r="Q2384" i="3"/>
  <c r="P2384" i="3"/>
  <c r="O2384" i="3"/>
  <c r="M2384" i="3"/>
  <c r="L2384" i="3"/>
  <c r="N2384" i="3" s="1"/>
  <c r="K2384" i="3"/>
  <c r="J2384" i="3"/>
  <c r="E2384" i="3"/>
  <c r="D2384" i="3"/>
  <c r="T2383" i="3"/>
  <c r="S2383" i="3"/>
  <c r="R2383" i="3"/>
  <c r="Q2383" i="3"/>
  <c r="P2383" i="3"/>
  <c r="O2383" i="3"/>
  <c r="M2383" i="3"/>
  <c r="L2383" i="3"/>
  <c r="N2383" i="3" s="1"/>
  <c r="K2383" i="3"/>
  <c r="J2383" i="3"/>
  <c r="E2383" i="3"/>
  <c r="D2383" i="3"/>
  <c r="T2382" i="3"/>
  <c r="S2382" i="3"/>
  <c r="R2382" i="3"/>
  <c r="Q2382" i="3"/>
  <c r="P2382" i="3"/>
  <c r="O2382" i="3"/>
  <c r="M2382" i="3"/>
  <c r="L2382" i="3"/>
  <c r="N2382" i="3" s="1"/>
  <c r="K2382" i="3"/>
  <c r="J2382" i="3"/>
  <c r="E2382" i="3"/>
  <c r="D2382" i="3"/>
  <c r="T2381" i="3"/>
  <c r="S2381" i="3"/>
  <c r="R2381" i="3"/>
  <c r="Q2381" i="3"/>
  <c r="P2381" i="3"/>
  <c r="O2381" i="3"/>
  <c r="M2381" i="3"/>
  <c r="L2381" i="3"/>
  <c r="N2381" i="3" s="1"/>
  <c r="K2381" i="3"/>
  <c r="J2381" i="3"/>
  <c r="E2381" i="3"/>
  <c r="D2381" i="3"/>
  <c r="T2380" i="3"/>
  <c r="S2380" i="3"/>
  <c r="R2380" i="3"/>
  <c r="Q2380" i="3"/>
  <c r="P2380" i="3"/>
  <c r="O2380" i="3"/>
  <c r="M2380" i="3"/>
  <c r="L2380" i="3"/>
  <c r="N2380" i="3" s="1"/>
  <c r="K2380" i="3"/>
  <c r="J2380" i="3"/>
  <c r="E2380" i="3"/>
  <c r="D2380" i="3"/>
  <c r="T2379" i="3"/>
  <c r="S2379" i="3"/>
  <c r="R2379" i="3"/>
  <c r="Q2379" i="3"/>
  <c r="P2379" i="3"/>
  <c r="O2379" i="3"/>
  <c r="M2379" i="3"/>
  <c r="L2379" i="3"/>
  <c r="N2379" i="3" s="1"/>
  <c r="K2379" i="3"/>
  <c r="J2379" i="3"/>
  <c r="E2379" i="3"/>
  <c r="D2379" i="3"/>
  <c r="T2378" i="3"/>
  <c r="S2378" i="3"/>
  <c r="R2378" i="3"/>
  <c r="Q2378" i="3"/>
  <c r="P2378" i="3"/>
  <c r="O2378" i="3"/>
  <c r="M2378" i="3"/>
  <c r="L2378" i="3"/>
  <c r="N2378" i="3" s="1"/>
  <c r="K2378" i="3"/>
  <c r="J2378" i="3"/>
  <c r="E2378" i="3"/>
  <c r="D2378" i="3"/>
  <c r="T2377" i="3"/>
  <c r="S2377" i="3"/>
  <c r="R2377" i="3"/>
  <c r="Q2377" i="3"/>
  <c r="P2377" i="3"/>
  <c r="O2377" i="3"/>
  <c r="M2377" i="3"/>
  <c r="L2377" i="3"/>
  <c r="N2377" i="3" s="1"/>
  <c r="K2377" i="3"/>
  <c r="J2377" i="3"/>
  <c r="E2377" i="3"/>
  <c r="D2377" i="3"/>
  <c r="T2376" i="3"/>
  <c r="S2376" i="3"/>
  <c r="R2376" i="3"/>
  <c r="Q2376" i="3"/>
  <c r="P2376" i="3"/>
  <c r="O2376" i="3"/>
  <c r="M2376" i="3"/>
  <c r="L2376" i="3"/>
  <c r="N2376" i="3" s="1"/>
  <c r="K2376" i="3"/>
  <c r="J2376" i="3"/>
  <c r="E2376" i="3"/>
  <c r="D2376" i="3"/>
  <c r="T2375" i="3"/>
  <c r="S2375" i="3"/>
  <c r="R2375" i="3"/>
  <c r="Q2375" i="3"/>
  <c r="P2375" i="3"/>
  <c r="O2375" i="3"/>
  <c r="M2375" i="3"/>
  <c r="L2375" i="3"/>
  <c r="N2375" i="3" s="1"/>
  <c r="K2375" i="3"/>
  <c r="J2375" i="3"/>
  <c r="E2375" i="3"/>
  <c r="D2375" i="3"/>
  <c r="T2374" i="3"/>
  <c r="S2374" i="3"/>
  <c r="R2374" i="3"/>
  <c r="Q2374" i="3"/>
  <c r="P2374" i="3"/>
  <c r="O2374" i="3"/>
  <c r="M2374" i="3"/>
  <c r="L2374" i="3"/>
  <c r="N2374" i="3" s="1"/>
  <c r="K2374" i="3"/>
  <c r="J2374" i="3"/>
  <c r="E2374" i="3"/>
  <c r="D2374" i="3"/>
  <c r="T2373" i="3"/>
  <c r="S2373" i="3"/>
  <c r="R2373" i="3"/>
  <c r="Q2373" i="3"/>
  <c r="P2373" i="3"/>
  <c r="O2373" i="3"/>
  <c r="M2373" i="3"/>
  <c r="L2373" i="3"/>
  <c r="N2373" i="3" s="1"/>
  <c r="K2373" i="3"/>
  <c r="J2373" i="3"/>
  <c r="E2373" i="3"/>
  <c r="D2373" i="3"/>
  <c r="T2372" i="3"/>
  <c r="S2372" i="3"/>
  <c r="R2372" i="3"/>
  <c r="Q2372" i="3"/>
  <c r="P2372" i="3"/>
  <c r="O2372" i="3"/>
  <c r="M2372" i="3"/>
  <c r="L2372" i="3"/>
  <c r="N2372" i="3" s="1"/>
  <c r="K2372" i="3"/>
  <c r="J2372" i="3"/>
  <c r="E2372" i="3"/>
  <c r="D2372" i="3"/>
  <c r="T2371" i="3"/>
  <c r="S2371" i="3"/>
  <c r="R2371" i="3"/>
  <c r="Q2371" i="3"/>
  <c r="P2371" i="3"/>
  <c r="O2371" i="3"/>
  <c r="M2371" i="3"/>
  <c r="L2371" i="3"/>
  <c r="N2371" i="3" s="1"/>
  <c r="K2371" i="3"/>
  <c r="J2371" i="3"/>
  <c r="E2371" i="3"/>
  <c r="D2371" i="3"/>
  <c r="T2370" i="3"/>
  <c r="S2370" i="3"/>
  <c r="R2370" i="3"/>
  <c r="Q2370" i="3"/>
  <c r="P2370" i="3"/>
  <c r="O2370" i="3"/>
  <c r="M2370" i="3"/>
  <c r="L2370" i="3"/>
  <c r="N2370" i="3" s="1"/>
  <c r="K2370" i="3"/>
  <c r="J2370" i="3"/>
  <c r="E2370" i="3"/>
  <c r="D2370" i="3"/>
  <c r="T2369" i="3"/>
  <c r="S2369" i="3"/>
  <c r="R2369" i="3"/>
  <c r="Q2369" i="3"/>
  <c r="P2369" i="3"/>
  <c r="O2369" i="3"/>
  <c r="M2369" i="3"/>
  <c r="L2369" i="3"/>
  <c r="N2369" i="3" s="1"/>
  <c r="K2369" i="3"/>
  <c r="J2369" i="3"/>
  <c r="E2369" i="3"/>
  <c r="D2369" i="3"/>
  <c r="T2368" i="3"/>
  <c r="S2368" i="3"/>
  <c r="R2368" i="3"/>
  <c r="Q2368" i="3"/>
  <c r="P2368" i="3"/>
  <c r="O2368" i="3"/>
  <c r="M2368" i="3"/>
  <c r="L2368" i="3"/>
  <c r="N2368" i="3" s="1"/>
  <c r="K2368" i="3"/>
  <c r="J2368" i="3"/>
  <c r="E2368" i="3"/>
  <c r="D2368" i="3"/>
  <c r="T2367" i="3"/>
  <c r="S2367" i="3"/>
  <c r="R2367" i="3"/>
  <c r="Q2367" i="3"/>
  <c r="P2367" i="3"/>
  <c r="O2367" i="3"/>
  <c r="M2367" i="3"/>
  <c r="L2367" i="3"/>
  <c r="N2367" i="3" s="1"/>
  <c r="K2367" i="3"/>
  <c r="J2367" i="3"/>
  <c r="E2367" i="3"/>
  <c r="D2367" i="3"/>
  <c r="T2366" i="3"/>
  <c r="S2366" i="3"/>
  <c r="R2366" i="3"/>
  <c r="Q2366" i="3"/>
  <c r="P2366" i="3"/>
  <c r="O2366" i="3"/>
  <c r="M2366" i="3"/>
  <c r="L2366" i="3"/>
  <c r="N2366" i="3" s="1"/>
  <c r="K2366" i="3"/>
  <c r="J2366" i="3"/>
  <c r="E2366" i="3"/>
  <c r="D2366" i="3"/>
  <c r="T2365" i="3"/>
  <c r="S2365" i="3"/>
  <c r="R2365" i="3"/>
  <c r="Q2365" i="3"/>
  <c r="P2365" i="3"/>
  <c r="O2365" i="3"/>
  <c r="M2365" i="3"/>
  <c r="L2365" i="3"/>
  <c r="N2365" i="3" s="1"/>
  <c r="K2365" i="3"/>
  <c r="J2365" i="3"/>
  <c r="E2365" i="3"/>
  <c r="D2365" i="3"/>
  <c r="T2364" i="3"/>
  <c r="S2364" i="3"/>
  <c r="R2364" i="3"/>
  <c r="Q2364" i="3"/>
  <c r="P2364" i="3"/>
  <c r="O2364" i="3"/>
  <c r="M2364" i="3"/>
  <c r="L2364" i="3"/>
  <c r="N2364" i="3" s="1"/>
  <c r="K2364" i="3"/>
  <c r="J2364" i="3"/>
  <c r="E2364" i="3"/>
  <c r="D2364" i="3"/>
  <c r="T2363" i="3"/>
  <c r="S2363" i="3"/>
  <c r="R2363" i="3"/>
  <c r="Q2363" i="3"/>
  <c r="P2363" i="3"/>
  <c r="O2363" i="3"/>
  <c r="M2363" i="3"/>
  <c r="L2363" i="3"/>
  <c r="N2363" i="3" s="1"/>
  <c r="K2363" i="3"/>
  <c r="J2363" i="3"/>
  <c r="E2363" i="3"/>
  <c r="D2363" i="3"/>
  <c r="T2362" i="3"/>
  <c r="S2362" i="3"/>
  <c r="R2362" i="3"/>
  <c r="Q2362" i="3"/>
  <c r="P2362" i="3"/>
  <c r="O2362" i="3"/>
  <c r="M2362" i="3"/>
  <c r="L2362" i="3"/>
  <c r="N2362" i="3" s="1"/>
  <c r="K2362" i="3"/>
  <c r="J2362" i="3"/>
  <c r="E2362" i="3"/>
  <c r="D2362" i="3"/>
  <c r="T2361" i="3"/>
  <c r="S2361" i="3"/>
  <c r="R2361" i="3"/>
  <c r="Q2361" i="3"/>
  <c r="P2361" i="3"/>
  <c r="O2361" i="3"/>
  <c r="M2361" i="3"/>
  <c r="L2361" i="3"/>
  <c r="N2361" i="3" s="1"/>
  <c r="K2361" i="3"/>
  <c r="J2361" i="3"/>
  <c r="E2361" i="3"/>
  <c r="D2361" i="3"/>
  <c r="T2360" i="3"/>
  <c r="S2360" i="3"/>
  <c r="R2360" i="3"/>
  <c r="Q2360" i="3"/>
  <c r="P2360" i="3"/>
  <c r="O2360" i="3"/>
  <c r="M2360" i="3"/>
  <c r="L2360" i="3"/>
  <c r="N2360" i="3" s="1"/>
  <c r="K2360" i="3"/>
  <c r="J2360" i="3"/>
  <c r="E2360" i="3"/>
  <c r="D2360" i="3"/>
  <c r="T2359" i="3"/>
  <c r="S2359" i="3"/>
  <c r="R2359" i="3"/>
  <c r="Q2359" i="3"/>
  <c r="P2359" i="3"/>
  <c r="O2359" i="3"/>
  <c r="M2359" i="3"/>
  <c r="L2359" i="3"/>
  <c r="N2359" i="3" s="1"/>
  <c r="K2359" i="3"/>
  <c r="J2359" i="3"/>
  <c r="E2359" i="3"/>
  <c r="D2359" i="3"/>
  <c r="T2358" i="3"/>
  <c r="S2358" i="3"/>
  <c r="R2358" i="3"/>
  <c r="Q2358" i="3"/>
  <c r="P2358" i="3"/>
  <c r="O2358" i="3"/>
  <c r="M2358" i="3"/>
  <c r="L2358" i="3"/>
  <c r="N2358" i="3" s="1"/>
  <c r="K2358" i="3"/>
  <c r="J2358" i="3"/>
  <c r="E2358" i="3"/>
  <c r="D2358" i="3"/>
  <c r="T2357" i="3"/>
  <c r="S2357" i="3"/>
  <c r="R2357" i="3"/>
  <c r="Q2357" i="3"/>
  <c r="P2357" i="3"/>
  <c r="O2357" i="3"/>
  <c r="M2357" i="3"/>
  <c r="L2357" i="3"/>
  <c r="N2357" i="3" s="1"/>
  <c r="K2357" i="3"/>
  <c r="J2357" i="3"/>
  <c r="E2357" i="3"/>
  <c r="D2357" i="3"/>
  <c r="T2356" i="3"/>
  <c r="S2356" i="3"/>
  <c r="R2356" i="3"/>
  <c r="Q2356" i="3"/>
  <c r="P2356" i="3"/>
  <c r="O2356" i="3"/>
  <c r="M2356" i="3"/>
  <c r="L2356" i="3"/>
  <c r="N2356" i="3" s="1"/>
  <c r="K2356" i="3"/>
  <c r="J2356" i="3"/>
  <c r="E2356" i="3"/>
  <c r="D2356" i="3"/>
  <c r="T2355" i="3"/>
  <c r="S2355" i="3"/>
  <c r="R2355" i="3"/>
  <c r="Q2355" i="3"/>
  <c r="P2355" i="3"/>
  <c r="O2355" i="3"/>
  <c r="M2355" i="3"/>
  <c r="L2355" i="3"/>
  <c r="N2355" i="3" s="1"/>
  <c r="K2355" i="3"/>
  <c r="J2355" i="3"/>
  <c r="E2355" i="3"/>
  <c r="D2355" i="3"/>
  <c r="T2354" i="3"/>
  <c r="S2354" i="3"/>
  <c r="R2354" i="3"/>
  <c r="Q2354" i="3"/>
  <c r="P2354" i="3"/>
  <c r="O2354" i="3"/>
  <c r="M2354" i="3"/>
  <c r="L2354" i="3"/>
  <c r="N2354" i="3" s="1"/>
  <c r="K2354" i="3"/>
  <c r="J2354" i="3"/>
  <c r="E2354" i="3"/>
  <c r="D2354" i="3"/>
  <c r="T2353" i="3"/>
  <c r="S2353" i="3"/>
  <c r="R2353" i="3"/>
  <c r="Q2353" i="3"/>
  <c r="P2353" i="3"/>
  <c r="O2353" i="3"/>
  <c r="M2353" i="3"/>
  <c r="L2353" i="3"/>
  <c r="N2353" i="3" s="1"/>
  <c r="K2353" i="3"/>
  <c r="J2353" i="3"/>
  <c r="E2353" i="3"/>
  <c r="D2353" i="3"/>
  <c r="T2352" i="3"/>
  <c r="S2352" i="3"/>
  <c r="R2352" i="3"/>
  <c r="Q2352" i="3"/>
  <c r="P2352" i="3"/>
  <c r="O2352" i="3"/>
  <c r="M2352" i="3"/>
  <c r="L2352" i="3"/>
  <c r="N2352" i="3" s="1"/>
  <c r="K2352" i="3"/>
  <c r="J2352" i="3"/>
  <c r="E2352" i="3"/>
  <c r="D2352" i="3"/>
  <c r="T2351" i="3"/>
  <c r="S2351" i="3"/>
  <c r="R2351" i="3"/>
  <c r="Q2351" i="3"/>
  <c r="P2351" i="3"/>
  <c r="O2351" i="3"/>
  <c r="M2351" i="3"/>
  <c r="L2351" i="3"/>
  <c r="N2351" i="3" s="1"/>
  <c r="K2351" i="3"/>
  <c r="J2351" i="3"/>
  <c r="E2351" i="3"/>
  <c r="D2351" i="3"/>
  <c r="T2350" i="3"/>
  <c r="S2350" i="3"/>
  <c r="R2350" i="3"/>
  <c r="Q2350" i="3"/>
  <c r="P2350" i="3"/>
  <c r="O2350" i="3"/>
  <c r="M2350" i="3"/>
  <c r="L2350" i="3"/>
  <c r="N2350" i="3" s="1"/>
  <c r="K2350" i="3"/>
  <c r="J2350" i="3"/>
  <c r="E2350" i="3"/>
  <c r="D2350" i="3"/>
  <c r="T2349" i="3"/>
  <c r="S2349" i="3"/>
  <c r="R2349" i="3"/>
  <c r="Q2349" i="3"/>
  <c r="P2349" i="3"/>
  <c r="O2349" i="3"/>
  <c r="M2349" i="3"/>
  <c r="L2349" i="3"/>
  <c r="N2349" i="3" s="1"/>
  <c r="K2349" i="3"/>
  <c r="J2349" i="3"/>
  <c r="E2349" i="3"/>
  <c r="D2349" i="3"/>
  <c r="T2348" i="3"/>
  <c r="S2348" i="3"/>
  <c r="R2348" i="3"/>
  <c r="Q2348" i="3"/>
  <c r="P2348" i="3"/>
  <c r="O2348" i="3"/>
  <c r="M2348" i="3"/>
  <c r="L2348" i="3"/>
  <c r="N2348" i="3" s="1"/>
  <c r="K2348" i="3"/>
  <c r="J2348" i="3"/>
  <c r="E2348" i="3"/>
  <c r="D2348" i="3"/>
  <c r="T2347" i="3"/>
  <c r="S2347" i="3"/>
  <c r="R2347" i="3"/>
  <c r="Q2347" i="3"/>
  <c r="P2347" i="3"/>
  <c r="O2347" i="3"/>
  <c r="M2347" i="3"/>
  <c r="L2347" i="3"/>
  <c r="N2347" i="3" s="1"/>
  <c r="K2347" i="3"/>
  <c r="J2347" i="3"/>
  <c r="E2347" i="3"/>
  <c r="D2347" i="3"/>
  <c r="T2346" i="3"/>
  <c r="S2346" i="3"/>
  <c r="R2346" i="3"/>
  <c r="Q2346" i="3"/>
  <c r="P2346" i="3"/>
  <c r="O2346" i="3"/>
  <c r="M2346" i="3"/>
  <c r="L2346" i="3"/>
  <c r="N2346" i="3" s="1"/>
  <c r="K2346" i="3"/>
  <c r="J2346" i="3"/>
  <c r="E2346" i="3"/>
  <c r="D2346" i="3"/>
  <c r="T2345" i="3"/>
  <c r="S2345" i="3"/>
  <c r="R2345" i="3"/>
  <c r="Q2345" i="3"/>
  <c r="P2345" i="3"/>
  <c r="O2345" i="3"/>
  <c r="M2345" i="3"/>
  <c r="L2345" i="3"/>
  <c r="N2345" i="3" s="1"/>
  <c r="K2345" i="3"/>
  <c r="J2345" i="3"/>
  <c r="E2345" i="3"/>
  <c r="D2345" i="3"/>
  <c r="T2344" i="3"/>
  <c r="S2344" i="3"/>
  <c r="R2344" i="3"/>
  <c r="Q2344" i="3"/>
  <c r="P2344" i="3"/>
  <c r="O2344" i="3"/>
  <c r="M2344" i="3"/>
  <c r="L2344" i="3"/>
  <c r="N2344" i="3" s="1"/>
  <c r="K2344" i="3"/>
  <c r="J2344" i="3"/>
  <c r="E2344" i="3"/>
  <c r="D2344" i="3"/>
  <c r="T2343" i="3"/>
  <c r="S2343" i="3"/>
  <c r="R2343" i="3"/>
  <c r="Q2343" i="3"/>
  <c r="P2343" i="3"/>
  <c r="O2343" i="3"/>
  <c r="M2343" i="3"/>
  <c r="L2343" i="3"/>
  <c r="N2343" i="3" s="1"/>
  <c r="K2343" i="3"/>
  <c r="J2343" i="3"/>
  <c r="E2343" i="3"/>
  <c r="D2343" i="3"/>
  <c r="T2342" i="3"/>
  <c r="S2342" i="3"/>
  <c r="R2342" i="3"/>
  <c r="Q2342" i="3"/>
  <c r="P2342" i="3"/>
  <c r="O2342" i="3"/>
  <c r="M2342" i="3"/>
  <c r="L2342" i="3"/>
  <c r="N2342" i="3" s="1"/>
  <c r="K2342" i="3"/>
  <c r="J2342" i="3"/>
  <c r="E2342" i="3"/>
  <c r="D2342" i="3"/>
  <c r="T2341" i="3"/>
  <c r="S2341" i="3"/>
  <c r="R2341" i="3"/>
  <c r="Q2341" i="3"/>
  <c r="P2341" i="3"/>
  <c r="O2341" i="3"/>
  <c r="M2341" i="3"/>
  <c r="L2341" i="3"/>
  <c r="N2341" i="3" s="1"/>
  <c r="K2341" i="3"/>
  <c r="J2341" i="3"/>
  <c r="E2341" i="3"/>
  <c r="D2341" i="3"/>
  <c r="T2340" i="3"/>
  <c r="S2340" i="3"/>
  <c r="R2340" i="3"/>
  <c r="Q2340" i="3"/>
  <c r="P2340" i="3"/>
  <c r="O2340" i="3"/>
  <c r="M2340" i="3"/>
  <c r="L2340" i="3"/>
  <c r="N2340" i="3" s="1"/>
  <c r="K2340" i="3"/>
  <c r="J2340" i="3"/>
  <c r="E2340" i="3"/>
  <c r="D2340" i="3"/>
  <c r="T2339" i="3"/>
  <c r="S2339" i="3"/>
  <c r="R2339" i="3"/>
  <c r="Q2339" i="3"/>
  <c r="P2339" i="3"/>
  <c r="O2339" i="3"/>
  <c r="M2339" i="3"/>
  <c r="L2339" i="3"/>
  <c r="N2339" i="3" s="1"/>
  <c r="K2339" i="3"/>
  <c r="J2339" i="3"/>
  <c r="E2339" i="3"/>
  <c r="D2339" i="3"/>
  <c r="T2338" i="3"/>
  <c r="S2338" i="3"/>
  <c r="R2338" i="3"/>
  <c r="Q2338" i="3"/>
  <c r="P2338" i="3"/>
  <c r="O2338" i="3"/>
  <c r="M2338" i="3"/>
  <c r="L2338" i="3"/>
  <c r="N2338" i="3" s="1"/>
  <c r="K2338" i="3"/>
  <c r="J2338" i="3"/>
  <c r="E2338" i="3"/>
  <c r="D2338" i="3"/>
  <c r="T2337" i="3"/>
  <c r="S2337" i="3"/>
  <c r="R2337" i="3"/>
  <c r="Q2337" i="3"/>
  <c r="P2337" i="3"/>
  <c r="O2337" i="3"/>
  <c r="M2337" i="3"/>
  <c r="L2337" i="3"/>
  <c r="N2337" i="3" s="1"/>
  <c r="K2337" i="3"/>
  <c r="J2337" i="3"/>
  <c r="E2337" i="3"/>
  <c r="D2337" i="3"/>
  <c r="T2336" i="3"/>
  <c r="S2336" i="3"/>
  <c r="R2336" i="3"/>
  <c r="Q2336" i="3"/>
  <c r="P2336" i="3"/>
  <c r="O2336" i="3"/>
  <c r="M2336" i="3"/>
  <c r="L2336" i="3"/>
  <c r="N2336" i="3" s="1"/>
  <c r="K2336" i="3"/>
  <c r="J2336" i="3"/>
  <c r="E2336" i="3"/>
  <c r="D2336" i="3"/>
  <c r="T2335" i="3"/>
  <c r="S2335" i="3"/>
  <c r="R2335" i="3"/>
  <c r="Q2335" i="3"/>
  <c r="P2335" i="3"/>
  <c r="O2335" i="3"/>
  <c r="M2335" i="3"/>
  <c r="L2335" i="3"/>
  <c r="N2335" i="3" s="1"/>
  <c r="K2335" i="3"/>
  <c r="J2335" i="3"/>
  <c r="E2335" i="3"/>
  <c r="D2335" i="3"/>
  <c r="T2334" i="3"/>
  <c r="S2334" i="3"/>
  <c r="R2334" i="3"/>
  <c r="Q2334" i="3"/>
  <c r="P2334" i="3"/>
  <c r="O2334" i="3"/>
  <c r="M2334" i="3"/>
  <c r="L2334" i="3"/>
  <c r="N2334" i="3" s="1"/>
  <c r="K2334" i="3"/>
  <c r="J2334" i="3"/>
  <c r="E2334" i="3"/>
  <c r="D2334" i="3"/>
  <c r="T2333" i="3"/>
  <c r="S2333" i="3"/>
  <c r="R2333" i="3"/>
  <c r="Q2333" i="3"/>
  <c r="P2333" i="3"/>
  <c r="O2333" i="3"/>
  <c r="M2333" i="3"/>
  <c r="L2333" i="3"/>
  <c r="N2333" i="3" s="1"/>
  <c r="K2333" i="3"/>
  <c r="J2333" i="3"/>
  <c r="E2333" i="3"/>
  <c r="D2333" i="3"/>
  <c r="T2332" i="3"/>
  <c r="S2332" i="3"/>
  <c r="R2332" i="3"/>
  <c r="Q2332" i="3"/>
  <c r="P2332" i="3"/>
  <c r="O2332" i="3"/>
  <c r="M2332" i="3"/>
  <c r="L2332" i="3"/>
  <c r="N2332" i="3" s="1"/>
  <c r="K2332" i="3"/>
  <c r="J2332" i="3"/>
  <c r="E2332" i="3"/>
  <c r="D2332" i="3"/>
  <c r="T2331" i="3"/>
  <c r="S2331" i="3"/>
  <c r="R2331" i="3"/>
  <c r="Q2331" i="3"/>
  <c r="P2331" i="3"/>
  <c r="O2331" i="3"/>
  <c r="M2331" i="3"/>
  <c r="L2331" i="3"/>
  <c r="N2331" i="3" s="1"/>
  <c r="K2331" i="3"/>
  <c r="J2331" i="3"/>
  <c r="E2331" i="3"/>
  <c r="D2331" i="3"/>
  <c r="T2330" i="3"/>
  <c r="S2330" i="3"/>
  <c r="R2330" i="3"/>
  <c r="Q2330" i="3"/>
  <c r="P2330" i="3"/>
  <c r="O2330" i="3"/>
  <c r="M2330" i="3"/>
  <c r="L2330" i="3"/>
  <c r="N2330" i="3" s="1"/>
  <c r="K2330" i="3"/>
  <c r="J2330" i="3"/>
  <c r="E2330" i="3"/>
  <c r="D2330" i="3"/>
  <c r="T2329" i="3"/>
  <c r="S2329" i="3"/>
  <c r="R2329" i="3"/>
  <c r="Q2329" i="3"/>
  <c r="P2329" i="3"/>
  <c r="O2329" i="3"/>
  <c r="M2329" i="3"/>
  <c r="L2329" i="3"/>
  <c r="N2329" i="3" s="1"/>
  <c r="K2329" i="3"/>
  <c r="J2329" i="3"/>
  <c r="E2329" i="3"/>
  <c r="D2329" i="3"/>
  <c r="T2328" i="3"/>
  <c r="S2328" i="3"/>
  <c r="R2328" i="3"/>
  <c r="Q2328" i="3"/>
  <c r="P2328" i="3"/>
  <c r="O2328" i="3"/>
  <c r="M2328" i="3"/>
  <c r="L2328" i="3"/>
  <c r="N2328" i="3" s="1"/>
  <c r="K2328" i="3"/>
  <c r="J2328" i="3"/>
  <c r="E2328" i="3"/>
  <c r="D2328" i="3"/>
  <c r="T2327" i="3"/>
  <c r="S2327" i="3"/>
  <c r="R2327" i="3"/>
  <c r="Q2327" i="3"/>
  <c r="P2327" i="3"/>
  <c r="O2327" i="3"/>
  <c r="M2327" i="3"/>
  <c r="L2327" i="3"/>
  <c r="N2327" i="3" s="1"/>
  <c r="K2327" i="3"/>
  <c r="J2327" i="3"/>
  <c r="E2327" i="3"/>
  <c r="D2327" i="3"/>
  <c r="T2326" i="3"/>
  <c r="S2326" i="3"/>
  <c r="R2326" i="3"/>
  <c r="Q2326" i="3"/>
  <c r="P2326" i="3"/>
  <c r="O2326" i="3"/>
  <c r="M2326" i="3"/>
  <c r="L2326" i="3"/>
  <c r="N2326" i="3" s="1"/>
  <c r="K2326" i="3"/>
  <c r="J2326" i="3"/>
  <c r="E2326" i="3"/>
  <c r="D2326" i="3"/>
  <c r="T2325" i="3"/>
  <c r="S2325" i="3"/>
  <c r="R2325" i="3"/>
  <c r="Q2325" i="3"/>
  <c r="P2325" i="3"/>
  <c r="O2325" i="3"/>
  <c r="M2325" i="3"/>
  <c r="L2325" i="3"/>
  <c r="N2325" i="3" s="1"/>
  <c r="K2325" i="3"/>
  <c r="J2325" i="3"/>
  <c r="E2325" i="3"/>
  <c r="D2325" i="3"/>
  <c r="T2324" i="3"/>
  <c r="S2324" i="3"/>
  <c r="R2324" i="3"/>
  <c r="Q2324" i="3"/>
  <c r="P2324" i="3"/>
  <c r="O2324" i="3"/>
  <c r="M2324" i="3"/>
  <c r="L2324" i="3"/>
  <c r="N2324" i="3" s="1"/>
  <c r="K2324" i="3"/>
  <c r="J2324" i="3"/>
  <c r="E2324" i="3"/>
  <c r="D2324" i="3"/>
  <c r="T2323" i="3"/>
  <c r="S2323" i="3"/>
  <c r="R2323" i="3"/>
  <c r="Q2323" i="3"/>
  <c r="P2323" i="3"/>
  <c r="O2323" i="3"/>
  <c r="M2323" i="3"/>
  <c r="L2323" i="3"/>
  <c r="N2323" i="3" s="1"/>
  <c r="K2323" i="3"/>
  <c r="J2323" i="3"/>
  <c r="E2323" i="3"/>
  <c r="D2323" i="3"/>
  <c r="T2322" i="3"/>
  <c r="S2322" i="3"/>
  <c r="R2322" i="3"/>
  <c r="Q2322" i="3"/>
  <c r="P2322" i="3"/>
  <c r="O2322" i="3"/>
  <c r="M2322" i="3"/>
  <c r="L2322" i="3"/>
  <c r="N2322" i="3" s="1"/>
  <c r="K2322" i="3"/>
  <c r="J2322" i="3"/>
  <c r="E2322" i="3"/>
  <c r="D2322" i="3"/>
  <c r="T2321" i="3"/>
  <c r="S2321" i="3"/>
  <c r="R2321" i="3"/>
  <c r="Q2321" i="3"/>
  <c r="P2321" i="3"/>
  <c r="O2321" i="3"/>
  <c r="M2321" i="3"/>
  <c r="L2321" i="3"/>
  <c r="N2321" i="3" s="1"/>
  <c r="K2321" i="3"/>
  <c r="J2321" i="3"/>
  <c r="E2321" i="3"/>
  <c r="D2321" i="3"/>
  <c r="T2320" i="3"/>
  <c r="S2320" i="3"/>
  <c r="R2320" i="3"/>
  <c r="Q2320" i="3"/>
  <c r="P2320" i="3"/>
  <c r="O2320" i="3"/>
  <c r="M2320" i="3"/>
  <c r="L2320" i="3"/>
  <c r="N2320" i="3" s="1"/>
  <c r="K2320" i="3"/>
  <c r="J2320" i="3"/>
  <c r="E2320" i="3"/>
  <c r="D2320" i="3"/>
  <c r="T2319" i="3"/>
  <c r="S2319" i="3"/>
  <c r="R2319" i="3"/>
  <c r="Q2319" i="3"/>
  <c r="P2319" i="3"/>
  <c r="O2319" i="3"/>
  <c r="M2319" i="3"/>
  <c r="L2319" i="3"/>
  <c r="N2319" i="3" s="1"/>
  <c r="K2319" i="3"/>
  <c r="J2319" i="3"/>
  <c r="E2319" i="3"/>
  <c r="D2319" i="3"/>
  <c r="T2318" i="3"/>
  <c r="S2318" i="3"/>
  <c r="R2318" i="3"/>
  <c r="Q2318" i="3"/>
  <c r="P2318" i="3"/>
  <c r="O2318" i="3"/>
  <c r="M2318" i="3"/>
  <c r="L2318" i="3"/>
  <c r="N2318" i="3" s="1"/>
  <c r="K2318" i="3"/>
  <c r="J2318" i="3"/>
  <c r="E2318" i="3"/>
  <c r="D2318" i="3"/>
  <c r="T2317" i="3"/>
  <c r="S2317" i="3"/>
  <c r="R2317" i="3"/>
  <c r="Q2317" i="3"/>
  <c r="P2317" i="3"/>
  <c r="O2317" i="3"/>
  <c r="M2317" i="3"/>
  <c r="L2317" i="3"/>
  <c r="N2317" i="3" s="1"/>
  <c r="K2317" i="3"/>
  <c r="J2317" i="3"/>
  <c r="E2317" i="3"/>
  <c r="D2317" i="3"/>
  <c r="T2316" i="3"/>
  <c r="S2316" i="3"/>
  <c r="R2316" i="3"/>
  <c r="Q2316" i="3"/>
  <c r="P2316" i="3"/>
  <c r="O2316" i="3"/>
  <c r="M2316" i="3"/>
  <c r="L2316" i="3"/>
  <c r="N2316" i="3" s="1"/>
  <c r="K2316" i="3"/>
  <c r="J2316" i="3"/>
  <c r="E2316" i="3"/>
  <c r="D2316" i="3"/>
  <c r="T2315" i="3"/>
  <c r="S2315" i="3"/>
  <c r="R2315" i="3"/>
  <c r="Q2315" i="3"/>
  <c r="P2315" i="3"/>
  <c r="O2315" i="3"/>
  <c r="M2315" i="3"/>
  <c r="L2315" i="3"/>
  <c r="N2315" i="3" s="1"/>
  <c r="K2315" i="3"/>
  <c r="J2315" i="3"/>
  <c r="E2315" i="3"/>
  <c r="D2315" i="3"/>
  <c r="T2314" i="3"/>
  <c r="S2314" i="3"/>
  <c r="R2314" i="3"/>
  <c r="Q2314" i="3"/>
  <c r="P2314" i="3"/>
  <c r="O2314" i="3"/>
  <c r="M2314" i="3"/>
  <c r="L2314" i="3"/>
  <c r="N2314" i="3" s="1"/>
  <c r="K2314" i="3"/>
  <c r="J2314" i="3"/>
  <c r="E2314" i="3"/>
  <c r="D2314" i="3"/>
  <c r="T2313" i="3"/>
  <c r="S2313" i="3"/>
  <c r="R2313" i="3"/>
  <c r="Q2313" i="3"/>
  <c r="P2313" i="3"/>
  <c r="O2313" i="3"/>
  <c r="M2313" i="3"/>
  <c r="L2313" i="3"/>
  <c r="N2313" i="3" s="1"/>
  <c r="K2313" i="3"/>
  <c r="J2313" i="3"/>
  <c r="E2313" i="3"/>
  <c r="D2313" i="3"/>
  <c r="T2312" i="3"/>
  <c r="S2312" i="3"/>
  <c r="R2312" i="3"/>
  <c r="Q2312" i="3"/>
  <c r="P2312" i="3"/>
  <c r="O2312" i="3"/>
  <c r="M2312" i="3"/>
  <c r="L2312" i="3"/>
  <c r="N2312" i="3" s="1"/>
  <c r="K2312" i="3"/>
  <c r="J2312" i="3"/>
  <c r="E2312" i="3"/>
  <c r="D2312" i="3"/>
  <c r="T2311" i="3"/>
  <c r="S2311" i="3"/>
  <c r="R2311" i="3"/>
  <c r="Q2311" i="3"/>
  <c r="P2311" i="3"/>
  <c r="O2311" i="3"/>
  <c r="M2311" i="3"/>
  <c r="L2311" i="3"/>
  <c r="N2311" i="3" s="1"/>
  <c r="K2311" i="3"/>
  <c r="J2311" i="3"/>
  <c r="E2311" i="3"/>
  <c r="D2311" i="3"/>
  <c r="T2310" i="3"/>
  <c r="S2310" i="3"/>
  <c r="R2310" i="3"/>
  <c r="Q2310" i="3"/>
  <c r="P2310" i="3"/>
  <c r="O2310" i="3"/>
  <c r="M2310" i="3"/>
  <c r="L2310" i="3"/>
  <c r="N2310" i="3" s="1"/>
  <c r="K2310" i="3"/>
  <c r="J2310" i="3"/>
  <c r="E2310" i="3"/>
  <c r="D2310" i="3"/>
  <c r="T2309" i="3"/>
  <c r="S2309" i="3"/>
  <c r="R2309" i="3"/>
  <c r="Q2309" i="3"/>
  <c r="P2309" i="3"/>
  <c r="O2309" i="3"/>
  <c r="M2309" i="3"/>
  <c r="L2309" i="3"/>
  <c r="N2309" i="3" s="1"/>
  <c r="K2309" i="3"/>
  <c r="J2309" i="3"/>
  <c r="E2309" i="3"/>
  <c r="D2309" i="3"/>
  <c r="T2308" i="3"/>
  <c r="S2308" i="3"/>
  <c r="R2308" i="3"/>
  <c r="Q2308" i="3"/>
  <c r="P2308" i="3"/>
  <c r="O2308" i="3"/>
  <c r="M2308" i="3"/>
  <c r="L2308" i="3"/>
  <c r="N2308" i="3" s="1"/>
  <c r="K2308" i="3"/>
  <c r="J2308" i="3"/>
  <c r="E2308" i="3"/>
  <c r="D2308" i="3"/>
  <c r="T2307" i="3"/>
  <c r="S2307" i="3"/>
  <c r="R2307" i="3"/>
  <c r="Q2307" i="3"/>
  <c r="P2307" i="3"/>
  <c r="O2307" i="3"/>
  <c r="M2307" i="3"/>
  <c r="L2307" i="3"/>
  <c r="N2307" i="3" s="1"/>
  <c r="K2307" i="3"/>
  <c r="J2307" i="3"/>
  <c r="E2307" i="3"/>
  <c r="D2307" i="3"/>
  <c r="T2306" i="3"/>
  <c r="S2306" i="3"/>
  <c r="R2306" i="3"/>
  <c r="Q2306" i="3"/>
  <c r="P2306" i="3"/>
  <c r="O2306" i="3"/>
  <c r="M2306" i="3"/>
  <c r="L2306" i="3"/>
  <c r="N2306" i="3" s="1"/>
  <c r="K2306" i="3"/>
  <c r="J2306" i="3"/>
  <c r="E2306" i="3"/>
  <c r="D2306" i="3"/>
  <c r="T2305" i="3"/>
  <c r="S2305" i="3"/>
  <c r="R2305" i="3"/>
  <c r="Q2305" i="3"/>
  <c r="P2305" i="3"/>
  <c r="O2305" i="3"/>
  <c r="M2305" i="3"/>
  <c r="L2305" i="3"/>
  <c r="N2305" i="3" s="1"/>
  <c r="K2305" i="3"/>
  <c r="J2305" i="3"/>
  <c r="E2305" i="3"/>
  <c r="D2305" i="3"/>
  <c r="T2304" i="3"/>
  <c r="S2304" i="3"/>
  <c r="R2304" i="3"/>
  <c r="Q2304" i="3"/>
  <c r="P2304" i="3"/>
  <c r="O2304" i="3"/>
  <c r="M2304" i="3"/>
  <c r="L2304" i="3"/>
  <c r="N2304" i="3" s="1"/>
  <c r="K2304" i="3"/>
  <c r="J2304" i="3"/>
  <c r="E2304" i="3"/>
  <c r="D2304" i="3"/>
  <c r="T2303" i="3"/>
  <c r="S2303" i="3"/>
  <c r="R2303" i="3"/>
  <c r="Q2303" i="3"/>
  <c r="P2303" i="3"/>
  <c r="O2303" i="3"/>
  <c r="M2303" i="3"/>
  <c r="L2303" i="3"/>
  <c r="N2303" i="3" s="1"/>
  <c r="K2303" i="3"/>
  <c r="J2303" i="3"/>
  <c r="E2303" i="3"/>
  <c r="D2303" i="3"/>
  <c r="T2302" i="3"/>
  <c r="S2302" i="3"/>
  <c r="R2302" i="3"/>
  <c r="Q2302" i="3"/>
  <c r="P2302" i="3"/>
  <c r="O2302" i="3"/>
  <c r="M2302" i="3"/>
  <c r="L2302" i="3"/>
  <c r="N2302" i="3" s="1"/>
  <c r="K2302" i="3"/>
  <c r="J2302" i="3"/>
  <c r="E2302" i="3"/>
  <c r="D2302" i="3"/>
  <c r="T2301" i="3"/>
  <c r="S2301" i="3"/>
  <c r="R2301" i="3"/>
  <c r="Q2301" i="3"/>
  <c r="P2301" i="3"/>
  <c r="O2301" i="3"/>
  <c r="M2301" i="3"/>
  <c r="L2301" i="3"/>
  <c r="N2301" i="3" s="1"/>
  <c r="K2301" i="3"/>
  <c r="J2301" i="3"/>
  <c r="E2301" i="3"/>
  <c r="D2301" i="3"/>
  <c r="T2300" i="3"/>
  <c r="S2300" i="3"/>
  <c r="R2300" i="3"/>
  <c r="Q2300" i="3"/>
  <c r="P2300" i="3"/>
  <c r="O2300" i="3"/>
  <c r="M2300" i="3"/>
  <c r="L2300" i="3"/>
  <c r="N2300" i="3" s="1"/>
  <c r="K2300" i="3"/>
  <c r="J2300" i="3"/>
  <c r="E2300" i="3"/>
  <c r="D2300" i="3"/>
  <c r="T2299" i="3"/>
  <c r="S2299" i="3"/>
  <c r="R2299" i="3"/>
  <c r="Q2299" i="3"/>
  <c r="P2299" i="3"/>
  <c r="O2299" i="3"/>
  <c r="M2299" i="3"/>
  <c r="L2299" i="3"/>
  <c r="N2299" i="3" s="1"/>
  <c r="K2299" i="3"/>
  <c r="J2299" i="3"/>
  <c r="E2299" i="3"/>
  <c r="D2299" i="3"/>
  <c r="T2298" i="3"/>
  <c r="S2298" i="3"/>
  <c r="R2298" i="3"/>
  <c r="Q2298" i="3"/>
  <c r="P2298" i="3"/>
  <c r="O2298" i="3"/>
  <c r="M2298" i="3"/>
  <c r="L2298" i="3"/>
  <c r="N2298" i="3" s="1"/>
  <c r="K2298" i="3"/>
  <c r="J2298" i="3"/>
  <c r="E2298" i="3"/>
  <c r="D2298" i="3"/>
  <c r="T2297" i="3"/>
  <c r="S2297" i="3"/>
  <c r="R2297" i="3"/>
  <c r="Q2297" i="3"/>
  <c r="P2297" i="3"/>
  <c r="O2297" i="3"/>
  <c r="M2297" i="3"/>
  <c r="L2297" i="3"/>
  <c r="N2297" i="3" s="1"/>
  <c r="K2297" i="3"/>
  <c r="J2297" i="3"/>
  <c r="E2297" i="3"/>
  <c r="D2297" i="3"/>
  <c r="T2296" i="3"/>
  <c r="S2296" i="3"/>
  <c r="R2296" i="3"/>
  <c r="Q2296" i="3"/>
  <c r="P2296" i="3"/>
  <c r="O2296" i="3"/>
  <c r="M2296" i="3"/>
  <c r="L2296" i="3"/>
  <c r="N2296" i="3" s="1"/>
  <c r="K2296" i="3"/>
  <c r="J2296" i="3"/>
  <c r="E2296" i="3"/>
  <c r="D2296" i="3"/>
  <c r="T2295" i="3"/>
  <c r="S2295" i="3"/>
  <c r="R2295" i="3"/>
  <c r="Q2295" i="3"/>
  <c r="P2295" i="3"/>
  <c r="O2295" i="3"/>
  <c r="M2295" i="3"/>
  <c r="L2295" i="3"/>
  <c r="N2295" i="3" s="1"/>
  <c r="K2295" i="3"/>
  <c r="J2295" i="3"/>
  <c r="E2295" i="3"/>
  <c r="D2295" i="3"/>
  <c r="T2294" i="3"/>
  <c r="S2294" i="3"/>
  <c r="R2294" i="3"/>
  <c r="Q2294" i="3"/>
  <c r="P2294" i="3"/>
  <c r="O2294" i="3"/>
  <c r="M2294" i="3"/>
  <c r="L2294" i="3"/>
  <c r="N2294" i="3" s="1"/>
  <c r="K2294" i="3"/>
  <c r="J2294" i="3"/>
  <c r="E2294" i="3"/>
  <c r="D2294" i="3"/>
  <c r="T2293" i="3"/>
  <c r="S2293" i="3"/>
  <c r="R2293" i="3"/>
  <c r="Q2293" i="3"/>
  <c r="P2293" i="3"/>
  <c r="O2293" i="3"/>
  <c r="M2293" i="3"/>
  <c r="L2293" i="3"/>
  <c r="N2293" i="3" s="1"/>
  <c r="K2293" i="3"/>
  <c r="J2293" i="3"/>
  <c r="E2293" i="3"/>
  <c r="D2293" i="3"/>
  <c r="T2292" i="3"/>
  <c r="S2292" i="3"/>
  <c r="R2292" i="3"/>
  <c r="Q2292" i="3"/>
  <c r="P2292" i="3"/>
  <c r="O2292" i="3"/>
  <c r="M2292" i="3"/>
  <c r="L2292" i="3"/>
  <c r="N2292" i="3" s="1"/>
  <c r="K2292" i="3"/>
  <c r="J2292" i="3"/>
  <c r="E2292" i="3"/>
  <c r="D2292" i="3"/>
  <c r="T2291" i="3"/>
  <c r="S2291" i="3"/>
  <c r="R2291" i="3"/>
  <c r="Q2291" i="3"/>
  <c r="P2291" i="3"/>
  <c r="O2291" i="3"/>
  <c r="M2291" i="3"/>
  <c r="L2291" i="3"/>
  <c r="N2291" i="3" s="1"/>
  <c r="K2291" i="3"/>
  <c r="J2291" i="3"/>
  <c r="E2291" i="3"/>
  <c r="D2291" i="3"/>
  <c r="T2290" i="3"/>
  <c r="S2290" i="3"/>
  <c r="R2290" i="3"/>
  <c r="Q2290" i="3"/>
  <c r="P2290" i="3"/>
  <c r="O2290" i="3"/>
  <c r="M2290" i="3"/>
  <c r="L2290" i="3"/>
  <c r="N2290" i="3" s="1"/>
  <c r="K2290" i="3"/>
  <c r="J2290" i="3"/>
  <c r="E2290" i="3"/>
  <c r="D2290" i="3"/>
  <c r="T2289" i="3"/>
  <c r="S2289" i="3"/>
  <c r="R2289" i="3"/>
  <c r="Q2289" i="3"/>
  <c r="P2289" i="3"/>
  <c r="O2289" i="3"/>
  <c r="M2289" i="3"/>
  <c r="L2289" i="3"/>
  <c r="N2289" i="3" s="1"/>
  <c r="K2289" i="3"/>
  <c r="J2289" i="3"/>
  <c r="E2289" i="3"/>
  <c r="D2289" i="3"/>
  <c r="T2288" i="3"/>
  <c r="S2288" i="3"/>
  <c r="R2288" i="3"/>
  <c r="Q2288" i="3"/>
  <c r="P2288" i="3"/>
  <c r="O2288" i="3"/>
  <c r="M2288" i="3"/>
  <c r="L2288" i="3"/>
  <c r="N2288" i="3" s="1"/>
  <c r="K2288" i="3"/>
  <c r="J2288" i="3"/>
  <c r="E2288" i="3"/>
  <c r="D2288" i="3"/>
  <c r="T2287" i="3"/>
  <c r="S2287" i="3"/>
  <c r="R2287" i="3"/>
  <c r="Q2287" i="3"/>
  <c r="P2287" i="3"/>
  <c r="O2287" i="3"/>
  <c r="M2287" i="3"/>
  <c r="L2287" i="3"/>
  <c r="N2287" i="3" s="1"/>
  <c r="K2287" i="3"/>
  <c r="J2287" i="3"/>
  <c r="E2287" i="3"/>
  <c r="D2287" i="3"/>
  <c r="T2286" i="3"/>
  <c r="S2286" i="3"/>
  <c r="R2286" i="3"/>
  <c r="Q2286" i="3"/>
  <c r="P2286" i="3"/>
  <c r="O2286" i="3"/>
  <c r="M2286" i="3"/>
  <c r="L2286" i="3"/>
  <c r="N2286" i="3" s="1"/>
  <c r="K2286" i="3"/>
  <c r="J2286" i="3"/>
  <c r="E2286" i="3"/>
  <c r="D2286" i="3"/>
  <c r="T2285" i="3"/>
  <c r="S2285" i="3"/>
  <c r="R2285" i="3"/>
  <c r="Q2285" i="3"/>
  <c r="P2285" i="3"/>
  <c r="O2285" i="3"/>
  <c r="M2285" i="3"/>
  <c r="L2285" i="3"/>
  <c r="N2285" i="3" s="1"/>
  <c r="K2285" i="3"/>
  <c r="J2285" i="3"/>
  <c r="E2285" i="3"/>
  <c r="D2285" i="3"/>
  <c r="T2284" i="3"/>
  <c r="S2284" i="3"/>
  <c r="R2284" i="3"/>
  <c r="Q2284" i="3"/>
  <c r="P2284" i="3"/>
  <c r="O2284" i="3"/>
  <c r="M2284" i="3"/>
  <c r="L2284" i="3"/>
  <c r="N2284" i="3" s="1"/>
  <c r="K2284" i="3"/>
  <c r="J2284" i="3"/>
  <c r="E2284" i="3"/>
  <c r="D2284" i="3"/>
  <c r="T2283" i="3"/>
  <c r="S2283" i="3"/>
  <c r="R2283" i="3"/>
  <c r="Q2283" i="3"/>
  <c r="P2283" i="3"/>
  <c r="O2283" i="3"/>
  <c r="M2283" i="3"/>
  <c r="L2283" i="3"/>
  <c r="N2283" i="3" s="1"/>
  <c r="K2283" i="3"/>
  <c r="J2283" i="3"/>
  <c r="E2283" i="3"/>
  <c r="D2283" i="3"/>
  <c r="T2282" i="3"/>
  <c r="S2282" i="3"/>
  <c r="R2282" i="3"/>
  <c r="Q2282" i="3"/>
  <c r="P2282" i="3"/>
  <c r="O2282" i="3"/>
  <c r="M2282" i="3"/>
  <c r="L2282" i="3"/>
  <c r="N2282" i="3" s="1"/>
  <c r="K2282" i="3"/>
  <c r="J2282" i="3"/>
  <c r="E2282" i="3"/>
  <c r="D2282" i="3"/>
  <c r="T2281" i="3"/>
  <c r="S2281" i="3"/>
  <c r="R2281" i="3"/>
  <c r="Q2281" i="3"/>
  <c r="P2281" i="3"/>
  <c r="O2281" i="3"/>
  <c r="M2281" i="3"/>
  <c r="L2281" i="3"/>
  <c r="N2281" i="3" s="1"/>
  <c r="K2281" i="3"/>
  <c r="J2281" i="3"/>
  <c r="E2281" i="3"/>
  <c r="D2281" i="3"/>
  <c r="T2280" i="3"/>
  <c r="S2280" i="3"/>
  <c r="R2280" i="3"/>
  <c r="Q2280" i="3"/>
  <c r="P2280" i="3"/>
  <c r="O2280" i="3"/>
  <c r="M2280" i="3"/>
  <c r="L2280" i="3"/>
  <c r="N2280" i="3" s="1"/>
  <c r="K2280" i="3"/>
  <c r="J2280" i="3"/>
  <c r="E2280" i="3"/>
  <c r="D2280" i="3"/>
  <c r="T2279" i="3"/>
  <c r="S2279" i="3"/>
  <c r="R2279" i="3"/>
  <c r="Q2279" i="3"/>
  <c r="P2279" i="3"/>
  <c r="O2279" i="3"/>
  <c r="M2279" i="3"/>
  <c r="L2279" i="3"/>
  <c r="N2279" i="3" s="1"/>
  <c r="K2279" i="3"/>
  <c r="J2279" i="3"/>
  <c r="E2279" i="3"/>
  <c r="D2279" i="3"/>
  <c r="T2278" i="3"/>
  <c r="S2278" i="3"/>
  <c r="R2278" i="3"/>
  <c r="Q2278" i="3"/>
  <c r="P2278" i="3"/>
  <c r="O2278" i="3"/>
  <c r="M2278" i="3"/>
  <c r="L2278" i="3"/>
  <c r="N2278" i="3" s="1"/>
  <c r="K2278" i="3"/>
  <c r="J2278" i="3"/>
  <c r="E2278" i="3"/>
  <c r="D2278" i="3"/>
  <c r="T2277" i="3"/>
  <c r="S2277" i="3"/>
  <c r="R2277" i="3"/>
  <c r="Q2277" i="3"/>
  <c r="P2277" i="3"/>
  <c r="O2277" i="3"/>
  <c r="M2277" i="3"/>
  <c r="L2277" i="3"/>
  <c r="N2277" i="3" s="1"/>
  <c r="K2277" i="3"/>
  <c r="J2277" i="3"/>
  <c r="E2277" i="3"/>
  <c r="D2277" i="3"/>
  <c r="T2276" i="3"/>
  <c r="S2276" i="3"/>
  <c r="R2276" i="3"/>
  <c r="Q2276" i="3"/>
  <c r="P2276" i="3"/>
  <c r="O2276" i="3"/>
  <c r="M2276" i="3"/>
  <c r="L2276" i="3"/>
  <c r="N2276" i="3" s="1"/>
  <c r="K2276" i="3"/>
  <c r="J2276" i="3"/>
  <c r="E2276" i="3"/>
  <c r="D2276" i="3"/>
  <c r="T2275" i="3"/>
  <c r="S2275" i="3"/>
  <c r="R2275" i="3"/>
  <c r="Q2275" i="3"/>
  <c r="P2275" i="3"/>
  <c r="O2275" i="3"/>
  <c r="M2275" i="3"/>
  <c r="L2275" i="3"/>
  <c r="N2275" i="3" s="1"/>
  <c r="K2275" i="3"/>
  <c r="J2275" i="3"/>
  <c r="E2275" i="3"/>
  <c r="D2275" i="3"/>
  <c r="T2274" i="3"/>
  <c r="S2274" i="3"/>
  <c r="R2274" i="3"/>
  <c r="Q2274" i="3"/>
  <c r="P2274" i="3"/>
  <c r="O2274" i="3"/>
  <c r="M2274" i="3"/>
  <c r="L2274" i="3"/>
  <c r="N2274" i="3" s="1"/>
  <c r="K2274" i="3"/>
  <c r="J2274" i="3"/>
  <c r="E2274" i="3"/>
  <c r="D2274" i="3"/>
  <c r="T2273" i="3"/>
  <c r="S2273" i="3"/>
  <c r="R2273" i="3"/>
  <c r="Q2273" i="3"/>
  <c r="P2273" i="3"/>
  <c r="O2273" i="3"/>
  <c r="M2273" i="3"/>
  <c r="L2273" i="3"/>
  <c r="N2273" i="3" s="1"/>
  <c r="K2273" i="3"/>
  <c r="J2273" i="3"/>
  <c r="E2273" i="3"/>
  <c r="D2273" i="3"/>
  <c r="T2272" i="3"/>
  <c r="S2272" i="3"/>
  <c r="R2272" i="3"/>
  <c r="Q2272" i="3"/>
  <c r="P2272" i="3"/>
  <c r="O2272" i="3"/>
  <c r="M2272" i="3"/>
  <c r="L2272" i="3"/>
  <c r="N2272" i="3" s="1"/>
  <c r="K2272" i="3"/>
  <c r="J2272" i="3"/>
  <c r="E2272" i="3"/>
  <c r="D2272" i="3"/>
  <c r="N2271" i="3"/>
  <c r="E2271" i="3"/>
  <c r="D2271" i="3"/>
  <c r="T2270" i="3"/>
  <c r="S2270" i="3"/>
  <c r="R2270" i="3"/>
  <c r="Q2270" i="3"/>
  <c r="P2270" i="3"/>
  <c r="O2270" i="3"/>
  <c r="M2270" i="3"/>
  <c r="L2270" i="3"/>
  <c r="N2270" i="3" s="1"/>
  <c r="K2270" i="3"/>
  <c r="J2270" i="3"/>
  <c r="E2270" i="3"/>
  <c r="D2270" i="3"/>
  <c r="T2269" i="3"/>
  <c r="S2269" i="3"/>
  <c r="R2269" i="3"/>
  <c r="Q2269" i="3"/>
  <c r="P2269" i="3"/>
  <c r="O2269" i="3"/>
  <c r="M2269" i="3"/>
  <c r="L2269" i="3"/>
  <c r="N2269" i="3" s="1"/>
  <c r="K2269" i="3"/>
  <c r="J2269" i="3"/>
  <c r="E2269" i="3"/>
  <c r="D2269" i="3"/>
  <c r="T2268" i="3"/>
  <c r="S2268" i="3"/>
  <c r="R2268" i="3"/>
  <c r="Q2268" i="3"/>
  <c r="P2268" i="3"/>
  <c r="O2268" i="3"/>
  <c r="M2268" i="3"/>
  <c r="L2268" i="3"/>
  <c r="N2268" i="3" s="1"/>
  <c r="K2268" i="3"/>
  <c r="J2268" i="3"/>
  <c r="E2268" i="3"/>
  <c r="D2268" i="3"/>
  <c r="T2267" i="3"/>
  <c r="S2267" i="3"/>
  <c r="R2267" i="3"/>
  <c r="Q2267" i="3"/>
  <c r="P2267" i="3"/>
  <c r="O2267" i="3"/>
  <c r="M2267" i="3"/>
  <c r="L2267" i="3"/>
  <c r="N2267" i="3" s="1"/>
  <c r="K2267" i="3"/>
  <c r="J2267" i="3"/>
  <c r="E2267" i="3"/>
  <c r="D2267" i="3"/>
  <c r="T2266" i="3"/>
  <c r="S2266" i="3"/>
  <c r="R2266" i="3"/>
  <c r="Q2266" i="3"/>
  <c r="P2266" i="3"/>
  <c r="O2266" i="3"/>
  <c r="M2266" i="3"/>
  <c r="L2266" i="3"/>
  <c r="N2266" i="3" s="1"/>
  <c r="K2266" i="3"/>
  <c r="J2266" i="3"/>
  <c r="E2266" i="3"/>
  <c r="D2266" i="3"/>
  <c r="T2265" i="3"/>
  <c r="S2265" i="3"/>
  <c r="R2265" i="3"/>
  <c r="Q2265" i="3"/>
  <c r="P2265" i="3"/>
  <c r="O2265" i="3"/>
  <c r="M2265" i="3"/>
  <c r="L2265" i="3"/>
  <c r="N2265" i="3" s="1"/>
  <c r="K2265" i="3"/>
  <c r="J2265" i="3"/>
  <c r="E2265" i="3"/>
  <c r="D2265" i="3"/>
  <c r="T2264" i="3"/>
  <c r="S2264" i="3"/>
  <c r="R2264" i="3"/>
  <c r="Q2264" i="3"/>
  <c r="P2264" i="3"/>
  <c r="O2264" i="3"/>
  <c r="M2264" i="3"/>
  <c r="L2264" i="3"/>
  <c r="N2264" i="3" s="1"/>
  <c r="K2264" i="3"/>
  <c r="J2264" i="3"/>
  <c r="E2264" i="3"/>
  <c r="D2264" i="3"/>
  <c r="T2263" i="3"/>
  <c r="S2263" i="3"/>
  <c r="R2263" i="3"/>
  <c r="Q2263" i="3"/>
  <c r="P2263" i="3"/>
  <c r="O2263" i="3"/>
  <c r="M2263" i="3"/>
  <c r="L2263" i="3"/>
  <c r="N2263" i="3" s="1"/>
  <c r="K2263" i="3"/>
  <c r="J2263" i="3"/>
  <c r="E2263" i="3"/>
  <c r="D2263" i="3"/>
  <c r="T2262" i="3"/>
  <c r="S2262" i="3"/>
  <c r="R2262" i="3"/>
  <c r="Q2262" i="3"/>
  <c r="P2262" i="3"/>
  <c r="O2262" i="3"/>
  <c r="M2262" i="3"/>
  <c r="L2262" i="3"/>
  <c r="N2262" i="3" s="1"/>
  <c r="K2262" i="3"/>
  <c r="J2262" i="3"/>
  <c r="E2262" i="3"/>
  <c r="D2262" i="3"/>
  <c r="T2261" i="3"/>
  <c r="S2261" i="3"/>
  <c r="R2261" i="3"/>
  <c r="Q2261" i="3"/>
  <c r="P2261" i="3"/>
  <c r="O2261" i="3"/>
  <c r="M2261" i="3"/>
  <c r="L2261" i="3"/>
  <c r="N2261" i="3" s="1"/>
  <c r="K2261" i="3"/>
  <c r="J2261" i="3"/>
  <c r="E2261" i="3"/>
  <c r="D2261" i="3"/>
  <c r="T2260" i="3"/>
  <c r="S2260" i="3"/>
  <c r="R2260" i="3"/>
  <c r="Q2260" i="3"/>
  <c r="P2260" i="3"/>
  <c r="O2260" i="3"/>
  <c r="M2260" i="3"/>
  <c r="L2260" i="3"/>
  <c r="N2260" i="3" s="1"/>
  <c r="K2260" i="3"/>
  <c r="J2260" i="3"/>
  <c r="E2260" i="3"/>
  <c r="D2260" i="3"/>
  <c r="T2259" i="3"/>
  <c r="S2259" i="3"/>
  <c r="R2259" i="3"/>
  <c r="Q2259" i="3"/>
  <c r="P2259" i="3"/>
  <c r="O2259" i="3"/>
  <c r="M2259" i="3"/>
  <c r="L2259" i="3"/>
  <c r="N2259" i="3" s="1"/>
  <c r="K2259" i="3"/>
  <c r="J2259" i="3"/>
  <c r="E2259" i="3"/>
  <c r="D2259" i="3"/>
  <c r="T2258" i="3"/>
  <c r="S2258" i="3"/>
  <c r="R2258" i="3"/>
  <c r="Q2258" i="3"/>
  <c r="P2258" i="3"/>
  <c r="O2258" i="3"/>
  <c r="M2258" i="3"/>
  <c r="L2258" i="3"/>
  <c r="N2258" i="3" s="1"/>
  <c r="K2258" i="3"/>
  <c r="J2258" i="3"/>
  <c r="E2258" i="3"/>
  <c r="D2258" i="3"/>
  <c r="T2257" i="3"/>
  <c r="S2257" i="3"/>
  <c r="R2257" i="3"/>
  <c r="Q2257" i="3"/>
  <c r="P2257" i="3"/>
  <c r="O2257" i="3"/>
  <c r="M2257" i="3"/>
  <c r="L2257" i="3"/>
  <c r="N2257" i="3" s="1"/>
  <c r="K2257" i="3"/>
  <c r="J2257" i="3"/>
  <c r="E2257" i="3"/>
  <c r="D2257" i="3"/>
  <c r="T2256" i="3"/>
  <c r="S2256" i="3"/>
  <c r="R2256" i="3"/>
  <c r="Q2256" i="3"/>
  <c r="P2256" i="3"/>
  <c r="O2256" i="3"/>
  <c r="M2256" i="3"/>
  <c r="L2256" i="3"/>
  <c r="N2256" i="3" s="1"/>
  <c r="K2256" i="3"/>
  <c r="J2256" i="3"/>
  <c r="E2256" i="3"/>
  <c r="D2256" i="3"/>
  <c r="T2255" i="3"/>
  <c r="S2255" i="3"/>
  <c r="R2255" i="3"/>
  <c r="Q2255" i="3"/>
  <c r="P2255" i="3"/>
  <c r="O2255" i="3"/>
  <c r="M2255" i="3"/>
  <c r="L2255" i="3"/>
  <c r="N2255" i="3" s="1"/>
  <c r="K2255" i="3"/>
  <c r="J2255" i="3"/>
  <c r="E2255" i="3"/>
  <c r="D2255" i="3"/>
  <c r="T2254" i="3"/>
  <c r="S2254" i="3"/>
  <c r="R2254" i="3"/>
  <c r="Q2254" i="3"/>
  <c r="P2254" i="3"/>
  <c r="O2254" i="3"/>
  <c r="M2254" i="3"/>
  <c r="L2254" i="3"/>
  <c r="N2254" i="3" s="1"/>
  <c r="K2254" i="3"/>
  <c r="J2254" i="3"/>
  <c r="E2254" i="3"/>
  <c r="D2254" i="3"/>
  <c r="T2253" i="3"/>
  <c r="S2253" i="3"/>
  <c r="R2253" i="3"/>
  <c r="Q2253" i="3"/>
  <c r="P2253" i="3"/>
  <c r="O2253" i="3"/>
  <c r="M2253" i="3"/>
  <c r="L2253" i="3"/>
  <c r="N2253" i="3" s="1"/>
  <c r="K2253" i="3"/>
  <c r="J2253" i="3"/>
  <c r="E2253" i="3"/>
  <c r="D2253" i="3"/>
  <c r="T2252" i="3"/>
  <c r="S2252" i="3"/>
  <c r="R2252" i="3"/>
  <c r="Q2252" i="3"/>
  <c r="P2252" i="3"/>
  <c r="O2252" i="3"/>
  <c r="M2252" i="3"/>
  <c r="L2252" i="3"/>
  <c r="N2252" i="3" s="1"/>
  <c r="K2252" i="3"/>
  <c r="J2252" i="3"/>
  <c r="E2252" i="3"/>
  <c r="D2252" i="3"/>
  <c r="T2251" i="3"/>
  <c r="S2251" i="3"/>
  <c r="R2251" i="3"/>
  <c r="Q2251" i="3"/>
  <c r="P2251" i="3"/>
  <c r="O2251" i="3"/>
  <c r="M2251" i="3"/>
  <c r="L2251" i="3"/>
  <c r="N2251" i="3" s="1"/>
  <c r="K2251" i="3"/>
  <c r="J2251" i="3"/>
  <c r="E2251" i="3"/>
  <c r="D2251" i="3"/>
  <c r="T2250" i="3"/>
  <c r="S2250" i="3"/>
  <c r="R2250" i="3"/>
  <c r="Q2250" i="3"/>
  <c r="P2250" i="3"/>
  <c r="O2250" i="3"/>
  <c r="M2250" i="3"/>
  <c r="L2250" i="3"/>
  <c r="N2250" i="3" s="1"/>
  <c r="K2250" i="3"/>
  <c r="J2250" i="3"/>
  <c r="E2250" i="3"/>
  <c r="D2250" i="3"/>
  <c r="T2249" i="3"/>
  <c r="S2249" i="3"/>
  <c r="R2249" i="3"/>
  <c r="Q2249" i="3"/>
  <c r="P2249" i="3"/>
  <c r="O2249" i="3"/>
  <c r="M2249" i="3"/>
  <c r="L2249" i="3"/>
  <c r="N2249" i="3" s="1"/>
  <c r="K2249" i="3"/>
  <c r="J2249" i="3"/>
  <c r="E2249" i="3"/>
  <c r="D2249" i="3"/>
  <c r="T2248" i="3"/>
  <c r="S2248" i="3"/>
  <c r="R2248" i="3"/>
  <c r="Q2248" i="3"/>
  <c r="P2248" i="3"/>
  <c r="O2248" i="3"/>
  <c r="M2248" i="3"/>
  <c r="L2248" i="3"/>
  <c r="N2248" i="3" s="1"/>
  <c r="K2248" i="3"/>
  <c r="J2248" i="3"/>
  <c r="E2248" i="3"/>
  <c r="D2248" i="3"/>
  <c r="T2247" i="3"/>
  <c r="S2247" i="3"/>
  <c r="R2247" i="3"/>
  <c r="Q2247" i="3"/>
  <c r="P2247" i="3"/>
  <c r="O2247" i="3"/>
  <c r="M2247" i="3"/>
  <c r="L2247" i="3"/>
  <c r="N2247" i="3" s="1"/>
  <c r="K2247" i="3"/>
  <c r="J2247" i="3"/>
  <c r="E2247" i="3"/>
  <c r="D2247" i="3"/>
  <c r="T2246" i="3"/>
  <c r="S2246" i="3"/>
  <c r="R2246" i="3"/>
  <c r="Q2246" i="3"/>
  <c r="P2246" i="3"/>
  <c r="O2246" i="3"/>
  <c r="M2246" i="3"/>
  <c r="L2246" i="3"/>
  <c r="N2246" i="3" s="1"/>
  <c r="K2246" i="3"/>
  <c r="J2246" i="3"/>
  <c r="E2246" i="3"/>
  <c r="D2246" i="3"/>
  <c r="T2245" i="3"/>
  <c r="S2245" i="3"/>
  <c r="R2245" i="3"/>
  <c r="Q2245" i="3"/>
  <c r="P2245" i="3"/>
  <c r="O2245" i="3"/>
  <c r="M2245" i="3"/>
  <c r="L2245" i="3"/>
  <c r="N2245" i="3" s="1"/>
  <c r="K2245" i="3"/>
  <c r="J2245" i="3"/>
  <c r="E2245" i="3"/>
  <c r="D2245" i="3"/>
  <c r="T2244" i="3"/>
  <c r="S2244" i="3"/>
  <c r="R2244" i="3"/>
  <c r="Q2244" i="3"/>
  <c r="P2244" i="3"/>
  <c r="O2244" i="3"/>
  <c r="M2244" i="3"/>
  <c r="L2244" i="3"/>
  <c r="N2244" i="3" s="1"/>
  <c r="K2244" i="3"/>
  <c r="J2244" i="3"/>
  <c r="E2244" i="3"/>
  <c r="D2244" i="3"/>
  <c r="T2243" i="3"/>
  <c r="S2243" i="3"/>
  <c r="R2243" i="3"/>
  <c r="Q2243" i="3"/>
  <c r="P2243" i="3"/>
  <c r="O2243" i="3"/>
  <c r="M2243" i="3"/>
  <c r="L2243" i="3"/>
  <c r="N2243" i="3" s="1"/>
  <c r="K2243" i="3"/>
  <c r="J2243" i="3"/>
  <c r="E2243" i="3"/>
  <c r="D2243" i="3"/>
  <c r="T2242" i="3"/>
  <c r="S2242" i="3"/>
  <c r="R2242" i="3"/>
  <c r="Q2242" i="3"/>
  <c r="P2242" i="3"/>
  <c r="O2242" i="3"/>
  <c r="M2242" i="3"/>
  <c r="L2242" i="3"/>
  <c r="N2242" i="3" s="1"/>
  <c r="K2242" i="3"/>
  <c r="J2242" i="3"/>
  <c r="E2242" i="3"/>
  <c r="D2242" i="3"/>
  <c r="T2241" i="3"/>
  <c r="S2241" i="3"/>
  <c r="R2241" i="3"/>
  <c r="Q2241" i="3"/>
  <c r="P2241" i="3"/>
  <c r="O2241" i="3"/>
  <c r="M2241" i="3"/>
  <c r="L2241" i="3"/>
  <c r="N2241" i="3" s="1"/>
  <c r="K2241" i="3"/>
  <c r="J2241" i="3"/>
  <c r="E2241" i="3"/>
  <c r="D2241" i="3"/>
  <c r="T2240" i="3"/>
  <c r="S2240" i="3"/>
  <c r="R2240" i="3"/>
  <c r="Q2240" i="3"/>
  <c r="P2240" i="3"/>
  <c r="O2240" i="3"/>
  <c r="M2240" i="3"/>
  <c r="L2240" i="3"/>
  <c r="N2240" i="3" s="1"/>
  <c r="K2240" i="3"/>
  <c r="J2240" i="3"/>
  <c r="E2240" i="3"/>
  <c r="D2240" i="3"/>
  <c r="T2239" i="3"/>
  <c r="S2239" i="3"/>
  <c r="R2239" i="3"/>
  <c r="Q2239" i="3"/>
  <c r="P2239" i="3"/>
  <c r="O2239" i="3"/>
  <c r="M2239" i="3"/>
  <c r="L2239" i="3"/>
  <c r="N2239" i="3" s="1"/>
  <c r="K2239" i="3"/>
  <c r="J2239" i="3"/>
  <c r="E2239" i="3"/>
  <c r="D2239" i="3"/>
  <c r="T2238" i="3"/>
  <c r="S2238" i="3"/>
  <c r="R2238" i="3"/>
  <c r="Q2238" i="3"/>
  <c r="P2238" i="3"/>
  <c r="O2238" i="3"/>
  <c r="M2238" i="3"/>
  <c r="L2238" i="3"/>
  <c r="N2238" i="3" s="1"/>
  <c r="K2238" i="3"/>
  <c r="J2238" i="3"/>
  <c r="E2238" i="3"/>
  <c r="D2238" i="3"/>
  <c r="T2237" i="3"/>
  <c r="S2237" i="3"/>
  <c r="R2237" i="3"/>
  <c r="Q2237" i="3"/>
  <c r="P2237" i="3"/>
  <c r="O2237" i="3"/>
  <c r="M2237" i="3"/>
  <c r="L2237" i="3"/>
  <c r="N2237" i="3" s="1"/>
  <c r="K2237" i="3"/>
  <c r="J2237" i="3"/>
  <c r="E2237" i="3"/>
  <c r="D2237" i="3"/>
  <c r="T2236" i="3"/>
  <c r="S2236" i="3"/>
  <c r="R2236" i="3"/>
  <c r="Q2236" i="3"/>
  <c r="P2236" i="3"/>
  <c r="O2236" i="3"/>
  <c r="M2236" i="3"/>
  <c r="L2236" i="3"/>
  <c r="N2236" i="3" s="1"/>
  <c r="K2236" i="3"/>
  <c r="J2236" i="3"/>
  <c r="E2236" i="3"/>
  <c r="D2236" i="3"/>
  <c r="T2235" i="3"/>
  <c r="S2235" i="3"/>
  <c r="R2235" i="3"/>
  <c r="Q2235" i="3"/>
  <c r="P2235" i="3"/>
  <c r="O2235" i="3"/>
  <c r="M2235" i="3"/>
  <c r="L2235" i="3"/>
  <c r="N2235" i="3" s="1"/>
  <c r="K2235" i="3"/>
  <c r="J2235" i="3"/>
  <c r="E2235" i="3"/>
  <c r="D2235" i="3"/>
  <c r="T2234" i="3"/>
  <c r="S2234" i="3"/>
  <c r="R2234" i="3"/>
  <c r="Q2234" i="3"/>
  <c r="P2234" i="3"/>
  <c r="O2234" i="3"/>
  <c r="M2234" i="3"/>
  <c r="L2234" i="3"/>
  <c r="N2234" i="3" s="1"/>
  <c r="K2234" i="3"/>
  <c r="J2234" i="3"/>
  <c r="E2234" i="3"/>
  <c r="D2234" i="3"/>
  <c r="T2233" i="3"/>
  <c r="S2233" i="3"/>
  <c r="R2233" i="3"/>
  <c r="Q2233" i="3"/>
  <c r="P2233" i="3"/>
  <c r="O2233" i="3"/>
  <c r="M2233" i="3"/>
  <c r="L2233" i="3"/>
  <c r="N2233" i="3" s="1"/>
  <c r="K2233" i="3"/>
  <c r="J2233" i="3"/>
  <c r="E2233" i="3"/>
  <c r="D2233" i="3"/>
  <c r="T2232" i="3"/>
  <c r="S2232" i="3"/>
  <c r="R2232" i="3"/>
  <c r="Q2232" i="3"/>
  <c r="P2232" i="3"/>
  <c r="O2232" i="3"/>
  <c r="M2232" i="3"/>
  <c r="L2232" i="3"/>
  <c r="N2232" i="3" s="1"/>
  <c r="K2232" i="3"/>
  <c r="J2232" i="3"/>
  <c r="E2232" i="3"/>
  <c r="D2232" i="3"/>
  <c r="T2231" i="3"/>
  <c r="S2231" i="3"/>
  <c r="R2231" i="3"/>
  <c r="Q2231" i="3"/>
  <c r="P2231" i="3"/>
  <c r="O2231" i="3"/>
  <c r="M2231" i="3"/>
  <c r="L2231" i="3"/>
  <c r="N2231" i="3" s="1"/>
  <c r="K2231" i="3"/>
  <c r="J2231" i="3"/>
  <c r="E2231" i="3"/>
  <c r="D2231" i="3"/>
  <c r="T2230" i="3"/>
  <c r="S2230" i="3"/>
  <c r="R2230" i="3"/>
  <c r="Q2230" i="3"/>
  <c r="P2230" i="3"/>
  <c r="O2230" i="3"/>
  <c r="M2230" i="3"/>
  <c r="L2230" i="3"/>
  <c r="N2230" i="3" s="1"/>
  <c r="K2230" i="3"/>
  <c r="J2230" i="3"/>
  <c r="E2230" i="3"/>
  <c r="D2230" i="3"/>
  <c r="T2229" i="3"/>
  <c r="S2229" i="3"/>
  <c r="R2229" i="3"/>
  <c r="Q2229" i="3"/>
  <c r="P2229" i="3"/>
  <c r="O2229" i="3"/>
  <c r="M2229" i="3"/>
  <c r="L2229" i="3"/>
  <c r="N2229" i="3" s="1"/>
  <c r="K2229" i="3"/>
  <c r="J2229" i="3"/>
  <c r="E2229" i="3"/>
  <c r="D2229" i="3"/>
  <c r="T2228" i="3"/>
  <c r="S2228" i="3"/>
  <c r="R2228" i="3"/>
  <c r="Q2228" i="3"/>
  <c r="P2228" i="3"/>
  <c r="O2228" i="3"/>
  <c r="M2228" i="3"/>
  <c r="L2228" i="3"/>
  <c r="N2228" i="3" s="1"/>
  <c r="K2228" i="3"/>
  <c r="J2228" i="3"/>
  <c r="E2228" i="3"/>
  <c r="D2228" i="3"/>
  <c r="T2227" i="3"/>
  <c r="S2227" i="3"/>
  <c r="R2227" i="3"/>
  <c r="Q2227" i="3"/>
  <c r="P2227" i="3"/>
  <c r="O2227" i="3"/>
  <c r="M2227" i="3"/>
  <c r="L2227" i="3"/>
  <c r="N2227" i="3" s="1"/>
  <c r="K2227" i="3"/>
  <c r="J2227" i="3"/>
  <c r="E2227" i="3"/>
  <c r="D2227" i="3"/>
  <c r="T2226" i="3"/>
  <c r="S2226" i="3"/>
  <c r="R2226" i="3"/>
  <c r="Q2226" i="3"/>
  <c r="P2226" i="3"/>
  <c r="O2226" i="3"/>
  <c r="M2226" i="3"/>
  <c r="L2226" i="3"/>
  <c r="N2226" i="3" s="1"/>
  <c r="K2226" i="3"/>
  <c r="J2226" i="3"/>
  <c r="E2226" i="3"/>
  <c r="D2226" i="3"/>
  <c r="T2225" i="3"/>
  <c r="S2225" i="3"/>
  <c r="R2225" i="3"/>
  <c r="Q2225" i="3"/>
  <c r="P2225" i="3"/>
  <c r="O2225" i="3"/>
  <c r="M2225" i="3"/>
  <c r="L2225" i="3"/>
  <c r="N2225" i="3" s="1"/>
  <c r="K2225" i="3"/>
  <c r="J2225" i="3"/>
  <c r="E2225" i="3"/>
  <c r="D2225" i="3"/>
  <c r="T2224" i="3"/>
  <c r="S2224" i="3"/>
  <c r="R2224" i="3"/>
  <c r="Q2224" i="3"/>
  <c r="P2224" i="3"/>
  <c r="O2224" i="3"/>
  <c r="M2224" i="3"/>
  <c r="L2224" i="3"/>
  <c r="N2224" i="3" s="1"/>
  <c r="K2224" i="3"/>
  <c r="J2224" i="3"/>
  <c r="E2224" i="3"/>
  <c r="D2224" i="3"/>
  <c r="T2223" i="3"/>
  <c r="S2223" i="3"/>
  <c r="R2223" i="3"/>
  <c r="Q2223" i="3"/>
  <c r="P2223" i="3"/>
  <c r="O2223" i="3"/>
  <c r="M2223" i="3"/>
  <c r="L2223" i="3"/>
  <c r="N2223" i="3" s="1"/>
  <c r="K2223" i="3"/>
  <c r="J2223" i="3"/>
  <c r="E2223" i="3"/>
  <c r="D2223" i="3"/>
  <c r="T2222" i="3"/>
  <c r="S2222" i="3"/>
  <c r="R2222" i="3"/>
  <c r="Q2222" i="3"/>
  <c r="P2222" i="3"/>
  <c r="O2222" i="3"/>
  <c r="M2222" i="3"/>
  <c r="L2222" i="3"/>
  <c r="N2222" i="3" s="1"/>
  <c r="K2222" i="3"/>
  <c r="J2222" i="3"/>
  <c r="E2222" i="3"/>
  <c r="D2222" i="3"/>
  <c r="T2221" i="3"/>
  <c r="S2221" i="3"/>
  <c r="R2221" i="3"/>
  <c r="Q2221" i="3"/>
  <c r="P2221" i="3"/>
  <c r="O2221" i="3"/>
  <c r="M2221" i="3"/>
  <c r="L2221" i="3"/>
  <c r="N2221" i="3" s="1"/>
  <c r="K2221" i="3"/>
  <c r="J2221" i="3"/>
  <c r="E2221" i="3"/>
  <c r="D2221" i="3"/>
  <c r="T2220" i="3"/>
  <c r="S2220" i="3"/>
  <c r="R2220" i="3"/>
  <c r="Q2220" i="3"/>
  <c r="P2220" i="3"/>
  <c r="O2220" i="3"/>
  <c r="M2220" i="3"/>
  <c r="L2220" i="3"/>
  <c r="N2220" i="3" s="1"/>
  <c r="K2220" i="3"/>
  <c r="J2220" i="3"/>
  <c r="E2220" i="3"/>
  <c r="D2220" i="3"/>
  <c r="T2219" i="3"/>
  <c r="S2219" i="3"/>
  <c r="R2219" i="3"/>
  <c r="Q2219" i="3"/>
  <c r="P2219" i="3"/>
  <c r="O2219" i="3"/>
  <c r="M2219" i="3"/>
  <c r="L2219" i="3"/>
  <c r="N2219" i="3" s="1"/>
  <c r="K2219" i="3"/>
  <c r="J2219" i="3"/>
  <c r="E2219" i="3"/>
  <c r="D2219" i="3"/>
  <c r="T2218" i="3"/>
  <c r="S2218" i="3"/>
  <c r="R2218" i="3"/>
  <c r="Q2218" i="3"/>
  <c r="P2218" i="3"/>
  <c r="O2218" i="3"/>
  <c r="M2218" i="3"/>
  <c r="L2218" i="3"/>
  <c r="N2218" i="3" s="1"/>
  <c r="K2218" i="3"/>
  <c r="J2218" i="3"/>
  <c r="E2218" i="3"/>
  <c r="D2218" i="3"/>
  <c r="T2217" i="3"/>
  <c r="S2217" i="3"/>
  <c r="R2217" i="3"/>
  <c r="Q2217" i="3"/>
  <c r="P2217" i="3"/>
  <c r="O2217" i="3"/>
  <c r="M2217" i="3"/>
  <c r="L2217" i="3"/>
  <c r="N2217" i="3" s="1"/>
  <c r="K2217" i="3"/>
  <c r="J2217" i="3"/>
  <c r="E2217" i="3"/>
  <c r="D2217" i="3"/>
  <c r="T2216" i="3"/>
  <c r="S2216" i="3"/>
  <c r="R2216" i="3"/>
  <c r="Q2216" i="3"/>
  <c r="P2216" i="3"/>
  <c r="O2216" i="3"/>
  <c r="M2216" i="3"/>
  <c r="L2216" i="3"/>
  <c r="N2216" i="3" s="1"/>
  <c r="K2216" i="3"/>
  <c r="J2216" i="3"/>
  <c r="E2216" i="3"/>
  <c r="D2216" i="3"/>
  <c r="T2215" i="3"/>
  <c r="S2215" i="3"/>
  <c r="R2215" i="3"/>
  <c r="Q2215" i="3"/>
  <c r="P2215" i="3"/>
  <c r="O2215" i="3"/>
  <c r="M2215" i="3"/>
  <c r="L2215" i="3"/>
  <c r="N2215" i="3" s="1"/>
  <c r="K2215" i="3"/>
  <c r="J2215" i="3"/>
  <c r="E2215" i="3"/>
  <c r="D2215" i="3"/>
  <c r="T2214" i="3"/>
  <c r="S2214" i="3"/>
  <c r="R2214" i="3"/>
  <c r="Q2214" i="3"/>
  <c r="P2214" i="3"/>
  <c r="O2214" i="3"/>
  <c r="M2214" i="3"/>
  <c r="L2214" i="3"/>
  <c r="N2214" i="3" s="1"/>
  <c r="K2214" i="3"/>
  <c r="J2214" i="3"/>
  <c r="E2214" i="3"/>
  <c r="D2214" i="3"/>
  <c r="T2213" i="3"/>
  <c r="S2213" i="3"/>
  <c r="R2213" i="3"/>
  <c r="Q2213" i="3"/>
  <c r="P2213" i="3"/>
  <c r="O2213" i="3"/>
  <c r="M2213" i="3"/>
  <c r="L2213" i="3"/>
  <c r="N2213" i="3" s="1"/>
  <c r="K2213" i="3"/>
  <c r="J2213" i="3"/>
  <c r="E2213" i="3"/>
  <c r="D2213" i="3"/>
  <c r="T2212" i="3"/>
  <c r="S2212" i="3"/>
  <c r="R2212" i="3"/>
  <c r="Q2212" i="3"/>
  <c r="P2212" i="3"/>
  <c r="O2212" i="3"/>
  <c r="M2212" i="3"/>
  <c r="L2212" i="3"/>
  <c r="N2212" i="3" s="1"/>
  <c r="K2212" i="3"/>
  <c r="J2212" i="3"/>
  <c r="E2212" i="3"/>
  <c r="D2212" i="3"/>
  <c r="T2211" i="3"/>
  <c r="S2211" i="3"/>
  <c r="R2211" i="3"/>
  <c r="Q2211" i="3"/>
  <c r="P2211" i="3"/>
  <c r="O2211" i="3"/>
  <c r="M2211" i="3"/>
  <c r="L2211" i="3"/>
  <c r="N2211" i="3" s="1"/>
  <c r="K2211" i="3"/>
  <c r="J2211" i="3"/>
  <c r="E2211" i="3"/>
  <c r="D2211" i="3"/>
  <c r="T2210" i="3"/>
  <c r="S2210" i="3"/>
  <c r="R2210" i="3"/>
  <c r="Q2210" i="3"/>
  <c r="P2210" i="3"/>
  <c r="O2210" i="3"/>
  <c r="M2210" i="3"/>
  <c r="L2210" i="3"/>
  <c r="N2210" i="3" s="1"/>
  <c r="K2210" i="3"/>
  <c r="J2210" i="3"/>
  <c r="E2210" i="3"/>
  <c r="D2210" i="3"/>
  <c r="T2209" i="3"/>
  <c r="S2209" i="3"/>
  <c r="R2209" i="3"/>
  <c r="Q2209" i="3"/>
  <c r="P2209" i="3"/>
  <c r="O2209" i="3"/>
  <c r="M2209" i="3"/>
  <c r="L2209" i="3"/>
  <c r="N2209" i="3" s="1"/>
  <c r="K2209" i="3"/>
  <c r="J2209" i="3"/>
  <c r="E2209" i="3"/>
  <c r="D2209" i="3"/>
  <c r="T2208" i="3"/>
  <c r="S2208" i="3"/>
  <c r="R2208" i="3"/>
  <c r="Q2208" i="3"/>
  <c r="P2208" i="3"/>
  <c r="O2208" i="3"/>
  <c r="M2208" i="3"/>
  <c r="L2208" i="3"/>
  <c r="N2208" i="3" s="1"/>
  <c r="K2208" i="3"/>
  <c r="J2208" i="3"/>
  <c r="E2208" i="3"/>
  <c r="D2208" i="3"/>
  <c r="T2207" i="3"/>
  <c r="S2207" i="3"/>
  <c r="R2207" i="3"/>
  <c r="Q2207" i="3"/>
  <c r="P2207" i="3"/>
  <c r="O2207" i="3"/>
  <c r="M2207" i="3"/>
  <c r="L2207" i="3"/>
  <c r="N2207" i="3" s="1"/>
  <c r="K2207" i="3"/>
  <c r="J2207" i="3"/>
  <c r="E2207" i="3"/>
  <c r="D2207" i="3"/>
  <c r="T2206" i="3"/>
  <c r="S2206" i="3"/>
  <c r="R2206" i="3"/>
  <c r="Q2206" i="3"/>
  <c r="P2206" i="3"/>
  <c r="O2206" i="3"/>
  <c r="M2206" i="3"/>
  <c r="L2206" i="3"/>
  <c r="N2206" i="3" s="1"/>
  <c r="K2206" i="3"/>
  <c r="J2206" i="3"/>
  <c r="E2206" i="3"/>
  <c r="D2206" i="3"/>
  <c r="T2205" i="3"/>
  <c r="S2205" i="3"/>
  <c r="R2205" i="3"/>
  <c r="Q2205" i="3"/>
  <c r="P2205" i="3"/>
  <c r="O2205" i="3"/>
  <c r="M2205" i="3"/>
  <c r="L2205" i="3"/>
  <c r="N2205" i="3" s="1"/>
  <c r="K2205" i="3"/>
  <c r="J2205" i="3"/>
  <c r="E2205" i="3"/>
  <c r="D2205" i="3"/>
  <c r="T2204" i="3"/>
  <c r="S2204" i="3"/>
  <c r="R2204" i="3"/>
  <c r="Q2204" i="3"/>
  <c r="P2204" i="3"/>
  <c r="O2204" i="3"/>
  <c r="M2204" i="3"/>
  <c r="L2204" i="3"/>
  <c r="N2204" i="3" s="1"/>
  <c r="K2204" i="3"/>
  <c r="J2204" i="3"/>
  <c r="E2204" i="3"/>
  <c r="D2204" i="3"/>
  <c r="T2203" i="3"/>
  <c r="S2203" i="3"/>
  <c r="R2203" i="3"/>
  <c r="Q2203" i="3"/>
  <c r="P2203" i="3"/>
  <c r="O2203" i="3"/>
  <c r="M2203" i="3"/>
  <c r="L2203" i="3"/>
  <c r="N2203" i="3" s="1"/>
  <c r="K2203" i="3"/>
  <c r="J2203" i="3"/>
  <c r="E2203" i="3"/>
  <c r="D2203" i="3"/>
  <c r="T2202" i="3"/>
  <c r="S2202" i="3"/>
  <c r="R2202" i="3"/>
  <c r="Q2202" i="3"/>
  <c r="P2202" i="3"/>
  <c r="O2202" i="3"/>
  <c r="M2202" i="3"/>
  <c r="L2202" i="3"/>
  <c r="N2202" i="3" s="1"/>
  <c r="K2202" i="3"/>
  <c r="J2202" i="3"/>
  <c r="E2202" i="3"/>
  <c r="D2202" i="3"/>
  <c r="T2201" i="3"/>
  <c r="S2201" i="3"/>
  <c r="R2201" i="3"/>
  <c r="Q2201" i="3"/>
  <c r="P2201" i="3"/>
  <c r="O2201" i="3"/>
  <c r="M2201" i="3"/>
  <c r="L2201" i="3"/>
  <c r="N2201" i="3" s="1"/>
  <c r="K2201" i="3"/>
  <c r="J2201" i="3"/>
  <c r="E2201" i="3"/>
  <c r="D2201" i="3"/>
  <c r="T2200" i="3"/>
  <c r="S2200" i="3"/>
  <c r="R2200" i="3"/>
  <c r="Q2200" i="3"/>
  <c r="P2200" i="3"/>
  <c r="O2200" i="3"/>
  <c r="M2200" i="3"/>
  <c r="L2200" i="3"/>
  <c r="N2200" i="3" s="1"/>
  <c r="K2200" i="3"/>
  <c r="J2200" i="3"/>
  <c r="E2200" i="3"/>
  <c r="D2200" i="3"/>
  <c r="T2199" i="3"/>
  <c r="S2199" i="3"/>
  <c r="R2199" i="3"/>
  <c r="Q2199" i="3"/>
  <c r="P2199" i="3"/>
  <c r="O2199" i="3"/>
  <c r="M2199" i="3"/>
  <c r="L2199" i="3"/>
  <c r="N2199" i="3" s="1"/>
  <c r="K2199" i="3"/>
  <c r="J2199" i="3"/>
  <c r="E2199" i="3"/>
  <c r="D2199" i="3"/>
  <c r="T2198" i="3"/>
  <c r="S2198" i="3"/>
  <c r="R2198" i="3"/>
  <c r="Q2198" i="3"/>
  <c r="P2198" i="3"/>
  <c r="O2198" i="3"/>
  <c r="M2198" i="3"/>
  <c r="L2198" i="3"/>
  <c r="N2198" i="3" s="1"/>
  <c r="K2198" i="3"/>
  <c r="J2198" i="3"/>
  <c r="E2198" i="3"/>
  <c r="D2198" i="3"/>
  <c r="T2197" i="3"/>
  <c r="S2197" i="3"/>
  <c r="R2197" i="3"/>
  <c r="Q2197" i="3"/>
  <c r="P2197" i="3"/>
  <c r="O2197" i="3"/>
  <c r="M2197" i="3"/>
  <c r="L2197" i="3"/>
  <c r="N2197" i="3" s="1"/>
  <c r="K2197" i="3"/>
  <c r="J2197" i="3"/>
  <c r="E2197" i="3"/>
  <c r="D2197" i="3"/>
  <c r="T2196" i="3"/>
  <c r="S2196" i="3"/>
  <c r="R2196" i="3"/>
  <c r="Q2196" i="3"/>
  <c r="P2196" i="3"/>
  <c r="O2196" i="3"/>
  <c r="M2196" i="3"/>
  <c r="L2196" i="3"/>
  <c r="N2196" i="3" s="1"/>
  <c r="K2196" i="3"/>
  <c r="J2196" i="3"/>
  <c r="E2196" i="3"/>
  <c r="D2196" i="3"/>
  <c r="T2195" i="3"/>
  <c r="S2195" i="3"/>
  <c r="R2195" i="3"/>
  <c r="Q2195" i="3"/>
  <c r="P2195" i="3"/>
  <c r="O2195" i="3"/>
  <c r="M2195" i="3"/>
  <c r="L2195" i="3"/>
  <c r="N2195" i="3" s="1"/>
  <c r="K2195" i="3"/>
  <c r="J2195" i="3"/>
  <c r="E2195" i="3"/>
  <c r="D2195" i="3"/>
  <c r="T2194" i="3"/>
  <c r="S2194" i="3"/>
  <c r="R2194" i="3"/>
  <c r="Q2194" i="3"/>
  <c r="P2194" i="3"/>
  <c r="O2194" i="3"/>
  <c r="M2194" i="3"/>
  <c r="L2194" i="3"/>
  <c r="N2194" i="3" s="1"/>
  <c r="K2194" i="3"/>
  <c r="J2194" i="3"/>
  <c r="E2194" i="3"/>
  <c r="D2194" i="3"/>
  <c r="T2193" i="3"/>
  <c r="S2193" i="3"/>
  <c r="R2193" i="3"/>
  <c r="Q2193" i="3"/>
  <c r="P2193" i="3"/>
  <c r="O2193" i="3"/>
  <c r="M2193" i="3"/>
  <c r="L2193" i="3"/>
  <c r="N2193" i="3" s="1"/>
  <c r="K2193" i="3"/>
  <c r="J2193" i="3"/>
  <c r="E2193" i="3"/>
  <c r="D2193" i="3"/>
  <c r="T2192" i="3"/>
  <c r="S2192" i="3"/>
  <c r="R2192" i="3"/>
  <c r="Q2192" i="3"/>
  <c r="P2192" i="3"/>
  <c r="O2192" i="3"/>
  <c r="M2192" i="3"/>
  <c r="L2192" i="3"/>
  <c r="N2192" i="3" s="1"/>
  <c r="K2192" i="3"/>
  <c r="J2192" i="3"/>
  <c r="E2192" i="3"/>
  <c r="D2192" i="3"/>
  <c r="T2191" i="3"/>
  <c r="S2191" i="3"/>
  <c r="R2191" i="3"/>
  <c r="Q2191" i="3"/>
  <c r="P2191" i="3"/>
  <c r="O2191" i="3"/>
  <c r="M2191" i="3"/>
  <c r="L2191" i="3"/>
  <c r="N2191" i="3" s="1"/>
  <c r="K2191" i="3"/>
  <c r="J2191" i="3"/>
  <c r="E2191" i="3"/>
  <c r="D2191" i="3"/>
  <c r="T2190" i="3"/>
  <c r="S2190" i="3"/>
  <c r="R2190" i="3"/>
  <c r="Q2190" i="3"/>
  <c r="P2190" i="3"/>
  <c r="O2190" i="3"/>
  <c r="M2190" i="3"/>
  <c r="L2190" i="3"/>
  <c r="N2190" i="3" s="1"/>
  <c r="K2190" i="3"/>
  <c r="J2190" i="3"/>
  <c r="E2190" i="3"/>
  <c r="D2190" i="3"/>
  <c r="T2189" i="3"/>
  <c r="S2189" i="3"/>
  <c r="R2189" i="3"/>
  <c r="Q2189" i="3"/>
  <c r="P2189" i="3"/>
  <c r="O2189" i="3"/>
  <c r="M2189" i="3"/>
  <c r="L2189" i="3"/>
  <c r="N2189" i="3" s="1"/>
  <c r="K2189" i="3"/>
  <c r="J2189" i="3"/>
  <c r="E2189" i="3"/>
  <c r="D2189" i="3"/>
  <c r="T2188" i="3"/>
  <c r="S2188" i="3"/>
  <c r="R2188" i="3"/>
  <c r="Q2188" i="3"/>
  <c r="P2188" i="3"/>
  <c r="O2188" i="3"/>
  <c r="M2188" i="3"/>
  <c r="L2188" i="3"/>
  <c r="N2188" i="3" s="1"/>
  <c r="K2188" i="3"/>
  <c r="J2188" i="3"/>
  <c r="E2188" i="3"/>
  <c r="D2188" i="3"/>
  <c r="T2187" i="3"/>
  <c r="S2187" i="3"/>
  <c r="R2187" i="3"/>
  <c r="Q2187" i="3"/>
  <c r="P2187" i="3"/>
  <c r="O2187" i="3"/>
  <c r="M2187" i="3"/>
  <c r="L2187" i="3"/>
  <c r="N2187" i="3" s="1"/>
  <c r="K2187" i="3"/>
  <c r="J2187" i="3"/>
  <c r="E2187" i="3"/>
  <c r="D2187" i="3"/>
  <c r="T2186" i="3"/>
  <c r="S2186" i="3"/>
  <c r="R2186" i="3"/>
  <c r="Q2186" i="3"/>
  <c r="P2186" i="3"/>
  <c r="O2186" i="3"/>
  <c r="M2186" i="3"/>
  <c r="L2186" i="3"/>
  <c r="N2186" i="3" s="1"/>
  <c r="K2186" i="3"/>
  <c r="J2186" i="3"/>
  <c r="E2186" i="3"/>
  <c r="D2186" i="3"/>
  <c r="T2185" i="3"/>
  <c r="S2185" i="3"/>
  <c r="R2185" i="3"/>
  <c r="Q2185" i="3"/>
  <c r="P2185" i="3"/>
  <c r="O2185" i="3"/>
  <c r="M2185" i="3"/>
  <c r="L2185" i="3"/>
  <c r="N2185" i="3" s="1"/>
  <c r="K2185" i="3"/>
  <c r="J2185" i="3"/>
  <c r="E2185" i="3"/>
  <c r="D2185" i="3"/>
  <c r="T2184" i="3"/>
  <c r="S2184" i="3"/>
  <c r="R2184" i="3"/>
  <c r="Q2184" i="3"/>
  <c r="P2184" i="3"/>
  <c r="O2184" i="3"/>
  <c r="M2184" i="3"/>
  <c r="L2184" i="3"/>
  <c r="N2184" i="3" s="1"/>
  <c r="K2184" i="3"/>
  <c r="J2184" i="3"/>
  <c r="E2184" i="3"/>
  <c r="D2184" i="3"/>
  <c r="T2183" i="3"/>
  <c r="S2183" i="3"/>
  <c r="R2183" i="3"/>
  <c r="Q2183" i="3"/>
  <c r="P2183" i="3"/>
  <c r="O2183" i="3"/>
  <c r="M2183" i="3"/>
  <c r="L2183" i="3"/>
  <c r="N2183" i="3" s="1"/>
  <c r="K2183" i="3"/>
  <c r="J2183" i="3"/>
  <c r="E2183" i="3"/>
  <c r="D2183" i="3"/>
  <c r="T2182" i="3"/>
  <c r="S2182" i="3"/>
  <c r="R2182" i="3"/>
  <c r="Q2182" i="3"/>
  <c r="P2182" i="3"/>
  <c r="O2182" i="3"/>
  <c r="M2182" i="3"/>
  <c r="L2182" i="3"/>
  <c r="N2182" i="3" s="1"/>
  <c r="K2182" i="3"/>
  <c r="J2182" i="3"/>
  <c r="E2182" i="3"/>
  <c r="D2182" i="3"/>
  <c r="T2181" i="3"/>
  <c r="S2181" i="3"/>
  <c r="R2181" i="3"/>
  <c r="Q2181" i="3"/>
  <c r="P2181" i="3"/>
  <c r="O2181" i="3"/>
  <c r="M2181" i="3"/>
  <c r="L2181" i="3"/>
  <c r="N2181" i="3" s="1"/>
  <c r="K2181" i="3"/>
  <c r="J2181" i="3"/>
  <c r="E2181" i="3"/>
  <c r="D2181" i="3"/>
  <c r="T2180" i="3"/>
  <c r="S2180" i="3"/>
  <c r="R2180" i="3"/>
  <c r="Q2180" i="3"/>
  <c r="P2180" i="3"/>
  <c r="O2180" i="3"/>
  <c r="M2180" i="3"/>
  <c r="L2180" i="3"/>
  <c r="N2180" i="3" s="1"/>
  <c r="K2180" i="3"/>
  <c r="J2180" i="3"/>
  <c r="E2180" i="3"/>
  <c r="D2180" i="3"/>
  <c r="T2179" i="3"/>
  <c r="S2179" i="3"/>
  <c r="R2179" i="3"/>
  <c r="Q2179" i="3"/>
  <c r="P2179" i="3"/>
  <c r="O2179" i="3"/>
  <c r="M2179" i="3"/>
  <c r="L2179" i="3"/>
  <c r="N2179" i="3" s="1"/>
  <c r="K2179" i="3"/>
  <c r="J2179" i="3"/>
  <c r="E2179" i="3"/>
  <c r="D2179" i="3"/>
  <c r="T2178" i="3"/>
  <c r="S2178" i="3"/>
  <c r="R2178" i="3"/>
  <c r="Q2178" i="3"/>
  <c r="P2178" i="3"/>
  <c r="O2178" i="3"/>
  <c r="M2178" i="3"/>
  <c r="L2178" i="3"/>
  <c r="N2178" i="3" s="1"/>
  <c r="K2178" i="3"/>
  <c r="J2178" i="3"/>
  <c r="E2178" i="3"/>
  <c r="D2178" i="3"/>
  <c r="T2177" i="3"/>
  <c r="S2177" i="3"/>
  <c r="R2177" i="3"/>
  <c r="Q2177" i="3"/>
  <c r="P2177" i="3"/>
  <c r="O2177" i="3"/>
  <c r="M2177" i="3"/>
  <c r="L2177" i="3"/>
  <c r="N2177" i="3" s="1"/>
  <c r="K2177" i="3"/>
  <c r="J2177" i="3"/>
  <c r="E2177" i="3"/>
  <c r="D2177" i="3"/>
  <c r="T2176" i="3"/>
  <c r="S2176" i="3"/>
  <c r="R2176" i="3"/>
  <c r="Q2176" i="3"/>
  <c r="P2176" i="3"/>
  <c r="O2176" i="3"/>
  <c r="M2176" i="3"/>
  <c r="L2176" i="3"/>
  <c r="N2176" i="3" s="1"/>
  <c r="K2176" i="3"/>
  <c r="J2176" i="3"/>
  <c r="E2176" i="3"/>
  <c r="D2176" i="3"/>
  <c r="T2175" i="3"/>
  <c r="S2175" i="3"/>
  <c r="R2175" i="3"/>
  <c r="Q2175" i="3"/>
  <c r="P2175" i="3"/>
  <c r="O2175" i="3"/>
  <c r="M2175" i="3"/>
  <c r="L2175" i="3"/>
  <c r="N2175" i="3" s="1"/>
  <c r="K2175" i="3"/>
  <c r="J2175" i="3"/>
  <c r="E2175" i="3"/>
  <c r="D2175" i="3"/>
  <c r="T2174" i="3"/>
  <c r="S2174" i="3"/>
  <c r="R2174" i="3"/>
  <c r="Q2174" i="3"/>
  <c r="P2174" i="3"/>
  <c r="O2174" i="3"/>
  <c r="M2174" i="3"/>
  <c r="L2174" i="3"/>
  <c r="N2174" i="3" s="1"/>
  <c r="K2174" i="3"/>
  <c r="J2174" i="3"/>
  <c r="E2174" i="3"/>
  <c r="D2174" i="3"/>
  <c r="T2173" i="3"/>
  <c r="S2173" i="3"/>
  <c r="R2173" i="3"/>
  <c r="Q2173" i="3"/>
  <c r="P2173" i="3"/>
  <c r="O2173" i="3"/>
  <c r="M2173" i="3"/>
  <c r="L2173" i="3"/>
  <c r="N2173" i="3" s="1"/>
  <c r="K2173" i="3"/>
  <c r="J2173" i="3"/>
  <c r="E2173" i="3"/>
  <c r="D2173" i="3"/>
  <c r="T2172" i="3"/>
  <c r="S2172" i="3"/>
  <c r="R2172" i="3"/>
  <c r="Q2172" i="3"/>
  <c r="P2172" i="3"/>
  <c r="O2172" i="3"/>
  <c r="M2172" i="3"/>
  <c r="L2172" i="3"/>
  <c r="N2172" i="3" s="1"/>
  <c r="K2172" i="3"/>
  <c r="J2172" i="3"/>
  <c r="E2172" i="3"/>
  <c r="D2172" i="3"/>
  <c r="T2171" i="3"/>
  <c r="S2171" i="3"/>
  <c r="R2171" i="3"/>
  <c r="Q2171" i="3"/>
  <c r="P2171" i="3"/>
  <c r="O2171" i="3"/>
  <c r="M2171" i="3"/>
  <c r="L2171" i="3"/>
  <c r="N2171" i="3" s="1"/>
  <c r="K2171" i="3"/>
  <c r="J2171" i="3"/>
  <c r="E2171" i="3"/>
  <c r="D2171" i="3"/>
  <c r="T2170" i="3"/>
  <c r="S2170" i="3"/>
  <c r="R2170" i="3"/>
  <c r="Q2170" i="3"/>
  <c r="P2170" i="3"/>
  <c r="O2170" i="3"/>
  <c r="M2170" i="3"/>
  <c r="L2170" i="3"/>
  <c r="N2170" i="3" s="1"/>
  <c r="K2170" i="3"/>
  <c r="J2170" i="3"/>
  <c r="E2170" i="3"/>
  <c r="D2170" i="3"/>
  <c r="T2169" i="3"/>
  <c r="S2169" i="3"/>
  <c r="R2169" i="3"/>
  <c r="Q2169" i="3"/>
  <c r="P2169" i="3"/>
  <c r="O2169" i="3"/>
  <c r="M2169" i="3"/>
  <c r="L2169" i="3"/>
  <c r="N2169" i="3" s="1"/>
  <c r="K2169" i="3"/>
  <c r="J2169" i="3"/>
  <c r="E2169" i="3"/>
  <c r="D2169" i="3"/>
  <c r="T2168" i="3"/>
  <c r="S2168" i="3"/>
  <c r="R2168" i="3"/>
  <c r="Q2168" i="3"/>
  <c r="P2168" i="3"/>
  <c r="O2168" i="3"/>
  <c r="M2168" i="3"/>
  <c r="L2168" i="3"/>
  <c r="N2168" i="3" s="1"/>
  <c r="K2168" i="3"/>
  <c r="J2168" i="3"/>
  <c r="E2168" i="3"/>
  <c r="D2168" i="3"/>
  <c r="T2167" i="3"/>
  <c r="S2167" i="3"/>
  <c r="R2167" i="3"/>
  <c r="Q2167" i="3"/>
  <c r="P2167" i="3"/>
  <c r="O2167" i="3"/>
  <c r="M2167" i="3"/>
  <c r="L2167" i="3"/>
  <c r="N2167" i="3" s="1"/>
  <c r="K2167" i="3"/>
  <c r="J2167" i="3"/>
  <c r="E2167" i="3"/>
  <c r="D2167" i="3"/>
  <c r="T2166" i="3"/>
  <c r="S2166" i="3"/>
  <c r="R2166" i="3"/>
  <c r="Q2166" i="3"/>
  <c r="P2166" i="3"/>
  <c r="O2166" i="3"/>
  <c r="M2166" i="3"/>
  <c r="L2166" i="3"/>
  <c r="N2166" i="3" s="1"/>
  <c r="K2166" i="3"/>
  <c r="J2166" i="3"/>
  <c r="E2166" i="3"/>
  <c r="D2166" i="3"/>
  <c r="T2165" i="3"/>
  <c r="S2165" i="3"/>
  <c r="R2165" i="3"/>
  <c r="Q2165" i="3"/>
  <c r="P2165" i="3"/>
  <c r="O2165" i="3"/>
  <c r="M2165" i="3"/>
  <c r="L2165" i="3"/>
  <c r="N2165" i="3" s="1"/>
  <c r="K2165" i="3"/>
  <c r="J2165" i="3"/>
  <c r="E2165" i="3"/>
  <c r="D2165" i="3"/>
  <c r="T2164" i="3"/>
  <c r="S2164" i="3"/>
  <c r="R2164" i="3"/>
  <c r="Q2164" i="3"/>
  <c r="P2164" i="3"/>
  <c r="O2164" i="3"/>
  <c r="M2164" i="3"/>
  <c r="L2164" i="3"/>
  <c r="N2164" i="3" s="1"/>
  <c r="K2164" i="3"/>
  <c r="J2164" i="3"/>
  <c r="E2164" i="3"/>
  <c r="D2164" i="3"/>
  <c r="T2163" i="3"/>
  <c r="S2163" i="3"/>
  <c r="R2163" i="3"/>
  <c r="Q2163" i="3"/>
  <c r="P2163" i="3"/>
  <c r="O2163" i="3"/>
  <c r="M2163" i="3"/>
  <c r="L2163" i="3"/>
  <c r="N2163" i="3" s="1"/>
  <c r="K2163" i="3"/>
  <c r="J2163" i="3"/>
  <c r="E2163" i="3"/>
  <c r="D2163" i="3"/>
  <c r="T2162" i="3"/>
  <c r="S2162" i="3"/>
  <c r="R2162" i="3"/>
  <c r="Q2162" i="3"/>
  <c r="P2162" i="3"/>
  <c r="O2162" i="3"/>
  <c r="M2162" i="3"/>
  <c r="L2162" i="3"/>
  <c r="N2162" i="3" s="1"/>
  <c r="K2162" i="3"/>
  <c r="J2162" i="3"/>
  <c r="E2162" i="3"/>
  <c r="D2162" i="3"/>
  <c r="T2161" i="3"/>
  <c r="S2161" i="3"/>
  <c r="R2161" i="3"/>
  <c r="Q2161" i="3"/>
  <c r="P2161" i="3"/>
  <c r="O2161" i="3"/>
  <c r="M2161" i="3"/>
  <c r="L2161" i="3"/>
  <c r="N2161" i="3" s="1"/>
  <c r="K2161" i="3"/>
  <c r="J2161" i="3"/>
  <c r="E2161" i="3"/>
  <c r="D2161" i="3"/>
  <c r="T2160" i="3"/>
  <c r="S2160" i="3"/>
  <c r="R2160" i="3"/>
  <c r="Q2160" i="3"/>
  <c r="P2160" i="3"/>
  <c r="O2160" i="3"/>
  <c r="M2160" i="3"/>
  <c r="L2160" i="3"/>
  <c r="N2160" i="3" s="1"/>
  <c r="K2160" i="3"/>
  <c r="J2160" i="3"/>
  <c r="E2160" i="3"/>
  <c r="D2160" i="3"/>
  <c r="T2159" i="3"/>
  <c r="S2159" i="3"/>
  <c r="R2159" i="3"/>
  <c r="Q2159" i="3"/>
  <c r="P2159" i="3"/>
  <c r="O2159" i="3"/>
  <c r="M2159" i="3"/>
  <c r="L2159" i="3"/>
  <c r="N2159" i="3" s="1"/>
  <c r="K2159" i="3"/>
  <c r="J2159" i="3"/>
  <c r="E2159" i="3"/>
  <c r="D2159" i="3"/>
  <c r="T2158" i="3"/>
  <c r="S2158" i="3"/>
  <c r="R2158" i="3"/>
  <c r="Q2158" i="3"/>
  <c r="P2158" i="3"/>
  <c r="O2158" i="3"/>
  <c r="M2158" i="3"/>
  <c r="L2158" i="3"/>
  <c r="N2158" i="3" s="1"/>
  <c r="K2158" i="3"/>
  <c r="J2158" i="3"/>
  <c r="E2158" i="3"/>
  <c r="D2158" i="3"/>
  <c r="T2157" i="3"/>
  <c r="S2157" i="3"/>
  <c r="R2157" i="3"/>
  <c r="Q2157" i="3"/>
  <c r="P2157" i="3"/>
  <c r="O2157" i="3"/>
  <c r="M2157" i="3"/>
  <c r="L2157" i="3"/>
  <c r="N2157" i="3" s="1"/>
  <c r="K2157" i="3"/>
  <c r="J2157" i="3"/>
  <c r="E2157" i="3"/>
  <c r="D2157" i="3"/>
  <c r="T2156" i="3"/>
  <c r="S2156" i="3"/>
  <c r="R2156" i="3"/>
  <c r="Q2156" i="3"/>
  <c r="P2156" i="3"/>
  <c r="O2156" i="3"/>
  <c r="M2156" i="3"/>
  <c r="L2156" i="3"/>
  <c r="N2156" i="3" s="1"/>
  <c r="K2156" i="3"/>
  <c r="J2156" i="3"/>
  <c r="E2156" i="3"/>
  <c r="D2156" i="3"/>
  <c r="T2155" i="3"/>
  <c r="S2155" i="3"/>
  <c r="R2155" i="3"/>
  <c r="Q2155" i="3"/>
  <c r="P2155" i="3"/>
  <c r="O2155" i="3"/>
  <c r="M2155" i="3"/>
  <c r="L2155" i="3"/>
  <c r="N2155" i="3" s="1"/>
  <c r="K2155" i="3"/>
  <c r="J2155" i="3"/>
  <c r="E2155" i="3"/>
  <c r="D2155" i="3"/>
  <c r="T2154" i="3"/>
  <c r="S2154" i="3"/>
  <c r="R2154" i="3"/>
  <c r="Q2154" i="3"/>
  <c r="P2154" i="3"/>
  <c r="O2154" i="3"/>
  <c r="M2154" i="3"/>
  <c r="L2154" i="3"/>
  <c r="N2154" i="3" s="1"/>
  <c r="K2154" i="3"/>
  <c r="J2154" i="3"/>
  <c r="E2154" i="3"/>
  <c r="D2154" i="3"/>
  <c r="T2153" i="3"/>
  <c r="S2153" i="3"/>
  <c r="R2153" i="3"/>
  <c r="Q2153" i="3"/>
  <c r="P2153" i="3"/>
  <c r="O2153" i="3"/>
  <c r="M2153" i="3"/>
  <c r="L2153" i="3"/>
  <c r="N2153" i="3" s="1"/>
  <c r="K2153" i="3"/>
  <c r="J2153" i="3"/>
  <c r="E2153" i="3"/>
  <c r="D2153" i="3"/>
  <c r="T2152" i="3"/>
  <c r="S2152" i="3"/>
  <c r="R2152" i="3"/>
  <c r="Q2152" i="3"/>
  <c r="P2152" i="3"/>
  <c r="O2152" i="3"/>
  <c r="M2152" i="3"/>
  <c r="L2152" i="3"/>
  <c r="N2152" i="3" s="1"/>
  <c r="K2152" i="3"/>
  <c r="J2152" i="3"/>
  <c r="E2152" i="3"/>
  <c r="D2152" i="3"/>
  <c r="T2151" i="3"/>
  <c r="S2151" i="3"/>
  <c r="R2151" i="3"/>
  <c r="Q2151" i="3"/>
  <c r="P2151" i="3"/>
  <c r="O2151" i="3"/>
  <c r="M2151" i="3"/>
  <c r="L2151" i="3"/>
  <c r="N2151" i="3" s="1"/>
  <c r="K2151" i="3"/>
  <c r="J2151" i="3"/>
  <c r="E2151" i="3"/>
  <c r="D2151" i="3"/>
  <c r="T2150" i="3"/>
  <c r="S2150" i="3"/>
  <c r="R2150" i="3"/>
  <c r="Q2150" i="3"/>
  <c r="P2150" i="3"/>
  <c r="O2150" i="3"/>
  <c r="M2150" i="3"/>
  <c r="L2150" i="3"/>
  <c r="N2150" i="3" s="1"/>
  <c r="K2150" i="3"/>
  <c r="J2150" i="3"/>
  <c r="E2150" i="3"/>
  <c r="D2150" i="3"/>
  <c r="T2149" i="3"/>
  <c r="S2149" i="3"/>
  <c r="R2149" i="3"/>
  <c r="Q2149" i="3"/>
  <c r="P2149" i="3"/>
  <c r="O2149" i="3"/>
  <c r="M2149" i="3"/>
  <c r="L2149" i="3"/>
  <c r="N2149" i="3" s="1"/>
  <c r="K2149" i="3"/>
  <c r="J2149" i="3"/>
  <c r="E2149" i="3"/>
  <c r="D2149" i="3"/>
  <c r="T2148" i="3"/>
  <c r="S2148" i="3"/>
  <c r="R2148" i="3"/>
  <c r="Q2148" i="3"/>
  <c r="P2148" i="3"/>
  <c r="O2148" i="3"/>
  <c r="M2148" i="3"/>
  <c r="L2148" i="3"/>
  <c r="N2148" i="3" s="1"/>
  <c r="K2148" i="3"/>
  <c r="J2148" i="3"/>
  <c r="E2148" i="3"/>
  <c r="D2148" i="3"/>
  <c r="T2147" i="3"/>
  <c r="S2147" i="3"/>
  <c r="R2147" i="3"/>
  <c r="Q2147" i="3"/>
  <c r="P2147" i="3"/>
  <c r="O2147" i="3"/>
  <c r="M2147" i="3"/>
  <c r="L2147" i="3"/>
  <c r="N2147" i="3" s="1"/>
  <c r="K2147" i="3"/>
  <c r="J2147" i="3"/>
  <c r="E2147" i="3"/>
  <c r="D2147" i="3"/>
  <c r="T2146" i="3"/>
  <c r="S2146" i="3"/>
  <c r="R2146" i="3"/>
  <c r="Q2146" i="3"/>
  <c r="P2146" i="3"/>
  <c r="O2146" i="3"/>
  <c r="M2146" i="3"/>
  <c r="L2146" i="3"/>
  <c r="N2146" i="3" s="1"/>
  <c r="K2146" i="3"/>
  <c r="J2146" i="3"/>
  <c r="E2146" i="3"/>
  <c r="D2146" i="3"/>
  <c r="T2145" i="3"/>
  <c r="S2145" i="3"/>
  <c r="R2145" i="3"/>
  <c r="Q2145" i="3"/>
  <c r="P2145" i="3"/>
  <c r="O2145" i="3"/>
  <c r="M2145" i="3"/>
  <c r="L2145" i="3"/>
  <c r="N2145" i="3" s="1"/>
  <c r="K2145" i="3"/>
  <c r="J2145" i="3"/>
  <c r="E2145" i="3"/>
  <c r="D2145" i="3"/>
  <c r="T2144" i="3"/>
  <c r="S2144" i="3"/>
  <c r="R2144" i="3"/>
  <c r="Q2144" i="3"/>
  <c r="P2144" i="3"/>
  <c r="O2144" i="3"/>
  <c r="M2144" i="3"/>
  <c r="L2144" i="3"/>
  <c r="N2144" i="3" s="1"/>
  <c r="K2144" i="3"/>
  <c r="J2144" i="3"/>
  <c r="E2144" i="3"/>
  <c r="D2144" i="3"/>
  <c r="T2143" i="3"/>
  <c r="S2143" i="3"/>
  <c r="R2143" i="3"/>
  <c r="Q2143" i="3"/>
  <c r="P2143" i="3"/>
  <c r="O2143" i="3"/>
  <c r="M2143" i="3"/>
  <c r="L2143" i="3"/>
  <c r="N2143" i="3" s="1"/>
  <c r="K2143" i="3"/>
  <c r="J2143" i="3"/>
  <c r="E2143" i="3"/>
  <c r="D2143" i="3"/>
  <c r="T2142" i="3"/>
  <c r="S2142" i="3"/>
  <c r="R2142" i="3"/>
  <c r="Q2142" i="3"/>
  <c r="P2142" i="3"/>
  <c r="O2142" i="3"/>
  <c r="M2142" i="3"/>
  <c r="L2142" i="3"/>
  <c r="N2142" i="3" s="1"/>
  <c r="K2142" i="3"/>
  <c r="J2142" i="3"/>
  <c r="E2142" i="3"/>
  <c r="D2142" i="3"/>
  <c r="T2141" i="3"/>
  <c r="S2141" i="3"/>
  <c r="R2141" i="3"/>
  <c r="Q2141" i="3"/>
  <c r="P2141" i="3"/>
  <c r="O2141" i="3"/>
  <c r="M2141" i="3"/>
  <c r="L2141" i="3"/>
  <c r="N2141" i="3" s="1"/>
  <c r="K2141" i="3"/>
  <c r="J2141" i="3"/>
  <c r="E2141" i="3"/>
  <c r="D2141" i="3"/>
  <c r="T2140" i="3"/>
  <c r="S2140" i="3"/>
  <c r="R2140" i="3"/>
  <c r="Q2140" i="3"/>
  <c r="P2140" i="3"/>
  <c r="O2140" i="3"/>
  <c r="M2140" i="3"/>
  <c r="L2140" i="3"/>
  <c r="N2140" i="3" s="1"/>
  <c r="K2140" i="3"/>
  <c r="J2140" i="3"/>
  <c r="E2140" i="3"/>
  <c r="D2140" i="3"/>
  <c r="T2139" i="3"/>
  <c r="S2139" i="3"/>
  <c r="R2139" i="3"/>
  <c r="Q2139" i="3"/>
  <c r="P2139" i="3"/>
  <c r="O2139" i="3"/>
  <c r="M2139" i="3"/>
  <c r="L2139" i="3"/>
  <c r="N2139" i="3" s="1"/>
  <c r="K2139" i="3"/>
  <c r="J2139" i="3"/>
  <c r="E2139" i="3"/>
  <c r="D2139" i="3"/>
  <c r="T2138" i="3"/>
  <c r="S2138" i="3"/>
  <c r="R2138" i="3"/>
  <c r="Q2138" i="3"/>
  <c r="P2138" i="3"/>
  <c r="O2138" i="3"/>
  <c r="M2138" i="3"/>
  <c r="L2138" i="3"/>
  <c r="N2138" i="3" s="1"/>
  <c r="K2138" i="3"/>
  <c r="J2138" i="3"/>
  <c r="E2138" i="3"/>
  <c r="D2138" i="3"/>
  <c r="T2137" i="3"/>
  <c r="S2137" i="3"/>
  <c r="R2137" i="3"/>
  <c r="Q2137" i="3"/>
  <c r="P2137" i="3"/>
  <c r="O2137" i="3"/>
  <c r="M2137" i="3"/>
  <c r="L2137" i="3"/>
  <c r="N2137" i="3" s="1"/>
  <c r="K2137" i="3"/>
  <c r="J2137" i="3"/>
  <c r="E2137" i="3"/>
  <c r="D2137" i="3"/>
  <c r="T2136" i="3"/>
  <c r="S2136" i="3"/>
  <c r="R2136" i="3"/>
  <c r="Q2136" i="3"/>
  <c r="P2136" i="3"/>
  <c r="O2136" i="3"/>
  <c r="M2136" i="3"/>
  <c r="L2136" i="3"/>
  <c r="N2136" i="3" s="1"/>
  <c r="K2136" i="3"/>
  <c r="J2136" i="3"/>
  <c r="E2136" i="3"/>
  <c r="D2136" i="3"/>
  <c r="T2135" i="3"/>
  <c r="S2135" i="3"/>
  <c r="R2135" i="3"/>
  <c r="Q2135" i="3"/>
  <c r="P2135" i="3"/>
  <c r="O2135" i="3"/>
  <c r="M2135" i="3"/>
  <c r="L2135" i="3"/>
  <c r="N2135" i="3" s="1"/>
  <c r="K2135" i="3"/>
  <c r="J2135" i="3"/>
  <c r="E2135" i="3"/>
  <c r="D2135" i="3"/>
  <c r="T2134" i="3"/>
  <c r="S2134" i="3"/>
  <c r="R2134" i="3"/>
  <c r="Q2134" i="3"/>
  <c r="P2134" i="3"/>
  <c r="O2134" i="3"/>
  <c r="M2134" i="3"/>
  <c r="L2134" i="3"/>
  <c r="N2134" i="3" s="1"/>
  <c r="K2134" i="3"/>
  <c r="J2134" i="3"/>
  <c r="E2134" i="3"/>
  <c r="D2134" i="3"/>
  <c r="T2133" i="3"/>
  <c r="S2133" i="3"/>
  <c r="R2133" i="3"/>
  <c r="Q2133" i="3"/>
  <c r="P2133" i="3"/>
  <c r="O2133" i="3"/>
  <c r="M2133" i="3"/>
  <c r="L2133" i="3"/>
  <c r="N2133" i="3" s="1"/>
  <c r="K2133" i="3"/>
  <c r="J2133" i="3"/>
  <c r="E2133" i="3"/>
  <c r="D2133" i="3"/>
  <c r="T2132" i="3"/>
  <c r="S2132" i="3"/>
  <c r="R2132" i="3"/>
  <c r="Q2132" i="3"/>
  <c r="P2132" i="3"/>
  <c r="O2132" i="3"/>
  <c r="M2132" i="3"/>
  <c r="L2132" i="3"/>
  <c r="N2132" i="3" s="1"/>
  <c r="K2132" i="3"/>
  <c r="J2132" i="3"/>
  <c r="E2132" i="3"/>
  <c r="D2132" i="3"/>
  <c r="T2131" i="3"/>
  <c r="S2131" i="3"/>
  <c r="R2131" i="3"/>
  <c r="Q2131" i="3"/>
  <c r="P2131" i="3"/>
  <c r="O2131" i="3"/>
  <c r="M2131" i="3"/>
  <c r="L2131" i="3"/>
  <c r="N2131" i="3" s="1"/>
  <c r="K2131" i="3"/>
  <c r="J2131" i="3"/>
  <c r="E2131" i="3"/>
  <c r="D2131" i="3"/>
  <c r="T2130" i="3"/>
  <c r="S2130" i="3"/>
  <c r="R2130" i="3"/>
  <c r="Q2130" i="3"/>
  <c r="P2130" i="3"/>
  <c r="O2130" i="3"/>
  <c r="M2130" i="3"/>
  <c r="L2130" i="3"/>
  <c r="N2130" i="3" s="1"/>
  <c r="K2130" i="3"/>
  <c r="J2130" i="3"/>
  <c r="E2130" i="3"/>
  <c r="D2130" i="3"/>
  <c r="T2129" i="3"/>
  <c r="S2129" i="3"/>
  <c r="R2129" i="3"/>
  <c r="Q2129" i="3"/>
  <c r="P2129" i="3"/>
  <c r="O2129" i="3"/>
  <c r="M2129" i="3"/>
  <c r="L2129" i="3"/>
  <c r="N2129" i="3" s="1"/>
  <c r="K2129" i="3"/>
  <c r="J2129" i="3"/>
  <c r="E2129" i="3"/>
  <c r="D2129" i="3"/>
  <c r="T2128" i="3"/>
  <c r="S2128" i="3"/>
  <c r="R2128" i="3"/>
  <c r="Q2128" i="3"/>
  <c r="P2128" i="3"/>
  <c r="O2128" i="3"/>
  <c r="M2128" i="3"/>
  <c r="L2128" i="3"/>
  <c r="N2128" i="3" s="1"/>
  <c r="K2128" i="3"/>
  <c r="J2128" i="3"/>
  <c r="E2128" i="3"/>
  <c r="D2128" i="3"/>
  <c r="T2127" i="3"/>
  <c r="S2127" i="3"/>
  <c r="R2127" i="3"/>
  <c r="Q2127" i="3"/>
  <c r="P2127" i="3"/>
  <c r="O2127" i="3"/>
  <c r="M2127" i="3"/>
  <c r="L2127" i="3"/>
  <c r="N2127" i="3" s="1"/>
  <c r="K2127" i="3"/>
  <c r="J2127" i="3"/>
  <c r="E2127" i="3"/>
  <c r="D2127" i="3"/>
  <c r="T2126" i="3"/>
  <c r="S2126" i="3"/>
  <c r="R2126" i="3"/>
  <c r="Q2126" i="3"/>
  <c r="P2126" i="3"/>
  <c r="O2126" i="3"/>
  <c r="M2126" i="3"/>
  <c r="L2126" i="3"/>
  <c r="N2126" i="3" s="1"/>
  <c r="K2126" i="3"/>
  <c r="J2126" i="3"/>
  <c r="E2126" i="3"/>
  <c r="D2126" i="3"/>
  <c r="T2125" i="3"/>
  <c r="S2125" i="3"/>
  <c r="R2125" i="3"/>
  <c r="Q2125" i="3"/>
  <c r="P2125" i="3"/>
  <c r="O2125" i="3"/>
  <c r="M2125" i="3"/>
  <c r="L2125" i="3"/>
  <c r="N2125" i="3" s="1"/>
  <c r="K2125" i="3"/>
  <c r="J2125" i="3"/>
  <c r="E2125" i="3"/>
  <c r="D2125" i="3"/>
  <c r="T2124" i="3"/>
  <c r="S2124" i="3"/>
  <c r="R2124" i="3"/>
  <c r="Q2124" i="3"/>
  <c r="P2124" i="3"/>
  <c r="O2124" i="3"/>
  <c r="M2124" i="3"/>
  <c r="L2124" i="3"/>
  <c r="N2124" i="3" s="1"/>
  <c r="K2124" i="3"/>
  <c r="J2124" i="3"/>
  <c r="E2124" i="3"/>
  <c r="D2124" i="3"/>
  <c r="T2123" i="3"/>
  <c r="S2123" i="3"/>
  <c r="R2123" i="3"/>
  <c r="Q2123" i="3"/>
  <c r="P2123" i="3"/>
  <c r="O2123" i="3"/>
  <c r="M2123" i="3"/>
  <c r="L2123" i="3"/>
  <c r="N2123" i="3" s="1"/>
  <c r="K2123" i="3"/>
  <c r="J2123" i="3"/>
  <c r="E2123" i="3"/>
  <c r="D2123" i="3"/>
  <c r="T2122" i="3"/>
  <c r="S2122" i="3"/>
  <c r="R2122" i="3"/>
  <c r="Q2122" i="3"/>
  <c r="P2122" i="3"/>
  <c r="O2122" i="3"/>
  <c r="M2122" i="3"/>
  <c r="L2122" i="3"/>
  <c r="N2122" i="3" s="1"/>
  <c r="K2122" i="3"/>
  <c r="J2122" i="3"/>
  <c r="E2122" i="3"/>
  <c r="D2122" i="3"/>
  <c r="T2121" i="3"/>
  <c r="S2121" i="3"/>
  <c r="R2121" i="3"/>
  <c r="Q2121" i="3"/>
  <c r="P2121" i="3"/>
  <c r="O2121" i="3"/>
  <c r="M2121" i="3"/>
  <c r="L2121" i="3"/>
  <c r="N2121" i="3" s="1"/>
  <c r="K2121" i="3"/>
  <c r="J2121" i="3"/>
  <c r="E2121" i="3"/>
  <c r="D2121" i="3"/>
  <c r="T2120" i="3"/>
  <c r="S2120" i="3"/>
  <c r="R2120" i="3"/>
  <c r="Q2120" i="3"/>
  <c r="P2120" i="3"/>
  <c r="O2120" i="3"/>
  <c r="M2120" i="3"/>
  <c r="L2120" i="3"/>
  <c r="N2120" i="3" s="1"/>
  <c r="K2120" i="3"/>
  <c r="J2120" i="3"/>
  <c r="E2120" i="3"/>
  <c r="D2120" i="3"/>
  <c r="T2119" i="3"/>
  <c r="S2119" i="3"/>
  <c r="R2119" i="3"/>
  <c r="Q2119" i="3"/>
  <c r="P2119" i="3"/>
  <c r="O2119" i="3"/>
  <c r="M2119" i="3"/>
  <c r="L2119" i="3"/>
  <c r="N2119" i="3" s="1"/>
  <c r="K2119" i="3"/>
  <c r="J2119" i="3"/>
  <c r="E2119" i="3"/>
  <c r="D2119" i="3"/>
  <c r="T2118" i="3"/>
  <c r="S2118" i="3"/>
  <c r="R2118" i="3"/>
  <c r="Q2118" i="3"/>
  <c r="P2118" i="3"/>
  <c r="O2118" i="3"/>
  <c r="M2118" i="3"/>
  <c r="L2118" i="3"/>
  <c r="N2118" i="3" s="1"/>
  <c r="K2118" i="3"/>
  <c r="J2118" i="3"/>
  <c r="E2118" i="3"/>
  <c r="D2118" i="3"/>
  <c r="T2117" i="3"/>
  <c r="S2117" i="3"/>
  <c r="R2117" i="3"/>
  <c r="Q2117" i="3"/>
  <c r="P2117" i="3"/>
  <c r="O2117" i="3"/>
  <c r="M2117" i="3"/>
  <c r="L2117" i="3"/>
  <c r="N2117" i="3" s="1"/>
  <c r="K2117" i="3"/>
  <c r="J2117" i="3"/>
  <c r="E2117" i="3"/>
  <c r="D2117" i="3"/>
  <c r="T2116" i="3"/>
  <c r="S2116" i="3"/>
  <c r="R2116" i="3"/>
  <c r="Q2116" i="3"/>
  <c r="P2116" i="3"/>
  <c r="O2116" i="3"/>
  <c r="M2116" i="3"/>
  <c r="L2116" i="3"/>
  <c r="N2116" i="3" s="1"/>
  <c r="K2116" i="3"/>
  <c r="J2116" i="3"/>
  <c r="E2116" i="3"/>
  <c r="D2116" i="3"/>
  <c r="T2115" i="3"/>
  <c r="S2115" i="3"/>
  <c r="R2115" i="3"/>
  <c r="Q2115" i="3"/>
  <c r="P2115" i="3"/>
  <c r="O2115" i="3"/>
  <c r="M2115" i="3"/>
  <c r="L2115" i="3"/>
  <c r="N2115" i="3" s="1"/>
  <c r="K2115" i="3"/>
  <c r="J2115" i="3"/>
  <c r="E2115" i="3"/>
  <c r="D2115" i="3"/>
  <c r="T2114" i="3"/>
  <c r="S2114" i="3"/>
  <c r="R2114" i="3"/>
  <c r="Q2114" i="3"/>
  <c r="P2114" i="3"/>
  <c r="O2114" i="3"/>
  <c r="M2114" i="3"/>
  <c r="L2114" i="3"/>
  <c r="N2114" i="3" s="1"/>
  <c r="K2114" i="3"/>
  <c r="J2114" i="3"/>
  <c r="E2114" i="3"/>
  <c r="D2114" i="3"/>
  <c r="T2113" i="3"/>
  <c r="S2113" i="3"/>
  <c r="R2113" i="3"/>
  <c r="Q2113" i="3"/>
  <c r="P2113" i="3"/>
  <c r="O2113" i="3"/>
  <c r="M2113" i="3"/>
  <c r="L2113" i="3"/>
  <c r="N2113" i="3" s="1"/>
  <c r="K2113" i="3"/>
  <c r="J2113" i="3"/>
  <c r="E2113" i="3"/>
  <c r="D2113" i="3"/>
  <c r="T2112" i="3"/>
  <c r="S2112" i="3"/>
  <c r="R2112" i="3"/>
  <c r="Q2112" i="3"/>
  <c r="P2112" i="3"/>
  <c r="O2112" i="3"/>
  <c r="M2112" i="3"/>
  <c r="L2112" i="3"/>
  <c r="N2112" i="3" s="1"/>
  <c r="K2112" i="3"/>
  <c r="J2112" i="3"/>
  <c r="E2112" i="3"/>
  <c r="D2112" i="3"/>
  <c r="T2111" i="3"/>
  <c r="S2111" i="3"/>
  <c r="R2111" i="3"/>
  <c r="Q2111" i="3"/>
  <c r="P2111" i="3"/>
  <c r="O2111" i="3"/>
  <c r="M2111" i="3"/>
  <c r="L2111" i="3"/>
  <c r="N2111" i="3" s="1"/>
  <c r="K2111" i="3"/>
  <c r="J2111" i="3"/>
  <c r="E2111" i="3"/>
  <c r="D2111" i="3"/>
  <c r="T2110" i="3"/>
  <c r="S2110" i="3"/>
  <c r="R2110" i="3"/>
  <c r="Q2110" i="3"/>
  <c r="P2110" i="3"/>
  <c r="O2110" i="3"/>
  <c r="M2110" i="3"/>
  <c r="L2110" i="3"/>
  <c r="N2110" i="3" s="1"/>
  <c r="K2110" i="3"/>
  <c r="J2110" i="3"/>
  <c r="E2110" i="3"/>
  <c r="D2110" i="3"/>
  <c r="T2109" i="3"/>
  <c r="S2109" i="3"/>
  <c r="R2109" i="3"/>
  <c r="Q2109" i="3"/>
  <c r="P2109" i="3"/>
  <c r="O2109" i="3"/>
  <c r="M2109" i="3"/>
  <c r="L2109" i="3"/>
  <c r="N2109" i="3" s="1"/>
  <c r="K2109" i="3"/>
  <c r="J2109" i="3"/>
  <c r="E2109" i="3"/>
  <c r="D2109" i="3"/>
  <c r="T2108" i="3"/>
  <c r="S2108" i="3"/>
  <c r="R2108" i="3"/>
  <c r="Q2108" i="3"/>
  <c r="P2108" i="3"/>
  <c r="O2108" i="3"/>
  <c r="M2108" i="3"/>
  <c r="L2108" i="3"/>
  <c r="N2108" i="3" s="1"/>
  <c r="K2108" i="3"/>
  <c r="J2108" i="3"/>
  <c r="E2108" i="3"/>
  <c r="D2108" i="3"/>
  <c r="T2107" i="3"/>
  <c r="S2107" i="3"/>
  <c r="R2107" i="3"/>
  <c r="Q2107" i="3"/>
  <c r="P2107" i="3"/>
  <c r="O2107" i="3"/>
  <c r="M2107" i="3"/>
  <c r="L2107" i="3"/>
  <c r="N2107" i="3" s="1"/>
  <c r="K2107" i="3"/>
  <c r="J2107" i="3"/>
  <c r="E2107" i="3"/>
  <c r="D2107" i="3"/>
  <c r="T2106" i="3"/>
  <c r="S2106" i="3"/>
  <c r="R2106" i="3"/>
  <c r="Q2106" i="3"/>
  <c r="P2106" i="3"/>
  <c r="O2106" i="3"/>
  <c r="M2106" i="3"/>
  <c r="L2106" i="3"/>
  <c r="N2106" i="3" s="1"/>
  <c r="K2106" i="3"/>
  <c r="J2106" i="3"/>
  <c r="E2106" i="3"/>
  <c r="D2106" i="3"/>
  <c r="T2105" i="3"/>
  <c r="S2105" i="3"/>
  <c r="R2105" i="3"/>
  <c r="Q2105" i="3"/>
  <c r="P2105" i="3"/>
  <c r="O2105" i="3"/>
  <c r="M2105" i="3"/>
  <c r="L2105" i="3"/>
  <c r="N2105" i="3" s="1"/>
  <c r="K2105" i="3"/>
  <c r="J2105" i="3"/>
  <c r="E2105" i="3"/>
  <c r="D2105" i="3"/>
  <c r="T2104" i="3"/>
  <c r="S2104" i="3"/>
  <c r="R2104" i="3"/>
  <c r="Q2104" i="3"/>
  <c r="P2104" i="3"/>
  <c r="O2104" i="3"/>
  <c r="M2104" i="3"/>
  <c r="L2104" i="3"/>
  <c r="N2104" i="3" s="1"/>
  <c r="K2104" i="3"/>
  <c r="J2104" i="3"/>
  <c r="E2104" i="3"/>
  <c r="D2104" i="3"/>
  <c r="T2103" i="3"/>
  <c r="S2103" i="3"/>
  <c r="R2103" i="3"/>
  <c r="Q2103" i="3"/>
  <c r="P2103" i="3"/>
  <c r="O2103" i="3"/>
  <c r="M2103" i="3"/>
  <c r="L2103" i="3"/>
  <c r="N2103" i="3" s="1"/>
  <c r="K2103" i="3"/>
  <c r="J2103" i="3"/>
  <c r="E2103" i="3"/>
  <c r="D2103" i="3"/>
  <c r="T2102" i="3"/>
  <c r="S2102" i="3"/>
  <c r="R2102" i="3"/>
  <c r="Q2102" i="3"/>
  <c r="P2102" i="3"/>
  <c r="O2102" i="3"/>
  <c r="M2102" i="3"/>
  <c r="L2102" i="3"/>
  <c r="N2102" i="3" s="1"/>
  <c r="K2102" i="3"/>
  <c r="J2102" i="3"/>
  <c r="E2102" i="3"/>
  <c r="D2102" i="3"/>
  <c r="T2101" i="3"/>
  <c r="S2101" i="3"/>
  <c r="R2101" i="3"/>
  <c r="Q2101" i="3"/>
  <c r="P2101" i="3"/>
  <c r="O2101" i="3"/>
  <c r="M2101" i="3"/>
  <c r="L2101" i="3"/>
  <c r="N2101" i="3" s="1"/>
  <c r="K2101" i="3"/>
  <c r="J2101" i="3"/>
  <c r="E2101" i="3"/>
  <c r="D2101" i="3"/>
  <c r="T2100" i="3"/>
  <c r="S2100" i="3"/>
  <c r="R2100" i="3"/>
  <c r="Q2100" i="3"/>
  <c r="P2100" i="3"/>
  <c r="O2100" i="3"/>
  <c r="M2100" i="3"/>
  <c r="L2100" i="3"/>
  <c r="N2100" i="3" s="1"/>
  <c r="K2100" i="3"/>
  <c r="J2100" i="3"/>
  <c r="E2100" i="3"/>
  <c r="D2100" i="3"/>
  <c r="T2099" i="3"/>
  <c r="S2099" i="3"/>
  <c r="R2099" i="3"/>
  <c r="Q2099" i="3"/>
  <c r="P2099" i="3"/>
  <c r="O2099" i="3"/>
  <c r="M2099" i="3"/>
  <c r="L2099" i="3"/>
  <c r="N2099" i="3" s="1"/>
  <c r="K2099" i="3"/>
  <c r="J2099" i="3"/>
  <c r="E2099" i="3"/>
  <c r="D2099" i="3"/>
  <c r="T2098" i="3"/>
  <c r="S2098" i="3"/>
  <c r="R2098" i="3"/>
  <c r="Q2098" i="3"/>
  <c r="P2098" i="3"/>
  <c r="O2098" i="3"/>
  <c r="M2098" i="3"/>
  <c r="L2098" i="3"/>
  <c r="N2098" i="3" s="1"/>
  <c r="K2098" i="3"/>
  <c r="J2098" i="3"/>
  <c r="E2098" i="3"/>
  <c r="D2098" i="3"/>
  <c r="T2097" i="3"/>
  <c r="S2097" i="3"/>
  <c r="R2097" i="3"/>
  <c r="Q2097" i="3"/>
  <c r="P2097" i="3"/>
  <c r="O2097" i="3"/>
  <c r="M2097" i="3"/>
  <c r="L2097" i="3"/>
  <c r="N2097" i="3" s="1"/>
  <c r="K2097" i="3"/>
  <c r="J2097" i="3"/>
  <c r="E2097" i="3"/>
  <c r="D2097" i="3"/>
  <c r="T2096" i="3"/>
  <c r="S2096" i="3"/>
  <c r="R2096" i="3"/>
  <c r="Q2096" i="3"/>
  <c r="P2096" i="3"/>
  <c r="O2096" i="3"/>
  <c r="M2096" i="3"/>
  <c r="L2096" i="3"/>
  <c r="N2096" i="3" s="1"/>
  <c r="K2096" i="3"/>
  <c r="J2096" i="3"/>
  <c r="E2096" i="3"/>
  <c r="D2096" i="3"/>
  <c r="T2095" i="3"/>
  <c r="S2095" i="3"/>
  <c r="R2095" i="3"/>
  <c r="Q2095" i="3"/>
  <c r="P2095" i="3"/>
  <c r="O2095" i="3"/>
  <c r="M2095" i="3"/>
  <c r="L2095" i="3"/>
  <c r="N2095" i="3" s="1"/>
  <c r="K2095" i="3"/>
  <c r="J2095" i="3"/>
  <c r="E2095" i="3"/>
  <c r="D2095" i="3"/>
  <c r="T2094" i="3"/>
  <c r="S2094" i="3"/>
  <c r="R2094" i="3"/>
  <c r="Q2094" i="3"/>
  <c r="P2094" i="3"/>
  <c r="O2094" i="3"/>
  <c r="M2094" i="3"/>
  <c r="L2094" i="3"/>
  <c r="N2094" i="3" s="1"/>
  <c r="K2094" i="3"/>
  <c r="J2094" i="3"/>
  <c r="E2094" i="3"/>
  <c r="D2094" i="3"/>
  <c r="T2093" i="3"/>
  <c r="S2093" i="3"/>
  <c r="R2093" i="3"/>
  <c r="Q2093" i="3"/>
  <c r="P2093" i="3"/>
  <c r="O2093" i="3"/>
  <c r="M2093" i="3"/>
  <c r="L2093" i="3"/>
  <c r="N2093" i="3" s="1"/>
  <c r="K2093" i="3"/>
  <c r="J2093" i="3"/>
  <c r="E2093" i="3"/>
  <c r="D2093" i="3"/>
  <c r="T2092" i="3"/>
  <c r="S2092" i="3"/>
  <c r="R2092" i="3"/>
  <c r="Q2092" i="3"/>
  <c r="P2092" i="3"/>
  <c r="O2092" i="3"/>
  <c r="M2092" i="3"/>
  <c r="L2092" i="3"/>
  <c r="N2092" i="3" s="1"/>
  <c r="K2092" i="3"/>
  <c r="J2092" i="3"/>
  <c r="E2092" i="3"/>
  <c r="D2092" i="3"/>
  <c r="T2091" i="3"/>
  <c r="S2091" i="3"/>
  <c r="R2091" i="3"/>
  <c r="Q2091" i="3"/>
  <c r="P2091" i="3"/>
  <c r="O2091" i="3"/>
  <c r="M2091" i="3"/>
  <c r="L2091" i="3"/>
  <c r="N2091" i="3" s="1"/>
  <c r="K2091" i="3"/>
  <c r="J2091" i="3"/>
  <c r="E2091" i="3"/>
  <c r="D2091" i="3"/>
  <c r="T2090" i="3"/>
  <c r="S2090" i="3"/>
  <c r="R2090" i="3"/>
  <c r="Q2090" i="3"/>
  <c r="P2090" i="3"/>
  <c r="O2090" i="3"/>
  <c r="M2090" i="3"/>
  <c r="L2090" i="3"/>
  <c r="N2090" i="3" s="1"/>
  <c r="K2090" i="3"/>
  <c r="J2090" i="3"/>
  <c r="E2090" i="3"/>
  <c r="D2090" i="3"/>
  <c r="T2089" i="3"/>
  <c r="S2089" i="3"/>
  <c r="R2089" i="3"/>
  <c r="Q2089" i="3"/>
  <c r="P2089" i="3"/>
  <c r="O2089" i="3"/>
  <c r="M2089" i="3"/>
  <c r="L2089" i="3"/>
  <c r="N2089" i="3" s="1"/>
  <c r="K2089" i="3"/>
  <c r="J2089" i="3"/>
  <c r="E2089" i="3"/>
  <c r="D2089" i="3"/>
  <c r="T2088" i="3"/>
  <c r="S2088" i="3"/>
  <c r="R2088" i="3"/>
  <c r="Q2088" i="3"/>
  <c r="P2088" i="3"/>
  <c r="O2088" i="3"/>
  <c r="M2088" i="3"/>
  <c r="L2088" i="3"/>
  <c r="N2088" i="3" s="1"/>
  <c r="K2088" i="3"/>
  <c r="J2088" i="3"/>
  <c r="E2088" i="3"/>
  <c r="D2088" i="3"/>
  <c r="T2087" i="3"/>
  <c r="S2087" i="3"/>
  <c r="R2087" i="3"/>
  <c r="Q2087" i="3"/>
  <c r="P2087" i="3"/>
  <c r="O2087" i="3"/>
  <c r="M2087" i="3"/>
  <c r="L2087" i="3"/>
  <c r="N2087" i="3" s="1"/>
  <c r="K2087" i="3"/>
  <c r="J2087" i="3"/>
  <c r="E2087" i="3"/>
  <c r="D2087" i="3"/>
  <c r="T2086" i="3"/>
  <c r="S2086" i="3"/>
  <c r="R2086" i="3"/>
  <c r="Q2086" i="3"/>
  <c r="P2086" i="3"/>
  <c r="O2086" i="3"/>
  <c r="M2086" i="3"/>
  <c r="L2086" i="3"/>
  <c r="N2086" i="3" s="1"/>
  <c r="K2086" i="3"/>
  <c r="J2086" i="3"/>
  <c r="E2086" i="3"/>
  <c r="D2086" i="3"/>
  <c r="T2085" i="3"/>
  <c r="S2085" i="3"/>
  <c r="R2085" i="3"/>
  <c r="Q2085" i="3"/>
  <c r="P2085" i="3"/>
  <c r="O2085" i="3"/>
  <c r="M2085" i="3"/>
  <c r="L2085" i="3"/>
  <c r="N2085" i="3" s="1"/>
  <c r="K2085" i="3"/>
  <c r="J2085" i="3"/>
  <c r="E2085" i="3"/>
  <c r="D2085" i="3"/>
  <c r="T2084" i="3"/>
  <c r="S2084" i="3"/>
  <c r="R2084" i="3"/>
  <c r="Q2084" i="3"/>
  <c r="P2084" i="3"/>
  <c r="O2084" i="3"/>
  <c r="M2084" i="3"/>
  <c r="L2084" i="3"/>
  <c r="N2084" i="3" s="1"/>
  <c r="K2084" i="3"/>
  <c r="J2084" i="3"/>
  <c r="E2084" i="3"/>
  <c r="D2084" i="3"/>
  <c r="T2083" i="3"/>
  <c r="S2083" i="3"/>
  <c r="R2083" i="3"/>
  <c r="Q2083" i="3"/>
  <c r="P2083" i="3"/>
  <c r="O2083" i="3"/>
  <c r="M2083" i="3"/>
  <c r="L2083" i="3"/>
  <c r="N2083" i="3" s="1"/>
  <c r="K2083" i="3"/>
  <c r="J2083" i="3"/>
  <c r="E2083" i="3"/>
  <c r="D2083" i="3"/>
  <c r="T2082" i="3"/>
  <c r="S2082" i="3"/>
  <c r="R2082" i="3"/>
  <c r="Q2082" i="3"/>
  <c r="P2082" i="3"/>
  <c r="O2082" i="3"/>
  <c r="M2082" i="3"/>
  <c r="L2082" i="3"/>
  <c r="N2082" i="3" s="1"/>
  <c r="K2082" i="3"/>
  <c r="J2082" i="3"/>
  <c r="E2082" i="3"/>
  <c r="D2082" i="3"/>
  <c r="T2081" i="3"/>
  <c r="S2081" i="3"/>
  <c r="R2081" i="3"/>
  <c r="Q2081" i="3"/>
  <c r="P2081" i="3"/>
  <c r="O2081" i="3"/>
  <c r="M2081" i="3"/>
  <c r="L2081" i="3"/>
  <c r="N2081" i="3" s="1"/>
  <c r="K2081" i="3"/>
  <c r="J2081" i="3"/>
  <c r="E2081" i="3"/>
  <c r="D2081" i="3"/>
  <c r="T2080" i="3"/>
  <c r="S2080" i="3"/>
  <c r="R2080" i="3"/>
  <c r="Q2080" i="3"/>
  <c r="P2080" i="3"/>
  <c r="O2080" i="3"/>
  <c r="M2080" i="3"/>
  <c r="L2080" i="3"/>
  <c r="N2080" i="3" s="1"/>
  <c r="K2080" i="3"/>
  <c r="J2080" i="3"/>
  <c r="E2080" i="3"/>
  <c r="D2080" i="3"/>
  <c r="T2079" i="3"/>
  <c r="S2079" i="3"/>
  <c r="R2079" i="3"/>
  <c r="Q2079" i="3"/>
  <c r="P2079" i="3"/>
  <c r="O2079" i="3"/>
  <c r="M2079" i="3"/>
  <c r="L2079" i="3"/>
  <c r="N2079" i="3" s="1"/>
  <c r="K2079" i="3"/>
  <c r="J2079" i="3"/>
  <c r="E2079" i="3"/>
  <c r="D2079" i="3"/>
  <c r="T2078" i="3"/>
  <c r="S2078" i="3"/>
  <c r="R2078" i="3"/>
  <c r="Q2078" i="3"/>
  <c r="P2078" i="3"/>
  <c r="O2078" i="3"/>
  <c r="M2078" i="3"/>
  <c r="L2078" i="3"/>
  <c r="N2078" i="3" s="1"/>
  <c r="K2078" i="3"/>
  <c r="J2078" i="3"/>
  <c r="E2078" i="3"/>
  <c r="D2078" i="3"/>
  <c r="T2077" i="3"/>
  <c r="S2077" i="3"/>
  <c r="R2077" i="3"/>
  <c r="Q2077" i="3"/>
  <c r="P2077" i="3"/>
  <c r="O2077" i="3"/>
  <c r="M2077" i="3"/>
  <c r="L2077" i="3"/>
  <c r="N2077" i="3" s="1"/>
  <c r="K2077" i="3"/>
  <c r="J2077" i="3"/>
  <c r="E2077" i="3"/>
  <c r="D2077" i="3"/>
  <c r="T2076" i="3"/>
  <c r="S2076" i="3"/>
  <c r="R2076" i="3"/>
  <c r="Q2076" i="3"/>
  <c r="P2076" i="3"/>
  <c r="O2076" i="3"/>
  <c r="M2076" i="3"/>
  <c r="L2076" i="3"/>
  <c r="N2076" i="3" s="1"/>
  <c r="K2076" i="3"/>
  <c r="J2076" i="3"/>
  <c r="E2076" i="3"/>
  <c r="D2076" i="3"/>
  <c r="T2075" i="3"/>
  <c r="S2075" i="3"/>
  <c r="R2075" i="3"/>
  <c r="Q2075" i="3"/>
  <c r="P2075" i="3"/>
  <c r="O2075" i="3"/>
  <c r="M2075" i="3"/>
  <c r="L2075" i="3"/>
  <c r="N2075" i="3" s="1"/>
  <c r="K2075" i="3"/>
  <c r="J2075" i="3"/>
  <c r="E2075" i="3"/>
  <c r="D2075" i="3"/>
  <c r="T2074" i="3"/>
  <c r="S2074" i="3"/>
  <c r="R2074" i="3"/>
  <c r="Q2074" i="3"/>
  <c r="P2074" i="3"/>
  <c r="O2074" i="3"/>
  <c r="M2074" i="3"/>
  <c r="L2074" i="3"/>
  <c r="N2074" i="3" s="1"/>
  <c r="K2074" i="3"/>
  <c r="J2074" i="3"/>
  <c r="E2074" i="3"/>
  <c r="D2074" i="3"/>
  <c r="T2073" i="3"/>
  <c r="S2073" i="3"/>
  <c r="R2073" i="3"/>
  <c r="Q2073" i="3"/>
  <c r="P2073" i="3"/>
  <c r="O2073" i="3"/>
  <c r="M2073" i="3"/>
  <c r="L2073" i="3"/>
  <c r="N2073" i="3" s="1"/>
  <c r="K2073" i="3"/>
  <c r="J2073" i="3"/>
  <c r="E2073" i="3"/>
  <c r="D2073" i="3"/>
  <c r="T2072" i="3"/>
  <c r="S2072" i="3"/>
  <c r="R2072" i="3"/>
  <c r="Q2072" i="3"/>
  <c r="P2072" i="3"/>
  <c r="O2072" i="3"/>
  <c r="M2072" i="3"/>
  <c r="L2072" i="3"/>
  <c r="N2072" i="3" s="1"/>
  <c r="K2072" i="3"/>
  <c r="J2072" i="3"/>
  <c r="E2072" i="3"/>
  <c r="D2072" i="3"/>
  <c r="T2071" i="3"/>
  <c r="S2071" i="3"/>
  <c r="R2071" i="3"/>
  <c r="Q2071" i="3"/>
  <c r="P2071" i="3"/>
  <c r="O2071" i="3"/>
  <c r="M2071" i="3"/>
  <c r="L2071" i="3"/>
  <c r="N2071" i="3" s="1"/>
  <c r="K2071" i="3"/>
  <c r="J2071" i="3"/>
  <c r="E2071" i="3"/>
  <c r="D2071" i="3"/>
  <c r="T2070" i="3"/>
  <c r="S2070" i="3"/>
  <c r="R2070" i="3"/>
  <c r="Q2070" i="3"/>
  <c r="P2070" i="3"/>
  <c r="O2070" i="3"/>
  <c r="M2070" i="3"/>
  <c r="L2070" i="3"/>
  <c r="N2070" i="3" s="1"/>
  <c r="K2070" i="3"/>
  <c r="J2070" i="3"/>
  <c r="E2070" i="3"/>
  <c r="D2070" i="3"/>
  <c r="T2069" i="3"/>
  <c r="S2069" i="3"/>
  <c r="R2069" i="3"/>
  <c r="Q2069" i="3"/>
  <c r="P2069" i="3"/>
  <c r="O2069" i="3"/>
  <c r="M2069" i="3"/>
  <c r="L2069" i="3"/>
  <c r="N2069" i="3" s="1"/>
  <c r="K2069" i="3"/>
  <c r="J2069" i="3"/>
  <c r="E2069" i="3"/>
  <c r="D2069" i="3"/>
  <c r="T2068" i="3"/>
  <c r="S2068" i="3"/>
  <c r="R2068" i="3"/>
  <c r="Q2068" i="3"/>
  <c r="P2068" i="3"/>
  <c r="O2068" i="3"/>
  <c r="M2068" i="3"/>
  <c r="L2068" i="3"/>
  <c r="N2068" i="3" s="1"/>
  <c r="K2068" i="3"/>
  <c r="J2068" i="3"/>
  <c r="E2068" i="3"/>
  <c r="D2068" i="3"/>
  <c r="T2067" i="3"/>
  <c r="S2067" i="3"/>
  <c r="R2067" i="3"/>
  <c r="Q2067" i="3"/>
  <c r="P2067" i="3"/>
  <c r="O2067" i="3"/>
  <c r="M2067" i="3"/>
  <c r="L2067" i="3"/>
  <c r="N2067" i="3" s="1"/>
  <c r="K2067" i="3"/>
  <c r="J2067" i="3"/>
  <c r="E2067" i="3"/>
  <c r="D2067" i="3"/>
  <c r="T2066" i="3"/>
  <c r="S2066" i="3"/>
  <c r="R2066" i="3"/>
  <c r="Q2066" i="3"/>
  <c r="P2066" i="3"/>
  <c r="O2066" i="3"/>
  <c r="M2066" i="3"/>
  <c r="L2066" i="3"/>
  <c r="N2066" i="3" s="1"/>
  <c r="K2066" i="3"/>
  <c r="J2066" i="3"/>
  <c r="E2066" i="3"/>
  <c r="D2066" i="3"/>
  <c r="T2065" i="3"/>
  <c r="S2065" i="3"/>
  <c r="R2065" i="3"/>
  <c r="Q2065" i="3"/>
  <c r="P2065" i="3"/>
  <c r="O2065" i="3"/>
  <c r="M2065" i="3"/>
  <c r="L2065" i="3"/>
  <c r="N2065" i="3" s="1"/>
  <c r="K2065" i="3"/>
  <c r="J2065" i="3"/>
  <c r="E2065" i="3"/>
  <c r="D2065" i="3"/>
  <c r="T2064" i="3"/>
  <c r="S2064" i="3"/>
  <c r="R2064" i="3"/>
  <c r="Q2064" i="3"/>
  <c r="P2064" i="3"/>
  <c r="O2064" i="3"/>
  <c r="M2064" i="3"/>
  <c r="L2064" i="3"/>
  <c r="N2064" i="3" s="1"/>
  <c r="K2064" i="3"/>
  <c r="J2064" i="3"/>
  <c r="E2064" i="3"/>
  <c r="D2064" i="3"/>
  <c r="T2063" i="3"/>
  <c r="S2063" i="3"/>
  <c r="R2063" i="3"/>
  <c r="Q2063" i="3"/>
  <c r="P2063" i="3"/>
  <c r="O2063" i="3"/>
  <c r="M2063" i="3"/>
  <c r="L2063" i="3"/>
  <c r="N2063" i="3" s="1"/>
  <c r="K2063" i="3"/>
  <c r="J2063" i="3"/>
  <c r="E2063" i="3"/>
  <c r="D2063" i="3"/>
  <c r="T2062" i="3"/>
  <c r="S2062" i="3"/>
  <c r="R2062" i="3"/>
  <c r="Q2062" i="3"/>
  <c r="P2062" i="3"/>
  <c r="O2062" i="3"/>
  <c r="M2062" i="3"/>
  <c r="L2062" i="3"/>
  <c r="N2062" i="3" s="1"/>
  <c r="K2062" i="3"/>
  <c r="J2062" i="3"/>
  <c r="E2062" i="3"/>
  <c r="D2062" i="3"/>
  <c r="T2061" i="3"/>
  <c r="S2061" i="3"/>
  <c r="R2061" i="3"/>
  <c r="Q2061" i="3"/>
  <c r="P2061" i="3"/>
  <c r="O2061" i="3"/>
  <c r="M2061" i="3"/>
  <c r="L2061" i="3"/>
  <c r="N2061" i="3" s="1"/>
  <c r="K2061" i="3"/>
  <c r="J2061" i="3"/>
  <c r="E2061" i="3"/>
  <c r="D2061" i="3"/>
  <c r="T2060" i="3"/>
  <c r="S2060" i="3"/>
  <c r="R2060" i="3"/>
  <c r="Q2060" i="3"/>
  <c r="P2060" i="3"/>
  <c r="O2060" i="3"/>
  <c r="M2060" i="3"/>
  <c r="L2060" i="3"/>
  <c r="N2060" i="3" s="1"/>
  <c r="K2060" i="3"/>
  <c r="J2060" i="3"/>
  <c r="E2060" i="3"/>
  <c r="D2060" i="3"/>
  <c r="T2059" i="3"/>
  <c r="S2059" i="3"/>
  <c r="R2059" i="3"/>
  <c r="Q2059" i="3"/>
  <c r="P2059" i="3"/>
  <c r="O2059" i="3"/>
  <c r="M2059" i="3"/>
  <c r="L2059" i="3"/>
  <c r="N2059" i="3" s="1"/>
  <c r="K2059" i="3"/>
  <c r="J2059" i="3"/>
  <c r="E2059" i="3"/>
  <c r="D2059" i="3"/>
  <c r="T2058" i="3"/>
  <c r="S2058" i="3"/>
  <c r="R2058" i="3"/>
  <c r="Q2058" i="3"/>
  <c r="P2058" i="3"/>
  <c r="O2058" i="3"/>
  <c r="M2058" i="3"/>
  <c r="L2058" i="3"/>
  <c r="N2058" i="3" s="1"/>
  <c r="K2058" i="3"/>
  <c r="J2058" i="3"/>
  <c r="E2058" i="3"/>
  <c r="D2058" i="3"/>
  <c r="T2057" i="3"/>
  <c r="S2057" i="3"/>
  <c r="R2057" i="3"/>
  <c r="Q2057" i="3"/>
  <c r="P2057" i="3"/>
  <c r="O2057" i="3"/>
  <c r="M2057" i="3"/>
  <c r="L2057" i="3"/>
  <c r="N2057" i="3" s="1"/>
  <c r="K2057" i="3"/>
  <c r="J2057" i="3"/>
  <c r="E2057" i="3"/>
  <c r="D2057" i="3"/>
  <c r="T2056" i="3"/>
  <c r="S2056" i="3"/>
  <c r="R2056" i="3"/>
  <c r="Q2056" i="3"/>
  <c r="P2056" i="3"/>
  <c r="O2056" i="3"/>
  <c r="M2056" i="3"/>
  <c r="L2056" i="3"/>
  <c r="N2056" i="3" s="1"/>
  <c r="K2056" i="3"/>
  <c r="J2056" i="3"/>
  <c r="E2056" i="3"/>
  <c r="D2056" i="3"/>
  <c r="T2055" i="3"/>
  <c r="S2055" i="3"/>
  <c r="R2055" i="3"/>
  <c r="Q2055" i="3"/>
  <c r="P2055" i="3"/>
  <c r="O2055" i="3"/>
  <c r="M2055" i="3"/>
  <c r="L2055" i="3"/>
  <c r="N2055" i="3" s="1"/>
  <c r="K2055" i="3"/>
  <c r="J2055" i="3"/>
  <c r="E2055" i="3"/>
  <c r="D2055" i="3"/>
  <c r="T2054" i="3"/>
  <c r="S2054" i="3"/>
  <c r="R2054" i="3"/>
  <c r="Q2054" i="3"/>
  <c r="P2054" i="3"/>
  <c r="O2054" i="3"/>
  <c r="M2054" i="3"/>
  <c r="L2054" i="3"/>
  <c r="N2054" i="3" s="1"/>
  <c r="K2054" i="3"/>
  <c r="J2054" i="3"/>
  <c r="E2054" i="3"/>
  <c r="D2054" i="3"/>
  <c r="T2053" i="3"/>
  <c r="S2053" i="3"/>
  <c r="R2053" i="3"/>
  <c r="Q2053" i="3"/>
  <c r="P2053" i="3"/>
  <c r="O2053" i="3"/>
  <c r="M2053" i="3"/>
  <c r="L2053" i="3"/>
  <c r="N2053" i="3" s="1"/>
  <c r="K2053" i="3"/>
  <c r="J2053" i="3"/>
  <c r="E2053" i="3"/>
  <c r="D2053" i="3"/>
  <c r="T2052" i="3"/>
  <c r="S2052" i="3"/>
  <c r="R2052" i="3"/>
  <c r="Q2052" i="3"/>
  <c r="P2052" i="3"/>
  <c r="O2052" i="3"/>
  <c r="M2052" i="3"/>
  <c r="L2052" i="3"/>
  <c r="N2052" i="3" s="1"/>
  <c r="K2052" i="3"/>
  <c r="J2052" i="3"/>
  <c r="E2052" i="3"/>
  <c r="D2052" i="3"/>
  <c r="T2051" i="3"/>
  <c r="S2051" i="3"/>
  <c r="R2051" i="3"/>
  <c r="Q2051" i="3"/>
  <c r="P2051" i="3"/>
  <c r="O2051" i="3"/>
  <c r="M2051" i="3"/>
  <c r="L2051" i="3"/>
  <c r="N2051" i="3" s="1"/>
  <c r="K2051" i="3"/>
  <c r="J2051" i="3"/>
  <c r="E2051" i="3"/>
  <c r="D2051" i="3"/>
  <c r="T2050" i="3"/>
  <c r="S2050" i="3"/>
  <c r="R2050" i="3"/>
  <c r="Q2050" i="3"/>
  <c r="P2050" i="3"/>
  <c r="O2050" i="3"/>
  <c r="M2050" i="3"/>
  <c r="L2050" i="3"/>
  <c r="N2050" i="3" s="1"/>
  <c r="K2050" i="3"/>
  <c r="J2050" i="3"/>
  <c r="E2050" i="3"/>
  <c r="D2050" i="3"/>
  <c r="T2049" i="3"/>
  <c r="S2049" i="3"/>
  <c r="R2049" i="3"/>
  <c r="Q2049" i="3"/>
  <c r="P2049" i="3"/>
  <c r="O2049" i="3"/>
  <c r="M2049" i="3"/>
  <c r="L2049" i="3"/>
  <c r="N2049" i="3" s="1"/>
  <c r="K2049" i="3"/>
  <c r="J2049" i="3"/>
  <c r="E2049" i="3"/>
  <c r="D2049" i="3"/>
  <c r="T2048" i="3"/>
  <c r="S2048" i="3"/>
  <c r="R2048" i="3"/>
  <c r="Q2048" i="3"/>
  <c r="P2048" i="3"/>
  <c r="O2048" i="3"/>
  <c r="M2048" i="3"/>
  <c r="L2048" i="3"/>
  <c r="N2048" i="3" s="1"/>
  <c r="K2048" i="3"/>
  <c r="J2048" i="3"/>
  <c r="E2048" i="3"/>
  <c r="D2048" i="3"/>
  <c r="T2047" i="3"/>
  <c r="S2047" i="3"/>
  <c r="R2047" i="3"/>
  <c r="Q2047" i="3"/>
  <c r="P2047" i="3"/>
  <c r="O2047" i="3"/>
  <c r="M2047" i="3"/>
  <c r="L2047" i="3"/>
  <c r="N2047" i="3" s="1"/>
  <c r="K2047" i="3"/>
  <c r="J2047" i="3"/>
  <c r="E2047" i="3"/>
  <c r="D2047" i="3"/>
  <c r="T2046" i="3"/>
  <c r="S2046" i="3"/>
  <c r="R2046" i="3"/>
  <c r="Q2046" i="3"/>
  <c r="P2046" i="3"/>
  <c r="O2046" i="3"/>
  <c r="M2046" i="3"/>
  <c r="L2046" i="3"/>
  <c r="N2046" i="3" s="1"/>
  <c r="K2046" i="3"/>
  <c r="J2046" i="3"/>
  <c r="E2046" i="3"/>
  <c r="D2046" i="3"/>
  <c r="T2045" i="3"/>
  <c r="S2045" i="3"/>
  <c r="R2045" i="3"/>
  <c r="Q2045" i="3"/>
  <c r="P2045" i="3"/>
  <c r="O2045" i="3"/>
  <c r="M2045" i="3"/>
  <c r="L2045" i="3"/>
  <c r="N2045" i="3" s="1"/>
  <c r="K2045" i="3"/>
  <c r="J2045" i="3"/>
  <c r="E2045" i="3"/>
  <c r="D2045" i="3"/>
  <c r="T2044" i="3"/>
  <c r="S2044" i="3"/>
  <c r="R2044" i="3"/>
  <c r="Q2044" i="3"/>
  <c r="P2044" i="3"/>
  <c r="O2044" i="3"/>
  <c r="M2044" i="3"/>
  <c r="L2044" i="3"/>
  <c r="N2044" i="3" s="1"/>
  <c r="K2044" i="3"/>
  <c r="J2044" i="3"/>
  <c r="E2044" i="3"/>
  <c r="D2044" i="3"/>
  <c r="T2043" i="3"/>
  <c r="S2043" i="3"/>
  <c r="R2043" i="3"/>
  <c r="Q2043" i="3"/>
  <c r="P2043" i="3"/>
  <c r="O2043" i="3"/>
  <c r="M2043" i="3"/>
  <c r="L2043" i="3"/>
  <c r="N2043" i="3" s="1"/>
  <c r="K2043" i="3"/>
  <c r="J2043" i="3"/>
  <c r="E2043" i="3"/>
  <c r="D2043" i="3"/>
  <c r="T2042" i="3"/>
  <c r="S2042" i="3"/>
  <c r="R2042" i="3"/>
  <c r="Q2042" i="3"/>
  <c r="P2042" i="3"/>
  <c r="O2042" i="3"/>
  <c r="M2042" i="3"/>
  <c r="L2042" i="3"/>
  <c r="N2042" i="3" s="1"/>
  <c r="K2042" i="3"/>
  <c r="J2042" i="3"/>
  <c r="E2042" i="3"/>
  <c r="D2042" i="3"/>
  <c r="T2041" i="3"/>
  <c r="S2041" i="3"/>
  <c r="R2041" i="3"/>
  <c r="Q2041" i="3"/>
  <c r="P2041" i="3"/>
  <c r="O2041" i="3"/>
  <c r="M2041" i="3"/>
  <c r="L2041" i="3"/>
  <c r="N2041" i="3" s="1"/>
  <c r="K2041" i="3"/>
  <c r="J2041" i="3"/>
  <c r="E2041" i="3"/>
  <c r="D2041" i="3"/>
  <c r="T2040" i="3"/>
  <c r="S2040" i="3"/>
  <c r="R2040" i="3"/>
  <c r="Q2040" i="3"/>
  <c r="P2040" i="3"/>
  <c r="O2040" i="3"/>
  <c r="M2040" i="3"/>
  <c r="L2040" i="3"/>
  <c r="N2040" i="3" s="1"/>
  <c r="K2040" i="3"/>
  <c r="J2040" i="3"/>
  <c r="E2040" i="3"/>
  <c r="D2040" i="3"/>
  <c r="T2039" i="3"/>
  <c r="S2039" i="3"/>
  <c r="R2039" i="3"/>
  <c r="Q2039" i="3"/>
  <c r="P2039" i="3"/>
  <c r="O2039" i="3"/>
  <c r="M2039" i="3"/>
  <c r="L2039" i="3"/>
  <c r="N2039" i="3" s="1"/>
  <c r="K2039" i="3"/>
  <c r="J2039" i="3"/>
  <c r="E2039" i="3"/>
  <c r="D2039" i="3"/>
  <c r="T2038" i="3"/>
  <c r="S2038" i="3"/>
  <c r="R2038" i="3"/>
  <c r="Q2038" i="3"/>
  <c r="P2038" i="3"/>
  <c r="O2038" i="3"/>
  <c r="M2038" i="3"/>
  <c r="L2038" i="3"/>
  <c r="N2038" i="3" s="1"/>
  <c r="K2038" i="3"/>
  <c r="J2038" i="3"/>
  <c r="E2038" i="3"/>
  <c r="D2038" i="3"/>
  <c r="T2037" i="3"/>
  <c r="S2037" i="3"/>
  <c r="R2037" i="3"/>
  <c r="Q2037" i="3"/>
  <c r="P2037" i="3"/>
  <c r="O2037" i="3"/>
  <c r="M2037" i="3"/>
  <c r="L2037" i="3"/>
  <c r="N2037" i="3" s="1"/>
  <c r="K2037" i="3"/>
  <c r="J2037" i="3"/>
  <c r="E2037" i="3"/>
  <c r="D2037" i="3"/>
  <c r="T2036" i="3"/>
  <c r="S2036" i="3"/>
  <c r="R2036" i="3"/>
  <c r="Q2036" i="3"/>
  <c r="P2036" i="3"/>
  <c r="O2036" i="3"/>
  <c r="M2036" i="3"/>
  <c r="L2036" i="3"/>
  <c r="N2036" i="3" s="1"/>
  <c r="K2036" i="3"/>
  <c r="J2036" i="3"/>
  <c r="E2036" i="3"/>
  <c r="D2036" i="3"/>
  <c r="T2035" i="3"/>
  <c r="S2035" i="3"/>
  <c r="R2035" i="3"/>
  <c r="Q2035" i="3"/>
  <c r="P2035" i="3"/>
  <c r="O2035" i="3"/>
  <c r="M2035" i="3"/>
  <c r="L2035" i="3"/>
  <c r="N2035" i="3" s="1"/>
  <c r="K2035" i="3"/>
  <c r="J2035" i="3"/>
  <c r="E2035" i="3"/>
  <c r="D2035" i="3"/>
  <c r="T2034" i="3"/>
  <c r="S2034" i="3"/>
  <c r="R2034" i="3"/>
  <c r="Q2034" i="3"/>
  <c r="P2034" i="3"/>
  <c r="O2034" i="3"/>
  <c r="M2034" i="3"/>
  <c r="L2034" i="3"/>
  <c r="N2034" i="3" s="1"/>
  <c r="K2034" i="3"/>
  <c r="J2034" i="3"/>
  <c r="E2034" i="3"/>
  <c r="D2034" i="3"/>
  <c r="T2033" i="3"/>
  <c r="S2033" i="3"/>
  <c r="R2033" i="3"/>
  <c r="Q2033" i="3"/>
  <c r="P2033" i="3"/>
  <c r="O2033" i="3"/>
  <c r="M2033" i="3"/>
  <c r="L2033" i="3"/>
  <c r="N2033" i="3" s="1"/>
  <c r="K2033" i="3"/>
  <c r="J2033" i="3"/>
  <c r="E2033" i="3"/>
  <c r="D2033" i="3"/>
  <c r="T2032" i="3"/>
  <c r="S2032" i="3"/>
  <c r="R2032" i="3"/>
  <c r="Q2032" i="3"/>
  <c r="P2032" i="3"/>
  <c r="O2032" i="3"/>
  <c r="M2032" i="3"/>
  <c r="L2032" i="3"/>
  <c r="N2032" i="3" s="1"/>
  <c r="K2032" i="3"/>
  <c r="J2032" i="3"/>
  <c r="E2032" i="3"/>
  <c r="D2032" i="3"/>
  <c r="T2031" i="3"/>
  <c r="S2031" i="3"/>
  <c r="R2031" i="3"/>
  <c r="Q2031" i="3"/>
  <c r="P2031" i="3"/>
  <c r="O2031" i="3"/>
  <c r="M2031" i="3"/>
  <c r="L2031" i="3"/>
  <c r="N2031" i="3" s="1"/>
  <c r="K2031" i="3"/>
  <c r="J2031" i="3"/>
  <c r="E2031" i="3"/>
  <c r="D2031" i="3"/>
  <c r="T2030" i="3"/>
  <c r="S2030" i="3"/>
  <c r="R2030" i="3"/>
  <c r="Q2030" i="3"/>
  <c r="P2030" i="3"/>
  <c r="O2030" i="3"/>
  <c r="M2030" i="3"/>
  <c r="L2030" i="3"/>
  <c r="N2030" i="3" s="1"/>
  <c r="K2030" i="3"/>
  <c r="J2030" i="3"/>
  <c r="E2030" i="3"/>
  <c r="D2030" i="3"/>
  <c r="T2029" i="3"/>
  <c r="S2029" i="3"/>
  <c r="R2029" i="3"/>
  <c r="Q2029" i="3"/>
  <c r="P2029" i="3"/>
  <c r="O2029" i="3"/>
  <c r="M2029" i="3"/>
  <c r="L2029" i="3"/>
  <c r="N2029" i="3" s="1"/>
  <c r="K2029" i="3"/>
  <c r="J2029" i="3"/>
  <c r="E2029" i="3"/>
  <c r="D2029" i="3"/>
  <c r="T2028" i="3"/>
  <c r="S2028" i="3"/>
  <c r="R2028" i="3"/>
  <c r="Q2028" i="3"/>
  <c r="P2028" i="3"/>
  <c r="O2028" i="3"/>
  <c r="M2028" i="3"/>
  <c r="L2028" i="3"/>
  <c r="N2028" i="3" s="1"/>
  <c r="K2028" i="3"/>
  <c r="J2028" i="3"/>
  <c r="E2028" i="3"/>
  <c r="D2028" i="3"/>
  <c r="T2027" i="3"/>
  <c r="S2027" i="3"/>
  <c r="R2027" i="3"/>
  <c r="Q2027" i="3"/>
  <c r="P2027" i="3"/>
  <c r="O2027" i="3"/>
  <c r="M2027" i="3"/>
  <c r="L2027" i="3"/>
  <c r="N2027" i="3" s="1"/>
  <c r="K2027" i="3"/>
  <c r="J2027" i="3"/>
  <c r="E2027" i="3"/>
  <c r="D2027" i="3"/>
  <c r="T2026" i="3"/>
  <c r="S2026" i="3"/>
  <c r="R2026" i="3"/>
  <c r="Q2026" i="3"/>
  <c r="P2026" i="3"/>
  <c r="O2026" i="3"/>
  <c r="M2026" i="3"/>
  <c r="L2026" i="3"/>
  <c r="N2026" i="3" s="1"/>
  <c r="K2026" i="3"/>
  <c r="J2026" i="3"/>
  <c r="E2026" i="3"/>
  <c r="D2026" i="3"/>
  <c r="T2025" i="3"/>
  <c r="S2025" i="3"/>
  <c r="R2025" i="3"/>
  <c r="Q2025" i="3"/>
  <c r="P2025" i="3"/>
  <c r="O2025" i="3"/>
  <c r="M2025" i="3"/>
  <c r="L2025" i="3"/>
  <c r="N2025" i="3" s="1"/>
  <c r="K2025" i="3"/>
  <c r="J2025" i="3"/>
  <c r="E2025" i="3"/>
  <c r="D2025" i="3"/>
  <c r="T2024" i="3"/>
  <c r="S2024" i="3"/>
  <c r="R2024" i="3"/>
  <c r="Q2024" i="3"/>
  <c r="P2024" i="3"/>
  <c r="O2024" i="3"/>
  <c r="M2024" i="3"/>
  <c r="L2024" i="3"/>
  <c r="N2024" i="3" s="1"/>
  <c r="K2024" i="3"/>
  <c r="J2024" i="3"/>
  <c r="E2024" i="3"/>
  <c r="D2024" i="3"/>
  <c r="T2023" i="3"/>
  <c r="S2023" i="3"/>
  <c r="R2023" i="3"/>
  <c r="Q2023" i="3"/>
  <c r="P2023" i="3"/>
  <c r="O2023" i="3"/>
  <c r="M2023" i="3"/>
  <c r="L2023" i="3"/>
  <c r="N2023" i="3" s="1"/>
  <c r="K2023" i="3"/>
  <c r="J2023" i="3"/>
  <c r="E2023" i="3"/>
  <c r="D2023" i="3"/>
  <c r="T2022" i="3"/>
  <c r="S2022" i="3"/>
  <c r="R2022" i="3"/>
  <c r="Q2022" i="3"/>
  <c r="P2022" i="3"/>
  <c r="O2022" i="3"/>
  <c r="M2022" i="3"/>
  <c r="L2022" i="3"/>
  <c r="N2022" i="3" s="1"/>
  <c r="K2022" i="3"/>
  <c r="J2022" i="3"/>
  <c r="E2022" i="3"/>
  <c r="D2022" i="3"/>
  <c r="T2021" i="3"/>
  <c r="S2021" i="3"/>
  <c r="R2021" i="3"/>
  <c r="Q2021" i="3"/>
  <c r="P2021" i="3"/>
  <c r="O2021" i="3"/>
  <c r="M2021" i="3"/>
  <c r="L2021" i="3"/>
  <c r="N2021" i="3" s="1"/>
  <c r="K2021" i="3"/>
  <c r="J2021" i="3"/>
  <c r="E2021" i="3"/>
  <c r="D2021" i="3"/>
  <c r="T2020" i="3"/>
  <c r="S2020" i="3"/>
  <c r="R2020" i="3"/>
  <c r="Q2020" i="3"/>
  <c r="P2020" i="3"/>
  <c r="O2020" i="3"/>
  <c r="M2020" i="3"/>
  <c r="L2020" i="3"/>
  <c r="N2020" i="3" s="1"/>
  <c r="K2020" i="3"/>
  <c r="J2020" i="3"/>
  <c r="E2020" i="3"/>
  <c r="D2020" i="3"/>
  <c r="T2019" i="3"/>
  <c r="S2019" i="3"/>
  <c r="R2019" i="3"/>
  <c r="Q2019" i="3"/>
  <c r="P2019" i="3"/>
  <c r="O2019" i="3"/>
  <c r="M2019" i="3"/>
  <c r="L2019" i="3"/>
  <c r="N2019" i="3" s="1"/>
  <c r="K2019" i="3"/>
  <c r="J2019" i="3"/>
  <c r="E2019" i="3"/>
  <c r="D2019" i="3"/>
  <c r="T2018" i="3"/>
  <c r="S2018" i="3"/>
  <c r="R2018" i="3"/>
  <c r="Q2018" i="3"/>
  <c r="P2018" i="3"/>
  <c r="O2018" i="3"/>
  <c r="M2018" i="3"/>
  <c r="L2018" i="3"/>
  <c r="N2018" i="3" s="1"/>
  <c r="K2018" i="3"/>
  <c r="J2018" i="3"/>
  <c r="E2018" i="3"/>
  <c r="D2018" i="3"/>
  <c r="T2017" i="3"/>
  <c r="S2017" i="3"/>
  <c r="R2017" i="3"/>
  <c r="Q2017" i="3"/>
  <c r="P2017" i="3"/>
  <c r="O2017" i="3"/>
  <c r="M2017" i="3"/>
  <c r="L2017" i="3"/>
  <c r="N2017" i="3" s="1"/>
  <c r="K2017" i="3"/>
  <c r="J2017" i="3"/>
  <c r="E2017" i="3"/>
  <c r="D2017" i="3"/>
  <c r="T2016" i="3"/>
  <c r="S2016" i="3"/>
  <c r="R2016" i="3"/>
  <c r="Q2016" i="3"/>
  <c r="P2016" i="3"/>
  <c r="O2016" i="3"/>
  <c r="M2016" i="3"/>
  <c r="L2016" i="3"/>
  <c r="N2016" i="3" s="1"/>
  <c r="K2016" i="3"/>
  <c r="J2016" i="3"/>
  <c r="E2016" i="3"/>
  <c r="D2016" i="3"/>
  <c r="T2015" i="3"/>
  <c r="S2015" i="3"/>
  <c r="R2015" i="3"/>
  <c r="Q2015" i="3"/>
  <c r="P2015" i="3"/>
  <c r="O2015" i="3"/>
  <c r="M2015" i="3"/>
  <c r="L2015" i="3"/>
  <c r="N2015" i="3" s="1"/>
  <c r="K2015" i="3"/>
  <c r="J2015" i="3"/>
  <c r="E2015" i="3"/>
  <c r="D2015" i="3"/>
  <c r="T2014" i="3"/>
  <c r="S2014" i="3"/>
  <c r="R2014" i="3"/>
  <c r="Q2014" i="3"/>
  <c r="P2014" i="3"/>
  <c r="O2014" i="3"/>
  <c r="M2014" i="3"/>
  <c r="L2014" i="3"/>
  <c r="N2014" i="3" s="1"/>
  <c r="K2014" i="3"/>
  <c r="J2014" i="3"/>
  <c r="E2014" i="3"/>
  <c r="D2014" i="3"/>
  <c r="T2013" i="3"/>
  <c r="S2013" i="3"/>
  <c r="R2013" i="3"/>
  <c r="Q2013" i="3"/>
  <c r="P2013" i="3"/>
  <c r="O2013" i="3"/>
  <c r="M2013" i="3"/>
  <c r="L2013" i="3"/>
  <c r="N2013" i="3" s="1"/>
  <c r="K2013" i="3"/>
  <c r="J2013" i="3"/>
  <c r="E2013" i="3"/>
  <c r="D2013" i="3"/>
  <c r="T2012" i="3"/>
  <c r="S2012" i="3"/>
  <c r="R2012" i="3"/>
  <c r="Q2012" i="3"/>
  <c r="P2012" i="3"/>
  <c r="O2012" i="3"/>
  <c r="M2012" i="3"/>
  <c r="L2012" i="3"/>
  <c r="N2012" i="3" s="1"/>
  <c r="K2012" i="3"/>
  <c r="J2012" i="3"/>
  <c r="E2012" i="3"/>
  <c r="D2012" i="3"/>
  <c r="T2011" i="3"/>
  <c r="S2011" i="3"/>
  <c r="R2011" i="3"/>
  <c r="Q2011" i="3"/>
  <c r="P2011" i="3"/>
  <c r="O2011" i="3"/>
  <c r="M2011" i="3"/>
  <c r="L2011" i="3"/>
  <c r="N2011" i="3" s="1"/>
  <c r="K2011" i="3"/>
  <c r="J2011" i="3"/>
  <c r="E2011" i="3"/>
  <c r="D2011" i="3"/>
  <c r="T2010" i="3"/>
  <c r="S2010" i="3"/>
  <c r="R2010" i="3"/>
  <c r="Q2010" i="3"/>
  <c r="P2010" i="3"/>
  <c r="O2010" i="3"/>
  <c r="M2010" i="3"/>
  <c r="L2010" i="3"/>
  <c r="N2010" i="3" s="1"/>
  <c r="K2010" i="3"/>
  <c r="J2010" i="3"/>
  <c r="E2010" i="3"/>
  <c r="D2010" i="3"/>
  <c r="T2009" i="3"/>
  <c r="S2009" i="3"/>
  <c r="R2009" i="3"/>
  <c r="Q2009" i="3"/>
  <c r="P2009" i="3"/>
  <c r="O2009" i="3"/>
  <c r="M2009" i="3"/>
  <c r="L2009" i="3"/>
  <c r="N2009" i="3" s="1"/>
  <c r="K2009" i="3"/>
  <c r="J2009" i="3"/>
  <c r="E2009" i="3"/>
  <c r="D2009" i="3"/>
  <c r="T2008" i="3"/>
  <c r="S2008" i="3"/>
  <c r="R2008" i="3"/>
  <c r="Q2008" i="3"/>
  <c r="P2008" i="3"/>
  <c r="O2008" i="3"/>
  <c r="M2008" i="3"/>
  <c r="L2008" i="3"/>
  <c r="N2008" i="3" s="1"/>
  <c r="K2008" i="3"/>
  <c r="J2008" i="3"/>
  <c r="E2008" i="3"/>
  <c r="D2008" i="3"/>
  <c r="T2007" i="3"/>
  <c r="S2007" i="3"/>
  <c r="R2007" i="3"/>
  <c r="Q2007" i="3"/>
  <c r="P2007" i="3"/>
  <c r="O2007" i="3"/>
  <c r="M2007" i="3"/>
  <c r="L2007" i="3"/>
  <c r="N2007" i="3" s="1"/>
  <c r="K2007" i="3"/>
  <c r="J2007" i="3"/>
  <c r="E2007" i="3"/>
  <c r="D2007" i="3"/>
  <c r="T2006" i="3"/>
  <c r="S2006" i="3"/>
  <c r="R2006" i="3"/>
  <c r="Q2006" i="3"/>
  <c r="P2006" i="3"/>
  <c r="O2006" i="3"/>
  <c r="M2006" i="3"/>
  <c r="L2006" i="3"/>
  <c r="N2006" i="3" s="1"/>
  <c r="K2006" i="3"/>
  <c r="J2006" i="3"/>
  <c r="E2006" i="3"/>
  <c r="D2006" i="3"/>
  <c r="T2005" i="3"/>
  <c r="S2005" i="3"/>
  <c r="R2005" i="3"/>
  <c r="Q2005" i="3"/>
  <c r="P2005" i="3"/>
  <c r="O2005" i="3"/>
  <c r="M2005" i="3"/>
  <c r="L2005" i="3"/>
  <c r="N2005" i="3" s="1"/>
  <c r="K2005" i="3"/>
  <c r="J2005" i="3"/>
  <c r="E2005" i="3"/>
  <c r="D2005" i="3"/>
  <c r="T2004" i="3"/>
  <c r="S2004" i="3"/>
  <c r="R2004" i="3"/>
  <c r="Q2004" i="3"/>
  <c r="P2004" i="3"/>
  <c r="O2004" i="3"/>
  <c r="M2004" i="3"/>
  <c r="L2004" i="3"/>
  <c r="N2004" i="3" s="1"/>
  <c r="K2004" i="3"/>
  <c r="J2004" i="3"/>
  <c r="E2004" i="3"/>
  <c r="D2004" i="3"/>
  <c r="T2003" i="3"/>
  <c r="S2003" i="3"/>
  <c r="R2003" i="3"/>
  <c r="Q2003" i="3"/>
  <c r="P2003" i="3"/>
  <c r="O2003" i="3"/>
  <c r="M2003" i="3"/>
  <c r="L2003" i="3"/>
  <c r="N2003" i="3" s="1"/>
  <c r="K2003" i="3"/>
  <c r="J2003" i="3"/>
  <c r="E2003" i="3"/>
  <c r="D2003" i="3"/>
  <c r="T2002" i="3"/>
  <c r="S2002" i="3"/>
  <c r="R2002" i="3"/>
  <c r="Q2002" i="3"/>
  <c r="P2002" i="3"/>
  <c r="O2002" i="3"/>
  <c r="M2002" i="3"/>
  <c r="L2002" i="3"/>
  <c r="N2002" i="3" s="1"/>
  <c r="K2002" i="3"/>
  <c r="J2002" i="3"/>
  <c r="E2002" i="3"/>
  <c r="D2002" i="3"/>
  <c r="T2001" i="3"/>
  <c r="S2001" i="3"/>
  <c r="R2001" i="3"/>
  <c r="Q2001" i="3"/>
  <c r="P2001" i="3"/>
  <c r="O2001" i="3"/>
  <c r="M2001" i="3"/>
  <c r="L2001" i="3"/>
  <c r="N2001" i="3" s="1"/>
  <c r="K2001" i="3"/>
  <c r="J2001" i="3"/>
  <c r="E2001" i="3"/>
  <c r="D2001" i="3"/>
  <c r="T2000" i="3"/>
  <c r="S2000" i="3"/>
  <c r="R2000" i="3"/>
  <c r="Q2000" i="3"/>
  <c r="P2000" i="3"/>
  <c r="O2000" i="3"/>
  <c r="M2000" i="3"/>
  <c r="L2000" i="3"/>
  <c r="N2000" i="3" s="1"/>
  <c r="K2000" i="3"/>
  <c r="J2000" i="3"/>
  <c r="E2000" i="3"/>
  <c r="D2000" i="3"/>
  <c r="T1999" i="3"/>
  <c r="S1999" i="3"/>
  <c r="R1999" i="3"/>
  <c r="Q1999" i="3"/>
  <c r="P1999" i="3"/>
  <c r="O1999" i="3"/>
  <c r="M1999" i="3"/>
  <c r="L1999" i="3"/>
  <c r="N1999" i="3" s="1"/>
  <c r="K1999" i="3"/>
  <c r="J1999" i="3"/>
  <c r="E1999" i="3"/>
  <c r="D1999" i="3"/>
  <c r="T1998" i="3"/>
  <c r="S1998" i="3"/>
  <c r="R1998" i="3"/>
  <c r="Q1998" i="3"/>
  <c r="P1998" i="3"/>
  <c r="O1998" i="3"/>
  <c r="M1998" i="3"/>
  <c r="L1998" i="3"/>
  <c r="N1998" i="3" s="1"/>
  <c r="K1998" i="3"/>
  <c r="J1998" i="3"/>
  <c r="E1998" i="3"/>
  <c r="D1998" i="3"/>
  <c r="T1997" i="3"/>
  <c r="S1997" i="3"/>
  <c r="R1997" i="3"/>
  <c r="Q1997" i="3"/>
  <c r="P1997" i="3"/>
  <c r="O1997" i="3"/>
  <c r="M1997" i="3"/>
  <c r="L1997" i="3"/>
  <c r="N1997" i="3" s="1"/>
  <c r="K1997" i="3"/>
  <c r="J1997" i="3"/>
  <c r="E1997" i="3"/>
  <c r="D1997" i="3"/>
  <c r="T1996" i="3"/>
  <c r="S1996" i="3"/>
  <c r="R1996" i="3"/>
  <c r="Q1996" i="3"/>
  <c r="P1996" i="3"/>
  <c r="O1996" i="3"/>
  <c r="M1996" i="3"/>
  <c r="L1996" i="3"/>
  <c r="N1996" i="3" s="1"/>
  <c r="K1996" i="3"/>
  <c r="J1996" i="3"/>
  <c r="E1996" i="3"/>
  <c r="D1996" i="3"/>
  <c r="T1995" i="3"/>
  <c r="S1995" i="3"/>
  <c r="R1995" i="3"/>
  <c r="Q1995" i="3"/>
  <c r="P1995" i="3"/>
  <c r="O1995" i="3"/>
  <c r="M1995" i="3"/>
  <c r="L1995" i="3"/>
  <c r="N1995" i="3" s="1"/>
  <c r="K1995" i="3"/>
  <c r="J1995" i="3"/>
  <c r="E1995" i="3"/>
  <c r="D1995" i="3"/>
  <c r="T1994" i="3"/>
  <c r="S1994" i="3"/>
  <c r="R1994" i="3"/>
  <c r="Q1994" i="3"/>
  <c r="P1994" i="3"/>
  <c r="O1994" i="3"/>
  <c r="M1994" i="3"/>
  <c r="L1994" i="3"/>
  <c r="N1994" i="3" s="1"/>
  <c r="K1994" i="3"/>
  <c r="J1994" i="3"/>
  <c r="E1994" i="3"/>
  <c r="D1994" i="3"/>
  <c r="T1993" i="3"/>
  <c r="S1993" i="3"/>
  <c r="R1993" i="3"/>
  <c r="Q1993" i="3"/>
  <c r="P1993" i="3"/>
  <c r="O1993" i="3"/>
  <c r="M1993" i="3"/>
  <c r="L1993" i="3"/>
  <c r="N1993" i="3" s="1"/>
  <c r="K1993" i="3"/>
  <c r="J1993" i="3"/>
  <c r="E1993" i="3"/>
  <c r="D1993" i="3"/>
  <c r="T1992" i="3"/>
  <c r="S1992" i="3"/>
  <c r="R1992" i="3"/>
  <c r="Q1992" i="3"/>
  <c r="P1992" i="3"/>
  <c r="O1992" i="3"/>
  <c r="M1992" i="3"/>
  <c r="L1992" i="3"/>
  <c r="N1992" i="3" s="1"/>
  <c r="K1992" i="3"/>
  <c r="J1992" i="3"/>
  <c r="E1992" i="3"/>
  <c r="D1992" i="3"/>
  <c r="T1991" i="3"/>
  <c r="S1991" i="3"/>
  <c r="R1991" i="3"/>
  <c r="Q1991" i="3"/>
  <c r="P1991" i="3"/>
  <c r="O1991" i="3"/>
  <c r="M1991" i="3"/>
  <c r="L1991" i="3"/>
  <c r="N1991" i="3" s="1"/>
  <c r="K1991" i="3"/>
  <c r="J1991" i="3"/>
  <c r="E1991" i="3"/>
  <c r="D1991" i="3"/>
  <c r="T1990" i="3"/>
  <c r="S1990" i="3"/>
  <c r="R1990" i="3"/>
  <c r="Q1990" i="3"/>
  <c r="P1990" i="3"/>
  <c r="O1990" i="3"/>
  <c r="M1990" i="3"/>
  <c r="L1990" i="3"/>
  <c r="N1990" i="3" s="1"/>
  <c r="K1990" i="3"/>
  <c r="J1990" i="3"/>
  <c r="E1990" i="3"/>
  <c r="D1990" i="3"/>
  <c r="T1989" i="3"/>
  <c r="S1989" i="3"/>
  <c r="R1989" i="3"/>
  <c r="Q1989" i="3"/>
  <c r="P1989" i="3"/>
  <c r="O1989" i="3"/>
  <c r="M1989" i="3"/>
  <c r="L1989" i="3"/>
  <c r="N1989" i="3" s="1"/>
  <c r="K1989" i="3"/>
  <c r="J1989" i="3"/>
  <c r="E1989" i="3"/>
  <c r="D1989" i="3"/>
  <c r="T1988" i="3"/>
  <c r="S1988" i="3"/>
  <c r="R1988" i="3"/>
  <c r="Q1988" i="3"/>
  <c r="P1988" i="3"/>
  <c r="O1988" i="3"/>
  <c r="M1988" i="3"/>
  <c r="L1988" i="3"/>
  <c r="N1988" i="3" s="1"/>
  <c r="K1988" i="3"/>
  <c r="J1988" i="3"/>
  <c r="E1988" i="3"/>
  <c r="D1988" i="3"/>
  <c r="T1987" i="3"/>
  <c r="S1987" i="3"/>
  <c r="R1987" i="3"/>
  <c r="Q1987" i="3"/>
  <c r="P1987" i="3"/>
  <c r="O1987" i="3"/>
  <c r="M1987" i="3"/>
  <c r="L1987" i="3"/>
  <c r="N1987" i="3" s="1"/>
  <c r="K1987" i="3"/>
  <c r="J1987" i="3"/>
  <c r="E1987" i="3"/>
  <c r="D1987" i="3"/>
  <c r="T1986" i="3"/>
  <c r="S1986" i="3"/>
  <c r="R1986" i="3"/>
  <c r="Q1986" i="3"/>
  <c r="P1986" i="3"/>
  <c r="O1986" i="3"/>
  <c r="M1986" i="3"/>
  <c r="L1986" i="3"/>
  <c r="N1986" i="3" s="1"/>
  <c r="K1986" i="3"/>
  <c r="J1986" i="3"/>
  <c r="E1986" i="3"/>
  <c r="D1986" i="3"/>
  <c r="T1985" i="3"/>
  <c r="S1985" i="3"/>
  <c r="R1985" i="3"/>
  <c r="Q1985" i="3"/>
  <c r="P1985" i="3"/>
  <c r="O1985" i="3"/>
  <c r="M1985" i="3"/>
  <c r="L1985" i="3"/>
  <c r="N1985" i="3" s="1"/>
  <c r="K1985" i="3"/>
  <c r="J1985" i="3"/>
  <c r="E1985" i="3"/>
  <c r="D1985" i="3"/>
  <c r="T1984" i="3"/>
  <c r="S1984" i="3"/>
  <c r="R1984" i="3"/>
  <c r="Q1984" i="3"/>
  <c r="P1984" i="3"/>
  <c r="O1984" i="3"/>
  <c r="M1984" i="3"/>
  <c r="L1984" i="3"/>
  <c r="N1984" i="3" s="1"/>
  <c r="K1984" i="3"/>
  <c r="J1984" i="3"/>
  <c r="E1984" i="3"/>
  <c r="D1984" i="3"/>
  <c r="T1983" i="3"/>
  <c r="S1983" i="3"/>
  <c r="R1983" i="3"/>
  <c r="Q1983" i="3"/>
  <c r="P1983" i="3"/>
  <c r="O1983" i="3"/>
  <c r="M1983" i="3"/>
  <c r="L1983" i="3"/>
  <c r="N1983" i="3" s="1"/>
  <c r="K1983" i="3"/>
  <c r="J1983" i="3"/>
  <c r="E1983" i="3"/>
  <c r="D1983" i="3"/>
  <c r="T1982" i="3"/>
  <c r="S1982" i="3"/>
  <c r="R1982" i="3"/>
  <c r="Q1982" i="3"/>
  <c r="P1982" i="3"/>
  <c r="O1982" i="3"/>
  <c r="M1982" i="3"/>
  <c r="L1982" i="3"/>
  <c r="N1982" i="3" s="1"/>
  <c r="K1982" i="3"/>
  <c r="J1982" i="3"/>
  <c r="E1982" i="3"/>
  <c r="D1982" i="3"/>
  <c r="T1981" i="3"/>
  <c r="S1981" i="3"/>
  <c r="R1981" i="3"/>
  <c r="Q1981" i="3"/>
  <c r="P1981" i="3"/>
  <c r="O1981" i="3"/>
  <c r="M1981" i="3"/>
  <c r="L1981" i="3"/>
  <c r="N1981" i="3" s="1"/>
  <c r="K1981" i="3"/>
  <c r="J1981" i="3"/>
  <c r="E1981" i="3"/>
  <c r="D1981" i="3"/>
  <c r="T1980" i="3"/>
  <c r="S1980" i="3"/>
  <c r="R1980" i="3"/>
  <c r="Q1980" i="3"/>
  <c r="P1980" i="3"/>
  <c r="O1980" i="3"/>
  <c r="M1980" i="3"/>
  <c r="L1980" i="3"/>
  <c r="N1980" i="3" s="1"/>
  <c r="K1980" i="3"/>
  <c r="J1980" i="3"/>
  <c r="E1980" i="3"/>
  <c r="D1980" i="3"/>
  <c r="T1979" i="3"/>
  <c r="S1979" i="3"/>
  <c r="R1979" i="3"/>
  <c r="Q1979" i="3"/>
  <c r="P1979" i="3"/>
  <c r="O1979" i="3"/>
  <c r="M1979" i="3"/>
  <c r="L1979" i="3"/>
  <c r="N1979" i="3" s="1"/>
  <c r="K1979" i="3"/>
  <c r="J1979" i="3"/>
  <c r="E1979" i="3"/>
  <c r="D1979" i="3"/>
  <c r="T1978" i="3"/>
  <c r="S1978" i="3"/>
  <c r="R1978" i="3"/>
  <c r="Q1978" i="3"/>
  <c r="P1978" i="3"/>
  <c r="O1978" i="3"/>
  <c r="M1978" i="3"/>
  <c r="L1978" i="3"/>
  <c r="N1978" i="3" s="1"/>
  <c r="K1978" i="3"/>
  <c r="J1978" i="3"/>
  <c r="E1978" i="3"/>
  <c r="D1978" i="3"/>
  <c r="T1977" i="3"/>
  <c r="S1977" i="3"/>
  <c r="R1977" i="3"/>
  <c r="Q1977" i="3"/>
  <c r="P1977" i="3"/>
  <c r="O1977" i="3"/>
  <c r="M1977" i="3"/>
  <c r="L1977" i="3"/>
  <c r="N1977" i="3" s="1"/>
  <c r="K1977" i="3"/>
  <c r="J1977" i="3"/>
  <c r="E1977" i="3"/>
  <c r="D1977" i="3"/>
  <c r="T1976" i="3"/>
  <c r="S1976" i="3"/>
  <c r="R1976" i="3"/>
  <c r="Q1976" i="3"/>
  <c r="P1976" i="3"/>
  <c r="O1976" i="3"/>
  <c r="M1976" i="3"/>
  <c r="L1976" i="3"/>
  <c r="N1976" i="3" s="1"/>
  <c r="K1976" i="3"/>
  <c r="J1976" i="3"/>
  <c r="E1976" i="3"/>
  <c r="D1976" i="3"/>
  <c r="T1975" i="3"/>
  <c r="S1975" i="3"/>
  <c r="R1975" i="3"/>
  <c r="Q1975" i="3"/>
  <c r="P1975" i="3"/>
  <c r="O1975" i="3"/>
  <c r="M1975" i="3"/>
  <c r="L1975" i="3"/>
  <c r="N1975" i="3" s="1"/>
  <c r="K1975" i="3"/>
  <c r="J1975" i="3"/>
  <c r="E1975" i="3"/>
  <c r="D1975" i="3"/>
  <c r="T1974" i="3"/>
  <c r="S1974" i="3"/>
  <c r="R1974" i="3"/>
  <c r="Q1974" i="3"/>
  <c r="P1974" i="3"/>
  <c r="O1974" i="3"/>
  <c r="M1974" i="3"/>
  <c r="L1974" i="3"/>
  <c r="N1974" i="3" s="1"/>
  <c r="K1974" i="3"/>
  <c r="J1974" i="3"/>
  <c r="E1974" i="3"/>
  <c r="D1974" i="3"/>
  <c r="T1973" i="3"/>
  <c r="S1973" i="3"/>
  <c r="R1973" i="3"/>
  <c r="Q1973" i="3"/>
  <c r="P1973" i="3"/>
  <c r="O1973" i="3"/>
  <c r="M1973" i="3"/>
  <c r="L1973" i="3"/>
  <c r="N1973" i="3" s="1"/>
  <c r="K1973" i="3"/>
  <c r="J1973" i="3"/>
  <c r="E1973" i="3"/>
  <c r="D1973" i="3"/>
  <c r="T1972" i="3"/>
  <c r="S1972" i="3"/>
  <c r="R1972" i="3"/>
  <c r="Q1972" i="3"/>
  <c r="P1972" i="3"/>
  <c r="O1972" i="3"/>
  <c r="M1972" i="3"/>
  <c r="L1972" i="3"/>
  <c r="N1972" i="3" s="1"/>
  <c r="K1972" i="3"/>
  <c r="J1972" i="3"/>
  <c r="E1972" i="3"/>
  <c r="D1972" i="3"/>
  <c r="T1971" i="3"/>
  <c r="S1971" i="3"/>
  <c r="R1971" i="3"/>
  <c r="Q1971" i="3"/>
  <c r="P1971" i="3"/>
  <c r="O1971" i="3"/>
  <c r="M1971" i="3"/>
  <c r="L1971" i="3"/>
  <c r="N1971" i="3" s="1"/>
  <c r="K1971" i="3"/>
  <c r="J1971" i="3"/>
  <c r="E1971" i="3"/>
  <c r="D1971" i="3"/>
  <c r="T1970" i="3"/>
  <c r="S1970" i="3"/>
  <c r="R1970" i="3"/>
  <c r="Q1970" i="3"/>
  <c r="P1970" i="3"/>
  <c r="O1970" i="3"/>
  <c r="M1970" i="3"/>
  <c r="L1970" i="3"/>
  <c r="N1970" i="3" s="1"/>
  <c r="K1970" i="3"/>
  <c r="J1970" i="3"/>
  <c r="E1970" i="3"/>
  <c r="D1970" i="3"/>
  <c r="T1969" i="3"/>
  <c r="S1969" i="3"/>
  <c r="R1969" i="3"/>
  <c r="Q1969" i="3"/>
  <c r="P1969" i="3"/>
  <c r="O1969" i="3"/>
  <c r="M1969" i="3"/>
  <c r="L1969" i="3"/>
  <c r="N1969" i="3" s="1"/>
  <c r="K1969" i="3"/>
  <c r="J1969" i="3"/>
  <c r="E1969" i="3"/>
  <c r="D1969" i="3"/>
  <c r="T1968" i="3"/>
  <c r="S1968" i="3"/>
  <c r="R1968" i="3"/>
  <c r="Q1968" i="3"/>
  <c r="P1968" i="3"/>
  <c r="O1968" i="3"/>
  <c r="M1968" i="3"/>
  <c r="L1968" i="3"/>
  <c r="N1968" i="3" s="1"/>
  <c r="K1968" i="3"/>
  <c r="J1968" i="3"/>
  <c r="E1968" i="3"/>
  <c r="D1968" i="3"/>
  <c r="T1967" i="3"/>
  <c r="S1967" i="3"/>
  <c r="R1967" i="3"/>
  <c r="Q1967" i="3"/>
  <c r="P1967" i="3"/>
  <c r="O1967" i="3"/>
  <c r="M1967" i="3"/>
  <c r="L1967" i="3"/>
  <c r="N1967" i="3" s="1"/>
  <c r="K1967" i="3"/>
  <c r="J1967" i="3"/>
  <c r="E1967" i="3"/>
  <c r="D1967" i="3"/>
  <c r="T1966" i="3"/>
  <c r="S1966" i="3"/>
  <c r="R1966" i="3"/>
  <c r="Q1966" i="3"/>
  <c r="P1966" i="3"/>
  <c r="O1966" i="3"/>
  <c r="M1966" i="3"/>
  <c r="L1966" i="3"/>
  <c r="N1966" i="3" s="1"/>
  <c r="K1966" i="3"/>
  <c r="J1966" i="3"/>
  <c r="E1966" i="3"/>
  <c r="D1966" i="3"/>
  <c r="T1965" i="3"/>
  <c r="S1965" i="3"/>
  <c r="R1965" i="3"/>
  <c r="Q1965" i="3"/>
  <c r="P1965" i="3"/>
  <c r="O1965" i="3"/>
  <c r="M1965" i="3"/>
  <c r="L1965" i="3"/>
  <c r="N1965" i="3" s="1"/>
  <c r="K1965" i="3"/>
  <c r="J1965" i="3"/>
  <c r="E1965" i="3"/>
  <c r="D1965" i="3"/>
  <c r="T1964" i="3"/>
  <c r="S1964" i="3"/>
  <c r="R1964" i="3"/>
  <c r="Q1964" i="3"/>
  <c r="P1964" i="3"/>
  <c r="O1964" i="3"/>
  <c r="M1964" i="3"/>
  <c r="L1964" i="3"/>
  <c r="N1964" i="3" s="1"/>
  <c r="K1964" i="3"/>
  <c r="J1964" i="3"/>
  <c r="E1964" i="3"/>
  <c r="D1964" i="3"/>
  <c r="T1963" i="3"/>
  <c r="S1963" i="3"/>
  <c r="R1963" i="3"/>
  <c r="Q1963" i="3"/>
  <c r="P1963" i="3"/>
  <c r="O1963" i="3"/>
  <c r="M1963" i="3"/>
  <c r="L1963" i="3"/>
  <c r="N1963" i="3" s="1"/>
  <c r="K1963" i="3"/>
  <c r="J1963" i="3"/>
  <c r="E1963" i="3"/>
  <c r="D1963" i="3"/>
  <c r="T1962" i="3"/>
  <c r="S1962" i="3"/>
  <c r="R1962" i="3"/>
  <c r="Q1962" i="3"/>
  <c r="P1962" i="3"/>
  <c r="O1962" i="3"/>
  <c r="M1962" i="3"/>
  <c r="L1962" i="3"/>
  <c r="N1962" i="3" s="1"/>
  <c r="K1962" i="3"/>
  <c r="J1962" i="3"/>
  <c r="E1962" i="3"/>
  <c r="D1962" i="3"/>
  <c r="T1961" i="3"/>
  <c r="S1961" i="3"/>
  <c r="R1961" i="3"/>
  <c r="Q1961" i="3"/>
  <c r="P1961" i="3"/>
  <c r="O1961" i="3"/>
  <c r="M1961" i="3"/>
  <c r="L1961" i="3"/>
  <c r="N1961" i="3" s="1"/>
  <c r="K1961" i="3"/>
  <c r="J1961" i="3"/>
  <c r="E1961" i="3"/>
  <c r="D1961" i="3"/>
  <c r="T1960" i="3"/>
  <c r="S1960" i="3"/>
  <c r="R1960" i="3"/>
  <c r="Q1960" i="3"/>
  <c r="P1960" i="3"/>
  <c r="O1960" i="3"/>
  <c r="M1960" i="3"/>
  <c r="L1960" i="3"/>
  <c r="N1960" i="3" s="1"/>
  <c r="K1960" i="3"/>
  <c r="J1960" i="3"/>
  <c r="E1960" i="3"/>
  <c r="D1960" i="3"/>
  <c r="T1959" i="3"/>
  <c r="S1959" i="3"/>
  <c r="R1959" i="3"/>
  <c r="Q1959" i="3"/>
  <c r="P1959" i="3"/>
  <c r="O1959" i="3"/>
  <c r="M1959" i="3"/>
  <c r="L1959" i="3"/>
  <c r="N1959" i="3" s="1"/>
  <c r="K1959" i="3"/>
  <c r="J1959" i="3"/>
  <c r="E1959" i="3"/>
  <c r="D1959" i="3"/>
  <c r="T1958" i="3"/>
  <c r="S1958" i="3"/>
  <c r="R1958" i="3"/>
  <c r="Q1958" i="3"/>
  <c r="P1958" i="3"/>
  <c r="O1958" i="3"/>
  <c r="M1958" i="3"/>
  <c r="L1958" i="3"/>
  <c r="N1958" i="3" s="1"/>
  <c r="K1958" i="3"/>
  <c r="J1958" i="3"/>
  <c r="E1958" i="3"/>
  <c r="D1958" i="3"/>
  <c r="T1957" i="3"/>
  <c r="S1957" i="3"/>
  <c r="R1957" i="3"/>
  <c r="Q1957" i="3"/>
  <c r="P1957" i="3"/>
  <c r="O1957" i="3"/>
  <c r="M1957" i="3"/>
  <c r="L1957" i="3"/>
  <c r="N1957" i="3" s="1"/>
  <c r="K1957" i="3"/>
  <c r="J1957" i="3"/>
  <c r="E1957" i="3"/>
  <c r="D1957" i="3"/>
  <c r="T1956" i="3"/>
  <c r="S1956" i="3"/>
  <c r="R1956" i="3"/>
  <c r="Q1956" i="3"/>
  <c r="P1956" i="3"/>
  <c r="O1956" i="3"/>
  <c r="M1956" i="3"/>
  <c r="L1956" i="3"/>
  <c r="N1956" i="3" s="1"/>
  <c r="K1956" i="3"/>
  <c r="J1956" i="3"/>
  <c r="E1956" i="3"/>
  <c r="D1956" i="3"/>
  <c r="T1955" i="3"/>
  <c r="S1955" i="3"/>
  <c r="R1955" i="3"/>
  <c r="Q1955" i="3"/>
  <c r="P1955" i="3"/>
  <c r="O1955" i="3"/>
  <c r="M1955" i="3"/>
  <c r="L1955" i="3"/>
  <c r="N1955" i="3" s="1"/>
  <c r="K1955" i="3"/>
  <c r="J1955" i="3"/>
  <c r="E1955" i="3"/>
  <c r="D1955" i="3"/>
  <c r="T1954" i="3"/>
  <c r="S1954" i="3"/>
  <c r="R1954" i="3"/>
  <c r="Q1954" i="3"/>
  <c r="P1954" i="3"/>
  <c r="O1954" i="3"/>
  <c r="M1954" i="3"/>
  <c r="L1954" i="3"/>
  <c r="N1954" i="3" s="1"/>
  <c r="K1954" i="3"/>
  <c r="J1954" i="3"/>
  <c r="E1954" i="3"/>
  <c r="D1954" i="3"/>
  <c r="T1953" i="3"/>
  <c r="S1953" i="3"/>
  <c r="R1953" i="3"/>
  <c r="Q1953" i="3"/>
  <c r="P1953" i="3"/>
  <c r="O1953" i="3"/>
  <c r="M1953" i="3"/>
  <c r="L1953" i="3"/>
  <c r="N1953" i="3" s="1"/>
  <c r="K1953" i="3"/>
  <c r="J1953" i="3"/>
  <c r="E1953" i="3"/>
  <c r="D1953" i="3"/>
  <c r="T1952" i="3"/>
  <c r="S1952" i="3"/>
  <c r="R1952" i="3"/>
  <c r="Q1952" i="3"/>
  <c r="P1952" i="3"/>
  <c r="O1952" i="3"/>
  <c r="M1952" i="3"/>
  <c r="L1952" i="3"/>
  <c r="N1952" i="3" s="1"/>
  <c r="K1952" i="3"/>
  <c r="J1952" i="3"/>
  <c r="E1952" i="3"/>
  <c r="D1952" i="3"/>
  <c r="T1951" i="3"/>
  <c r="S1951" i="3"/>
  <c r="R1951" i="3"/>
  <c r="Q1951" i="3"/>
  <c r="P1951" i="3"/>
  <c r="O1951" i="3"/>
  <c r="M1951" i="3"/>
  <c r="L1951" i="3"/>
  <c r="N1951" i="3" s="1"/>
  <c r="K1951" i="3"/>
  <c r="J1951" i="3"/>
  <c r="E1951" i="3"/>
  <c r="D1951" i="3"/>
  <c r="T1950" i="3"/>
  <c r="S1950" i="3"/>
  <c r="R1950" i="3"/>
  <c r="Q1950" i="3"/>
  <c r="P1950" i="3"/>
  <c r="O1950" i="3"/>
  <c r="M1950" i="3"/>
  <c r="L1950" i="3"/>
  <c r="N1950" i="3" s="1"/>
  <c r="K1950" i="3"/>
  <c r="J1950" i="3"/>
  <c r="E1950" i="3"/>
  <c r="D1950" i="3"/>
  <c r="T1949" i="3"/>
  <c r="S1949" i="3"/>
  <c r="R1949" i="3"/>
  <c r="Q1949" i="3"/>
  <c r="P1949" i="3"/>
  <c r="O1949" i="3"/>
  <c r="M1949" i="3"/>
  <c r="L1949" i="3"/>
  <c r="N1949" i="3" s="1"/>
  <c r="K1949" i="3"/>
  <c r="J1949" i="3"/>
  <c r="E1949" i="3"/>
  <c r="D1949" i="3"/>
  <c r="T1948" i="3"/>
  <c r="S1948" i="3"/>
  <c r="R1948" i="3"/>
  <c r="Q1948" i="3"/>
  <c r="P1948" i="3"/>
  <c r="O1948" i="3"/>
  <c r="M1948" i="3"/>
  <c r="L1948" i="3"/>
  <c r="N1948" i="3" s="1"/>
  <c r="K1948" i="3"/>
  <c r="J1948" i="3"/>
  <c r="E1948" i="3"/>
  <c r="D1948" i="3"/>
  <c r="T1947" i="3"/>
  <c r="S1947" i="3"/>
  <c r="R1947" i="3"/>
  <c r="Q1947" i="3"/>
  <c r="P1947" i="3"/>
  <c r="O1947" i="3"/>
  <c r="M1947" i="3"/>
  <c r="L1947" i="3"/>
  <c r="N1947" i="3" s="1"/>
  <c r="K1947" i="3"/>
  <c r="J1947" i="3"/>
  <c r="E1947" i="3"/>
  <c r="D1947" i="3"/>
  <c r="T1946" i="3"/>
  <c r="S1946" i="3"/>
  <c r="R1946" i="3"/>
  <c r="Q1946" i="3"/>
  <c r="P1946" i="3"/>
  <c r="O1946" i="3"/>
  <c r="M1946" i="3"/>
  <c r="L1946" i="3"/>
  <c r="N1946" i="3" s="1"/>
  <c r="K1946" i="3"/>
  <c r="J1946" i="3"/>
  <c r="E1946" i="3"/>
  <c r="D1946" i="3"/>
  <c r="T1945" i="3"/>
  <c r="S1945" i="3"/>
  <c r="R1945" i="3"/>
  <c r="Q1945" i="3"/>
  <c r="P1945" i="3"/>
  <c r="O1945" i="3"/>
  <c r="M1945" i="3"/>
  <c r="L1945" i="3"/>
  <c r="N1945" i="3" s="1"/>
  <c r="K1945" i="3"/>
  <c r="J1945" i="3"/>
  <c r="E1945" i="3"/>
  <c r="D1945" i="3"/>
  <c r="T1944" i="3"/>
  <c r="S1944" i="3"/>
  <c r="R1944" i="3"/>
  <c r="Q1944" i="3"/>
  <c r="P1944" i="3"/>
  <c r="O1944" i="3"/>
  <c r="M1944" i="3"/>
  <c r="L1944" i="3"/>
  <c r="N1944" i="3" s="1"/>
  <c r="K1944" i="3"/>
  <c r="J1944" i="3"/>
  <c r="E1944" i="3"/>
  <c r="D1944" i="3"/>
  <c r="T1943" i="3"/>
  <c r="S1943" i="3"/>
  <c r="R1943" i="3"/>
  <c r="Q1943" i="3"/>
  <c r="P1943" i="3"/>
  <c r="O1943" i="3"/>
  <c r="M1943" i="3"/>
  <c r="L1943" i="3"/>
  <c r="N1943" i="3" s="1"/>
  <c r="K1943" i="3"/>
  <c r="J1943" i="3"/>
  <c r="E1943" i="3"/>
  <c r="D1943" i="3"/>
  <c r="T1942" i="3"/>
  <c r="S1942" i="3"/>
  <c r="R1942" i="3"/>
  <c r="Q1942" i="3"/>
  <c r="P1942" i="3"/>
  <c r="O1942" i="3"/>
  <c r="M1942" i="3"/>
  <c r="L1942" i="3"/>
  <c r="N1942" i="3" s="1"/>
  <c r="K1942" i="3"/>
  <c r="J1942" i="3"/>
  <c r="E1942" i="3"/>
  <c r="D1942" i="3"/>
  <c r="T1941" i="3"/>
  <c r="S1941" i="3"/>
  <c r="R1941" i="3"/>
  <c r="Q1941" i="3"/>
  <c r="P1941" i="3"/>
  <c r="O1941" i="3"/>
  <c r="M1941" i="3"/>
  <c r="L1941" i="3"/>
  <c r="N1941" i="3" s="1"/>
  <c r="K1941" i="3"/>
  <c r="J1941" i="3"/>
  <c r="E1941" i="3"/>
  <c r="D1941" i="3"/>
  <c r="T1940" i="3"/>
  <c r="S1940" i="3"/>
  <c r="R1940" i="3"/>
  <c r="Q1940" i="3"/>
  <c r="P1940" i="3"/>
  <c r="O1940" i="3"/>
  <c r="M1940" i="3"/>
  <c r="L1940" i="3"/>
  <c r="N1940" i="3" s="1"/>
  <c r="K1940" i="3"/>
  <c r="J1940" i="3"/>
  <c r="E1940" i="3"/>
  <c r="D1940" i="3"/>
  <c r="T1939" i="3"/>
  <c r="S1939" i="3"/>
  <c r="R1939" i="3"/>
  <c r="Q1939" i="3"/>
  <c r="P1939" i="3"/>
  <c r="O1939" i="3"/>
  <c r="M1939" i="3"/>
  <c r="L1939" i="3"/>
  <c r="N1939" i="3" s="1"/>
  <c r="K1939" i="3"/>
  <c r="J1939" i="3"/>
  <c r="E1939" i="3"/>
  <c r="D1939" i="3"/>
  <c r="T1938" i="3"/>
  <c r="S1938" i="3"/>
  <c r="R1938" i="3"/>
  <c r="Q1938" i="3"/>
  <c r="P1938" i="3"/>
  <c r="O1938" i="3"/>
  <c r="M1938" i="3"/>
  <c r="L1938" i="3"/>
  <c r="N1938" i="3" s="1"/>
  <c r="K1938" i="3"/>
  <c r="J1938" i="3"/>
  <c r="E1938" i="3"/>
  <c r="D1938" i="3"/>
  <c r="T1937" i="3"/>
  <c r="S1937" i="3"/>
  <c r="R1937" i="3"/>
  <c r="Q1937" i="3"/>
  <c r="P1937" i="3"/>
  <c r="O1937" i="3"/>
  <c r="M1937" i="3"/>
  <c r="L1937" i="3"/>
  <c r="N1937" i="3" s="1"/>
  <c r="K1937" i="3"/>
  <c r="J1937" i="3"/>
  <c r="E1937" i="3"/>
  <c r="D1937" i="3"/>
  <c r="T1936" i="3"/>
  <c r="S1936" i="3"/>
  <c r="R1936" i="3"/>
  <c r="Q1936" i="3"/>
  <c r="P1936" i="3"/>
  <c r="O1936" i="3"/>
  <c r="M1936" i="3"/>
  <c r="L1936" i="3"/>
  <c r="N1936" i="3" s="1"/>
  <c r="K1936" i="3"/>
  <c r="J1936" i="3"/>
  <c r="E1936" i="3"/>
  <c r="D1936" i="3"/>
  <c r="T1935" i="3"/>
  <c r="S1935" i="3"/>
  <c r="R1935" i="3"/>
  <c r="Q1935" i="3"/>
  <c r="P1935" i="3"/>
  <c r="O1935" i="3"/>
  <c r="M1935" i="3"/>
  <c r="L1935" i="3"/>
  <c r="N1935" i="3" s="1"/>
  <c r="K1935" i="3"/>
  <c r="J1935" i="3"/>
  <c r="E1935" i="3"/>
  <c r="D1935" i="3"/>
  <c r="T1934" i="3"/>
  <c r="S1934" i="3"/>
  <c r="R1934" i="3"/>
  <c r="Q1934" i="3"/>
  <c r="P1934" i="3"/>
  <c r="O1934" i="3"/>
  <c r="M1934" i="3"/>
  <c r="L1934" i="3"/>
  <c r="N1934" i="3" s="1"/>
  <c r="K1934" i="3"/>
  <c r="J1934" i="3"/>
  <c r="E1934" i="3"/>
  <c r="D1934" i="3"/>
  <c r="T1933" i="3"/>
  <c r="S1933" i="3"/>
  <c r="R1933" i="3"/>
  <c r="Q1933" i="3"/>
  <c r="P1933" i="3"/>
  <c r="O1933" i="3"/>
  <c r="M1933" i="3"/>
  <c r="L1933" i="3"/>
  <c r="N1933" i="3" s="1"/>
  <c r="K1933" i="3"/>
  <c r="J1933" i="3"/>
  <c r="E1933" i="3"/>
  <c r="D1933" i="3"/>
  <c r="T1932" i="3"/>
  <c r="S1932" i="3"/>
  <c r="R1932" i="3"/>
  <c r="Q1932" i="3"/>
  <c r="P1932" i="3"/>
  <c r="O1932" i="3"/>
  <c r="M1932" i="3"/>
  <c r="L1932" i="3"/>
  <c r="N1932" i="3" s="1"/>
  <c r="K1932" i="3"/>
  <c r="J1932" i="3"/>
  <c r="E1932" i="3"/>
  <c r="D1932" i="3"/>
  <c r="T1931" i="3"/>
  <c r="S1931" i="3"/>
  <c r="R1931" i="3"/>
  <c r="Q1931" i="3"/>
  <c r="P1931" i="3"/>
  <c r="O1931" i="3"/>
  <c r="M1931" i="3"/>
  <c r="L1931" i="3"/>
  <c r="N1931" i="3" s="1"/>
  <c r="K1931" i="3"/>
  <c r="J1931" i="3"/>
  <c r="E1931" i="3"/>
  <c r="D1931" i="3"/>
  <c r="T1930" i="3"/>
  <c r="S1930" i="3"/>
  <c r="R1930" i="3"/>
  <c r="Q1930" i="3"/>
  <c r="P1930" i="3"/>
  <c r="O1930" i="3"/>
  <c r="M1930" i="3"/>
  <c r="L1930" i="3"/>
  <c r="N1930" i="3" s="1"/>
  <c r="K1930" i="3"/>
  <c r="J1930" i="3"/>
  <c r="E1930" i="3"/>
  <c r="D1930" i="3"/>
  <c r="T1929" i="3"/>
  <c r="S1929" i="3"/>
  <c r="R1929" i="3"/>
  <c r="Q1929" i="3"/>
  <c r="P1929" i="3"/>
  <c r="O1929" i="3"/>
  <c r="M1929" i="3"/>
  <c r="L1929" i="3"/>
  <c r="N1929" i="3" s="1"/>
  <c r="K1929" i="3"/>
  <c r="J1929" i="3"/>
  <c r="E1929" i="3"/>
  <c r="D1929" i="3"/>
  <c r="T1928" i="3"/>
  <c r="S1928" i="3"/>
  <c r="R1928" i="3"/>
  <c r="Q1928" i="3"/>
  <c r="P1928" i="3"/>
  <c r="O1928" i="3"/>
  <c r="M1928" i="3"/>
  <c r="L1928" i="3"/>
  <c r="N1928" i="3" s="1"/>
  <c r="K1928" i="3"/>
  <c r="J1928" i="3"/>
  <c r="E1928" i="3"/>
  <c r="D1928" i="3"/>
  <c r="T1927" i="3"/>
  <c r="S1927" i="3"/>
  <c r="R1927" i="3"/>
  <c r="Q1927" i="3"/>
  <c r="P1927" i="3"/>
  <c r="O1927" i="3"/>
  <c r="M1927" i="3"/>
  <c r="L1927" i="3"/>
  <c r="N1927" i="3" s="1"/>
  <c r="K1927" i="3"/>
  <c r="J1927" i="3"/>
  <c r="E1927" i="3"/>
  <c r="D1927" i="3"/>
  <c r="T1926" i="3"/>
  <c r="S1926" i="3"/>
  <c r="R1926" i="3"/>
  <c r="Q1926" i="3"/>
  <c r="P1926" i="3"/>
  <c r="O1926" i="3"/>
  <c r="M1926" i="3"/>
  <c r="L1926" i="3"/>
  <c r="N1926" i="3" s="1"/>
  <c r="K1926" i="3"/>
  <c r="J1926" i="3"/>
  <c r="E1926" i="3"/>
  <c r="D1926" i="3"/>
  <c r="T1925" i="3"/>
  <c r="S1925" i="3"/>
  <c r="R1925" i="3"/>
  <c r="Q1925" i="3"/>
  <c r="P1925" i="3"/>
  <c r="O1925" i="3"/>
  <c r="M1925" i="3"/>
  <c r="L1925" i="3"/>
  <c r="N1925" i="3" s="1"/>
  <c r="K1925" i="3"/>
  <c r="J1925" i="3"/>
  <c r="E1925" i="3"/>
  <c r="D1925" i="3"/>
  <c r="T1924" i="3"/>
  <c r="S1924" i="3"/>
  <c r="R1924" i="3"/>
  <c r="Q1924" i="3"/>
  <c r="P1924" i="3"/>
  <c r="O1924" i="3"/>
  <c r="M1924" i="3"/>
  <c r="L1924" i="3"/>
  <c r="N1924" i="3" s="1"/>
  <c r="K1924" i="3"/>
  <c r="J1924" i="3"/>
  <c r="E1924" i="3"/>
  <c r="D1924" i="3"/>
  <c r="T1923" i="3"/>
  <c r="S1923" i="3"/>
  <c r="R1923" i="3"/>
  <c r="Q1923" i="3"/>
  <c r="P1923" i="3"/>
  <c r="O1923" i="3"/>
  <c r="M1923" i="3"/>
  <c r="L1923" i="3"/>
  <c r="N1923" i="3" s="1"/>
  <c r="K1923" i="3"/>
  <c r="J1923" i="3"/>
  <c r="E1923" i="3"/>
  <c r="D1923" i="3"/>
  <c r="T1922" i="3"/>
  <c r="S1922" i="3"/>
  <c r="R1922" i="3"/>
  <c r="Q1922" i="3"/>
  <c r="P1922" i="3"/>
  <c r="O1922" i="3"/>
  <c r="M1922" i="3"/>
  <c r="L1922" i="3"/>
  <c r="N1922" i="3" s="1"/>
  <c r="K1922" i="3"/>
  <c r="J1922" i="3"/>
  <c r="E1922" i="3"/>
  <c r="D1922" i="3"/>
  <c r="T1921" i="3"/>
  <c r="S1921" i="3"/>
  <c r="R1921" i="3"/>
  <c r="Q1921" i="3"/>
  <c r="P1921" i="3"/>
  <c r="O1921" i="3"/>
  <c r="M1921" i="3"/>
  <c r="L1921" i="3"/>
  <c r="N1921" i="3" s="1"/>
  <c r="K1921" i="3"/>
  <c r="J1921" i="3"/>
  <c r="E1921" i="3"/>
  <c r="D1921" i="3"/>
  <c r="T1920" i="3"/>
  <c r="S1920" i="3"/>
  <c r="R1920" i="3"/>
  <c r="Q1920" i="3"/>
  <c r="P1920" i="3"/>
  <c r="O1920" i="3"/>
  <c r="M1920" i="3"/>
  <c r="L1920" i="3"/>
  <c r="N1920" i="3" s="1"/>
  <c r="K1920" i="3"/>
  <c r="J1920" i="3"/>
  <c r="E1920" i="3"/>
  <c r="D1920" i="3"/>
  <c r="T1919" i="3"/>
  <c r="S1919" i="3"/>
  <c r="R1919" i="3"/>
  <c r="Q1919" i="3"/>
  <c r="P1919" i="3"/>
  <c r="O1919" i="3"/>
  <c r="M1919" i="3"/>
  <c r="L1919" i="3"/>
  <c r="N1919" i="3" s="1"/>
  <c r="K1919" i="3"/>
  <c r="J1919" i="3"/>
  <c r="E1919" i="3"/>
  <c r="D1919" i="3"/>
  <c r="T1918" i="3"/>
  <c r="S1918" i="3"/>
  <c r="R1918" i="3"/>
  <c r="Q1918" i="3"/>
  <c r="P1918" i="3"/>
  <c r="O1918" i="3"/>
  <c r="M1918" i="3"/>
  <c r="L1918" i="3"/>
  <c r="N1918" i="3" s="1"/>
  <c r="K1918" i="3"/>
  <c r="J1918" i="3"/>
  <c r="E1918" i="3"/>
  <c r="D1918" i="3"/>
  <c r="T1917" i="3"/>
  <c r="S1917" i="3"/>
  <c r="R1917" i="3"/>
  <c r="Q1917" i="3"/>
  <c r="P1917" i="3"/>
  <c r="O1917" i="3"/>
  <c r="M1917" i="3"/>
  <c r="L1917" i="3"/>
  <c r="N1917" i="3" s="1"/>
  <c r="K1917" i="3"/>
  <c r="J1917" i="3"/>
  <c r="E1917" i="3"/>
  <c r="D1917" i="3"/>
  <c r="T1916" i="3"/>
  <c r="S1916" i="3"/>
  <c r="R1916" i="3"/>
  <c r="Q1916" i="3"/>
  <c r="P1916" i="3"/>
  <c r="O1916" i="3"/>
  <c r="M1916" i="3"/>
  <c r="L1916" i="3"/>
  <c r="N1916" i="3" s="1"/>
  <c r="K1916" i="3"/>
  <c r="J1916" i="3"/>
  <c r="E1916" i="3"/>
  <c r="D1916" i="3"/>
  <c r="T1915" i="3"/>
  <c r="S1915" i="3"/>
  <c r="R1915" i="3"/>
  <c r="Q1915" i="3"/>
  <c r="P1915" i="3"/>
  <c r="O1915" i="3"/>
  <c r="M1915" i="3"/>
  <c r="L1915" i="3"/>
  <c r="N1915" i="3" s="1"/>
  <c r="K1915" i="3"/>
  <c r="J1915" i="3"/>
  <c r="E1915" i="3"/>
  <c r="D1915" i="3"/>
  <c r="T1914" i="3"/>
  <c r="S1914" i="3"/>
  <c r="R1914" i="3"/>
  <c r="Q1914" i="3"/>
  <c r="P1914" i="3"/>
  <c r="O1914" i="3"/>
  <c r="M1914" i="3"/>
  <c r="L1914" i="3"/>
  <c r="N1914" i="3" s="1"/>
  <c r="K1914" i="3"/>
  <c r="J1914" i="3"/>
  <c r="E1914" i="3"/>
  <c r="D1914" i="3"/>
  <c r="T1913" i="3"/>
  <c r="S1913" i="3"/>
  <c r="R1913" i="3"/>
  <c r="Q1913" i="3"/>
  <c r="P1913" i="3"/>
  <c r="O1913" i="3"/>
  <c r="M1913" i="3"/>
  <c r="L1913" i="3"/>
  <c r="N1913" i="3" s="1"/>
  <c r="K1913" i="3"/>
  <c r="J1913" i="3"/>
  <c r="E1913" i="3"/>
  <c r="D1913" i="3"/>
  <c r="T1912" i="3"/>
  <c r="S1912" i="3"/>
  <c r="R1912" i="3"/>
  <c r="Q1912" i="3"/>
  <c r="P1912" i="3"/>
  <c r="O1912" i="3"/>
  <c r="M1912" i="3"/>
  <c r="L1912" i="3"/>
  <c r="N1912" i="3" s="1"/>
  <c r="K1912" i="3"/>
  <c r="J1912" i="3"/>
  <c r="E1912" i="3"/>
  <c r="D1912" i="3"/>
  <c r="T1911" i="3"/>
  <c r="S1911" i="3"/>
  <c r="R1911" i="3"/>
  <c r="Q1911" i="3"/>
  <c r="P1911" i="3"/>
  <c r="O1911" i="3"/>
  <c r="M1911" i="3"/>
  <c r="L1911" i="3"/>
  <c r="N1911" i="3" s="1"/>
  <c r="K1911" i="3"/>
  <c r="J1911" i="3"/>
  <c r="E1911" i="3"/>
  <c r="D1911" i="3"/>
  <c r="T1910" i="3"/>
  <c r="S1910" i="3"/>
  <c r="R1910" i="3"/>
  <c r="Q1910" i="3"/>
  <c r="P1910" i="3"/>
  <c r="O1910" i="3"/>
  <c r="M1910" i="3"/>
  <c r="L1910" i="3"/>
  <c r="N1910" i="3" s="1"/>
  <c r="K1910" i="3"/>
  <c r="J1910" i="3"/>
  <c r="E1910" i="3"/>
  <c r="D1910" i="3"/>
  <c r="T1909" i="3"/>
  <c r="S1909" i="3"/>
  <c r="R1909" i="3"/>
  <c r="Q1909" i="3"/>
  <c r="P1909" i="3"/>
  <c r="O1909" i="3"/>
  <c r="M1909" i="3"/>
  <c r="L1909" i="3"/>
  <c r="N1909" i="3" s="1"/>
  <c r="K1909" i="3"/>
  <c r="J1909" i="3"/>
  <c r="E1909" i="3"/>
  <c r="D1909" i="3"/>
  <c r="T1908" i="3"/>
  <c r="S1908" i="3"/>
  <c r="R1908" i="3"/>
  <c r="Q1908" i="3"/>
  <c r="P1908" i="3"/>
  <c r="O1908" i="3"/>
  <c r="M1908" i="3"/>
  <c r="L1908" i="3"/>
  <c r="N1908" i="3" s="1"/>
  <c r="K1908" i="3"/>
  <c r="J1908" i="3"/>
  <c r="E1908" i="3"/>
  <c r="D1908" i="3"/>
  <c r="T1907" i="3"/>
  <c r="S1907" i="3"/>
  <c r="R1907" i="3"/>
  <c r="Q1907" i="3"/>
  <c r="P1907" i="3"/>
  <c r="O1907" i="3"/>
  <c r="M1907" i="3"/>
  <c r="L1907" i="3"/>
  <c r="N1907" i="3" s="1"/>
  <c r="K1907" i="3"/>
  <c r="J1907" i="3"/>
  <c r="E1907" i="3"/>
  <c r="D1907" i="3"/>
  <c r="T1906" i="3"/>
  <c r="S1906" i="3"/>
  <c r="R1906" i="3"/>
  <c r="Q1906" i="3"/>
  <c r="P1906" i="3"/>
  <c r="O1906" i="3"/>
  <c r="M1906" i="3"/>
  <c r="L1906" i="3"/>
  <c r="N1906" i="3" s="1"/>
  <c r="K1906" i="3"/>
  <c r="J1906" i="3"/>
  <c r="E1906" i="3"/>
  <c r="D1906" i="3"/>
  <c r="T1905" i="3"/>
  <c r="S1905" i="3"/>
  <c r="R1905" i="3"/>
  <c r="Q1905" i="3"/>
  <c r="P1905" i="3"/>
  <c r="O1905" i="3"/>
  <c r="M1905" i="3"/>
  <c r="L1905" i="3"/>
  <c r="N1905" i="3" s="1"/>
  <c r="K1905" i="3"/>
  <c r="J1905" i="3"/>
  <c r="E1905" i="3"/>
  <c r="D1905" i="3"/>
  <c r="T1904" i="3"/>
  <c r="S1904" i="3"/>
  <c r="R1904" i="3"/>
  <c r="Q1904" i="3"/>
  <c r="P1904" i="3"/>
  <c r="O1904" i="3"/>
  <c r="M1904" i="3"/>
  <c r="L1904" i="3"/>
  <c r="N1904" i="3" s="1"/>
  <c r="K1904" i="3"/>
  <c r="J1904" i="3"/>
  <c r="E1904" i="3"/>
  <c r="D1904" i="3"/>
  <c r="T1903" i="3"/>
  <c r="S1903" i="3"/>
  <c r="R1903" i="3"/>
  <c r="Q1903" i="3"/>
  <c r="P1903" i="3"/>
  <c r="O1903" i="3"/>
  <c r="M1903" i="3"/>
  <c r="L1903" i="3"/>
  <c r="N1903" i="3" s="1"/>
  <c r="K1903" i="3"/>
  <c r="J1903" i="3"/>
  <c r="E1903" i="3"/>
  <c r="D1903" i="3"/>
  <c r="T1902" i="3"/>
  <c r="S1902" i="3"/>
  <c r="R1902" i="3"/>
  <c r="Q1902" i="3"/>
  <c r="P1902" i="3"/>
  <c r="O1902" i="3"/>
  <c r="M1902" i="3"/>
  <c r="L1902" i="3"/>
  <c r="N1902" i="3" s="1"/>
  <c r="K1902" i="3"/>
  <c r="J1902" i="3"/>
  <c r="E1902" i="3"/>
  <c r="D1902" i="3"/>
  <c r="T1901" i="3"/>
  <c r="S1901" i="3"/>
  <c r="R1901" i="3"/>
  <c r="Q1901" i="3"/>
  <c r="P1901" i="3"/>
  <c r="O1901" i="3"/>
  <c r="M1901" i="3"/>
  <c r="L1901" i="3"/>
  <c r="N1901" i="3" s="1"/>
  <c r="K1901" i="3"/>
  <c r="J1901" i="3"/>
  <c r="E1901" i="3"/>
  <c r="D1901" i="3"/>
  <c r="T1900" i="3"/>
  <c r="S1900" i="3"/>
  <c r="R1900" i="3"/>
  <c r="Q1900" i="3"/>
  <c r="P1900" i="3"/>
  <c r="O1900" i="3"/>
  <c r="M1900" i="3"/>
  <c r="L1900" i="3"/>
  <c r="N1900" i="3" s="1"/>
  <c r="K1900" i="3"/>
  <c r="J1900" i="3"/>
  <c r="E1900" i="3"/>
  <c r="D1900" i="3"/>
  <c r="T1899" i="3"/>
  <c r="S1899" i="3"/>
  <c r="R1899" i="3"/>
  <c r="Q1899" i="3"/>
  <c r="P1899" i="3"/>
  <c r="O1899" i="3"/>
  <c r="M1899" i="3"/>
  <c r="L1899" i="3"/>
  <c r="N1899" i="3" s="1"/>
  <c r="K1899" i="3"/>
  <c r="J1899" i="3"/>
  <c r="E1899" i="3"/>
  <c r="D1899" i="3"/>
  <c r="T1898" i="3"/>
  <c r="S1898" i="3"/>
  <c r="R1898" i="3"/>
  <c r="Q1898" i="3"/>
  <c r="P1898" i="3"/>
  <c r="O1898" i="3"/>
  <c r="M1898" i="3"/>
  <c r="L1898" i="3"/>
  <c r="N1898" i="3" s="1"/>
  <c r="K1898" i="3"/>
  <c r="J1898" i="3"/>
  <c r="E1898" i="3"/>
  <c r="D1898" i="3"/>
  <c r="T1897" i="3"/>
  <c r="S1897" i="3"/>
  <c r="R1897" i="3"/>
  <c r="Q1897" i="3"/>
  <c r="P1897" i="3"/>
  <c r="O1897" i="3"/>
  <c r="M1897" i="3"/>
  <c r="L1897" i="3"/>
  <c r="N1897" i="3" s="1"/>
  <c r="K1897" i="3"/>
  <c r="J1897" i="3"/>
  <c r="E1897" i="3"/>
  <c r="D1897" i="3"/>
  <c r="T1896" i="3"/>
  <c r="S1896" i="3"/>
  <c r="R1896" i="3"/>
  <c r="Q1896" i="3"/>
  <c r="P1896" i="3"/>
  <c r="O1896" i="3"/>
  <c r="M1896" i="3"/>
  <c r="L1896" i="3"/>
  <c r="N1896" i="3" s="1"/>
  <c r="K1896" i="3"/>
  <c r="J1896" i="3"/>
  <c r="E1896" i="3"/>
  <c r="D1896" i="3"/>
  <c r="T1895" i="3"/>
  <c r="S1895" i="3"/>
  <c r="R1895" i="3"/>
  <c r="Q1895" i="3"/>
  <c r="P1895" i="3"/>
  <c r="O1895" i="3"/>
  <c r="M1895" i="3"/>
  <c r="L1895" i="3"/>
  <c r="N1895" i="3" s="1"/>
  <c r="K1895" i="3"/>
  <c r="J1895" i="3"/>
  <c r="E1895" i="3"/>
  <c r="D1895" i="3"/>
  <c r="T1894" i="3"/>
  <c r="S1894" i="3"/>
  <c r="R1894" i="3"/>
  <c r="Q1894" i="3"/>
  <c r="P1894" i="3"/>
  <c r="O1894" i="3"/>
  <c r="M1894" i="3"/>
  <c r="L1894" i="3"/>
  <c r="N1894" i="3" s="1"/>
  <c r="K1894" i="3"/>
  <c r="J1894" i="3"/>
  <c r="E1894" i="3"/>
  <c r="D1894" i="3"/>
  <c r="T1893" i="3"/>
  <c r="S1893" i="3"/>
  <c r="R1893" i="3"/>
  <c r="Q1893" i="3"/>
  <c r="P1893" i="3"/>
  <c r="O1893" i="3"/>
  <c r="M1893" i="3"/>
  <c r="L1893" i="3"/>
  <c r="N1893" i="3" s="1"/>
  <c r="K1893" i="3"/>
  <c r="J1893" i="3"/>
  <c r="E1893" i="3"/>
  <c r="D1893" i="3"/>
  <c r="T1892" i="3"/>
  <c r="S1892" i="3"/>
  <c r="R1892" i="3"/>
  <c r="Q1892" i="3"/>
  <c r="P1892" i="3"/>
  <c r="O1892" i="3"/>
  <c r="M1892" i="3"/>
  <c r="L1892" i="3"/>
  <c r="N1892" i="3" s="1"/>
  <c r="K1892" i="3"/>
  <c r="J1892" i="3"/>
  <c r="E1892" i="3"/>
  <c r="D1892" i="3"/>
  <c r="T1891" i="3"/>
  <c r="S1891" i="3"/>
  <c r="R1891" i="3"/>
  <c r="Q1891" i="3"/>
  <c r="P1891" i="3"/>
  <c r="O1891" i="3"/>
  <c r="M1891" i="3"/>
  <c r="L1891" i="3"/>
  <c r="N1891" i="3" s="1"/>
  <c r="K1891" i="3"/>
  <c r="J1891" i="3"/>
  <c r="E1891" i="3"/>
  <c r="D1891" i="3"/>
  <c r="T1890" i="3"/>
  <c r="S1890" i="3"/>
  <c r="R1890" i="3"/>
  <c r="Q1890" i="3"/>
  <c r="P1890" i="3"/>
  <c r="O1890" i="3"/>
  <c r="M1890" i="3"/>
  <c r="L1890" i="3"/>
  <c r="N1890" i="3" s="1"/>
  <c r="K1890" i="3"/>
  <c r="J1890" i="3"/>
  <c r="E1890" i="3"/>
  <c r="D1890" i="3"/>
  <c r="T1889" i="3"/>
  <c r="S1889" i="3"/>
  <c r="R1889" i="3"/>
  <c r="Q1889" i="3"/>
  <c r="P1889" i="3"/>
  <c r="O1889" i="3"/>
  <c r="M1889" i="3"/>
  <c r="L1889" i="3"/>
  <c r="N1889" i="3" s="1"/>
  <c r="K1889" i="3"/>
  <c r="J1889" i="3"/>
  <c r="E1889" i="3"/>
  <c r="D1889" i="3"/>
  <c r="T1888" i="3"/>
  <c r="S1888" i="3"/>
  <c r="R1888" i="3"/>
  <c r="Q1888" i="3"/>
  <c r="P1888" i="3"/>
  <c r="O1888" i="3"/>
  <c r="M1888" i="3"/>
  <c r="L1888" i="3"/>
  <c r="N1888" i="3" s="1"/>
  <c r="K1888" i="3"/>
  <c r="J1888" i="3"/>
  <c r="E1888" i="3"/>
  <c r="D1888" i="3"/>
  <c r="T1887" i="3"/>
  <c r="S1887" i="3"/>
  <c r="R1887" i="3"/>
  <c r="Q1887" i="3"/>
  <c r="P1887" i="3"/>
  <c r="O1887" i="3"/>
  <c r="M1887" i="3"/>
  <c r="L1887" i="3"/>
  <c r="N1887" i="3" s="1"/>
  <c r="K1887" i="3"/>
  <c r="J1887" i="3"/>
  <c r="E1887" i="3"/>
  <c r="D1887" i="3"/>
  <c r="T1886" i="3"/>
  <c r="S1886" i="3"/>
  <c r="R1886" i="3"/>
  <c r="Q1886" i="3"/>
  <c r="P1886" i="3"/>
  <c r="O1886" i="3"/>
  <c r="M1886" i="3"/>
  <c r="L1886" i="3"/>
  <c r="N1886" i="3" s="1"/>
  <c r="K1886" i="3"/>
  <c r="J1886" i="3"/>
  <c r="E1886" i="3"/>
  <c r="D1886" i="3"/>
  <c r="T1885" i="3"/>
  <c r="S1885" i="3"/>
  <c r="R1885" i="3"/>
  <c r="Q1885" i="3"/>
  <c r="P1885" i="3"/>
  <c r="O1885" i="3"/>
  <c r="M1885" i="3"/>
  <c r="L1885" i="3"/>
  <c r="N1885" i="3" s="1"/>
  <c r="K1885" i="3"/>
  <c r="J1885" i="3"/>
  <c r="E1885" i="3"/>
  <c r="D1885" i="3"/>
  <c r="T1884" i="3"/>
  <c r="S1884" i="3"/>
  <c r="R1884" i="3"/>
  <c r="Q1884" i="3"/>
  <c r="P1884" i="3"/>
  <c r="O1884" i="3"/>
  <c r="M1884" i="3"/>
  <c r="L1884" i="3"/>
  <c r="N1884" i="3" s="1"/>
  <c r="K1884" i="3"/>
  <c r="J1884" i="3"/>
  <c r="E1884" i="3"/>
  <c r="D1884" i="3"/>
  <c r="T1883" i="3"/>
  <c r="S1883" i="3"/>
  <c r="R1883" i="3"/>
  <c r="Q1883" i="3"/>
  <c r="P1883" i="3"/>
  <c r="O1883" i="3"/>
  <c r="M1883" i="3"/>
  <c r="L1883" i="3"/>
  <c r="N1883" i="3" s="1"/>
  <c r="K1883" i="3"/>
  <c r="J1883" i="3"/>
  <c r="E1883" i="3"/>
  <c r="D1883" i="3"/>
  <c r="T1882" i="3"/>
  <c r="S1882" i="3"/>
  <c r="R1882" i="3"/>
  <c r="Q1882" i="3"/>
  <c r="P1882" i="3"/>
  <c r="O1882" i="3"/>
  <c r="M1882" i="3"/>
  <c r="L1882" i="3"/>
  <c r="N1882" i="3" s="1"/>
  <c r="K1882" i="3"/>
  <c r="J1882" i="3"/>
  <c r="E1882" i="3"/>
  <c r="D1882" i="3"/>
  <c r="T1881" i="3"/>
  <c r="S1881" i="3"/>
  <c r="R1881" i="3"/>
  <c r="Q1881" i="3"/>
  <c r="P1881" i="3"/>
  <c r="O1881" i="3"/>
  <c r="M1881" i="3"/>
  <c r="L1881" i="3"/>
  <c r="N1881" i="3" s="1"/>
  <c r="K1881" i="3"/>
  <c r="J1881" i="3"/>
  <c r="E1881" i="3"/>
  <c r="D1881" i="3"/>
  <c r="T1880" i="3"/>
  <c r="S1880" i="3"/>
  <c r="R1880" i="3"/>
  <c r="Q1880" i="3"/>
  <c r="P1880" i="3"/>
  <c r="O1880" i="3"/>
  <c r="M1880" i="3"/>
  <c r="L1880" i="3"/>
  <c r="N1880" i="3" s="1"/>
  <c r="K1880" i="3"/>
  <c r="J1880" i="3"/>
  <c r="E1880" i="3"/>
  <c r="D1880" i="3"/>
  <c r="T1879" i="3"/>
  <c r="S1879" i="3"/>
  <c r="R1879" i="3"/>
  <c r="Q1879" i="3"/>
  <c r="P1879" i="3"/>
  <c r="O1879" i="3"/>
  <c r="M1879" i="3"/>
  <c r="L1879" i="3"/>
  <c r="N1879" i="3" s="1"/>
  <c r="K1879" i="3"/>
  <c r="J1879" i="3"/>
  <c r="E1879" i="3"/>
  <c r="D1879" i="3"/>
  <c r="T1878" i="3"/>
  <c r="S1878" i="3"/>
  <c r="R1878" i="3"/>
  <c r="Q1878" i="3"/>
  <c r="P1878" i="3"/>
  <c r="O1878" i="3"/>
  <c r="M1878" i="3"/>
  <c r="L1878" i="3"/>
  <c r="N1878" i="3" s="1"/>
  <c r="K1878" i="3"/>
  <c r="J1878" i="3"/>
  <c r="E1878" i="3"/>
  <c r="D1878" i="3"/>
  <c r="T1877" i="3"/>
  <c r="S1877" i="3"/>
  <c r="R1877" i="3"/>
  <c r="Q1877" i="3"/>
  <c r="P1877" i="3"/>
  <c r="O1877" i="3"/>
  <c r="M1877" i="3"/>
  <c r="L1877" i="3"/>
  <c r="N1877" i="3" s="1"/>
  <c r="K1877" i="3"/>
  <c r="J1877" i="3"/>
  <c r="E1877" i="3"/>
  <c r="D1877" i="3"/>
  <c r="T1876" i="3"/>
  <c r="S1876" i="3"/>
  <c r="R1876" i="3"/>
  <c r="Q1876" i="3"/>
  <c r="P1876" i="3"/>
  <c r="O1876" i="3"/>
  <c r="M1876" i="3"/>
  <c r="L1876" i="3"/>
  <c r="N1876" i="3" s="1"/>
  <c r="K1876" i="3"/>
  <c r="J1876" i="3"/>
  <c r="E1876" i="3"/>
  <c r="D1876" i="3"/>
  <c r="T1875" i="3"/>
  <c r="S1875" i="3"/>
  <c r="R1875" i="3"/>
  <c r="Q1875" i="3"/>
  <c r="P1875" i="3"/>
  <c r="O1875" i="3"/>
  <c r="M1875" i="3"/>
  <c r="L1875" i="3"/>
  <c r="N1875" i="3" s="1"/>
  <c r="K1875" i="3"/>
  <c r="J1875" i="3"/>
  <c r="E1875" i="3"/>
  <c r="D1875" i="3"/>
  <c r="T1874" i="3"/>
  <c r="S1874" i="3"/>
  <c r="R1874" i="3"/>
  <c r="Q1874" i="3"/>
  <c r="P1874" i="3"/>
  <c r="O1874" i="3"/>
  <c r="M1874" i="3"/>
  <c r="L1874" i="3"/>
  <c r="N1874" i="3" s="1"/>
  <c r="K1874" i="3"/>
  <c r="J1874" i="3"/>
  <c r="E1874" i="3"/>
  <c r="D1874" i="3"/>
  <c r="T1873" i="3"/>
  <c r="S1873" i="3"/>
  <c r="R1873" i="3"/>
  <c r="Q1873" i="3"/>
  <c r="P1873" i="3"/>
  <c r="O1873" i="3"/>
  <c r="M1873" i="3"/>
  <c r="L1873" i="3"/>
  <c r="N1873" i="3" s="1"/>
  <c r="K1873" i="3"/>
  <c r="J1873" i="3"/>
  <c r="E1873" i="3"/>
  <c r="D1873" i="3"/>
  <c r="T1872" i="3"/>
  <c r="S1872" i="3"/>
  <c r="R1872" i="3"/>
  <c r="Q1872" i="3"/>
  <c r="P1872" i="3"/>
  <c r="O1872" i="3"/>
  <c r="M1872" i="3"/>
  <c r="L1872" i="3"/>
  <c r="N1872" i="3" s="1"/>
  <c r="K1872" i="3"/>
  <c r="J1872" i="3"/>
  <c r="E1872" i="3"/>
  <c r="D1872" i="3"/>
  <c r="T1871" i="3"/>
  <c r="S1871" i="3"/>
  <c r="R1871" i="3"/>
  <c r="Q1871" i="3"/>
  <c r="P1871" i="3"/>
  <c r="O1871" i="3"/>
  <c r="M1871" i="3"/>
  <c r="L1871" i="3"/>
  <c r="N1871" i="3" s="1"/>
  <c r="K1871" i="3"/>
  <c r="J1871" i="3"/>
  <c r="E1871" i="3"/>
  <c r="D1871" i="3"/>
  <c r="T1870" i="3"/>
  <c r="S1870" i="3"/>
  <c r="R1870" i="3"/>
  <c r="Q1870" i="3"/>
  <c r="P1870" i="3"/>
  <c r="O1870" i="3"/>
  <c r="M1870" i="3"/>
  <c r="L1870" i="3"/>
  <c r="N1870" i="3" s="1"/>
  <c r="K1870" i="3"/>
  <c r="J1870" i="3"/>
  <c r="E1870" i="3"/>
  <c r="D1870" i="3"/>
  <c r="T1869" i="3"/>
  <c r="S1869" i="3"/>
  <c r="R1869" i="3"/>
  <c r="Q1869" i="3"/>
  <c r="P1869" i="3"/>
  <c r="O1869" i="3"/>
  <c r="M1869" i="3"/>
  <c r="L1869" i="3"/>
  <c r="N1869" i="3" s="1"/>
  <c r="K1869" i="3"/>
  <c r="J1869" i="3"/>
  <c r="E1869" i="3"/>
  <c r="D1869" i="3"/>
  <c r="T1868" i="3"/>
  <c r="S1868" i="3"/>
  <c r="R1868" i="3"/>
  <c r="Q1868" i="3"/>
  <c r="P1868" i="3"/>
  <c r="O1868" i="3"/>
  <c r="M1868" i="3"/>
  <c r="L1868" i="3"/>
  <c r="N1868" i="3" s="1"/>
  <c r="K1868" i="3"/>
  <c r="J1868" i="3"/>
  <c r="E1868" i="3"/>
  <c r="D1868" i="3"/>
  <c r="T1867" i="3"/>
  <c r="S1867" i="3"/>
  <c r="R1867" i="3"/>
  <c r="Q1867" i="3"/>
  <c r="P1867" i="3"/>
  <c r="O1867" i="3"/>
  <c r="M1867" i="3"/>
  <c r="L1867" i="3"/>
  <c r="N1867" i="3" s="1"/>
  <c r="K1867" i="3"/>
  <c r="J1867" i="3"/>
  <c r="E1867" i="3"/>
  <c r="D1867" i="3"/>
  <c r="T1866" i="3"/>
  <c r="S1866" i="3"/>
  <c r="R1866" i="3"/>
  <c r="Q1866" i="3"/>
  <c r="P1866" i="3"/>
  <c r="O1866" i="3"/>
  <c r="M1866" i="3"/>
  <c r="L1866" i="3"/>
  <c r="N1866" i="3" s="1"/>
  <c r="K1866" i="3"/>
  <c r="J1866" i="3"/>
  <c r="E1866" i="3"/>
  <c r="D1866" i="3"/>
  <c r="T1865" i="3"/>
  <c r="S1865" i="3"/>
  <c r="R1865" i="3"/>
  <c r="Q1865" i="3"/>
  <c r="P1865" i="3"/>
  <c r="O1865" i="3"/>
  <c r="M1865" i="3"/>
  <c r="L1865" i="3"/>
  <c r="N1865" i="3" s="1"/>
  <c r="K1865" i="3"/>
  <c r="J1865" i="3"/>
  <c r="E1865" i="3"/>
  <c r="D1865" i="3"/>
  <c r="T1864" i="3"/>
  <c r="S1864" i="3"/>
  <c r="R1864" i="3"/>
  <c r="Q1864" i="3"/>
  <c r="P1864" i="3"/>
  <c r="O1864" i="3"/>
  <c r="M1864" i="3"/>
  <c r="L1864" i="3"/>
  <c r="N1864" i="3" s="1"/>
  <c r="K1864" i="3"/>
  <c r="J1864" i="3"/>
  <c r="E1864" i="3"/>
  <c r="D1864" i="3"/>
  <c r="T1863" i="3"/>
  <c r="S1863" i="3"/>
  <c r="R1863" i="3"/>
  <c r="Q1863" i="3"/>
  <c r="P1863" i="3"/>
  <c r="O1863" i="3"/>
  <c r="M1863" i="3"/>
  <c r="L1863" i="3"/>
  <c r="N1863" i="3" s="1"/>
  <c r="K1863" i="3"/>
  <c r="J1863" i="3"/>
  <c r="E1863" i="3"/>
  <c r="D1863" i="3"/>
  <c r="T1862" i="3"/>
  <c r="S1862" i="3"/>
  <c r="R1862" i="3"/>
  <c r="Q1862" i="3"/>
  <c r="P1862" i="3"/>
  <c r="O1862" i="3"/>
  <c r="M1862" i="3"/>
  <c r="L1862" i="3"/>
  <c r="N1862" i="3" s="1"/>
  <c r="K1862" i="3"/>
  <c r="J1862" i="3"/>
  <c r="E1862" i="3"/>
  <c r="D1862" i="3"/>
  <c r="T1861" i="3"/>
  <c r="S1861" i="3"/>
  <c r="R1861" i="3"/>
  <c r="Q1861" i="3"/>
  <c r="P1861" i="3"/>
  <c r="O1861" i="3"/>
  <c r="M1861" i="3"/>
  <c r="L1861" i="3"/>
  <c r="N1861" i="3" s="1"/>
  <c r="K1861" i="3"/>
  <c r="J1861" i="3"/>
  <c r="E1861" i="3"/>
  <c r="D1861" i="3"/>
  <c r="T1860" i="3"/>
  <c r="S1860" i="3"/>
  <c r="R1860" i="3"/>
  <c r="Q1860" i="3"/>
  <c r="P1860" i="3"/>
  <c r="O1860" i="3"/>
  <c r="M1860" i="3"/>
  <c r="L1860" i="3"/>
  <c r="N1860" i="3" s="1"/>
  <c r="K1860" i="3"/>
  <c r="J1860" i="3"/>
  <c r="E1860" i="3"/>
  <c r="D1860" i="3"/>
  <c r="T1859" i="3"/>
  <c r="S1859" i="3"/>
  <c r="R1859" i="3"/>
  <c r="Q1859" i="3"/>
  <c r="P1859" i="3"/>
  <c r="O1859" i="3"/>
  <c r="M1859" i="3"/>
  <c r="L1859" i="3"/>
  <c r="N1859" i="3" s="1"/>
  <c r="K1859" i="3"/>
  <c r="J1859" i="3"/>
  <c r="E1859" i="3"/>
  <c r="D1859" i="3"/>
  <c r="T1858" i="3"/>
  <c r="S1858" i="3"/>
  <c r="R1858" i="3"/>
  <c r="Q1858" i="3"/>
  <c r="P1858" i="3"/>
  <c r="O1858" i="3"/>
  <c r="M1858" i="3"/>
  <c r="L1858" i="3"/>
  <c r="N1858" i="3" s="1"/>
  <c r="K1858" i="3"/>
  <c r="J1858" i="3"/>
  <c r="E1858" i="3"/>
  <c r="D1858" i="3"/>
  <c r="T1857" i="3"/>
  <c r="S1857" i="3"/>
  <c r="R1857" i="3"/>
  <c r="Q1857" i="3"/>
  <c r="P1857" i="3"/>
  <c r="O1857" i="3"/>
  <c r="M1857" i="3"/>
  <c r="L1857" i="3"/>
  <c r="N1857" i="3" s="1"/>
  <c r="K1857" i="3"/>
  <c r="J1857" i="3"/>
  <c r="E1857" i="3"/>
  <c r="D1857" i="3"/>
  <c r="T1856" i="3"/>
  <c r="S1856" i="3"/>
  <c r="R1856" i="3"/>
  <c r="Q1856" i="3"/>
  <c r="P1856" i="3"/>
  <c r="O1856" i="3"/>
  <c r="M1856" i="3"/>
  <c r="L1856" i="3"/>
  <c r="N1856" i="3" s="1"/>
  <c r="K1856" i="3"/>
  <c r="J1856" i="3"/>
  <c r="E1856" i="3"/>
  <c r="D1856" i="3"/>
  <c r="T1855" i="3"/>
  <c r="S1855" i="3"/>
  <c r="R1855" i="3"/>
  <c r="Q1855" i="3"/>
  <c r="P1855" i="3"/>
  <c r="O1855" i="3"/>
  <c r="M1855" i="3"/>
  <c r="L1855" i="3"/>
  <c r="N1855" i="3" s="1"/>
  <c r="K1855" i="3"/>
  <c r="J1855" i="3"/>
  <c r="E1855" i="3"/>
  <c r="D1855" i="3"/>
  <c r="T1854" i="3"/>
  <c r="S1854" i="3"/>
  <c r="R1854" i="3"/>
  <c r="Q1854" i="3"/>
  <c r="P1854" i="3"/>
  <c r="O1854" i="3"/>
  <c r="M1854" i="3"/>
  <c r="L1854" i="3"/>
  <c r="N1854" i="3" s="1"/>
  <c r="K1854" i="3"/>
  <c r="J1854" i="3"/>
  <c r="E1854" i="3"/>
  <c r="D1854" i="3"/>
  <c r="T1853" i="3"/>
  <c r="S1853" i="3"/>
  <c r="R1853" i="3"/>
  <c r="Q1853" i="3"/>
  <c r="P1853" i="3"/>
  <c r="O1853" i="3"/>
  <c r="M1853" i="3"/>
  <c r="L1853" i="3"/>
  <c r="N1853" i="3" s="1"/>
  <c r="K1853" i="3"/>
  <c r="J1853" i="3"/>
  <c r="E1853" i="3"/>
  <c r="D1853" i="3"/>
  <c r="T1852" i="3"/>
  <c r="S1852" i="3"/>
  <c r="R1852" i="3"/>
  <c r="Q1852" i="3"/>
  <c r="P1852" i="3"/>
  <c r="O1852" i="3"/>
  <c r="M1852" i="3"/>
  <c r="L1852" i="3"/>
  <c r="N1852" i="3" s="1"/>
  <c r="K1852" i="3"/>
  <c r="J1852" i="3"/>
  <c r="E1852" i="3"/>
  <c r="D1852" i="3"/>
  <c r="T1851" i="3"/>
  <c r="S1851" i="3"/>
  <c r="R1851" i="3"/>
  <c r="Q1851" i="3"/>
  <c r="P1851" i="3"/>
  <c r="O1851" i="3"/>
  <c r="M1851" i="3"/>
  <c r="L1851" i="3"/>
  <c r="N1851" i="3" s="1"/>
  <c r="K1851" i="3"/>
  <c r="J1851" i="3"/>
  <c r="E1851" i="3"/>
  <c r="D1851" i="3"/>
  <c r="T1850" i="3"/>
  <c r="S1850" i="3"/>
  <c r="R1850" i="3"/>
  <c r="Q1850" i="3"/>
  <c r="P1850" i="3"/>
  <c r="O1850" i="3"/>
  <c r="M1850" i="3"/>
  <c r="L1850" i="3"/>
  <c r="N1850" i="3" s="1"/>
  <c r="K1850" i="3"/>
  <c r="J1850" i="3"/>
  <c r="E1850" i="3"/>
  <c r="D1850" i="3"/>
  <c r="T1849" i="3"/>
  <c r="S1849" i="3"/>
  <c r="R1849" i="3"/>
  <c r="Q1849" i="3"/>
  <c r="P1849" i="3"/>
  <c r="O1849" i="3"/>
  <c r="M1849" i="3"/>
  <c r="L1849" i="3"/>
  <c r="N1849" i="3" s="1"/>
  <c r="K1849" i="3"/>
  <c r="J1849" i="3"/>
  <c r="E1849" i="3"/>
  <c r="D1849" i="3"/>
  <c r="T1848" i="3"/>
  <c r="S1848" i="3"/>
  <c r="R1848" i="3"/>
  <c r="Q1848" i="3"/>
  <c r="P1848" i="3"/>
  <c r="O1848" i="3"/>
  <c r="M1848" i="3"/>
  <c r="L1848" i="3"/>
  <c r="N1848" i="3" s="1"/>
  <c r="K1848" i="3"/>
  <c r="J1848" i="3"/>
  <c r="E1848" i="3"/>
  <c r="D1848" i="3"/>
  <c r="T1847" i="3"/>
  <c r="S1847" i="3"/>
  <c r="R1847" i="3"/>
  <c r="Q1847" i="3"/>
  <c r="P1847" i="3"/>
  <c r="O1847" i="3"/>
  <c r="M1847" i="3"/>
  <c r="L1847" i="3"/>
  <c r="N1847" i="3" s="1"/>
  <c r="K1847" i="3"/>
  <c r="J1847" i="3"/>
  <c r="E1847" i="3"/>
  <c r="D1847" i="3"/>
  <c r="T1846" i="3"/>
  <c r="S1846" i="3"/>
  <c r="R1846" i="3"/>
  <c r="Q1846" i="3"/>
  <c r="P1846" i="3"/>
  <c r="O1846" i="3"/>
  <c r="M1846" i="3"/>
  <c r="L1846" i="3"/>
  <c r="N1846" i="3" s="1"/>
  <c r="K1846" i="3"/>
  <c r="J1846" i="3"/>
  <c r="E1846" i="3"/>
  <c r="D1846" i="3"/>
  <c r="T1845" i="3"/>
  <c r="S1845" i="3"/>
  <c r="R1845" i="3"/>
  <c r="Q1845" i="3"/>
  <c r="P1845" i="3"/>
  <c r="O1845" i="3"/>
  <c r="M1845" i="3"/>
  <c r="L1845" i="3"/>
  <c r="N1845" i="3" s="1"/>
  <c r="K1845" i="3"/>
  <c r="J1845" i="3"/>
  <c r="E1845" i="3"/>
  <c r="D1845" i="3"/>
  <c r="T1844" i="3"/>
  <c r="S1844" i="3"/>
  <c r="R1844" i="3"/>
  <c r="Q1844" i="3"/>
  <c r="P1844" i="3"/>
  <c r="O1844" i="3"/>
  <c r="M1844" i="3"/>
  <c r="L1844" i="3"/>
  <c r="N1844" i="3" s="1"/>
  <c r="K1844" i="3"/>
  <c r="J1844" i="3"/>
  <c r="E1844" i="3"/>
  <c r="D1844" i="3"/>
  <c r="T1843" i="3"/>
  <c r="S1843" i="3"/>
  <c r="R1843" i="3"/>
  <c r="Q1843" i="3"/>
  <c r="P1843" i="3"/>
  <c r="O1843" i="3"/>
  <c r="M1843" i="3"/>
  <c r="L1843" i="3"/>
  <c r="N1843" i="3" s="1"/>
  <c r="K1843" i="3"/>
  <c r="J1843" i="3"/>
  <c r="E1843" i="3"/>
  <c r="D1843" i="3"/>
  <c r="T1842" i="3"/>
  <c r="S1842" i="3"/>
  <c r="R1842" i="3"/>
  <c r="Q1842" i="3"/>
  <c r="P1842" i="3"/>
  <c r="O1842" i="3"/>
  <c r="M1842" i="3"/>
  <c r="L1842" i="3"/>
  <c r="N1842" i="3" s="1"/>
  <c r="K1842" i="3"/>
  <c r="J1842" i="3"/>
  <c r="E1842" i="3"/>
  <c r="D1842" i="3"/>
  <c r="T1841" i="3"/>
  <c r="S1841" i="3"/>
  <c r="R1841" i="3"/>
  <c r="Q1841" i="3"/>
  <c r="P1841" i="3"/>
  <c r="O1841" i="3"/>
  <c r="M1841" i="3"/>
  <c r="L1841" i="3"/>
  <c r="N1841" i="3" s="1"/>
  <c r="K1841" i="3"/>
  <c r="J1841" i="3"/>
  <c r="E1841" i="3"/>
  <c r="D1841" i="3"/>
  <c r="T1840" i="3"/>
  <c r="S1840" i="3"/>
  <c r="R1840" i="3"/>
  <c r="Q1840" i="3"/>
  <c r="P1840" i="3"/>
  <c r="O1840" i="3"/>
  <c r="M1840" i="3"/>
  <c r="L1840" i="3"/>
  <c r="N1840" i="3" s="1"/>
  <c r="K1840" i="3"/>
  <c r="J1840" i="3"/>
  <c r="E1840" i="3"/>
  <c r="D1840" i="3"/>
  <c r="T1839" i="3"/>
  <c r="S1839" i="3"/>
  <c r="R1839" i="3"/>
  <c r="Q1839" i="3"/>
  <c r="P1839" i="3"/>
  <c r="O1839" i="3"/>
  <c r="M1839" i="3"/>
  <c r="L1839" i="3"/>
  <c r="N1839" i="3" s="1"/>
  <c r="K1839" i="3"/>
  <c r="J1839" i="3"/>
  <c r="E1839" i="3"/>
  <c r="D1839" i="3"/>
  <c r="T1838" i="3"/>
  <c r="S1838" i="3"/>
  <c r="R1838" i="3"/>
  <c r="Q1838" i="3"/>
  <c r="P1838" i="3"/>
  <c r="O1838" i="3"/>
  <c r="M1838" i="3"/>
  <c r="L1838" i="3"/>
  <c r="N1838" i="3" s="1"/>
  <c r="K1838" i="3"/>
  <c r="J1838" i="3"/>
  <c r="E1838" i="3"/>
  <c r="D1838" i="3"/>
  <c r="T1837" i="3"/>
  <c r="S1837" i="3"/>
  <c r="R1837" i="3"/>
  <c r="Q1837" i="3"/>
  <c r="P1837" i="3"/>
  <c r="O1837" i="3"/>
  <c r="M1837" i="3"/>
  <c r="L1837" i="3"/>
  <c r="N1837" i="3" s="1"/>
  <c r="K1837" i="3"/>
  <c r="J1837" i="3"/>
  <c r="E1837" i="3"/>
  <c r="D1837" i="3"/>
  <c r="T1836" i="3"/>
  <c r="S1836" i="3"/>
  <c r="R1836" i="3"/>
  <c r="Q1836" i="3"/>
  <c r="P1836" i="3"/>
  <c r="O1836" i="3"/>
  <c r="M1836" i="3"/>
  <c r="L1836" i="3"/>
  <c r="N1836" i="3" s="1"/>
  <c r="K1836" i="3"/>
  <c r="J1836" i="3"/>
  <c r="E1836" i="3"/>
  <c r="D1836" i="3"/>
  <c r="T1835" i="3"/>
  <c r="S1835" i="3"/>
  <c r="R1835" i="3"/>
  <c r="Q1835" i="3"/>
  <c r="P1835" i="3"/>
  <c r="O1835" i="3"/>
  <c r="M1835" i="3"/>
  <c r="L1835" i="3"/>
  <c r="N1835" i="3" s="1"/>
  <c r="K1835" i="3"/>
  <c r="J1835" i="3"/>
  <c r="E1835" i="3"/>
  <c r="D1835" i="3"/>
  <c r="T1834" i="3"/>
  <c r="S1834" i="3"/>
  <c r="R1834" i="3"/>
  <c r="Q1834" i="3"/>
  <c r="P1834" i="3"/>
  <c r="O1834" i="3"/>
  <c r="M1834" i="3"/>
  <c r="L1834" i="3"/>
  <c r="N1834" i="3" s="1"/>
  <c r="K1834" i="3"/>
  <c r="J1834" i="3"/>
  <c r="E1834" i="3"/>
  <c r="D1834" i="3"/>
  <c r="T1833" i="3"/>
  <c r="S1833" i="3"/>
  <c r="R1833" i="3"/>
  <c r="Q1833" i="3"/>
  <c r="P1833" i="3"/>
  <c r="O1833" i="3"/>
  <c r="M1833" i="3"/>
  <c r="L1833" i="3"/>
  <c r="N1833" i="3" s="1"/>
  <c r="K1833" i="3"/>
  <c r="J1833" i="3"/>
  <c r="E1833" i="3"/>
  <c r="D1833" i="3"/>
  <c r="T1832" i="3"/>
  <c r="S1832" i="3"/>
  <c r="R1832" i="3"/>
  <c r="Q1832" i="3"/>
  <c r="P1832" i="3"/>
  <c r="O1832" i="3"/>
  <c r="M1832" i="3"/>
  <c r="L1832" i="3"/>
  <c r="N1832" i="3" s="1"/>
  <c r="K1832" i="3"/>
  <c r="J1832" i="3"/>
  <c r="E1832" i="3"/>
  <c r="D1832" i="3"/>
  <c r="T1831" i="3"/>
  <c r="S1831" i="3"/>
  <c r="R1831" i="3"/>
  <c r="Q1831" i="3"/>
  <c r="P1831" i="3"/>
  <c r="O1831" i="3"/>
  <c r="M1831" i="3"/>
  <c r="L1831" i="3"/>
  <c r="N1831" i="3" s="1"/>
  <c r="K1831" i="3"/>
  <c r="J1831" i="3"/>
  <c r="E1831" i="3"/>
  <c r="D1831" i="3"/>
  <c r="T1830" i="3"/>
  <c r="S1830" i="3"/>
  <c r="R1830" i="3"/>
  <c r="Q1830" i="3"/>
  <c r="P1830" i="3"/>
  <c r="O1830" i="3"/>
  <c r="M1830" i="3"/>
  <c r="L1830" i="3"/>
  <c r="N1830" i="3" s="1"/>
  <c r="K1830" i="3"/>
  <c r="J1830" i="3"/>
  <c r="E1830" i="3"/>
  <c r="D1830" i="3"/>
  <c r="T1829" i="3"/>
  <c r="S1829" i="3"/>
  <c r="R1829" i="3"/>
  <c r="Q1829" i="3"/>
  <c r="P1829" i="3"/>
  <c r="O1829" i="3"/>
  <c r="M1829" i="3"/>
  <c r="L1829" i="3"/>
  <c r="N1829" i="3" s="1"/>
  <c r="K1829" i="3"/>
  <c r="J1829" i="3"/>
  <c r="E1829" i="3"/>
  <c r="D1829" i="3"/>
  <c r="T1828" i="3"/>
  <c r="S1828" i="3"/>
  <c r="R1828" i="3"/>
  <c r="Q1828" i="3"/>
  <c r="P1828" i="3"/>
  <c r="O1828" i="3"/>
  <c r="M1828" i="3"/>
  <c r="L1828" i="3"/>
  <c r="N1828" i="3" s="1"/>
  <c r="K1828" i="3"/>
  <c r="J1828" i="3"/>
  <c r="E1828" i="3"/>
  <c r="D1828" i="3"/>
  <c r="T1827" i="3"/>
  <c r="S1827" i="3"/>
  <c r="R1827" i="3"/>
  <c r="Q1827" i="3"/>
  <c r="P1827" i="3"/>
  <c r="O1827" i="3"/>
  <c r="M1827" i="3"/>
  <c r="L1827" i="3"/>
  <c r="N1827" i="3" s="1"/>
  <c r="K1827" i="3"/>
  <c r="J1827" i="3"/>
  <c r="E1827" i="3"/>
  <c r="D1827" i="3"/>
  <c r="T1826" i="3"/>
  <c r="S1826" i="3"/>
  <c r="R1826" i="3"/>
  <c r="Q1826" i="3"/>
  <c r="P1826" i="3"/>
  <c r="O1826" i="3"/>
  <c r="M1826" i="3"/>
  <c r="L1826" i="3"/>
  <c r="N1826" i="3" s="1"/>
  <c r="K1826" i="3"/>
  <c r="J1826" i="3"/>
  <c r="E1826" i="3"/>
  <c r="D1826" i="3"/>
  <c r="T1825" i="3"/>
  <c r="S1825" i="3"/>
  <c r="R1825" i="3"/>
  <c r="Q1825" i="3"/>
  <c r="P1825" i="3"/>
  <c r="O1825" i="3"/>
  <c r="M1825" i="3"/>
  <c r="L1825" i="3"/>
  <c r="N1825" i="3" s="1"/>
  <c r="K1825" i="3"/>
  <c r="J1825" i="3"/>
  <c r="E1825" i="3"/>
  <c r="D1825" i="3"/>
  <c r="T1824" i="3"/>
  <c r="S1824" i="3"/>
  <c r="R1824" i="3"/>
  <c r="Q1824" i="3"/>
  <c r="P1824" i="3"/>
  <c r="O1824" i="3"/>
  <c r="M1824" i="3"/>
  <c r="L1824" i="3"/>
  <c r="N1824" i="3" s="1"/>
  <c r="K1824" i="3"/>
  <c r="J1824" i="3"/>
  <c r="E1824" i="3"/>
  <c r="D1824" i="3"/>
  <c r="T1823" i="3"/>
  <c r="S1823" i="3"/>
  <c r="R1823" i="3"/>
  <c r="Q1823" i="3"/>
  <c r="P1823" i="3"/>
  <c r="O1823" i="3"/>
  <c r="M1823" i="3"/>
  <c r="L1823" i="3"/>
  <c r="N1823" i="3" s="1"/>
  <c r="K1823" i="3"/>
  <c r="J1823" i="3"/>
  <c r="E1823" i="3"/>
  <c r="D1823" i="3"/>
  <c r="T1822" i="3"/>
  <c r="S1822" i="3"/>
  <c r="R1822" i="3"/>
  <c r="Q1822" i="3"/>
  <c r="P1822" i="3"/>
  <c r="O1822" i="3"/>
  <c r="M1822" i="3"/>
  <c r="L1822" i="3"/>
  <c r="N1822" i="3" s="1"/>
  <c r="K1822" i="3"/>
  <c r="J1822" i="3"/>
  <c r="E1822" i="3"/>
  <c r="D1822" i="3"/>
  <c r="T1821" i="3"/>
  <c r="S1821" i="3"/>
  <c r="R1821" i="3"/>
  <c r="Q1821" i="3"/>
  <c r="P1821" i="3"/>
  <c r="O1821" i="3"/>
  <c r="M1821" i="3"/>
  <c r="L1821" i="3"/>
  <c r="N1821" i="3" s="1"/>
  <c r="K1821" i="3"/>
  <c r="J1821" i="3"/>
  <c r="E1821" i="3"/>
  <c r="D1821" i="3"/>
  <c r="T1820" i="3"/>
  <c r="S1820" i="3"/>
  <c r="R1820" i="3"/>
  <c r="Q1820" i="3"/>
  <c r="P1820" i="3"/>
  <c r="O1820" i="3"/>
  <c r="M1820" i="3"/>
  <c r="L1820" i="3"/>
  <c r="N1820" i="3" s="1"/>
  <c r="K1820" i="3"/>
  <c r="J1820" i="3"/>
  <c r="E1820" i="3"/>
  <c r="D1820" i="3"/>
  <c r="T1819" i="3"/>
  <c r="S1819" i="3"/>
  <c r="R1819" i="3"/>
  <c r="Q1819" i="3"/>
  <c r="P1819" i="3"/>
  <c r="O1819" i="3"/>
  <c r="M1819" i="3"/>
  <c r="L1819" i="3"/>
  <c r="N1819" i="3" s="1"/>
  <c r="K1819" i="3"/>
  <c r="J1819" i="3"/>
  <c r="E1819" i="3"/>
  <c r="D1819" i="3"/>
  <c r="T1818" i="3"/>
  <c r="S1818" i="3"/>
  <c r="R1818" i="3"/>
  <c r="Q1818" i="3"/>
  <c r="P1818" i="3"/>
  <c r="O1818" i="3"/>
  <c r="M1818" i="3"/>
  <c r="L1818" i="3"/>
  <c r="N1818" i="3" s="1"/>
  <c r="K1818" i="3"/>
  <c r="J1818" i="3"/>
  <c r="E1818" i="3"/>
  <c r="D1818" i="3"/>
  <c r="N1817" i="3"/>
  <c r="M9" i="3"/>
  <c r="S7" i="3"/>
  <c r="M6" i="3"/>
  <c r="R5" i="3"/>
  <c r="O5" i="3"/>
  <c r="K5" i="3"/>
  <c r="S4" i="3"/>
  <c r="Q4" i="3"/>
  <c r="J1817" i="3"/>
  <c r="E1817" i="3"/>
  <c r="D1817" i="3"/>
  <c r="T1816" i="3"/>
  <c r="S1816" i="3"/>
  <c r="R1816" i="3"/>
  <c r="Q1816" i="3"/>
  <c r="P1816" i="3"/>
  <c r="O1816" i="3"/>
  <c r="M1816" i="3"/>
  <c r="L1816" i="3"/>
  <c r="N1816" i="3" s="1"/>
  <c r="K1816" i="3"/>
  <c r="J1816" i="3"/>
  <c r="E1816" i="3"/>
  <c r="D1816" i="3"/>
  <c r="T1815" i="3"/>
  <c r="S1815" i="3"/>
  <c r="R1815" i="3"/>
  <c r="Q1815" i="3"/>
  <c r="P1815" i="3"/>
  <c r="O1815" i="3"/>
  <c r="M1815" i="3"/>
  <c r="L1815" i="3"/>
  <c r="N1815" i="3" s="1"/>
  <c r="K1815" i="3"/>
  <c r="J1815" i="3"/>
  <c r="E1815" i="3"/>
  <c r="D1815" i="3"/>
  <c r="T1814" i="3"/>
  <c r="S1814" i="3"/>
  <c r="R1814" i="3"/>
  <c r="Q1814" i="3"/>
  <c r="P1814" i="3"/>
  <c r="O1814" i="3"/>
  <c r="M1814" i="3"/>
  <c r="L1814" i="3"/>
  <c r="N1814" i="3" s="1"/>
  <c r="K1814" i="3"/>
  <c r="J1814" i="3"/>
  <c r="E1814" i="3"/>
  <c r="D1814" i="3"/>
  <c r="T1813" i="3"/>
  <c r="S1813" i="3"/>
  <c r="R1813" i="3"/>
  <c r="Q1813" i="3"/>
  <c r="P1813" i="3"/>
  <c r="O1813" i="3"/>
  <c r="M1813" i="3"/>
  <c r="L1813" i="3"/>
  <c r="N1813" i="3" s="1"/>
  <c r="K1813" i="3"/>
  <c r="J1813" i="3"/>
  <c r="E1813" i="3"/>
  <c r="D1813" i="3"/>
  <c r="T1812" i="3"/>
  <c r="S1812" i="3"/>
  <c r="R1812" i="3"/>
  <c r="Q1812" i="3"/>
  <c r="P1812" i="3"/>
  <c r="O1812" i="3"/>
  <c r="M1812" i="3"/>
  <c r="L1812" i="3"/>
  <c r="N1812" i="3" s="1"/>
  <c r="K1812" i="3"/>
  <c r="J1812" i="3"/>
  <c r="E1812" i="3"/>
  <c r="D1812" i="3"/>
  <c r="T1811" i="3"/>
  <c r="S1811" i="3"/>
  <c r="R1811" i="3"/>
  <c r="Q1811" i="3"/>
  <c r="P1811" i="3"/>
  <c r="O1811" i="3"/>
  <c r="M1811" i="3"/>
  <c r="L1811" i="3"/>
  <c r="N1811" i="3" s="1"/>
  <c r="K1811" i="3"/>
  <c r="J1811" i="3"/>
  <c r="E1811" i="3"/>
  <c r="D1811" i="3"/>
  <c r="T1810" i="3"/>
  <c r="S1810" i="3"/>
  <c r="R1810" i="3"/>
  <c r="Q1810" i="3"/>
  <c r="P1810" i="3"/>
  <c r="O1810" i="3"/>
  <c r="M1810" i="3"/>
  <c r="L1810" i="3"/>
  <c r="N1810" i="3" s="1"/>
  <c r="K1810" i="3"/>
  <c r="J1810" i="3"/>
  <c r="E1810" i="3"/>
  <c r="D1810" i="3"/>
  <c r="T1809" i="3"/>
  <c r="S1809" i="3"/>
  <c r="R1809" i="3"/>
  <c r="Q1809" i="3"/>
  <c r="P1809" i="3"/>
  <c r="O1809" i="3"/>
  <c r="M1809" i="3"/>
  <c r="L1809" i="3"/>
  <c r="N1809" i="3" s="1"/>
  <c r="K1809" i="3"/>
  <c r="J1809" i="3"/>
  <c r="E1809" i="3"/>
  <c r="D1809" i="3"/>
  <c r="T1808" i="3"/>
  <c r="S1808" i="3"/>
  <c r="R1808" i="3"/>
  <c r="Q1808" i="3"/>
  <c r="P1808" i="3"/>
  <c r="O1808" i="3"/>
  <c r="M1808" i="3"/>
  <c r="L1808" i="3"/>
  <c r="N1808" i="3" s="1"/>
  <c r="K1808" i="3"/>
  <c r="J1808" i="3"/>
  <c r="E1808" i="3"/>
  <c r="D1808" i="3"/>
  <c r="T1807" i="3"/>
  <c r="S1807" i="3"/>
  <c r="R1807" i="3"/>
  <c r="Q1807" i="3"/>
  <c r="P1807" i="3"/>
  <c r="O1807" i="3"/>
  <c r="M1807" i="3"/>
  <c r="L1807" i="3"/>
  <c r="N1807" i="3" s="1"/>
  <c r="K1807" i="3"/>
  <c r="J1807" i="3"/>
  <c r="E1807" i="3"/>
  <c r="D1807" i="3"/>
  <c r="T1806" i="3"/>
  <c r="S1806" i="3"/>
  <c r="R1806" i="3"/>
  <c r="Q1806" i="3"/>
  <c r="P1806" i="3"/>
  <c r="O1806" i="3"/>
  <c r="M1806" i="3"/>
  <c r="L1806" i="3"/>
  <c r="N1806" i="3" s="1"/>
  <c r="K1806" i="3"/>
  <c r="J1806" i="3"/>
  <c r="E1806" i="3"/>
  <c r="D1806" i="3"/>
  <c r="T1805" i="3"/>
  <c r="S1805" i="3"/>
  <c r="R1805" i="3"/>
  <c r="Q1805" i="3"/>
  <c r="P1805" i="3"/>
  <c r="O1805" i="3"/>
  <c r="M1805" i="3"/>
  <c r="L1805" i="3"/>
  <c r="N1805" i="3" s="1"/>
  <c r="K1805" i="3"/>
  <c r="J1805" i="3"/>
  <c r="E1805" i="3"/>
  <c r="D1805" i="3"/>
  <c r="T1804" i="3"/>
  <c r="S1804" i="3"/>
  <c r="R1804" i="3"/>
  <c r="Q1804" i="3"/>
  <c r="P1804" i="3"/>
  <c r="O1804" i="3"/>
  <c r="M1804" i="3"/>
  <c r="L1804" i="3"/>
  <c r="N1804" i="3" s="1"/>
  <c r="K1804" i="3"/>
  <c r="J1804" i="3"/>
  <c r="E1804" i="3"/>
  <c r="D1804" i="3"/>
  <c r="T1803" i="3"/>
  <c r="S1803" i="3"/>
  <c r="R1803" i="3"/>
  <c r="Q1803" i="3"/>
  <c r="P1803" i="3"/>
  <c r="O1803" i="3"/>
  <c r="M1803" i="3"/>
  <c r="L1803" i="3"/>
  <c r="N1803" i="3" s="1"/>
  <c r="K1803" i="3"/>
  <c r="J1803" i="3"/>
  <c r="E1803" i="3"/>
  <c r="D1803" i="3"/>
  <c r="T1802" i="3"/>
  <c r="S1802" i="3"/>
  <c r="R1802" i="3"/>
  <c r="Q1802" i="3"/>
  <c r="P1802" i="3"/>
  <c r="O1802" i="3"/>
  <c r="M1802" i="3"/>
  <c r="L1802" i="3"/>
  <c r="N1802" i="3" s="1"/>
  <c r="K1802" i="3"/>
  <c r="J1802" i="3"/>
  <c r="E1802" i="3"/>
  <c r="D1802" i="3"/>
  <c r="T1801" i="3"/>
  <c r="S1801" i="3"/>
  <c r="R1801" i="3"/>
  <c r="Q1801" i="3"/>
  <c r="P1801" i="3"/>
  <c r="O1801" i="3"/>
  <c r="M1801" i="3"/>
  <c r="L1801" i="3"/>
  <c r="N1801" i="3" s="1"/>
  <c r="K1801" i="3"/>
  <c r="J1801" i="3"/>
  <c r="E1801" i="3"/>
  <c r="D1801" i="3"/>
  <c r="T1800" i="3"/>
  <c r="S1800" i="3"/>
  <c r="R1800" i="3"/>
  <c r="Q1800" i="3"/>
  <c r="P1800" i="3"/>
  <c r="O1800" i="3"/>
  <c r="M1800" i="3"/>
  <c r="L1800" i="3"/>
  <c r="N1800" i="3" s="1"/>
  <c r="K1800" i="3"/>
  <c r="J1800" i="3"/>
  <c r="E1800" i="3"/>
  <c r="D1800" i="3"/>
  <c r="T1799" i="3"/>
  <c r="S1799" i="3"/>
  <c r="R1799" i="3"/>
  <c r="Q1799" i="3"/>
  <c r="P1799" i="3"/>
  <c r="O1799" i="3"/>
  <c r="M1799" i="3"/>
  <c r="L1799" i="3"/>
  <c r="N1799" i="3" s="1"/>
  <c r="K1799" i="3"/>
  <c r="J1799" i="3"/>
  <c r="E1799" i="3"/>
  <c r="D1799" i="3"/>
  <c r="T1798" i="3"/>
  <c r="S1798" i="3"/>
  <c r="R1798" i="3"/>
  <c r="Q1798" i="3"/>
  <c r="P1798" i="3"/>
  <c r="O1798" i="3"/>
  <c r="M1798" i="3"/>
  <c r="L1798" i="3"/>
  <c r="N1798" i="3" s="1"/>
  <c r="K1798" i="3"/>
  <c r="J1798" i="3"/>
  <c r="E1798" i="3"/>
  <c r="D1798" i="3"/>
  <c r="T1797" i="3"/>
  <c r="S1797" i="3"/>
  <c r="R1797" i="3"/>
  <c r="Q1797" i="3"/>
  <c r="P1797" i="3"/>
  <c r="O1797" i="3"/>
  <c r="M1797" i="3"/>
  <c r="L1797" i="3"/>
  <c r="N1797" i="3" s="1"/>
  <c r="K1797" i="3"/>
  <c r="J1797" i="3"/>
  <c r="E1797" i="3"/>
  <c r="D1797" i="3"/>
  <c r="T1796" i="3"/>
  <c r="S1796" i="3"/>
  <c r="R1796" i="3"/>
  <c r="Q1796" i="3"/>
  <c r="P1796" i="3"/>
  <c r="O1796" i="3"/>
  <c r="M1796" i="3"/>
  <c r="L1796" i="3"/>
  <c r="N1796" i="3" s="1"/>
  <c r="K1796" i="3"/>
  <c r="J1796" i="3"/>
  <c r="E1796" i="3"/>
  <c r="D1796" i="3"/>
  <c r="T1795" i="3"/>
  <c r="S1795" i="3"/>
  <c r="R1795" i="3"/>
  <c r="Q1795" i="3"/>
  <c r="P1795" i="3"/>
  <c r="O1795" i="3"/>
  <c r="M1795" i="3"/>
  <c r="L1795" i="3"/>
  <c r="N1795" i="3" s="1"/>
  <c r="K1795" i="3"/>
  <c r="J1795" i="3"/>
  <c r="E1795" i="3"/>
  <c r="D1795" i="3"/>
  <c r="T1794" i="3"/>
  <c r="S1794" i="3"/>
  <c r="R1794" i="3"/>
  <c r="Q1794" i="3"/>
  <c r="P1794" i="3"/>
  <c r="O1794" i="3"/>
  <c r="M1794" i="3"/>
  <c r="L1794" i="3"/>
  <c r="N1794" i="3" s="1"/>
  <c r="K1794" i="3"/>
  <c r="J1794" i="3"/>
  <c r="E1794" i="3"/>
  <c r="D1794" i="3"/>
  <c r="T1793" i="3"/>
  <c r="S1793" i="3"/>
  <c r="R1793" i="3"/>
  <c r="Q1793" i="3"/>
  <c r="P1793" i="3"/>
  <c r="O1793" i="3"/>
  <c r="M1793" i="3"/>
  <c r="L1793" i="3"/>
  <c r="N1793" i="3" s="1"/>
  <c r="K1793" i="3"/>
  <c r="J1793" i="3"/>
  <c r="E1793" i="3"/>
  <c r="D1793" i="3"/>
  <c r="T1792" i="3"/>
  <c r="S1792" i="3"/>
  <c r="R1792" i="3"/>
  <c r="Q1792" i="3"/>
  <c r="P1792" i="3"/>
  <c r="O1792" i="3"/>
  <c r="M1792" i="3"/>
  <c r="L1792" i="3"/>
  <c r="N1792" i="3" s="1"/>
  <c r="K1792" i="3"/>
  <c r="J1792" i="3"/>
  <c r="E1792" i="3"/>
  <c r="D1792" i="3"/>
  <c r="T1791" i="3"/>
  <c r="S1791" i="3"/>
  <c r="R1791" i="3"/>
  <c r="Q1791" i="3"/>
  <c r="P1791" i="3"/>
  <c r="O1791" i="3"/>
  <c r="M1791" i="3"/>
  <c r="L1791" i="3"/>
  <c r="N1791" i="3" s="1"/>
  <c r="K1791" i="3"/>
  <c r="J1791" i="3"/>
  <c r="E1791" i="3"/>
  <c r="D1791" i="3"/>
  <c r="T1790" i="3"/>
  <c r="S1790" i="3"/>
  <c r="R1790" i="3"/>
  <c r="Q1790" i="3"/>
  <c r="P1790" i="3"/>
  <c r="O1790" i="3"/>
  <c r="M1790" i="3"/>
  <c r="L1790" i="3"/>
  <c r="N1790" i="3" s="1"/>
  <c r="K1790" i="3"/>
  <c r="J1790" i="3"/>
  <c r="E1790" i="3"/>
  <c r="D1790" i="3"/>
  <c r="T1789" i="3"/>
  <c r="S1789" i="3"/>
  <c r="R1789" i="3"/>
  <c r="Q1789" i="3"/>
  <c r="P1789" i="3"/>
  <c r="O1789" i="3"/>
  <c r="M1789" i="3"/>
  <c r="L1789" i="3"/>
  <c r="N1789" i="3" s="1"/>
  <c r="K1789" i="3"/>
  <c r="J1789" i="3"/>
  <c r="E1789" i="3"/>
  <c r="D1789" i="3"/>
  <c r="T1788" i="3"/>
  <c r="S1788" i="3"/>
  <c r="R1788" i="3"/>
  <c r="Q1788" i="3"/>
  <c r="P1788" i="3"/>
  <c r="O1788" i="3"/>
  <c r="M1788" i="3"/>
  <c r="L1788" i="3"/>
  <c r="N1788" i="3" s="1"/>
  <c r="K1788" i="3"/>
  <c r="J1788" i="3"/>
  <c r="E1788" i="3"/>
  <c r="D1788" i="3"/>
  <c r="T1787" i="3"/>
  <c r="S1787" i="3"/>
  <c r="R1787" i="3"/>
  <c r="Q1787" i="3"/>
  <c r="P1787" i="3"/>
  <c r="O1787" i="3"/>
  <c r="M1787" i="3"/>
  <c r="L1787" i="3"/>
  <c r="N1787" i="3" s="1"/>
  <c r="K1787" i="3"/>
  <c r="J1787" i="3"/>
  <c r="E1787" i="3"/>
  <c r="D1787" i="3"/>
  <c r="T1786" i="3"/>
  <c r="S1786" i="3"/>
  <c r="R1786" i="3"/>
  <c r="Q1786" i="3"/>
  <c r="P1786" i="3"/>
  <c r="O1786" i="3"/>
  <c r="M1786" i="3"/>
  <c r="L1786" i="3"/>
  <c r="N1786" i="3" s="1"/>
  <c r="K1786" i="3"/>
  <c r="J1786" i="3"/>
  <c r="E1786" i="3"/>
  <c r="D1786" i="3"/>
  <c r="T1785" i="3"/>
  <c r="S1785" i="3"/>
  <c r="R1785" i="3"/>
  <c r="Q1785" i="3"/>
  <c r="P1785" i="3"/>
  <c r="O1785" i="3"/>
  <c r="M1785" i="3"/>
  <c r="L1785" i="3"/>
  <c r="N1785" i="3" s="1"/>
  <c r="K1785" i="3"/>
  <c r="J1785" i="3"/>
  <c r="E1785" i="3"/>
  <c r="D1785" i="3"/>
  <c r="T1784" i="3"/>
  <c r="S1784" i="3"/>
  <c r="R1784" i="3"/>
  <c r="Q1784" i="3"/>
  <c r="P1784" i="3"/>
  <c r="O1784" i="3"/>
  <c r="M1784" i="3"/>
  <c r="L1784" i="3"/>
  <c r="N1784" i="3" s="1"/>
  <c r="K1784" i="3"/>
  <c r="J1784" i="3"/>
  <c r="E1784" i="3"/>
  <c r="D1784" i="3"/>
  <c r="T1783" i="3"/>
  <c r="S1783" i="3"/>
  <c r="R1783" i="3"/>
  <c r="Q1783" i="3"/>
  <c r="P1783" i="3"/>
  <c r="O1783" i="3"/>
  <c r="M1783" i="3"/>
  <c r="L1783" i="3"/>
  <c r="N1783" i="3" s="1"/>
  <c r="K1783" i="3"/>
  <c r="J1783" i="3"/>
  <c r="E1783" i="3"/>
  <c r="D1783" i="3"/>
  <c r="T1782" i="3"/>
  <c r="S1782" i="3"/>
  <c r="R1782" i="3"/>
  <c r="Q1782" i="3"/>
  <c r="P1782" i="3"/>
  <c r="O1782" i="3"/>
  <c r="M1782" i="3"/>
  <c r="L1782" i="3"/>
  <c r="N1782" i="3" s="1"/>
  <c r="K1782" i="3"/>
  <c r="J1782" i="3"/>
  <c r="E1782" i="3"/>
  <c r="D1782" i="3"/>
  <c r="T1781" i="3"/>
  <c r="S1781" i="3"/>
  <c r="R1781" i="3"/>
  <c r="Q1781" i="3"/>
  <c r="P1781" i="3"/>
  <c r="O1781" i="3"/>
  <c r="M1781" i="3"/>
  <c r="L1781" i="3"/>
  <c r="N1781" i="3" s="1"/>
  <c r="K1781" i="3"/>
  <c r="J1781" i="3"/>
  <c r="E1781" i="3"/>
  <c r="D1781" i="3"/>
  <c r="T1780" i="3"/>
  <c r="S1780" i="3"/>
  <c r="R1780" i="3"/>
  <c r="Q1780" i="3"/>
  <c r="P1780" i="3"/>
  <c r="O1780" i="3"/>
  <c r="M1780" i="3"/>
  <c r="L1780" i="3"/>
  <c r="N1780" i="3" s="1"/>
  <c r="K1780" i="3"/>
  <c r="J1780" i="3"/>
  <c r="E1780" i="3"/>
  <c r="D1780" i="3"/>
  <c r="T1779" i="3"/>
  <c r="S1779" i="3"/>
  <c r="R1779" i="3"/>
  <c r="Q1779" i="3"/>
  <c r="P1779" i="3"/>
  <c r="O1779" i="3"/>
  <c r="M1779" i="3"/>
  <c r="L1779" i="3"/>
  <c r="N1779" i="3" s="1"/>
  <c r="K1779" i="3"/>
  <c r="J1779" i="3"/>
  <c r="E1779" i="3"/>
  <c r="D1779" i="3"/>
  <c r="T1778" i="3"/>
  <c r="S1778" i="3"/>
  <c r="R1778" i="3"/>
  <c r="Q1778" i="3"/>
  <c r="P1778" i="3"/>
  <c r="O1778" i="3"/>
  <c r="M1778" i="3"/>
  <c r="L1778" i="3"/>
  <c r="N1778" i="3" s="1"/>
  <c r="K1778" i="3"/>
  <c r="J1778" i="3"/>
  <c r="E1778" i="3"/>
  <c r="D1778" i="3"/>
  <c r="T1777" i="3"/>
  <c r="S1777" i="3"/>
  <c r="R1777" i="3"/>
  <c r="Q1777" i="3"/>
  <c r="P1777" i="3"/>
  <c r="O1777" i="3"/>
  <c r="M1777" i="3"/>
  <c r="L1777" i="3"/>
  <c r="N1777" i="3" s="1"/>
  <c r="K1777" i="3"/>
  <c r="J1777" i="3"/>
  <c r="E1777" i="3"/>
  <c r="D1777" i="3"/>
  <c r="T1776" i="3"/>
  <c r="S1776" i="3"/>
  <c r="R1776" i="3"/>
  <c r="Q1776" i="3"/>
  <c r="P1776" i="3"/>
  <c r="O1776" i="3"/>
  <c r="M1776" i="3"/>
  <c r="L1776" i="3"/>
  <c r="N1776" i="3" s="1"/>
  <c r="K1776" i="3"/>
  <c r="J1776" i="3"/>
  <c r="E1776" i="3"/>
  <c r="D1776" i="3"/>
  <c r="T1775" i="3"/>
  <c r="S1775" i="3"/>
  <c r="R1775" i="3"/>
  <c r="Q1775" i="3"/>
  <c r="P1775" i="3"/>
  <c r="O1775" i="3"/>
  <c r="M1775" i="3"/>
  <c r="L1775" i="3"/>
  <c r="N1775" i="3" s="1"/>
  <c r="K1775" i="3"/>
  <c r="J1775" i="3"/>
  <c r="E1775" i="3"/>
  <c r="D1775" i="3"/>
  <c r="T1774" i="3"/>
  <c r="S1774" i="3"/>
  <c r="R1774" i="3"/>
  <c r="Q1774" i="3"/>
  <c r="P1774" i="3"/>
  <c r="O1774" i="3"/>
  <c r="M1774" i="3"/>
  <c r="L1774" i="3"/>
  <c r="N1774" i="3" s="1"/>
  <c r="K1774" i="3"/>
  <c r="J1774" i="3"/>
  <c r="E1774" i="3"/>
  <c r="D1774" i="3"/>
  <c r="T1773" i="3"/>
  <c r="S1773" i="3"/>
  <c r="R1773" i="3"/>
  <c r="Q1773" i="3"/>
  <c r="P1773" i="3"/>
  <c r="O1773" i="3"/>
  <c r="M1773" i="3"/>
  <c r="L1773" i="3"/>
  <c r="N1773" i="3" s="1"/>
  <c r="K1773" i="3"/>
  <c r="J1773" i="3"/>
  <c r="E1773" i="3"/>
  <c r="D1773" i="3"/>
  <c r="T1772" i="3"/>
  <c r="S1772" i="3"/>
  <c r="R1772" i="3"/>
  <c r="Q1772" i="3"/>
  <c r="P1772" i="3"/>
  <c r="O1772" i="3"/>
  <c r="M1772" i="3"/>
  <c r="L1772" i="3"/>
  <c r="N1772" i="3" s="1"/>
  <c r="K1772" i="3"/>
  <c r="J1772" i="3"/>
  <c r="E1772" i="3"/>
  <c r="D1772" i="3"/>
  <c r="T1771" i="3"/>
  <c r="S1771" i="3"/>
  <c r="R1771" i="3"/>
  <c r="Q1771" i="3"/>
  <c r="P1771" i="3"/>
  <c r="O1771" i="3"/>
  <c r="M1771" i="3"/>
  <c r="L1771" i="3"/>
  <c r="N1771" i="3" s="1"/>
  <c r="K1771" i="3"/>
  <c r="J1771" i="3"/>
  <c r="E1771" i="3"/>
  <c r="D1771" i="3"/>
  <c r="T1770" i="3"/>
  <c r="S1770" i="3"/>
  <c r="R1770" i="3"/>
  <c r="Q1770" i="3"/>
  <c r="P1770" i="3"/>
  <c r="O1770" i="3"/>
  <c r="M1770" i="3"/>
  <c r="L1770" i="3"/>
  <c r="N1770" i="3" s="1"/>
  <c r="K1770" i="3"/>
  <c r="J1770" i="3"/>
  <c r="E1770" i="3"/>
  <c r="D1770" i="3"/>
  <c r="T1769" i="3"/>
  <c r="S1769" i="3"/>
  <c r="R1769" i="3"/>
  <c r="Q1769" i="3"/>
  <c r="P1769" i="3"/>
  <c r="O1769" i="3"/>
  <c r="M1769" i="3"/>
  <c r="L1769" i="3"/>
  <c r="N1769" i="3" s="1"/>
  <c r="K1769" i="3"/>
  <c r="J1769" i="3"/>
  <c r="E1769" i="3"/>
  <c r="D1769" i="3"/>
  <c r="T1768" i="3"/>
  <c r="S1768" i="3"/>
  <c r="R1768" i="3"/>
  <c r="Q1768" i="3"/>
  <c r="P1768" i="3"/>
  <c r="O1768" i="3"/>
  <c r="M1768" i="3"/>
  <c r="L1768" i="3"/>
  <c r="N1768" i="3" s="1"/>
  <c r="K1768" i="3"/>
  <c r="J1768" i="3"/>
  <c r="E1768" i="3"/>
  <c r="D1768" i="3"/>
  <c r="T1767" i="3"/>
  <c r="S1767" i="3"/>
  <c r="R1767" i="3"/>
  <c r="Q1767" i="3"/>
  <c r="P1767" i="3"/>
  <c r="O1767" i="3"/>
  <c r="M1767" i="3"/>
  <c r="L1767" i="3"/>
  <c r="N1767" i="3" s="1"/>
  <c r="K1767" i="3"/>
  <c r="J1767" i="3"/>
  <c r="E1767" i="3"/>
  <c r="D1767" i="3"/>
  <c r="T1766" i="3"/>
  <c r="S1766" i="3"/>
  <c r="R1766" i="3"/>
  <c r="Q1766" i="3"/>
  <c r="P1766" i="3"/>
  <c r="O1766" i="3"/>
  <c r="M1766" i="3"/>
  <c r="L1766" i="3"/>
  <c r="N1766" i="3" s="1"/>
  <c r="K1766" i="3"/>
  <c r="J1766" i="3"/>
  <c r="E1766" i="3"/>
  <c r="D1766" i="3"/>
  <c r="T1765" i="3"/>
  <c r="S1765" i="3"/>
  <c r="R1765" i="3"/>
  <c r="Q1765" i="3"/>
  <c r="P1765" i="3"/>
  <c r="O1765" i="3"/>
  <c r="M1765" i="3"/>
  <c r="L1765" i="3"/>
  <c r="N1765" i="3" s="1"/>
  <c r="K1765" i="3"/>
  <c r="J1765" i="3"/>
  <c r="E1765" i="3"/>
  <c r="D1765" i="3"/>
  <c r="T1764" i="3"/>
  <c r="S1764" i="3"/>
  <c r="R1764" i="3"/>
  <c r="Q1764" i="3"/>
  <c r="P1764" i="3"/>
  <c r="O1764" i="3"/>
  <c r="M1764" i="3"/>
  <c r="L1764" i="3"/>
  <c r="N1764" i="3" s="1"/>
  <c r="K1764" i="3"/>
  <c r="J1764" i="3"/>
  <c r="E1764" i="3"/>
  <c r="D1764" i="3"/>
  <c r="T1763" i="3"/>
  <c r="S1763" i="3"/>
  <c r="R1763" i="3"/>
  <c r="Q1763" i="3"/>
  <c r="P1763" i="3"/>
  <c r="O1763" i="3"/>
  <c r="M1763" i="3"/>
  <c r="L1763" i="3"/>
  <c r="N1763" i="3" s="1"/>
  <c r="K1763" i="3"/>
  <c r="J1763" i="3"/>
  <c r="E1763" i="3"/>
  <c r="D1763" i="3"/>
  <c r="T1762" i="3"/>
  <c r="S1762" i="3"/>
  <c r="R1762" i="3"/>
  <c r="Q1762" i="3"/>
  <c r="P1762" i="3"/>
  <c r="O1762" i="3"/>
  <c r="M1762" i="3"/>
  <c r="L1762" i="3"/>
  <c r="N1762" i="3" s="1"/>
  <c r="K1762" i="3"/>
  <c r="J1762" i="3"/>
  <c r="E1762" i="3"/>
  <c r="D1762" i="3"/>
  <c r="T1761" i="3"/>
  <c r="S1761" i="3"/>
  <c r="R1761" i="3"/>
  <c r="Q1761" i="3"/>
  <c r="P1761" i="3"/>
  <c r="O1761" i="3"/>
  <c r="M1761" i="3"/>
  <c r="L1761" i="3"/>
  <c r="N1761" i="3" s="1"/>
  <c r="K1761" i="3"/>
  <c r="J1761" i="3"/>
  <c r="E1761" i="3"/>
  <c r="D1761" i="3"/>
  <c r="T1760" i="3"/>
  <c r="S1760" i="3"/>
  <c r="R1760" i="3"/>
  <c r="Q1760" i="3"/>
  <c r="P1760" i="3"/>
  <c r="O1760" i="3"/>
  <c r="M1760" i="3"/>
  <c r="L1760" i="3"/>
  <c r="N1760" i="3" s="1"/>
  <c r="K1760" i="3"/>
  <c r="J1760" i="3"/>
  <c r="E1760" i="3"/>
  <c r="D1760" i="3"/>
  <c r="T1759" i="3"/>
  <c r="S1759" i="3"/>
  <c r="R1759" i="3"/>
  <c r="Q1759" i="3"/>
  <c r="P1759" i="3"/>
  <c r="O1759" i="3"/>
  <c r="M1759" i="3"/>
  <c r="L1759" i="3"/>
  <c r="N1759" i="3" s="1"/>
  <c r="K1759" i="3"/>
  <c r="J1759" i="3"/>
  <c r="E1759" i="3"/>
  <c r="D1759" i="3"/>
  <c r="T1758" i="3"/>
  <c r="S1758" i="3"/>
  <c r="R1758" i="3"/>
  <c r="Q1758" i="3"/>
  <c r="P1758" i="3"/>
  <c r="O1758" i="3"/>
  <c r="M1758" i="3"/>
  <c r="L1758" i="3"/>
  <c r="N1758" i="3" s="1"/>
  <c r="K1758" i="3"/>
  <c r="J1758" i="3"/>
  <c r="E1758" i="3"/>
  <c r="D1758" i="3"/>
  <c r="T1757" i="3"/>
  <c r="S1757" i="3"/>
  <c r="R1757" i="3"/>
  <c r="Q1757" i="3"/>
  <c r="P1757" i="3"/>
  <c r="O1757" i="3"/>
  <c r="M1757" i="3"/>
  <c r="L1757" i="3"/>
  <c r="N1757" i="3" s="1"/>
  <c r="K1757" i="3"/>
  <c r="J1757" i="3"/>
  <c r="E1757" i="3"/>
  <c r="D1757" i="3"/>
  <c r="T1756" i="3"/>
  <c r="S1756" i="3"/>
  <c r="R1756" i="3"/>
  <c r="Q1756" i="3"/>
  <c r="P1756" i="3"/>
  <c r="O1756" i="3"/>
  <c r="M1756" i="3"/>
  <c r="L1756" i="3"/>
  <c r="N1756" i="3" s="1"/>
  <c r="K1756" i="3"/>
  <c r="J1756" i="3"/>
  <c r="E1756" i="3"/>
  <c r="D1756" i="3"/>
  <c r="T1755" i="3"/>
  <c r="S1755" i="3"/>
  <c r="R1755" i="3"/>
  <c r="Q1755" i="3"/>
  <c r="P1755" i="3"/>
  <c r="O1755" i="3"/>
  <c r="M1755" i="3"/>
  <c r="L1755" i="3"/>
  <c r="N1755" i="3" s="1"/>
  <c r="K1755" i="3"/>
  <c r="J1755" i="3"/>
  <c r="E1755" i="3"/>
  <c r="D1755" i="3"/>
  <c r="T1754" i="3"/>
  <c r="S1754" i="3"/>
  <c r="R1754" i="3"/>
  <c r="Q1754" i="3"/>
  <c r="P1754" i="3"/>
  <c r="O1754" i="3"/>
  <c r="M1754" i="3"/>
  <c r="L1754" i="3"/>
  <c r="N1754" i="3" s="1"/>
  <c r="K1754" i="3"/>
  <c r="J1754" i="3"/>
  <c r="E1754" i="3"/>
  <c r="D1754" i="3"/>
  <c r="T1753" i="3"/>
  <c r="S1753" i="3"/>
  <c r="R1753" i="3"/>
  <c r="Q1753" i="3"/>
  <c r="P1753" i="3"/>
  <c r="O1753" i="3"/>
  <c r="M1753" i="3"/>
  <c r="L1753" i="3"/>
  <c r="N1753" i="3" s="1"/>
  <c r="K1753" i="3"/>
  <c r="J1753" i="3"/>
  <c r="E1753" i="3"/>
  <c r="D1753" i="3"/>
  <c r="T1752" i="3"/>
  <c r="S1752" i="3"/>
  <c r="R1752" i="3"/>
  <c r="Q1752" i="3"/>
  <c r="P1752" i="3"/>
  <c r="O1752" i="3"/>
  <c r="M1752" i="3"/>
  <c r="L1752" i="3"/>
  <c r="N1752" i="3" s="1"/>
  <c r="K1752" i="3"/>
  <c r="J1752" i="3"/>
  <c r="E1752" i="3"/>
  <c r="D1752" i="3"/>
  <c r="T1751" i="3"/>
  <c r="S1751" i="3"/>
  <c r="R1751" i="3"/>
  <c r="Q1751" i="3"/>
  <c r="P1751" i="3"/>
  <c r="O1751" i="3"/>
  <c r="M1751" i="3"/>
  <c r="L1751" i="3"/>
  <c r="N1751" i="3" s="1"/>
  <c r="K1751" i="3"/>
  <c r="J1751" i="3"/>
  <c r="E1751" i="3"/>
  <c r="D1751" i="3"/>
  <c r="T1750" i="3"/>
  <c r="S1750" i="3"/>
  <c r="R1750" i="3"/>
  <c r="Q1750" i="3"/>
  <c r="P1750" i="3"/>
  <c r="O1750" i="3"/>
  <c r="M1750" i="3"/>
  <c r="L1750" i="3"/>
  <c r="N1750" i="3" s="1"/>
  <c r="K1750" i="3"/>
  <c r="J1750" i="3"/>
  <c r="E1750" i="3"/>
  <c r="D1750" i="3"/>
  <c r="T1749" i="3"/>
  <c r="S1749" i="3"/>
  <c r="R1749" i="3"/>
  <c r="Q1749" i="3"/>
  <c r="P1749" i="3"/>
  <c r="O1749" i="3"/>
  <c r="M1749" i="3"/>
  <c r="L1749" i="3"/>
  <c r="N1749" i="3" s="1"/>
  <c r="K1749" i="3"/>
  <c r="J1749" i="3"/>
  <c r="E1749" i="3"/>
  <c r="D1749" i="3"/>
  <c r="T1748" i="3"/>
  <c r="S1748" i="3"/>
  <c r="R1748" i="3"/>
  <c r="Q1748" i="3"/>
  <c r="P1748" i="3"/>
  <c r="O1748" i="3"/>
  <c r="M1748" i="3"/>
  <c r="L1748" i="3"/>
  <c r="N1748" i="3" s="1"/>
  <c r="K1748" i="3"/>
  <c r="J1748" i="3"/>
  <c r="E1748" i="3"/>
  <c r="D1748" i="3"/>
  <c r="T1747" i="3"/>
  <c r="S1747" i="3"/>
  <c r="R1747" i="3"/>
  <c r="Q1747" i="3"/>
  <c r="P1747" i="3"/>
  <c r="O1747" i="3"/>
  <c r="M1747" i="3"/>
  <c r="L1747" i="3"/>
  <c r="N1747" i="3" s="1"/>
  <c r="K1747" i="3"/>
  <c r="J1747" i="3"/>
  <c r="E1747" i="3"/>
  <c r="D1747" i="3"/>
  <c r="T1746" i="3"/>
  <c r="S1746" i="3"/>
  <c r="R1746" i="3"/>
  <c r="Q1746" i="3"/>
  <c r="P1746" i="3"/>
  <c r="O1746" i="3"/>
  <c r="M1746" i="3"/>
  <c r="L1746" i="3"/>
  <c r="N1746" i="3" s="1"/>
  <c r="K1746" i="3"/>
  <c r="J1746" i="3"/>
  <c r="E1746" i="3"/>
  <c r="D1746" i="3"/>
  <c r="T1745" i="3"/>
  <c r="S1745" i="3"/>
  <c r="R1745" i="3"/>
  <c r="Q1745" i="3"/>
  <c r="P1745" i="3"/>
  <c r="O1745" i="3"/>
  <c r="M1745" i="3"/>
  <c r="L1745" i="3"/>
  <c r="N1745" i="3" s="1"/>
  <c r="K1745" i="3"/>
  <c r="J1745" i="3"/>
  <c r="E1745" i="3"/>
  <c r="D1745" i="3"/>
  <c r="T1744" i="3"/>
  <c r="S1744" i="3"/>
  <c r="R1744" i="3"/>
  <c r="Q1744" i="3"/>
  <c r="P1744" i="3"/>
  <c r="O1744" i="3"/>
  <c r="M1744" i="3"/>
  <c r="L1744" i="3"/>
  <c r="N1744" i="3" s="1"/>
  <c r="K1744" i="3"/>
  <c r="J1744" i="3"/>
  <c r="E1744" i="3"/>
  <c r="D1744" i="3"/>
  <c r="T1743" i="3"/>
  <c r="S1743" i="3"/>
  <c r="R1743" i="3"/>
  <c r="Q1743" i="3"/>
  <c r="P1743" i="3"/>
  <c r="O1743" i="3"/>
  <c r="M1743" i="3"/>
  <c r="L1743" i="3"/>
  <c r="N1743" i="3" s="1"/>
  <c r="K1743" i="3"/>
  <c r="J1743" i="3"/>
  <c r="E1743" i="3"/>
  <c r="D1743" i="3"/>
  <c r="T1742" i="3"/>
  <c r="S1742" i="3"/>
  <c r="R1742" i="3"/>
  <c r="Q1742" i="3"/>
  <c r="P1742" i="3"/>
  <c r="O1742" i="3"/>
  <c r="M1742" i="3"/>
  <c r="L1742" i="3"/>
  <c r="N1742" i="3" s="1"/>
  <c r="K1742" i="3"/>
  <c r="J1742" i="3"/>
  <c r="E1742" i="3"/>
  <c r="D1742" i="3"/>
  <c r="T1741" i="3"/>
  <c r="S1741" i="3"/>
  <c r="R1741" i="3"/>
  <c r="Q1741" i="3"/>
  <c r="P1741" i="3"/>
  <c r="O1741" i="3"/>
  <c r="M1741" i="3"/>
  <c r="L1741" i="3"/>
  <c r="N1741" i="3" s="1"/>
  <c r="K1741" i="3"/>
  <c r="J1741" i="3"/>
  <c r="E1741" i="3"/>
  <c r="D1741" i="3"/>
  <c r="T1740" i="3"/>
  <c r="S1740" i="3"/>
  <c r="R1740" i="3"/>
  <c r="Q1740" i="3"/>
  <c r="P1740" i="3"/>
  <c r="O1740" i="3"/>
  <c r="M1740" i="3"/>
  <c r="L1740" i="3"/>
  <c r="N1740" i="3" s="1"/>
  <c r="K1740" i="3"/>
  <c r="J1740" i="3"/>
  <c r="E1740" i="3"/>
  <c r="D1740" i="3"/>
  <c r="T1739" i="3"/>
  <c r="S1739" i="3"/>
  <c r="R1739" i="3"/>
  <c r="Q1739" i="3"/>
  <c r="P1739" i="3"/>
  <c r="O1739" i="3"/>
  <c r="M1739" i="3"/>
  <c r="L1739" i="3"/>
  <c r="N1739" i="3" s="1"/>
  <c r="K1739" i="3"/>
  <c r="J1739" i="3"/>
  <c r="E1739" i="3"/>
  <c r="D1739" i="3"/>
  <c r="T1738" i="3"/>
  <c r="S1738" i="3"/>
  <c r="R1738" i="3"/>
  <c r="Q1738" i="3"/>
  <c r="P1738" i="3"/>
  <c r="O1738" i="3"/>
  <c r="M1738" i="3"/>
  <c r="L1738" i="3"/>
  <c r="N1738" i="3" s="1"/>
  <c r="K1738" i="3"/>
  <c r="J1738" i="3"/>
  <c r="E1738" i="3"/>
  <c r="D1738" i="3"/>
  <c r="T1737" i="3"/>
  <c r="S1737" i="3"/>
  <c r="R1737" i="3"/>
  <c r="Q1737" i="3"/>
  <c r="P1737" i="3"/>
  <c r="O1737" i="3"/>
  <c r="M1737" i="3"/>
  <c r="L1737" i="3"/>
  <c r="N1737" i="3" s="1"/>
  <c r="K1737" i="3"/>
  <c r="J1737" i="3"/>
  <c r="E1737" i="3"/>
  <c r="D1737" i="3"/>
  <c r="T1736" i="3"/>
  <c r="S1736" i="3"/>
  <c r="R1736" i="3"/>
  <c r="Q1736" i="3"/>
  <c r="P1736" i="3"/>
  <c r="O1736" i="3"/>
  <c r="M1736" i="3"/>
  <c r="L1736" i="3"/>
  <c r="N1736" i="3" s="1"/>
  <c r="K1736" i="3"/>
  <c r="J1736" i="3"/>
  <c r="E1736" i="3"/>
  <c r="D1736" i="3"/>
  <c r="T1735" i="3"/>
  <c r="S1735" i="3"/>
  <c r="R1735" i="3"/>
  <c r="Q1735" i="3"/>
  <c r="P1735" i="3"/>
  <c r="O1735" i="3"/>
  <c r="M1735" i="3"/>
  <c r="L1735" i="3"/>
  <c r="N1735" i="3" s="1"/>
  <c r="K1735" i="3"/>
  <c r="J1735" i="3"/>
  <c r="E1735" i="3"/>
  <c r="D1735" i="3"/>
  <c r="T1734" i="3"/>
  <c r="S1734" i="3"/>
  <c r="R1734" i="3"/>
  <c r="Q1734" i="3"/>
  <c r="P1734" i="3"/>
  <c r="O1734" i="3"/>
  <c r="M1734" i="3"/>
  <c r="L1734" i="3"/>
  <c r="N1734" i="3" s="1"/>
  <c r="K1734" i="3"/>
  <c r="J1734" i="3"/>
  <c r="E1734" i="3"/>
  <c r="D1734" i="3"/>
  <c r="T1733" i="3"/>
  <c r="S1733" i="3"/>
  <c r="R1733" i="3"/>
  <c r="Q1733" i="3"/>
  <c r="P1733" i="3"/>
  <c r="O1733" i="3"/>
  <c r="M1733" i="3"/>
  <c r="L1733" i="3"/>
  <c r="N1733" i="3" s="1"/>
  <c r="K1733" i="3"/>
  <c r="J1733" i="3"/>
  <c r="E1733" i="3"/>
  <c r="D1733" i="3"/>
  <c r="T1732" i="3"/>
  <c r="S1732" i="3"/>
  <c r="R1732" i="3"/>
  <c r="Q1732" i="3"/>
  <c r="P1732" i="3"/>
  <c r="O1732" i="3"/>
  <c r="M1732" i="3"/>
  <c r="L1732" i="3"/>
  <c r="N1732" i="3" s="1"/>
  <c r="K1732" i="3"/>
  <c r="J1732" i="3"/>
  <c r="E1732" i="3"/>
  <c r="D1732" i="3"/>
  <c r="T1731" i="3"/>
  <c r="S1731" i="3"/>
  <c r="R1731" i="3"/>
  <c r="Q1731" i="3"/>
  <c r="P1731" i="3"/>
  <c r="O1731" i="3"/>
  <c r="M1731" i="3"/>
  <c r="L1731" i="3"/>
  <c r="N1731" i="3" s="1"/>
  <c r="K1731" i="3"/>
  <c r="J1731" i="3"/>
  <c r="E1731" i="3"/>
  <c r="D1731" i="3"/>
  <c r="T1730" i="3"/>
  <c r="S1730" i="3"/>
  <c r="R1730" i="3"/>
  <c r="Q1730" i="3"/>
  <c r="P1730" i="3"/>
  <c r="O1730" i="3"/>
  <c r="M1730" i="3"/>
  <c r="L1730" i="3"/>
  <c r="N1730" i="3" s="1"/>
  <c r="K1730" i="3"/>
  <c r="J1730" i="3"/>
  <c r="E1730" i="3"/>
  <c r="D1730" i="3"/>
  <c r="T1729" i="3"/>
  <c r="S1729" i="3"/>
  <c r="R1729" i="3"/>
  <c r="Q1729" i="3"/>
  <c r="P1729" i="3"/>
  <c r="O1729" i="3"/>
  <c r="M1729" i="3"/>
  <c r="L1729" i="3"/>
  <c r="N1729" i="3" s="1"/>
  <c r="K1729" i="3"/>
  <c r="J1729" i="3"/>
  <c r="E1729" i="3"/>
  <c r="D1729" i="3"/>
  <c r="T1728" i="3"/>
  <c r="S1728" i="3"/>
  <c r="R1728" i="3"/>
  <c r="Q1728" i="3"/>
  <c r="P1728" i="3"/>
  <c r="O1728" i="3"/>
  <c r="M1728" i="3"/>
  <c r="L1728" i="3"/>
  <c r="N1728" i="3" s="1"/>
  <c r="K1728" i="3"/>
  <c r="J1728" i="3"/>
  <c r="E1728" i="3"/>
  <c r="D1728" i="3"/>
  <c r="T1727" i="3"/>
  <c r="S1727" i="3"/>
  <c r="R1727" i="3"/>
  <c r="Q1727" i="3"/>
  <c r="P1727" i="3"/>
  <c r="O1727" i="3"/>
  <c r="M1727" i="3"/>
  <c r="L1727" i="3"/>
  <c r="N1727" i="3" s="1"/>
  <c r="K1727" i="3"/>
  <c r="J1727" i="3"/>
  <c r="E1727" i="3"/>
  <c r="D1727" i="3"/>
  <c r="T1726" i="3"/>
  <c r="S1726" i="3"/>
  <c r="R1726" i="3"/>
  <c r="Q1726" i="3"/>
  <c r="P1726" i="3"/>
  <c r="O1726" i="3"/>
  <c r="M1726" i="3"/>
  <c r="L1726" i="3"/>
  <c r="N1726" i="3" s="1"/>
  <c r="K1726" i="3"/>
  <c r="J1726" i="3"/>
  <c r="E1726" i="3"/>
  <c r="D1726" i="3"/>
  <c r="T1725" i="3"/>
  <c r="S1725" i="3"/>
  <c r="R1725" i="3"/>
  <c r="Q1725" i="3"/>
  <c r="P1725" i="3"/>
  <c r="O1725" i="3"/>
  <c r="M1725" i="3"/>
  <c r="L1725" i="3"/>
  <c r="N1725" i="3" s="1"/>
  <c r="K1725" i="3"/>
  <c r="J1725" i="3"/>
  <c r="E1725" i="3"/>
  <c r="D1725" i="3"/>
  <c r="T1724" i="3"/>
  <c r="S1724" i="3"/>
  <c r="R1724" i="3"/>
  <c r="Q1724" i="3"/>
  <c r="P1724" i="3"/>
  <c r="O1724" i="3"/>
  <c r="M1724" i="3"/>
  <c r="L1724" i="3"/>
  <c r="N1724" i="3" s="1"/>
  <c r="K1724" i="3"/>
  <c r="J1724" i="3"/>
  <c r="E1724" i="3"/>
  <c r="D1724" i="3"/>
  <c r="T1723" i="3"/>
  <c r="S1723" i="3"/>
  <c r="R1723" i="3"/>
  <c r="Q1723" i="3"/>
  <c r="P1723" i="3"/>
  <c r="O1723" i="3"/>
  <c r="M1723" i="3"/>
  <c r="L1723" i="3"/>
  <c r="N1723" i="3" s="1"/>
  <c r="K1723" i="3"/>
  <c r="J1723" i="3"/>
  <c r="E1723" i="3"/>
  <c r="D1723" i="3"/>
  <c r="T1722" i="3"/>
  <c r="S1722" i="3"/>
  <c r="R1722" i="3"/>
  <c r="Q1722" i="3"/>
  <c r="P1722" i="3"/>
  <c r="O1722" i="3"/>
  <c r="M1722" i="3"/>
  <c r="L1722" i="3"/>
  <c r="N1722" i="3" s="1"/>
  <c r="K1722" i="3"/>
  <c r="J1722" i="3"/>
  <c r="E1722" i="3"/>
  <c r="D1722" i="3"/>
  <c r="T1721" i="3"/>
  <c r="S1721" i="3"/>
  <c r="R1721" i="3"/>
  <c r="Q1721" i="3"/>
  <c r="P1721" i="3"/>
  <c r="O1721" i="3"/>
  <c r="M1721" i="3"/>
  <c r="L1721" i="3"/>
  <c r="N1721" i="3" s="1"/>
  <c r="K1721" i="3"/>
  <c r="J1721" i="3"/>
  <c r="E1721" i="3"/>
  <c r="D1721" i="3"/>
  <c r="T1720" i="3"/>
  <c r="S1720" i="3"/>
  <c r="R1720" i="3"/>
  <c r="Q1720" i="3"/>
  <c r="P1720" i="3"/>
  <c r="O1720" i="3"/>
  <c r="M1720" i="3"/>
  <c r="L1720" i="3"/>
  <c r="N1720" i="3" s="1"/>
  <c r="K1720" i="3"/>
  <c r="J1720" i="3"/>
  <c r="E1720" i="3"/>
  <c r="D1720" i="3"/>
  <c r="T1719" i="3"/>
  <c r="S1719" i="3"/>
  <c r="R1719" i="3"/>
  <c r="Q1719" i="3"/>
  <c r="P1719" i="3"/>
  <c r="O1719" i="3"/>
  <c r="M1719" i="3"/>
  <c r="L1719" i="3"/>
  <c r="N1719" i="3" s="1"/>
  <c r="K1719" i="3"/>
  <c r="J1719" i="3"/>
  <c r="E1719" i="3"/>
  <c r="D1719" i="3"/>
  <c r="T1718" i="3"/>
  <c r="S1718" i="3"/>
  <c r="R1718" i="3"/>
  <c r="Q1718" i="3"/>
  <c r="P1718" i="3"/>
  <c r="O1718" i="3"/>
  <c r="M1718" i="3"/>
  <c r="L1718" i="3"/>
  <c r="N1718" i="3" s="1"/>
  <c r="K1718" i="3"/>
  <c r="J1718" i="3"/>
  <c r="E1718" i="3"/>
  <c r="D1718" i="3"/>
  <c r="T1717" i="3"/>
  <c r="S1717" i="3"/>
  <c r="R1717" i="3"/>
  <c r="Q1717" i="3"/>
  <c r="P1717" i="3"/>
  <c r="O1717" i="3"/>
  <c r="M1717" i="3"/>
  <c r="L1717" i="3"/>
  <c r="N1717" i="3" s="1"/>
  <c r="K1717" i="3"/>
  <c r="J1717" i="3"/>
  <c r="E1717" i="3"/>
  <c r="D1717" i="3"/>
  <c r="T1716" i="3"/>
  <c r="S1716" i="3"/>
  <c r="R1716" i="3"/>
  <c r="Q1716" i="3"/>
  <c r="P1716" i="3"/>
  <c r="O1716" i="3"/>
  <c r="M1716" i="3"/>
  <c r="L1716" i="3"/>
  <c r="N1716" i="3" s="1"/>
  <c r="K1716" i="3"/>
  <c r="J1716" i="3"/>
  <c r="E1716" i="3"/>
  <c r="D1716" i="3"/>
  <c r="T1715" i="3"/>
  <c r="S1715" i="3"/>
  <c r="R1715" i="3"/>
  <c r="Q1715" i="3"/>
  <c r="P1715" i="3"/>
  <c r="O1715" i="3"/>
  <c r="M1715" i="3"/>
  <c r="L1715" i="3"/>
  <c r="N1715" i="3" s="1"/>
  <c r="K1715" i="3"/>
  <c r="J1715" i="3"/>
  <c r="E1715" i="3"/>
  <c r="D1715" i="3"/>
  <c r="T1714" i="3"/>
  <c r="S1714" i="3"/>
  <c r="R1714" i="3"/>
  <c r="Q1714" i="3"/>
  <c r="P1714" i="3"/>
  <c r="O1714" i="3"/>
  <c r="M1714" i="3"/>
  <c r="L1714" i="3"/>
  <c r="N1714" i="3" s="1"/>
  <c r="K1714" i="3"/>
  <c r="J1714" i="3"/>
  <c r="E1714" i="3"/>
  <c r="D1714" i="3"/>
  <c r="T1713" i="3"/>
  <c r="S1713" i="3"/>
  <c r="R1713" i="3"/>
  <c r="Q1713" i="3"/>
  <c r="P1713" i="3"/>
  <c r="O1713" i="3"/>
  <c r="M1713" i="3"/>
  <c r="L1713" i="3"/>
  <c r="N1713" i="3" s="1"/>
  <c r="K1713" i="3"/>
  <c r="J1713" i="3"/>
  <c r="E1713" i="3"/>
  <c r="D1713" i="3"/>
  <c r="T1712" i="3"/>
  <c r="S1712" i="3"/>
  <c r="R1712" i="3"/>
  <c r="Q1712" i="3"/>
  <c r="P1712" i="3"/>
  <c r="O1712" i="3"/>
  <c r="M1712" i="3"/>
  <c r="L1712" i="3"/>
  <c r="N1712" i="3" s="1"/>
  <c r="K1712" i="3"/>
  <c r="J1712" i="3"/>
  <c r="E1712" i="3"/>
  <c r="D1712" i="3"/>
  <c r="T1711" i="3"/>
  <c r="S1711" i="3"/>
  <c r="R1711" i="3"/>
  <c r="Q1711" i="3"/>
  <c r="P1711" i="3"/>
  <c r="O1711" i="3"/>
  <c r="M1711" i="3"/>
  <c r="L1711" i="3"/>
  <c r="N1711" i="3" s="1"/>
  <c r="K1711" i="3"/>
  <c r="J1711" i="3"/>
  <c r="E1711" i="3"/>
  <c r="D1711" i="3"/>
  <c r="T1710" i="3"/>
  <c r="S1710" i="3"/>
  <c r="R1710" i="3"/>
  <c r="Q1710" i="3"/>
  <c r="P1710" i="3"/>
  <c r="O1710" i="3"/>
  <c r="M1710" i="3"/>
  <c r="L1710" i="3"/>
  <c r="N1710" i="3" s="1"/>
  <c r="K1710" i="3"/>
  <c r="J1710" i="3"/>
  <c r="E1710" i="3"/>
  <c r="D1710" i="3"/>
  <c r="T1709" i="3"/>
  <c r="S1709" i="3"/>
  <c r="R1709" i="3"/>
  <c r="Q1709" i="3"/>
  <c r="P1709" i="3"/>
  <c r="O1709" i="3"/>
  <c r="M1709" i="3"/>
  <c r="L1709" i="3"/>
  <c r="N1709" i="3" s="1"/>
  <c r="K1709" i="3"/>
  <c r="J1709" i="3"/>
  <c r="E1709" i="3"/>
  <c r="D1709" i="3"/>
  <c r="T1708" i="3"/>
  <c r="S1708" i="3"/>
  <c r="R1708" i="3"/>
  <c r="Q1708" i="3"/>
  <c r="P1708" i="3"/>
  <c r="O1708" i="3"/>
  <c r="M1708" i="3"/>
  <c r="L1708" i="3"/>
  <c r="N1708" i="3" s="1"/>
  <c r="K1708" i="3"/>
  <c r="J1708" i="3"/>
  <c r="E1708" i="3"/>
  <c r="D1708" i="3"/>
  <c r="T1707" i="3"/>
  <c r="S1707" i="3"/>
  <c r="R1707" i="3"/>
  <c r="Q1707" i="3"/>
  <c r="P1707" i="3"/>
  <c r="O1707" i="3"/>
  <c r="M1707" i="3"/>
  <c r="L1707" i="3"/>
  <c r="N1707" i="3" s="1"/>
  <c r="K1707" i="3"/>
  <c r="J1707" i="3"/>
  <c r="E1707" i="3"/>
  <c r="D1707" i="3"/>
  <c r="T1706" i="3"/>
  <c r="S1706" i="3"/>
  <c r="R1706" i="3"/>
  <c r="Q1706" i="3"/>
  <c r="P1706" i="3"/>
  <c r="O1706" i="3"/>
  <c r="M1706" i="3"/>
  <c r="L1706" i="3"/>
  <c r="N1706" i="3" s="1"/>
  <c r="K1706" i="3"/>
  <c r="J1706" i="3"/>
  <c r="E1706" i="3"/>
  <c r="D1706" i="3"/>
  <c r="T1705" i="3"/>
  <c r="S1705" i="3"/>
  <c r="R1705" i="3"/>
  <c r="Q1705" i="3"/>
  <c r="P1705" i="3"/>
  <c r="O1705" i="3"/>
  <c r="M1705" i="3"/>
  <c r="L1705" i="3"/>
  <c r="N1705" i="3" s="1"/>
  <c r="K1705" i="3"/>
  <c r="J1705" i="3"/>
  <c r="E1705" i="3"/>
  <c r="D1705" i="3"/>
  <c r="T1704" i="3"/>
  <c r="S1704" i="3"/>
  <c r="R1704" i="3"/>
  <c r="Q1704" i="3"/>
  <c r="P1704" i="3"/>
  <c r="O1704" i="3"/>
  <c r="M1704" i="3"/>
  <c r="L1704" i="3"/>
  <c r="N1704" i="3" s="1"/>
  <c r="K1704" i="3"/>
  <c r="J1704" i="3"/>
  <c r="E1704" i="3"/>
  <c r="D1704" i="3"/>
  <c r="T1703" i="3"/>
  <c r="S1703" i="3"/>
  <c r="R1703" i="3"/>
  <c r="Q1703" i="3"/>
  <c r="P1703" i="3"/>
  <c r="O1703" i="3"/>
  <c r="M1703" i="3"/>
  <c r="L1703" i="3"/>
  <c r="N1703" i="3" s="1"/>
  <c r="K1703" i="3"/>
  <c r="J1703" i="3"/>
  <c r="E1703" i="3"/>
  <c r="D1703" i="3"/>
  <c r="T1702" i="3"/>
  <c r="S1702" i="3"/>
  <c r="R1702" i="3"/>
  <c r="Q1702" i="3"/>
  <c r="P1702" i="3"/>
  <c r="O1702" i="3"/>
  <c r="M1702" i="3"/>
  <c r="L1702" i="3"/>
  <c r="N1702" i="3" s="1"/>
  <c r="K1702" i="3"/>
  <c r="J1702" i="3"/>
  <c r="E1702" i="3"/>
  <c r="D1702" i="3"/>
  <c r="T1701" i="3"/>
  <c r="S1701" i="3"/>
  <c r="R1701" i="3"/>
  <c r="Q1701" i="3"/>
  <c r="P1701" i="3"/>
  <c r="O1701" i="3"/>
  <c r="M1701" i="3"/>
  <c r="L1701" i="3"/>
  <c r="N1701" i="3" s="1"/>
  <c r="K1701" i="3"/>
  <c r="J1701" i="3"/>
  <c r="E1701" i="3"/>
  <c r="D1701" i="3"/>
  <c r="T1700" i="3"/>
  <c r="S1700" i="3"/>
  <c r="R1700" i="3"/>
  <c r="Q1700" i="3"/>
  <c r="P1700" i="3"/>
  <c r="O1700" i="3"/>
  <c r="M1700" i="3"/>
  <c r="L1700" i="3"/>
  <c r="N1700" i="3" s="1"/>
  <c r="K1700" i="3"/>
  <c r="J1700" i="3"/>
  <c r="E1700" i="3"/>
  <c r="D1700" i="3"/>
  <c r="T1699" i="3"/>
  <c r="S1699" i="3"/>
  <c r="R1699" i="3"/>
  <c r="Q1699" i="3"/>
  <c r="P1699" i="3"/>
  <c r="O1699" i="3"/>
  <c r="M1699" i="3"/>
  <c r="L1699" i="3"/>
  <c r="N1699" i="3" s="1"/>
  <c r="K1699" i="3"/>
  <c r="J1699" i="3"/>
  <c r="E1699" i="3"/>
  <c r="D1699" i="3"/>
  <c r="T1698" i="3"/>
  <c r="S1698" i="3"/>
  <c r="R1698" i="3"/>
  <c r="Q1698" i="3"/>
  <c r="P1698" i="3"/>
  <c r="O1698" i="3"/>
  <c r="M1698" i="3"/>
  <c r="L1698" i="3"/>
  <c r="N1698" i="3" s="1"/>
  <c r="K1698" i="3"/>
  <c r="J1698" i="3"/>
  <c r="E1698" i="3"/>
  <c r="D1698" i="3"/>
  <c r="T1697" i="3"/>
  <c r="S1697" i="3"/>
  <c r="R1697" i="3"/>
  <c r="Q1697" i="3"/>
  <c r="P1697" i="3"/>
  <c r="O1697" i="3"/>
  <c r="M1697" i="3"/>
  <c r="L1697" i="3"/>
  <c r="N1697" i="3" s="1"/>
  <c r="K1697" i="3"/>
  <c r="J1697" i="3"/>
  <c r="E1697" i="3"/>
  <c r="D1697" i="3"/>
  <c r="T1696" i="3"/>
  <c r="S1696" i="3"/>
  <c r="R1696" i="3"/>
  <c r="Q1696" i="3"/>
  <c r="P1696" i="3"/>
  <c r="O1696" i="3"/>
  <c r="M1696" i="3"/>
  <c r="L1696" i="3"/>
  <c r="N1696" i="3" s="1"/>
  <c r="K1696" i="3"/>
  <c r="J1696" i="3"/>
  <c r="E1696" i="3"/>
  <c r="D1696" i="3"/>
  <c r="T1695" i="3"/>
  <c r="S1695" i="3"/>
  <c r="R1695" i="3"/>
  <c r="Q1695" i="3"/>
  <c r="P1695" i="3"/>
  <c r="O1695" i="3"/>
  <c r="M1695" i="3"/>
  <c r="L1695" i="3"/>
  <c r="N1695" i="3" s="1"/>
  <c r="K1695" i="3"/>
  <c r="J1695" i="3"/>
  <c r="E1695" i="3"/>
  <c r="D1695" i="3"/>
  <c r="T1694" i="3"/>
  <c r="S1694" i="3"/>
  <c r="R1694" i="3"/>
  <c r="Q1694" i="3"/>
  <c r="P1694" i="3"/>
  <c r="O1694" i="3"/>
  <c r="M1694" i="3"/>
  <c r="L1694" i="3"/>
  <c r="N1694" i="3" s="1"/>
  <c r="K1694" i="3"/>
  <c r="J1694" i="3"/>
  <c r="E1694" i="3"/>
  <c r="D1694" i="3"/>
  <c r="T1693" i="3"/>
  <c r="S1693" i="3"/>
  <c r="R1693" i="3"/>
  <c r="Q1693" i="3"/>
  <c r="P1693" i="3"/>
  <c r="O1693" i="3"/>
  <c r="M1693" i="3"/>
  <c r="L1693" i="3"/>
  <c r="N1693" i="3" s="1"/>
  <c r="K1693" i="3"/>
  <c r="J1693" i="3"/>
  <c r="E1693" i="3"/>
  <c r="D1693" i="3"/>
  <c r="T1692" i="3"/>
  <c r="S1692" i="3"/>
  <c r="R1692" i="3"/>
  <c r="Q1692" i="3"/>
  <c r="P1692" i="3"/>
  <c r="O1692" i="3"/>
  <c r="M1692" i="3"/>
  <c r="L1692" i="3"/>
  <c r="N1692" i="3" s="1"/>
  <c r="K1692" i="3"/>
  <c r="J1692" i="3"/>
  <c r="E1692" i="3"/>
  <c r="D1692" i="3"/>
  <c r="T1691" i="3"/>
  <c r="S1691" i="3"/>
  <c r="R1691" i="3"/>
  <c r="Q1691" i="3"/>
  <c r="P1691" i="3"/>
  <c r="O1691" i="3"/>
  <c r="M1691" i="3"/>
  <c r="L1691" i="3"/>
  <c r="N1691" i="3" s="1"/>
  <c r="K1691" i="3"/>
  <c r="J1691" i="3"/>
  <c r="E1691" i="3"/>
  <c r="D1691" i="3"/>
  <c r="T1690" i="3"/>
  <c r="S1690" i="3"/>
  <c r="R1690" i="3"/>
  <c r="Q1690" i="3"/>
  <c r="P1690" i="3"/>
  <c r="O1690" i="3"/>
  <c r="M1690" i="3"/>
  <c r="L1690" i="3"/>
  <c r="N1690" i="3" s="1"/>
  <c r="K1690" i="3"/>
  <c r="J1690" i="3"/>
  <c r="E1690" i="3"/>
  <c r="D1690" i="3"/>
  <c r="T1689" i="3"/>
  <c r="S1689" i="3"/>
  <c r="R1689" i="3"/>
  <c r="Q1689" i="3"/>
  <c r="P1689" i="3"/>
  <c r="O1689" i="3"/>
  <c r="M1689" i="3"/>
  <c r="L1689" i="3"/>
  <c r="N1689" i="3" s="1"/>
  <c r="K1689" i="3"/>
  <c r="J1689" i="3"/>
  <c r="E1689" i="3"/>
  <c r="D1689" i="3"/>
  <c r="T1688" i="3"/>
  <c r="S1688" i="3"/>
  <c r="R1688" i="3"/>
  <c r="Q1688" i="3"/>
  <c r="P1688" i="3"/>
  <c r="O1688" i="3"/>
  <c r="M1688" i="3"/>
  <c r="L1688" i="3"/>
  <c r="N1688" i="3" s="1"/>
  <c r="K1688" i="3"/>
  <c r="J1688" i="3"/>
  <c r="E1688" i="3"/>
  <c r="D1688" i="3"/>
  <c r="T1687" i="3"/>
  <c r="S1687" i="3"/>
  <c r="R1687" i="3"/>
  <c r="Q1687" i="3"/>
  <c r="P1687" i="3"/>
  <c r="O1687" i="3"/>
  <c r="M1687" i="3"/>
  <c r="L1687" i="3"/>
  <c r="N1687" i="3" s="1"/>
  <c r="K1687" i="3"/>
  <c r="J1687" i="3"/>
  <c r="E1687" i="3"/>
  <c r="D1687" i="3"/>
  <c r="T1686" i="3"/>
  <c r="S1686" i="3"/>
  <c r="R1686" i="3"/>
  <c r="Q1686" i="3"/>
  <c r="P1686" i="3"/>
  <c r="O1686" i="3"/>
  <c r="M1686" i="3"/>
  <c r="L1686" i="3"/>
  <c r="N1686" i="3" s="1"/>
  <c r="K1686" i="3"/>
  <c r="J1686" i="3"/>
  <c r="E1686" i="3"/>
  <c r="D1686" i="3"/>
  <c r="T1685" i="3"/>
  <c r="S1685" i="3"/>
  <c r="R1685" i="3"/>
  <c r="Q1685" i="3"/>
  <c r="P1685" i="3"/>
  <c r="O1685" i="3"/>
  <c r="M1685" i="3"/>
  <c r="L1685" i="3"/>
  <c r="N1685" i="3" s="1"/>
  <c r="K1685" i="3"/>
  <c r="J1685" i="3"/>
  <c r="E1685" i="3"/>
  <c r="D1685" i="3"/>
  <c r="T1684" i="3"/>
  <c r="S1684" i="3"/>
  <c r="R1684" i="3"/>
  <c r="Q1684" i="3"/>
  <c r="P1684" i="3"/>
  <c r="O1684" i="3"/>
  <c r="M1684" i="3"/>
  <c r="L1684" i="3"/>
  <c r="N1684" i="3" s="1"/>
  <c r="K1684" i="3"/>
  <c r="J1684" i="3"/>
  <c r="E1684" i="3"/>
  <c r="D1684" i="3"/>
  <c r="T1683" i="3"/>
  <c r="S1683" i="3"/>
  <c r="R1683" i="3"/>
  <c r="Q1683" i="3"/>
  <c r="P1683" i="3"/>
  <c r="O1683" i="3"/>
  <c r="M1683" i="3"/>
  <c r="L1683" i="3"/>
  <c r="N1683" i="3" s="1"/>
  <c r="K1683" i="3"/>
  <c r="J1683" i="3"/>
  <c r="E1683" i="3"/>
  <c r="D1683" i="3"/>
  <c r="T1682" i="3"/>
  <c r="S1682" i="3"/>
  <c r="R1682" i="3"/>
  <c r="Q1682" i="3"/>
  <c r="P1682" i="3"/>
  <c r="O1682" i="3"/>
  <c r="M1682" i="3"/>
  <c r="L1682" i="3"/>
  <c r="N1682" i="3" s="1"/>
  <c r="K1682" i="3"/>
  <c r="J1682" i="3"/>
  <c r="E1682" i="3"/>
  <c r="D1682" i="3"/>
  <c r="T1681" i="3"/>
  <c r="S1681" i="3"/>
  <c r="R1681" i="3"/>
  <c r="Q1681" i="3"/>
  <c r="P1681" i="3"/>
  <c r="O1681" i="3"/>
  <c r="M1681" i="3"/>
  <c r="L1681" i="3"/>
  <c r="N1681" i="3" s="1"/>
  <c r="K1681" i="3"/>
  <c r="J1681" i="3"/>
  <c r="E1681" i="3"/>
  <c r="D1681" i="3"/>
  <c r="T1680" i="3"/>
  <c r="S1680" i="3"/>
  <c r="R1680" i="3"/>
  <c r="Q1680" i="3"/>
  <c r="P1680" i="3"/>
  <c r="O1680" i="3"/>
  <c r="M1680" i="3"/>
  <c r="L1680" i="3"/>
  <c r="N1680" i="3" s="1"/>
  <c r="K1680" i="3"/>
  <c r="J1680" i="3"/>
  <c r="E1680" i="3"/>
  <c r="D1680" i="3"/>
  <c r="T1679" i="3"/>
  <c r="S1679" i="3"/>
  <c r="R1679" i="3"/>
  <c r="Q1679" i="3"/>
  <c r="P1679" i="3"/>
  <c r="O1679" i="3"/>
  <c r="M1679" i="3"/>
  <c r="L1679" i="3"/>
  <c r="N1679" i="3" s="1"/>
  <c r="K1679" i="3"/>
  <c r="J1679" i="3"/>
  <c r="E1679" i="3"/>
  <c r="D1679" i="3"/>
  <c r="T1678" i="3"/>
  <c r="S1678" i="3"/>
  <c r="R1678" i="3"/>
  <c r="Q1678" i="3"/>
  <c r="P1678" i="3"/>
  <c r="O1678" i="3"/>
  <c r="M1678" i="3"/>
  <c r="L1678" i="3"/>
  <c r="N1678" i="3" s="1"/>
  <c r="K1678" i="3"/>
  <c r="J1678" i="3"/>
  <c r="E1678" i="3"/>
  <c r="D1678" i="3"/>
  <c r="T1677" i="3"/>
  <c r="S1677" i="3"/>
  <c r="R1677" i="3"/>
  <c r="Q1677" i="3"/>
  <c r="P1677" i="3"/>
  <c r="O1677" i="3"/>
  <c r="M1677" i="3"/>
  <c r="L1677" i="3"/>
  <c r="N1677" i="3" s="1"/>
  <c r="K1677" i="3"/>
  <c r="J1677" i="3"/>
  <c r="E1677" i="3"/>
  <c r="D1677" i="3"/>
  <c r="T1676" i="3"/>
  <c r="S1676" i="3"/>
  <c r="R1676" i="3"/>
  <c r="Q1676" i="3"/>
  <c r="P1676" i="3"/>
  <c r="O1676" i="3"/>
  <c r="M1676" i="3"/>
  <c r="L1676" i="3"/>
  <c r="N1676" i="3" s="1"/>
  <c r="K1676" i="3"/>
  <c r="J1676" i="3"/>
  <c r="E1676" i="3"/>
  <c r="D1676" i="3"/>
  <c r="T1675" i="3"/>
  <c r="S1675" i="3"/>
  <c r="R1675" i="3"/>
  <c r="Q1675" i="3"/>
  <c r="P1675" i="3"/>
  <c r="O1675" i="3"/>
  <c r="M1675" i="3"/>
  <c r="L1675" i="3"/>
  <c r="N1675" i="3" s="1"/>
  <c r="K1675" i="3"/>
  <c r="J1675" i="3"/>
  <c r="E1675" i="3"/>
  <c r="D1675" i="3"/>
  <c r="T1674" i="3"/>
  <c r="S1674" i="3"/>
  <c r="R1674" i="3"/>
  <c r="Q1674" i="3"/>
  <c r="P1674" i="3"/>
  <c r="O1674" i="3"/>
  <c r="M1674" i="3"/>
  <c r="L1674" i="3"/>
  <c r="N1674" i="3" s="1"/>
  <c r="K1674" i="3"/>
  <c r="J1674" i="3"/>
  <c r="E1674" i="3"/>
  <c r="D1674" i="3"/>
  <c r="T1673" i="3"/>
  <c r="S1673" i="3"/>
  <c r="R1673" i="3"/>
  <c r="Q1673" i="3"/>
  <c r="P1673" i="3"/>
  <c r="O1673" i="3"/>
  <c r="M1673" i="3"/>
  <c r="L1673" i="3"/>
  <c r="N1673" i="3" s="1"/>
  <c r="K1673" i="3"/>
  <c r="J1673" i="3"/>
  <c r="E1673" i="3"/>
  <c r="D1673" i="3"/>
  <c r="T1672" i="3"/>
  <c r="S1672" i="3"/>
  <c r="R1672" i="3"/>
  <c r="Q1672" i="3"/>
  <c r="P1672" i="3"/>
  <c r="O1672" i="3"/>
  <c r="M1672" i="3"/>
  <c r="L1672" i="3"/>
  <c r="N1672" i="3" s="1"/>
  <c r="K1672" i="3"/>
  <c r="J1672" i="3"/>
  <c r="E1672" i="3"/>
  <c r="D1672" i="3"/>
  <c r="T1671" i="3"/>
  <c r="S1671" i="3"/>
  <c r="R1671" i="3"/>
  <c r="Q1671" i="3"/>
  <c r="P1671" i="3"/>
  <c r="O1671" i="3"/>
  <c r="M1671" i="3"/>
  <c r="L1671" i="3"/>
  <c r="N1671" i="3" s="1"/>
  <c r="K1671" i="3"/>
  <c r="J1671" i="3"/>
  <c r="E1671" i="3"/>
  <c r="D1671" i="3"/>
  <c r="T1670" i="3"/>
  <c r="S1670" i="3"/>
  <c r="R1670" i="3"/>
  <c r="Q1670" i="3"/>
  <c r="P1670" i="3"/>
  <c r="O1670" i="3"/>
  <c r="M1670" i="3"/>
  <c r="L1670" i="3"/>
  <c r="N1670" i="3" s="1"/>
  <c r="K1670" i="3"/>
  <c r="J1670" i="3"/>
  <c r="E1670" i="3"/>
  <c r="D1670" i="3"/>
  <c r="T1669" i="3"/>
  <c r="S1669" i="3"/>
  <c r="R1669" i="3"/>
  <c r="Q1669" i="3"/>
  <c r="P1669" i="3"/>
  <c r="O1669" i="3"/>
  <c r="M1669" i="3"/>
  <c r="L1669" i="3"/>
  <c r="N1669" i="3" s="1"/>
  <c r="K1669" i="3"/>
  <c r="J1669" i="3"/>
  <c r="E1669" i="3"/>
  <c r="D1669" i="3"/>
  <c r="T1668" i="3"/>
  <c r="S1668" i="3"/>
  <c r="R1668" i="3"/>
  <c r="Q1668" i="3"/>
  <c r="P1668" i="3"/>
  <c r="O1668" i="3"/>
  <c r="M1668" i="3"/>
  <c r="L1668" i="3"/>
  <c r="N1668" i="3" s="1"/>
  <c r="K1668" i="3"/>
  <c r="J1668" i="3"/>
  <c r="E1668" i="3"/>
  <c r="D1668" i="3"/>
  <c r="T1667" i="3"/>
  <c r="S1667" i="3"/>
  <c r="R1667" i="3"/>
  <c r="Q1667" i="3"/>
  <c r="P1667" i="3"/>
  <c r="O1667" i="3"/>
  <c r="M1667" i="3"/>
  <c r="L1667" i="3"/>
  <c r="N1667" i="3" s="1"/>
  <c r="K1667" i="3"/>
  <c r="J1667" i="3"/>
  <c r="E1667" i="3"/>
  <c r="D1667" i="3"/>
  <c r="T1666" i="3"/>
  <c r="S1666" i="3"/>
  <c r="R1666" i="3"/>
  <c r="Q1666" i="3"/>
  <c r="P1666" i="3"/>
  <c r="O1666" i="3"/>
  <c r="M1666" i="3"/>
  <c r="L1666" i="3"/>
  <c r="N1666" i="3" s="1"/>
  <c r="K1666" i="3"/>
  <c r="J1666" i="3"/>
  <c r="E1666" i="3"/>
  <c r="D1666" i="3"/>
  <c r="T1665" i="3"/>
  <c r="S1665" i="3"/>
  <c r="R1665" i="3"/>
  <c r="Q1665" i="3"/>
  <c r="P1665" i="3"/>
  <c r="O1665" i="3"/>
  <c r="M1665" i="3"/>
  <c r="L1665" i="3"/>
  <c r="N1665" i="3" s="1"/>
  <c r="K1665" i="3"/>
  <c r="J1665" i="3"/>
  <c r="E1665" i="3"/>
  <c r="D1665" i="3"/>
  <c r="T1664" i="3"/>
  <c r="S1664" i="3"/>
  <c r="R1664" i="3"/>
  <c r="Q1664" i="3"/>
  <c r="P1664" i="3"/>
  <c r="O1664" i="3"/>
  <c r="M1664" i="3"/>
  <c r="L1664" i="3"/>
  <c r="N1664" i="3" s="1"/>
  <c r="K1664" i="3"/>
  <c r="J1664" i="3"/>
  <c r="E1664" i="3"/>
  <c r="D1664" i="3"/>
  <c r="T1663" i="3"/>
  <c r="S1663" i="3"/>
  <c r="R1663" i="3"/>
  <c r="Q1663" i="3"/>
  <c r="P1663" i="3"/>
  <c r="O1663" i="3"/>
  <c r="M1663" i="3"/>
  <c r="L1663" i="3"/>
  <c r="N1663" i="3" s="1"/>
  <c r="K1663" i="3"/>
  <c r="J1663" i="3"/>
  <c r="E1663" i="3"/>
  <c r="D1663" i="3"/>
  <c r="T1662" i="3"/>
  <c r="S1662" i="3"/>
  <c r="R1662" i="3"/>
  <c r="Q1662" i="3"/>
  <c r="P1662" i="3"/>
  <c r="O1662" i="3"/>
  <c r="M1662" i="3"/>
  <c r="L1662" i="3"/>
  <c r="N1662" i="3" s="1"/>
  <c r="K1662" i="3"/>
  <c r="J1662" i="3"/>
  <c r="E1662" i="3"/>
  <c r="D1662" i="3"/>
  <c r="T1661" i="3"/>
  <c r="S1661" i="3"/>
  <c r="R1661" i="3"/>
  <c r="Q1661" i="3"/>
  <c r="P1661" i="3"/>
  <c r="O1661" i="3"/>
  <c r="M1661" i="3"/>
  <c r="L1661" i="3"/>
  <c r="N1661" i="3" s="1"/>
  <c r="K1661" i="3"/>
  <c r="J1661" i="3"/>
  <c r="E1661" i="3"/>
  <c r="D1661" i="3"/>
  <c r="T1660" i="3"/>
  <c r="S1660" i="3"/>
  <c r="R1660" i="3"/>
  <c r="Q1660" i="3"/>
  <c r="P1660" i="3"/>
  <c r="O1660" i="3"/>
  <c r="M1660" i="3"/>
  <c r="L1660" i="3"/>
  <c r="N1660" i="3" s="1"/>
  <c r="K1660" i="3"/>
  <c r="J1660" i="3"/>
  <c r="E1660" i="3"/>
  <c r="D1660" i="3"/>
  <c r="T1659" i="3"/>
  <c r="S1659" i="3"/>
  <c r="R1659" i="3"/>
  <c r="Q1659" i="3"/>
  <c r="P1659" i="3"/>
  <c r="O1659" i="3"/>
  <c r="M1659" i="3"/>
  <c r="L1659" i="3"/>
  <c r="N1659" i="3" s="1"/>
  <c r="K1659" i="3"/>
  <c r="J1659" i="3"/>
  <c r="E1659" i="3"/>
  <c r="D1659" i="3"/>
  <c r="T1658" i="3"/>
  <c r="S1658" i="3"/>
  <c r="R1658" i="3"/>
  <c r="Q1658" i="3"/>
  <c r="P1658" i="3"/>
  <c r="O1658" i="3"/>
  <c r="M1658" i="3"/>
  <c r="L1658" i="3"/>
  <c r="N1658" i="3" s="1"/>
  <c r="K1658" i="3"/>
  <c r="J1658" i="3"/>
  <c r="E1658" i="3"/>
  <c r="D1658" i="3"/>
  <c r="T1657" i="3"/>
  <c r="S1657" i="3"/>
  <c r="R1657" i="3"/>
  <c r="Q1657" i="3"/>
  <c r="P1657" i="3"/>
  <c r="O1657" i="3"/>
  <c r="M1657" i="3"/>
  <c r="L1657" i="3"/>
  <c r="N1657" i="3" s="1"/>
  <c r="K1657" i="3"/>
  <c r="J1657" i="3"/>
  <c r="E1657" i="3"/>
  <c r="D1657" i="3"/>
  <c r="T1656" i="3"/>
  <c r="S1656" i="3"/>
  <c r="R1656" i="3"/>
  <c r="Q1656" i="3"/>
  <c r="P1656" i="3"/>
  <c r="O1656" i="3"/>
  <c r="M1656" i="3"/>
  <c r="L1656" i="3"/>
  <c r="N1656" i="3" s="1"/>
  <c r="K1656" i="3"/>
  <c r="J1656" i="3"/>
  <c r="E1656" i="3"/>
  <c r="D1656" i="3"/>
  <c r="T1655" i="3"/>
  <c r="S1655" i="3"/>
  <c r="R1655" i="3"/>
  <c r="Q1655" i="3"/>
  <c r="P1655" i="3"/>
  <c r="O1655" i="3"/>
  <c r="M1655" i="3"/>
  <c r="L1655" i="3"/>
  <c r="N1655" i="3" s="1"/>
  <c r="K1655" i="3"/>
  <c r="J1655" i="3"/>
  <c r="E1655" i="3"/>
  <c r="D1655" i="3"/>
  <c r="T1654" i="3"/>
  <c r="S1654" i="3"/>
  <c r="R1654" i="3"/>
  <c r="Q1654" i="3"/>
  <c r="P1654" i="3"/>
  <c r="O1654" i="3"/>
  <c r="M1654" i="3"/>
  <c r="L1654" i="3"/>
  <c r="N1654" i="3" s="1"/>
  <c r="K1654" i="3"/>
  <c r="J1654" i="3"/>
  <c r="E1654" i="3"/>
  <c r="D1654" i="3"/>
  <c r="T1653" i="3"/>
  <c r="S1653" i="3"/>
  <c r="R1653" i="3"/>
  <c r="Q1653" i="3"/>
  <c r="P1653" i="3"/>
  <c r="O1653" i="3"/>
  <c r="M1653" i="3"/>
  <c r="L1653" i="3"/>
  <c r="N1653" i="3" s="1"/>
  <c r="K1653" i="3"/>
  <c r="J1653" i="3"/>
  <c r="E1653" i="3"/>
  <c r="D1653" i="3"/>
  <c r="T1652" i="3"/>
  <c r="S1652" i="3"/>
  <c r="R1652" i="3"/>
  <c r="Q1652" i="3"/>
  <c r="P1652" i="3"/>
  <c r="O1652" i="3"/>
  <c r="M1652" i="3"/>
  <c r="L1652" i="3"/>
  <c r="N1652" i="3" s="1"/>
  <c r="K1652" i="3"/>
  <c r="J1652" i="3"/>
  <c r="E1652" i="3"/>
  <c r="D1652" i="3"/>
  <c r="T1651" i="3"/>
  <c r="S1651" i="3"/>
  <c r="R1651" i="3"/>
  <c r="Q1651" i="3"/>
  <c r="P1651" i="3"/>
  <c r="O1651" i="3"/>
  <c r="M1651" i="3"/>
  <c r="L1651" i="3"/>
  <c r="N1651" i="3" s="1"/>
  <c r="K1651" i="3"/>
  <c r="J1651" i="3"/>
  <c r="E1651" i="3"/>
  <c r="D1651" i="3"/>
  <c r="T1650" i="3"/>
  <c r="S1650" i="3"/>
  <c r="R1650" i="3"/>
  <c r="Q1650" i="3"/>
  <c r="P1650" i="3"/>
  <c r="O1650" i="3"/>
  <c r="M1650" i="3"/>
  <c r="L1650" i="3"/>
  <c r="N1650" i="3" s="1"/>
  <c r="K1650" i="3"/>
  <c r="J1650" i="3"/>
  <c r="E1650" i="3"/>
  <c r="D1650" i="3"/>
  <c r="T1649" i="3"/>
  <c r="S1649" i="3"/>
  <c r="R1649" i="3"/>
  <c r="Q1649" i="3"/>
  <c r="P1649" i="3"/>
  <c r="O1649" i="3"/>
  <c r="M1649" i="3"/>
  <c r="L1649" i="3"/>
  <c r="N1649" i="3" s="1"/>
  <c r="K1649" i="3"/>
  <c r="J1649" i="3"/>
  <c r="E1649" i="3"/>
  <c r="D1649" i="3"/>
  <c r="T1648" i="3"/>
  <c r="S1648" i="3"/>
  <c r="R1648" i="3"/>
  <c r="Q1648" i="3"/>
  <c r="P1648" i="3"/>
  <c r="O1648" i="3"/>
  <c r="M1648" i="3"/>
  <c r="L1648" i="3"/>
  <c r="N1648" i="3" s="1"/>
  <c r="K1648" i="3"/>
  <c r="J1648" i="3"/>
  <c r="E1648" i="3"/>
  <c r="D1648" i="3"/>
  <c r="T1647" i="3"/>
  <c r="S1647" i="3"/>
  <c r="R1647" i="3"/>
  <c r="Q1647" i="3"/>
  <c r="P1647" i="3"/>
  <c r="O1647" i="3"/>
  <c r="M1647" i="3"/>
  <c r="L1647" i="3"/>
  <c r="N1647" i="3" s="1"/>
  <c r="K1647" i="3"/>
  <c r="J1647" i="3"/>
  <c r="E1647" i="3"/>
  <c r="D1647" i="3"/>
  <c r="T1646" i="3"/>
  <c r="S1646" i="3"/>
  <c r="R1646" i="3"/>
  <c r="Q1646" i="3"/>
  <c r="P1646" i="3"/>
  <c r="O1646" i="3"/>
  <c r="M1646" i="3"/>
  <c r="L1646" i="3"/>
  <c r="N1646" i="3" s="1"/>
  <c r="K1646" i="3"/>
  <c r="J1646" i="3"/>
  <c r="E1646" i="3"/>
  <c r="D1646" i="3"/>
  <c r="T1645" i="3"/>
  <c r="S1645" i="3"/>
  <c r="R1645" i="3"/>
  <c r="Q1645" i="3"/>
  <c r="P1645" i="3"/>
  <c r="O1645" i="3"/>
  <c r="M1645" i="3"/>
  <c r="L1645" i="3"/>
  <c r="N1645" i="3" s="1"/>
  <c r="K1645" i="3"/>
  <c r="J1645" i="3"/>
  <c r="E1645" i="3"/>
  <c r="D1645" i="3"/>
  <c r="T1644" i="3"/>
  <c r="S1644" i="3"/>
  <c r="R1644" i="3"/>
  <c r="Q1644" i="3"/>
  <c r="P1644" i="3"/>
  <c r="O1644" i="3"/>
  <c r="M1644" i="3"/>
  <c r="L1644" i="3"/>
  <c r="N1644" i="3" s="1"/>
  <c r="K1644" i="3"/>
  <c r="J1644" i="3"/>
  <c r="E1644" i="3"/>
  <c r="D1644" i="3"/>
  <c r="T1643" i="3"/>
  <c r="S1643" i="3"/>
  <c r="R1643" i="3"/>
  <c r="Q1643" i="3"/>
  <c r="P1643" i="3"/>
  <c r="O1643" i="3"/>
  <c r="M1643" i="3"/>
  <c r="L1643" i="3"/>
  <c r="N1643" i="3" s="1"/>
  <c r="K1643" i="3"/>
  <c r="J1643" i="3"/>
  <c r="E1643" i="3"/>
  <c r="D1643" i="3"/>
  <c r="T1642" i="3"/>
  <c r="S1642" i="3"/>
  <c r="R1642" i="3"/>
  <c r="Q1642" i="3"/>
  <c r="P1642" i="3"/>
  <c r="O1642" i="3"/>
  <c r="M1642" i="3"/>
  <c r="L1642" i="3"/>
  <c r="N1642" i="3" s="1"/>
  <c r="K1642" i="3"/>
  <c r="J1642" i="3"/>
  <c r="E1642" i="3"/>
  <c r="D1642" i="3"/>
  <c r="T1641" i="3"/>
  <c r="S1641" i="3"/>
  <c r="R1641" i="3"/>
  <c r="Q1641" i="3"/>
  <c r="P1641" i="3"/>
  <c r="O1641" i="3"/>
  <c r="M1641" i="3"/>
  <c r="L1641" i="3"/>
  <c r="N1641" i="3" s="1"/>
  <c r="K1641" i="3"/>
  <c r="J1641" i="3"/>
  <c r="E1641" i="3"/>
  <c r="D1641" i="3"/>
  <c r="T1640" i="3"/>
  <c r="S1640" i="3"/>
  <c r="R1640" i="3"/>
  <c r="Q1640" i="3"/>
  <c r="P1640" i="3"/>
  <c r="O1640" i="3"/>
  <c r="M1640" i="3"/>
  <c r="L1640" i="3"/>
  <c r="N1640" i="3" s="1"/>
  <c r="K1640" i="3"/>
  <c r="J1640" i="3"/>
  <c r="E1640" i="3"/>
  <c r="D1640" i="3"/>
  <c r="T1639" i="3"/>
  <c r="S1639" i="3"/>
  <c r="R1639" i="3"/>
  <c r="Q1639" i="3"/>
  <c r="P1639" i="3"/>
  <c r="O1639" i="3"/>
  <c r="M1639" i="3"/>
  <c r="L1639" i="3"/>
  <c r="N1639" i="3" s="1"/>
  <c r="K1639" i="3"/>
  <c r="J1639" i="3"/>
  <c r="E1639" i="3"/>
  <c r="D1639" i="3"/>
  <c r="T1638" i="3"/>
  <c r="S1638" i="3"/>
  <c r="R1638" i="3"/>
  <c r="Q1638" i="3"/>
  <c r="P1638" i="3"/>
  <c r="O1638" i="3"/>
  <c r="M1638" i="3"/>
  <c r="L1638" i="3"/>
  <c r="N1638" i="3" s="1"/>
  <c r="K1638" i="3"/>
  <c r="J1638" i="3"/>
  <c r="E1638" i="3"/>
  <c r="D1638" i="3"/>
  <c r="T1637" i="3"/>
  <c r="S1637" i="3"/>
  <c r="R1637" i="3"/>
  <c r="Q1637" i="3"/>
  <c r="P1637" i="3"/>
  <c r="O1637" i="3"/>
  <c r="M1637" i="3"/>
  <c r="L1637" i="3"/>
  <c r="N1637" i="3" s="1"/>
  <c r="K1637" i="3"/>
  <c r="J1637" i="3"/>
  <c r="E1637" i="3"/>
  <c r="D1637" i="3"/>
  <c r="T1636" i="3"/>
  <c r="S1636" i="3"/>
  <c r="R1636" i="3"/>
  <c r="Q1636" i="3"/>
  <c r="P1636" i="3"/>
  <c r="O1636" i="3"/>
  <c r="M1636" i="3"/>
  <c r="L1636" i="3"/>
  <c r="N1636" i="3" s="1"/>
  <c r="K1636" i="3"/>
  <c r="J1636" i="3"/>
  <c r="E1636" i="3"/>
  <c r="D1636" i="3"/>
  <c r="T1635" i="3"/>
  <c r="S1635" i="3"/>
  <c r="R1635" i="3"/>
  <c r="Q1635" i="3"/>
  <c r="P1635" i="3"/>
  <c r="O1635" i="3"/>
  <c r="M1635" i="3"/>
  <c r="L1635" i="3"/>
  <c r="N1635" i="3" s="1"/>
  <c r="K1635" i="3"/>
  <c r="J1635" i="3"/>
  <c r="E1635" i="3"/>
  <c r="D1635" i="3"/>
  <c r="T1634" i="3"/>
  <c r="S1634" i="3"/>
  <c r="R1634" i="3"/>
  <c r="Q1634" i="3"/>
  <c r="P1634" i="3"/>
  <c r="O1634" i="3"/>
  <c r="M1634" i="3"/>
  <c r="L1634" i="3"/>
  <c r="N1634" i="3" s="1"/>
  <c r="K1634" i="3"/>
  <c r="J1634" i="3"/>
  <c r="E1634" i="3"/>
  <c r="D1634" i="3"/>
  <c r="T1633" i="3"/>
  <c r="S1633" i="3"/>
  <c r="R1633" i="3"/>
  <c r="Q1633" i="3"/>
  <c r="P1633" i="3"/>
  <c r="O1633" i="3"/>
  <c r="M1633" i="3"/>
  <c r="L1633" i="3"/>
  <c r="N1633" i="3" s="1"/>
  <c r="K1633" i="3"/>
  <c r="J1633" i="3"/>
  <c r="E1633" i="3"/>
  <c r="D1633" i="3"/>
  <c r="T1632" i="3"/>
  <c r="S1632" i="3"/>
  <c r="R1632" i="3"/>
  <c r="Q1632" i="3"/>
  <c r="P1632" i="3"/>
  <c r="O1632" i="3"/>
  <c r="M1632" i="3"/>
  <c r="L1632" i="3"/>
  <c r="N1632" i="3" s="1"/>
  <c r="K1632" i="3"/>
  <c r="J1632" i="3"/>
  <c r="E1632" i="3"/>
  <c r="D1632" i="3"/>
  <c r="T1631" i="3"/>
  <c r="S1631" i="3"/>
  <c r="R1631" i="3"/>
  <c r="Q1631" i="3"/>
  <c r="P1631" i="3"/>
  <c r="O1631" i="3"/>
  <c r="M1631" i="3"/>
  <c r="L1631" i="3"/>
  <c r="N1631" i="3" s="1"/>
  <c r="K1631" i="3"/>
  <c r="J1631" i="3"/>
  <c r="E1631" i="3"/>
  <c r="D1631" i="3"/>
  <c r="T1630" i="3"/>
  <c r="S1630" i="3"/>
  <c r="R1630" i="3"/>
  <c r="Q1630" i="3"/>
  <c r="P1630" i="3"/>
  <c r="O1630" i="3"/>
  <c r="M1630" i="3"/>
  <c r="L1630" i="3"/>
  <c r="N1630" i="3" s="1"/>
  <c r="K1630" i="3"/>
  <c r="J1630" i="3"/>
  <c r="E1630" i="3"/>
  <c r="D1630" i="3"/>
  <c r="T1629" i="3"/>
  <c r="S1629" i="3"/>
  <c r="R1629" i="3"/>
  <c r="Q1629" i="3"/>
  <c r="P1629" i="3"/>
  <c r="O1629" i="3"/>
  <c r="M1629" i="3"/>
  <c r="L1629" i="3"/>
  <c r="N1629" i="3" s="1"/>
  <c r="K1629" i="3"/>
  <c r="J1629" i="3"/>
  <c r="E1629" i="3"/>
  <c r="D1629" i="3"/>
  <c r="T1628" i="3"/>
  <c r="S1628" i="3"/>
  <c r="R1628" i="3"/>
  <c r="Q1628" i="3"/>
  <c r="P1628" i="3"/>
  <c r="O1628" i="3"/>
  <c r="M1628" i="3"/>
  <c r="L1628" i="3"/>
  <c r="N1628" i="3" s="1"/>
  <c r="K1628" i="3"/>
  <c r="J1628" i="3"/>
  <c r="E1628" i="3"/>
  <c r="D1628" i="3"/>
  <c r="T1627" i="3"/>
  <c r="S1627" i="3"/>
  <c r="R1627" i="3"/>
  <c r="Q1627" i="3"/>
  <c r="P1627" i="3"/>
  <c r="O1627" i="3"/>
  <c r="M1627" i="3"/>
  <c r="L1627" i="3"/>
  <c r="N1627" i="3" s="1"/>
  <c r="K1627" i="3"/>
  <c r="J1627" i="3"/>
  <c r="E1627" i="3"/>
  <c r="D1627" i="3"/>
  <c r="T1626" i="3"/>
  <c r="S1626" i="3"/>
  <c r="R1626" i="3"/>
  <c r="Q1626" i="3"/>
  <c r="P1626" i="3"/>
  <c r="O1626" i="3"/>
  <c r="M1626" i="3"/>
  <c r="L1626" i="3"/>
  <c r="N1626" i="3" s="1"/>
  <c r="K1626" i="3"/>
  <c r="J1626" i="3"/>
  <c r="E1626" i="3"/>
  <c r="D1626" i="3"/>
  <c r="T1625" i="3"/>
  <c r="S1625" i="3"/>
  <c r="R1625" i="3"/>
  <c r="Q1625" i="3"/>
  <c r="P1625" i="3"/>
  <c r="O1625" i="3"/>
  <c r="M1625" i="3"/>
  <c r="L1625" i="3"/>
  <c r="N1625" i="3" s="1"/>
  <c r="K1625" i="3"/>
  <c r="J1625" i="3"/>
  <c r="E1625" i="3"/>
  <c r="D1625" i="3"/>
  <c r="T1624" i="3"/>
  <c r="S1624" i="3"/>
  <c r="R1624" i="3"/>
  <c r="Q1624" i="3"/>
  <c r="P1624" i="3"/>
  <c r="O1624" i="3"/>
  <c r="M1624" i="3"/>
  <c r="L1624" i="3"/>
  <c r="N1624" i="3" s="1"/>
  <c r="K1624" i="3"/>
  <c r="J1624" i="3"/>
  <c r="E1624" i="3"/>
  <c r="D1624" i="3"/>
  <c r="T1623" i="3"/>
  <c r="S1623" i="3"/>
  <c r="R1623" i="3"/>
  <c r="Q1623" i="3"/>
  <c r="P1623" i="3"/>
  <c r="O1623" i="3"/>
  <c r="M1623" i="3"/>
  <c r="L1623" i="3"/>
  <c r="N1623" i="3" s="1"/>
  <c r="K1623" i="3"/>
  <c r="J1623" i="3"/>
  <c r="E1623" i="3"/>
  <c r="D1623" i="3"/>
  <c r="T1622" i="3"/>
  <c r="S1622" i="3"/>
  <c r="R1622" i="3"/>
  <c r="Q1622" i="3"/>
  <c r="P1622" i="3"/>
  <c r="O1622" i="3"/>
  <c r="M1622" i="3"/>
  <c r="L1622" i="3"/>
  <c r="N1622" i="3" s="1"/>
  <c r="K1622" i="3"/>
  <c r="J1622" i="3"/>
  <c r="E1622" i="3"/>
  <c r="D1622" i="3"/>
  <c r="T1621" i="3"/>
  <c r="S1621" i="3"/>
  <c r="R1621" i="3"/>
  <c r="Q1621" i="3"/>
  <c r="P1621" i="3"/>
  <c r="O1621" i="3"/>
  <c r="M1621" i="3"/>
  <c r="L1621" i="3"/>
  <c r="N1621" i="3" s="1"/>
  <c r="K1621" i="3"/>
  <c r="J1621" i="3"/>
  <c r="E1621" i="3"/>
  <c r="D1621" i="3"/>
  <c r="T1620" i="3"/>
  <c r="S1620" i="3"/>
  <c r="R1620" i="3"/>
  <c r="Q1620" i="3"/>
  <c r="P1620" i="3"/>
  <c r="O1620" i="3"/>
  <c r="M1620" i="3"/>
  <c r="L1620" i="3"/>
  <c r="N1620" i="3" s="1"/>
  <c r="K1620" i="3"/>
  <c r="J1620" i="3"/>
  <c r="E1620" i="3"/>
  <c r="D1620" i="3"/>
  <c r="T1619" i="3"/>
  <c r="S1619" i="3"/>
  <c r="R1619" i="3"/>
  <c r="Q1619" i="3"/>
  <c r="P1619" i="3"/>
  <c r="O1619" i="3"/>
  <c r="M1619" i="3"/>
  <c r="L1619" i="3"/>
  <c r="N1619" i="3" s="1"/>
  <c r="K1619" i="3"/>
  <c r="J1619" i="3"/>
  <c r="E1619" i="3"/>
  <c r="D1619" i="3"/>
  <c r="T1618" i="3"/>
  <c r="S1618" i="3"/>
  <c r="R1618" i="3"/>
  <c r="Q1618" i="3"/>
  <c r="P1618" i="3"/>
  <c r="O1618" i="3"/>
  <c r="M1618" i="3"/>
  <c r="L1618" i="3"/>
  <c r="N1618" i="3" s="1"/>
  <c r="K1618" i="3"/>
  <c r="J1618" i="3"/>
  <c r="E1618" i="3"/>
  <c r="D1618" i="3"/>
  <c r="T1617" i="3"/>
  <c r="S1617" i="3"/>
  <c r="R1617" i="3"/>
  <c r="Q1617" i="3"/>
  <c r="P1617" i="3"/>
  <c r="O1617" i="3"/>
  <c r="M1617" i="3"/>
  <c r="L1617" i="3"/>
  <c r="N1617" i="3" s="1"/>
  <c r="K1617" i="3"/>
  <c r="J1617" i="3"/>
  <c r="E1617" i="3"/>
  <c r="D1617" i="3"/>
  <c r="T1616" i="3"/>
  <c r="S1616" i="3"/>
  <c r="R1616" i="3"/>
  <c r="Q1616" i="3"/>
  <c r="P1616" i="3"/>
  <c r="O1616" i="3"/>
  <c r="M1616" i="3"/>
  <c r="L1616" i="3"/>
  <c r="N1616" i="3" s="1"/>
  <c r="K1616" i="3"/>
  <c r="J1616" i="3"/>
  <c r="E1616" i="3"/>
  <c r="D1616" i="3"/>
  <c r="T1615" i="3"/>
  <c r="S1615" i="3"/>
  <c r="R1615" i="3"/>
  <c r="Q1615" i="3"/>
  <c r="P1615" i="3"/>
  <c r="O1615" i="3"/>
  <c r="M1615" i="3"/>
  <c r="L1615" i="3"/>
  <c r="N1615" i="3" s="1"/>
  <c r="K1615" i="3"/>
  <c r="J1615" i="3"/>
  <c r="E1615" i="3"/>
  <c r="D1615" i="3"/>
  <c r="T1614" i="3"/>
  <c r="S1614" i="3"/>
  <c r="R1614" i="3"/>
  <c r="Q1614" i="3"/>
  <c r="P1614" i="3"/>
  <c r="O1614" i="3"/>
  <c r="M1614" i="3"/>
  <c r="L1614" i="3"/>
  <c r="N1614" i="3" s="1"/>
  <c r="K1614" i="3"/>
  <c r="J1614" i="3"/>
  <c r="E1614" i="3"/>
  <c r="D1614" i="3"/>
  <c r="T1613" i="3"/>
  <c r="S1613" i="3"/>
  <c r="R1613" i="3"/>
  <c r="Q1613" i="3"/>
  <c r="P1613" i="3"/>
  <c r="O1613" i="3"/>
  <c r="M1613" i="3"/>
  <c r="L1613" i="3"/>
  <c r="N1613" i="3" s="1"/>
  <c r="K1613" i="3"/>
  <c r="J1613" i="3"/>
  <c r="E1613" i="3"/>
  <c r="D1613" i="3"/>
  <c r="T1612" i="3"/>
  <c r="S1612" i="3"/>
  <c r="R1612" i="3"/>
  <c r="Q1612" i="3"/>
  <c r="P1612" i="3"/>
  <c r="O1612" i="3"/>
  <c r="M1612" i="3"/>
  <c r="L1612" i="3"/>
  <c r="N1612" i="3" s="1"/>
  <c r="K1612" i="3"/>
  <c r="J1612" i="3"/>
  <c r="E1612" i="3"/>
  <c r="D1612" i="3"/>
  <c r="T1611" i="3"/>
  <c r="S1611" i="3"/>
  <c r="R1611" i="3"/>
  <c r="Q1611" i="3"/>
  <c r="P1611" i="3"/>
  <c r="O1611" i="3"/>
  <c r="M1611" i="3"/>
  <c r="L1611" i="3"/>
  <c r="N1611" i="3" s="1"/>
  <c r="K1611" i="3"/>
  <c r="J1611" i="3"/>
  <c r="E1611" i="3"/>
  <c r="D1611" i="3"/>
  <c r="T1610" i="3"/>
  <c r="S1610" i="3"/>
  <c r="R1610" i="3"/>
  <c r="Q1610" i="3"/>
  <c r="P1610" i="3"/>
  <c r="O1610" i="3"/>
  <c r="M1610" i="3"/>
  <c r="L1610" i="3"/>
  <c r="N1610" i="3" s="1"/>
  <c r="K1610" i="3"/>
  <c r="J1610" i="3"/>
  <c r="E1610" i="3"/>
  <c r="D1610" i="3"/>
  <c r="T1609" i="3"/>
  <c r="S1609" i="3"/>
  <c r="R1609" i="3"/>
  <c r="Q1609" i="3"/>
  <c r="P1609" i="3"/>
  <c r="O1609" i="3"/>
  <c r="M1609" i="3"/>
  <c r="L1609" i="3"/>
  <c r="N1609" i="3" s="1"/>
  <c r="K1609" i="3"/>
  <c r="J1609" i="3"/>
  <c r="E1609" i="3"/>
  <c r="D1609" i="3"/>
  <c r="T1608" i="3"/>
  <c r="S1608" i="3"/>
  <c r="R1608" i="3"/>
  <c r="Q1608" i="3"/>
  <c r="P1608" i="3"/>
  <c r="O1608" i="3"/>
  <c r="M1608" i="3"/>
  <c r="L1608" i="3"/>
  <c r="N1608" i="3" s="1"/>
  <c r="K1608" i="3"/>
  <c r="J1608" i="3"/>
  <c r="E1608" i="3"/>
  <c r="D1608" i="3"/>
  <c r="T1607" i="3"/>
  <c r="S1607" i="3"/>
  <c r="R1607" i="3"/>
  <c r="Q1607" i="3"/>
  <c r="P1607" i="3"/>
  <c r="O1607" i="3"/>
  <c r="M1607" i="3"/>
  <c r="L1607" i="3"/>
  <c r="N1607" i="3" s="1"/>
  <c r="K1607" i="3"/>
  <c r="J1607" i="3"/>
  <c r="E1607" i="3"/>
  <c r="D1607" i="3"/>
  <c r="T1606" i="3"/>
  <c r="S1606" i="3"/>
  <c r="R1606" i="3"/>
  <c r="Q1606" i="3"/>
  <c r="P1606" i="3"/>
  <c r="O1606" i="3"/>
  <c r="M1606" i="3"/>
  <c r="L1606" i="3"/>
  <c r="N1606" i="3" s="1"/>
  <c r="K1606" i="3"/>
  <c r="J1606" i="3"/>
  <c r="E1606" i="3"/>
  <c r="D1606" i="3"/>
  <c r="T1605" i="3"/>
  <c r="S1605" i="3"/>
  <c r="R1605" i="3"/>
  <c r="Q1605" i="3"/>
  <c r="P1605" i="3"/>
  <c r="O1605" i="3"/>
  <c r="M1605" i="3"/>
  <c r="L1605" i="3"/>
  <c r="N1605" i="3" s="1"/>
  <c r="K1605" i="3"/>
  <c r="J1605" i="3"/>
  <c r="E1605" i="3"/>
  <c r="D1605" i="3"/>
  <c r="T1604" i="3"/>
  <c r="S1604" i="3"/>
  <c r="R1604" i="3"/>
  <c r="Q1604" i="3"/>
  <c r="P1604" i="3"/>
  <c r="O1604" i="3"/>
  <c r="M1604" i="3"/>
  <c r="L1604" i="3"/>
  <c r="N1604" i="3" s="1"/>
  <c r="K1604" i="3"/>
  <c r="J1604" i="3"/>
  <c r="E1604" i="3"/>
  <c r="D1604" i="3"/>
  <c r="T1603" i="3"/>
  <c r="S1603" i="3"/>
  <c r="R1603" i="3"/>
  <c r="Q1603" i="3"/>
  <c r="P1603" i="3"/>
  <c r="O1603" i="3"/>
  <c r="M1603" i="3"/>
  <c r="L1603" i="3"/>
  <c r="N1603" i="3" s="1"/>
  <c r="K1603" i="3"/>
  <c r="J1603" i="3"/>
  <c r="E1603" i="3"/>
  <c r="D1603" i="3"/>
  <c r="T1602" i="3"/>
  <c r="S1602" i="3"/>
  <c r="R1602" i="3"/>
  <c r="Q1602" i="3"/>
  <c r="P1602" i="3"/>
  <c r="O1602" i="3"/>
  <c r="M1602" i="3"/>
  <c r="L1602" i="3"/>
  <c r="N1602" i="3" s="1"/>
  <c r="K1602" i="3"/>
  <c r="J1602" i="3"/>
  <c r="E1602" i="3"/>
  <c r="D1602" i="3"/>
  <c r="T1601" i="3"/>
  <c r="S1601" i="3"/>
  <c r="R1601" i="3"/>
  <c r="Q1601" i="3"/>
  <c r="P1601" i="3"/>
  <c r="O1601" i="3"/>
  <c r="M1601" i="3"/>
  <c r="L1601" i="3"/>
  <c r="N1601" i="3" s="1"/>
  <c r="K1601" i="3"/>
  <c r="J1601" i="3"/>
  <c r="E1601" i="3"/>
  <c r="D1601" i="3"/>
  <c r="T1600" i="3"/>
  <c r="S1600" i="3"/>
  <c r="R1600" i="3"/>
  <c r="Q1600" i="3"/>
  <c r="P1600" i="3"/>
  <c r="O1600" i="3"/>
  <c r="M1600" i="3"/>
  <c r="L1600" i="3"/>
  <c r="N1600" i="3" s="1"/>
  <c r="K1600" i="3"/>
  <c r="J1600" i="3"/>
  <c r="E1600" i="3"/>
  <c r="D1600" i="3"/>
  <c r="T1599" i="3"/>
  <c r="S1599" i="3"/>
  <c r="R1599" i="3"/>
  <c r="Q1599" i="3"/>
  <c r="P1599" i="3"/>
  <c r="O1599" i="3"/>
  <c r="M1599" i="3"/>
  <c r="L1599" i="3"/>
  <c r="N1599" i="3" s="1"/>
  <c r="K1599" i="3"/>
  <c r="J1599" i="3"/>
  <c r="E1599" i="3"/>
  <c r="D1599" i="3"/>
  <c r="T1598" i="3"/>
  <c r="S1598" i="3"/>
  <c r="R1598" i="3"/>
  <c r="Q1598" i="3"/>
  <c r="P1598" i="3"/>
  <c r="O1598" i="3"/>
  <c r="M1598" i="3"/>
  <c r="L1598" i="3"/>
  <c r="N1598" i="3" s="1"/>
  <c r="K1598" i="3"/>
  <c r="J1598" i="3"/>
  <c r="E1598" i="3"/>
  <c r="D1598" i="3"/>
  <c r="T1597" i="3"/>
  <c r="S1597" i="3"/>
  <c r="R1597" i="3"/>
  <c r="Q1597" i="3"/>
  <c r="P1597" i="3"/>
  <c r="O1597" i="3"/>
  <c r="M1597" i="3"/>
  <c r="L1597" i="3"/>
  <c r="N1597" i="3" s="1"/>
  <c r="K1597" i="3"/>
  <c r="J1597" i="3"/>
  <c r="E1597" i="3"/>
  <c r="D1597" i="3"/>
  <c r="T1596" i="3"/>
  <c r="S1596" i="3"/>
  <c r="R1596" i="3"/>
  <c r="Q1596" i="3"/>
  <c r="P1596" i="3"/>
  <c r="O1596" i="3"/>
  <c r="M1596" i="3"/>
  <c r="L1596" i="3"/>
  <c r="N1596" i="3" s="1"/>
  <c r="K1596" i="3"/>
  <c r="J1596" i="3"/>
  <c r="E1596" i="3"/>
  <c r="D1596" i="3"/>
  <c r="T1595" i="3"/>
  <c r="S1595" i="3"/>
  <c r="R1595" i="3"/>
  <c r="Q1595" i="3"/>
  <c r="P1595" i="3"/>
  <c r="O1595" i="3"/>
  <c r="M1595" i="3"/>
  <c r="L1595" i="3"/>
  <c r="N1595" i="3" s="1"/>
  <c r="K1595" i="3"/>
  <c r="J1595" i="3"/>
  <c r="E1595" i="3"/>
  <c r="D1595" i="3"/>
  <c r="T1594" i="3"/>
  <c r="S1594" i="3"/>
  <c r="R1594" i="3"/>
  <c r="Q1594" i="3"/>
  <c r="P1594" i="3"/>
  <c r="O1594" i="3"/>
  <c r="M1594" i="3"/>
  <c r="L1594" i="3"/>
  <c r="N1594" i="3" s="1"/>
  <c r="K1594" i="3"/>
  <c r="J1594" i="3"/>
  <c r="E1594" i="3"/>
  <c r="D1594" i="3"/>
  <c r="T1593" i="3"/>
  <c r="S1593" i="3"/>
  <c r="R1593" i="3"/>
  <c r="Q1593" i="3"/>
  <c r="P1593" i="3"/>
  <c r="O1593" i="3"/>
  <c r="M1593" i="3"/>
  <c r="L1593" i="3"/>
  <c r="N1593" i="3" s="1"/>
  <c r="K1593" i="3"/>
  <c r="J1593" i="3"/>
  <c r="E1593" i="3"/>
  <c r="D1593" i="3"/>
  <c r="T1592" i="3"/>
  <c r="S1592" i="3"/>
  <c r="R1592" i="3"/>
  <c r="Q1592" i="3"/>
  <c r="P1592" i="3"/>
  <c r="O1592" i="3"/>
  <c r="M1592" i="3"/>
  <c r="L1592" i="3"/>
  <c r="N1592" i="3" s="1"/>
  <c r="K1592" i="3"/>
  <c r="J1592" i="3"/>
  <c r="E1592" i="3"/>
  <c r="D1592" i="3"/>
  <c r="T1591" i="3"/>
  <c r="S1591" i="3"/>
  <c r="R1591" i="3"/>
  <c r="Q1591" i="3"/>
  <c r="P1591" i="3"/>
  <c r="O1591" i="3"/>
  <c r="M1591" i="3"/>
  <c r="L1591" i="3"/>
  <c r="N1591" i="3" s="1"/>
  <c r="K1591" i="3"/>
  <c r="J1591" i="3"/>
  <c r="E1591" i="3"/>
  <c r="D1591" i="3"/>
  <c r="T1590" i="3"/>
  <c r="S1590" i="3"/>
  <c r="R1590" i="3"/>
  <c r="Q1590" i="3"/>
  <c r="P1590" i="3"/>
  <c r="O1590" i="3"/>
  <c r="M1590" i="3"/>
  <c r="L1590" i="3"/>
  <c r="N1590" i="3" s="1"/>
  <c r="K1590" i="3"/>
  <c r="J1590" i="3"/>
  <c r="E1590" i="3"/>
  <c r="D1590" i="3"/>
  <c r="T1589" i="3"/>
  <c r="S1589" i="3"/>
  <c r="R1589" i="3"/>
  <c r="Q1589" i="3"/>
  <c r="P1589" i="3"/>
  <c r="O1589" i="3"/>
  <c r="M1589" i="3"/>
  <c r="L1589" i="3"/>
  <c r="N1589" i="3" s="1"/>
  <c r="K1589" i="3"/>
  <c r="J1589" i="3"/>
  <c r="E1589" i="3"/>
  <c r="D1589" i="3"/>
  <c r="T1588" i="3"/>
  <c r="S1588" i="3"/>
  <c r="R1588" i="3"/>
  <c r="Q1588" i="3"/>
  <c r="P1588" i="3"/>
  <c r="O1588" i="3"/>
  <c r="M1588" i="3"/>
  <c r="L1588" i="3"/>
  <c r="N1588" i="3" s="1"/>
  <c r="K1588" i="3"/>
  <c r="J1588" i="3"/>
  <c r="E1588" i="3"/>
  <c r="D1588" i="3"/>
  <c r="T1587" i="3"/>
  <c r="S1587" i="3"/>
  <c r="R1587" i="3"/>
  <c r="Q1587" i="3"/>
  <c r="P1587" i="3"/>
  <c r="O1587" i="3"/>
  <c r="M1587" i="3"/>
  <c r="L1587" i="3"/>
  <c r="N1587" i="3" s="1"/>
  <c r="K1587" i="3"/>
  <c r="J1587" i="3"/>
  <c r="E1587" i="3"/>
  <c r="D1587" i="3"/>
  <c r="T1586" i="3"/>
  <c r="S1586" i="3"/>
  <c r="R1586" i="3"/>
  <c r="Q1586" i="3"/>
  <c r="P1586" i="3"/>
  <c r="O1586" i="3"/>
  <c r="M1586" i="3"/>
  <c r="L1586" i="3"/>
  <c r="N1586" i="3" s="1"/>
  <c r="K1586" i="3"/>
  <c r="J1586" i="3"/>
  <c r="E1586" i="3"/>
  <c r="D1586" i="3"/>
  <c r="T1585" i="3"/>
  <c r="S1585" i="3"/>
  <c r="R1585" i="3"/>
  <c r="Q1585" i="3"/>
  <c r="P1585" i="3"/>
  <c r="O1585" i="3"/>
  <c r="M1585" i="3"/>
  <c r="L1585" i="3"/>
  <c r="N1585" i="3" s="1"/>
  <c r="K1585" i="3"/>
  <c r="J1585" i="3"/>
  <c r="E1585" i="3"/>
  <c r="D1585" i="3"/>
  <c r="T1584" i="3"/>
  <c r="S1584" i="3"/>
  <c r="R1584" i="3"/>
  <c r="Q1584" i="3"/>
  <c r="P1584" i="3"/>
  <c r="O1584" i="3"/>
  <c r="M1584" i="3"/>
  <c r="L1584" i="3"/>
  <c r="N1584" i="3" s="1"/>
  <c r="K1584" i="3"/>
  <c r="J1584" i="3"/>
  <c r="E1584" i="3"/>
  <c r="D1584" i="3"/>
  <c r="T1583" i="3"/>
  <c r="S1583" i="3"/>
  <c r="R1583" i="3"/>
  <c r="Q1583" i="3"/>
  <c r="P1583" i="3"/>
  <c r="O1583" i="3"/>
  <c r="M1583" i="3"/>
  <c r="L1583" i="3"/>
  <c r="N1583" i="3" s="1"/>
  <c r="K1583" i="3"/>
  <c r="J1583" i="3"/>
  <c r="E1583" i="3"/>
  <c r="D1583" i="3"/>
  <c r="T1582" i="3"/>
  <c r="S1582" i="3"/>
  <c r="R1582" i="3"/>
  <c r="Q1582" i="3"/>
  <c r="P1582" i="3"/>
  <c r="O1582" i="3"/>
  <c r="M1582" i="3"/>
  <c r="L1582" i="3"/>
  <c r="N1582" i="3" s="1"/>
  <c r="K1582" i="3"/>
  <c r="J1582" i="3"/>
  <c r="E1582" i="3"/>
  <c r="D1582" i="3"/>
  <c r="T1581" i="3"/>
  <c r="S1581" i="3"/>
  <c r="R1581" i="3"/>
  <c r="Q1581" i="3"/>
  <c r="P1581" i="3"/>
  <c r="O1581" i="3"/>
  <c r="M1581" i="3"/>
  <c r="L1581" i="3"/>
  <c r="N1581" i="3" s="1"/>
  <c r="K1581" i="3"/>
  <c r="J1581" i="3"/>
  <c r="E1581" i="3"/>
  <c r="D1581" i="3"/>
  <c r="T1580" i="3"/>
  <c r="S1580" i="3"/>
  <c r="R1580" i="3"/>
  <c r="Q1580" i="3"/>
  <c r="P1580" i="3"/>
  <c r="O1580" i="3"/>
  <c r="M1580" i="3"/>
  <c r="L1580" i="3"/>
  <c r="N1580" i="3" s="1"/>
  <c r="K1580" i="3"/>
  <c r="J1580" i="3"/>
  <c r="E1580" i="3"/>
  <c r="D1580" i="3"/>
  <c r="T1579" i="3"/>
  <c r="S1579" i="3"/>
  <c r="R1579" i="3"/>
  <c r="Q1579" i="3"/>
  <c r="P1579" i="3"/>
  <c r="O1579" i="3"/>
  <c r="M1579" i="3"/>
  <c r="L1579" i="3"/>
  <c r="N1579" i="3" s="1"/>
  <c r="K1579" i="3"/>
  <c r="J1579" i="3"/>
  <c r="E1579" i="3"/>
  <c r="D1579" i="3"/>
  <c r="T1578" i="3"/>
  <c r="S1578" i="3"/>
  <c r="R1578" i="3"/>
  <c r="Q1578" i="3"/>
  <c r="P1578" i="3"/>
  <c r="O1578" i="3"/>
  <c r="M1578" i="3"/>
  <c r="L1578" i="3"/>
  <c r="N1578" i="3" s="1"/>
  <c r="K1578" i="3"/>
  <c r="J1578" i="3"/>
  <c r="E1578" i="3"/>
  <c r="D1578" i="3"/>
  <c r="T1577" i="3"/>
  <c r="S1577" i="3"/>
  <c r="R1577" i="3"/>
  <c r="Q1577" i="3"/>
  <c r="P1577" i="3"/>
  <c r="O1577" i="3"/>
  <c r="M1577" i="3"/>
  <c r="L1577" i="3"/>
  <c r="N1577" i="3" s="1"/>
  <c r="K1577" i="3"/>
  <c r="J1577" i="3"/>
  <c r="E1577" i="3"/>
  <c r="D1577" i="3"/>
  <c r="T1576" i="3"/>
  <c r="S1576" i="3"/>
  <c r="R1576" i="3"/>
  <c r="Q1576" i="3"/>
  <c r="P1576" i="3"/>
  <c r="O1576" i="3"/>
  <c r="M1576" i="3"/>
  <c r="L1576" i="3"/>
  <c r="N1576" i="3" s="1"/>
  <c r="K1576" i="3"/>
  <c r="J1576" i="3"/>
  <c r="E1576" i="3"/>
  <c r="D1576" i="3"/>
  <c r="T1575" i="3"/>
  <c r="S1575" i="3"/>
  <c r="R1575" i="3"/>
  <c r="Q1575" i="3"/>
  <c r="P1575" i="3"/>
  <c r="O1575" i="3"/>
  <c r="M1575" i="3"/>
  <c r="L1575" i="3"/>
  <c r="N1575" i="3" s="1"/>
  <c r="K1575" i="3"/>
  <c r="J1575" i="3"/>
  <c r="E1575" i="3"/>
  <c r="D1575" i="3"/>
  <c r="T1574" i="3"/>
  <c r="S1574" i="3"/>
  <c r="R1574" i="3"/>
  <c r="Q1574" i="3"/>
  <c r="P1574" i="3"/>
  <c r="O1574" i="3"/>
  <c r="M1574" i="3"/>
  <c r="L1574" i="3"/>
  <c r="N1574" i="3" s="1"/>
  <c r="K1574" i="3"/>
  <c r="J1574" i="3"/>
  <c r="E1574" i="3"/>
  <c r="D1574" i="3"/>
  <c r="T1573" i="3"/>
  <c r="S1573" i="3"/>
  <c r="R1573" i="3"/>
  <c r="Q1573" i="3"/>
  <c r="P1573" i="3"/>
  <c r="O1573" i="3"/>
  <c r="M1573" i="3"/>
  <c r="L1573" i="3"/>
  <c r="N1573" i="3" s="1"/>
  <c r="K1573" i="3"/>
  <c r="J1573" i="3"/>
  <c r="E1573" i="3"/>
  <c r="D1573" i="3"/>
  <c r="T1572" i="3"/>
  <c r="S1572" i="3"/>
  <c r="R1572" i="3"/>
  <c r="Q1572" i="3"/>
  <c r="P1572" i="3"/>
  <c r="O1572" i="3"/>
  <c r="M1572" i="3"/>
  <c r="L1572" i="3"/>
  <c r="N1572" i="3" s="1"/>
  <c r="K1572" i="3"/>
  <c r="J1572" i="3"/>
  <c r="E1572" i="3"/>
  <c r="D1572" i="3"/>
  <c r="T1571" i="3"/>
  <c r="S1571" i="3"/>
  <c r="R1571" i="3"/>
  <c r="Q1571" i="3"/>
  <c r="P1571" i="3"/>
  <c r="O1571" i="3"/>
  <c r="M1571" i="3"/>
  <c r="L1571" i="3"/>
  <c r="N1571" i="3" s="1"/>
  <c r="K1571" i="3"/>
  <c r="J1571" i="3"/>
  <c r="E1571" i="3"/>
  <c r="D1571" i="3"/>
  <c r="T1570" i="3"/>
  <c r="S1570" i="3"/>
  <c r="R1570" i="3"/>
  <c r="Q1570" i="3"/>
  <c r="P1570" i="3"/>
  <c r="O1570" i="3"/>
  <c r="M1570" i="3"/>
  <c r="L1570" i="3"/>
  <c r="N1570" i="3" s="1"/>
  <c r="K1570" i="3"/>
  <c r="J1570" i="3"/>
  <c r="E1570" i="3"/>
  <c r="D1570" i="3"/>
  <c r="T1569" i="3"/>
  <c r="S1569" i="3"/>
  <c r="R1569" i="3"/>
  <c r="Q1569" i="3"/>
  <c r="P1569" i="3"/>
  <c r="O1569" i="3"/>
  <c r="M1569" i="3"/>
  <c r="L1569" i="3"/>
  <c r="N1569" i="3" s="1"/>
  <c r="K1569" i="3"/>
  <c r="J1569" i="3"/>
  <c r="E1569" i="3"/>
  <c r="D1569" i="3"/>
  <c r="T1568" i="3"/>
  <c r="S1568" i="3"/>
  <c r="R1568" i="3"/>
  <c r="Q1568" i="3"/>
  <c r="P1568" i="3"/>
  <c r="O1568" i="3"/>
  <c r="M1568" i="3"/>
  <c r="L1568" i="3"/>
  <c r="N1568" i="3" s="1"/>
  <c r="K1568" i="3"/>
  <c r="J1568" i="3"/>
  <c r="E1568" i="3"/>
  <c r="D1568" i="3"/>
  <c r="T1567" i="3"/>
  <c r="S1567" i="3"/>
  <c r="R1567" i="3"/>
  <c r="Q1567" i="3"/>
  <c r="P1567" i="3"/>
  <c r="O1567" i="3"/>
  <c r="M1567" i="3"/>
  <c r="L1567" i="3"/>
  <c r="N1567" i="3" s="1"/>
  <c r="K1567" i="3"/>
  <c r="J1567" i="3"/>
  <c r="E1567" i="3"/>
  <c r="D1567" i="3"/>
  <c r="T1566" i="3"/>
  <c r="S1566" i="3"/>
  <c r="R1566" i="3"/>
  <c r="Q1566" i="3"/>
  <c r="P1566" i="3"/>
  <c r="O1566" i="3"/>
  <c r="M1566" i="3"/>
  <c r="L1566" i="3"/>
  <c r="N1566" i="3" s="1"/>
  <c r="K1566" i="3"/>
  <c r="J1566" i="3"/>
  <c r="E1566" i="3"/>
  <c r="D1566" i="3"/>
  <c r="T1565" i="3"/>
  <c r="S1565" i="3"/>
  <c r="R1565" i="3"/>
  <c r="Q1565" i="3"/>
  <c r="P1565" i="3"/>
  <c r="O1565" i="3"/>
  <c r="M1565" i="3"/>
  <c r="L1565" i="3"/>
  <c r="N1565" i="3" s="1"/>
  <c r="K1565" i="3"/>
  <c r="J1565" i="3"/>
  <c r="E1565" i="3"/>
  <c r="D1565" i="3"/>
  <c r="T1564" i="3"/>
  <c r="S1564" i="3"/>
  <c r="R1564" i="3"/>
  <c r="Q1564" i="3"/>
  <c r="P1564" i="3"/>
  <c r="O1564" i="3"/>
  <c r="M1564" i="3"/>
  <c r="L1564" i="3"/>
  <c r="N1564" i="3" s="1"/>
  <c r="K1564" i="3"/>
  <c r="J1564" i="3"/>
  <c r="E1564" i="3"/>
  <c r="D1564" i="3"/>
  <c r="T1563" i="3"/>
  <c r="S1563" i="3"/>
  <c r="R1563" i="3"/>
  <c r="Q1563" i="3"/>
  <c r="P1563" i="3"/>
  <c r="O1563" i="3"/>
  <c r="M1563" i="3"/>
  <c r="L1563" i="3"/>
  <c r="N1563" i="3" s="1"/>
  <c r="K1563" i="3"/>
  <c r="J1563" i="3"/>
  <c r="E1563" i="3"/>
  <c r="D1563" i="3"/>
  <c r="T1562" i="3"/>
  <c r="S1562" i="3"/>
  <c r="R1562" i="3"/>
  <c r="Q1562" i="3"/>
  <c r="P1562" i="3"/>
  <c r="O1562" i="3"/>
  <c r="M1562" i="3"/>
  <c r="L1562" i="3"/>
  <c r="N1562" i="3" s="1"/>
  <c r="K1562" i="3"/>
  <c r="J1562" i="3"/>
  <c r="E1562" i="3"/>
  <c r="D1562" i="3"/>
  <c r="T1561" i="3"/>
  <c r="S1561" i="3"/>
  <c r="R1561" i="3"/>
  <c r="Q1561" i="3"/>
  <c r="P1561" i="3"/>
  <c r="O1561" i="3"/>
  <c r="M1561" i="3"/>
  <c r="L1561" i="3"/>
  <c r="N1561" i="3" s="1"/>
  <c r="K1561" i="3"/>
  <c r="J1561" i="3"/>
  <c r="E1561" i="3"/>
  <c r="D1561" i="3"/>
  <c r="T1560" i="3"/>
  <c r="S1560" i="3"/>
  <c r="R1560" i="3"/>
  <c r="Q1560" i="3"/>
  <c r="P1560" i="3"/>
  <c r="O1560" i="3"/>
  <c r="M1560" i="3"/>
  <c r="L1560" i="3"/>
  <c r="N1560" i="3" s="1"/>
  <c r="K1560" i="3"/>
  <c r="J1560" i="3"/>
  <c r="E1560" i="3"/>
  <c r="D1560" i="3"/>
  <c r="T1559" i="3"/>
  <c r="S1559" i="3"/>
  <c r="R1559" i="3"/>
  <c r="Q1559" i="3"/>
  <c r="P1559" i="3"/>
  <c r="O1559" i="3"/>
  <c r="M1559" i="3"/>
  <c r="L1559" i="3"/>
  <c r="N1559" i="3" s="1"/>
  <c r="K1559" i="3"/>
  <c r="J1559" i="3"/>
  <c r="E1559" i="3"/>
  <c r="D1559" i="3"/>
  <c r="T1558" i="3"/>
  <c r="S1558" i="3"/>
  <c r="R1558" i="3"/>
  <c r="Q1558" i="3"/>
  <c r="P1558" i="3"/>
  <c r="O1558" i="3"/>
  <c r="M1558" i="3"/>
  <c r="L1558" i="3"/>
  <c r="N1558" i="3" s="1"/>
  <c r="K1558" i="3"/>
  <c r="J1558" i="3"/>
  <c r="E1558" i="3"/>
  <c r="D1558" i="3"/>
  <c r="T1557" i="3"/>
  <c r="S1557" i="3"/>
  <c r="R1557" i="3"/>
  <c r="Q1557" i="3"/>
  <c r="P1557" i="3"/>
  <c r="O1557" i="3"/>
  <c r="M1557" i="3"/>
  <c r="L1557" i="3"/>
  <c r="N1557" i="3" s="1"/>
  <c r="K1557" i="3"/>
  <c r="J1557" i="3"/>
  <c r="E1557" i="3"/>
  <c r="D1557" i="3"/>
  <c r="T1556" i="3"/>
  <c r="S1556" i="3"/>
  <c r="R1556" i="3"/>
  <c r="Q1556" i="3"/>
  <c r="P1556" i="3"/>
  <c r="O1556" i="3"/>
  <c r="M1556" i="3"/>
  <c r="L1556" i="3"/>
  <c r="N1556" i="3" s="1"/>
  <c r="K1556" i="3"/>
  <c r="J1556" i="3"/>
  <c r="E1556" i="3"/>
  <c r="D1556" i="3"/>
  <c r="T1555" i="3"/>
  <c r="S1555" i="3"/>
  <c r="R1555" i="3"/>
  <c r="Q1555" i="3"/>
  <c r="P1555" i="3"/>
  <c r="O1555" i="3"/>
  <c r="M1555" i="3"/>
  <c r="L1555" i="3"/>
  <c r="N1555" i="3" s="1"/>
  <c r="K1555" i="3"/>
  <c r="J1555" i="3"/>
  <c r="E1555" i="3"/>
  <c r="D1555" i="3"/>
  <c r="T1554" i="3"/>
  <c r="S1554" i="3"/>
  <c r="R1554" i="3"/>
  <c r="Q1554" i="3"/>
  <c r="P1554" i="3"/>
  <c r="O1554" i="3"/>
  <c r="M1554" i="3"/>
  <c r="L1554" i="3"/>
  <c r="N1554" i="3" s="1"/>
  <c r="K1554" i="3"/>
  <c r="J1554" i="3"/>
  <c r="E1554" i="3"/>
  <c r="D1554" i="3"/>
  <c r="T1553" i="3"/>
  <c r="S1553" i="3"/>
  <c r="R1553" i="3"/>
  <c r="Q1553" i="3"/>
  <c r="P1553" i="3"/>
  <c r="O1553" i="3"/>
  <c r="M1553" i="3"/>
  <c r="L1553" i="3"/>
  <c r="N1553" i="3" s="1"/>
  <c r="K1553" i="3"/>
  <c r="J1553" i="3"/>
  <c r="E1553" i="3"/>
  <c r="D1553" i="3"/>
  <c r="T1552" i="3"/>
  <c r="S1552" i="3"/>
  <c r="R1552" i="3"/>
  <c r="Q1552" i="3"/>
  <c r="P1552" i="3"/>
  <c r="O1552" i="3"/>
  <c r="M1552" i="3"/>
  <c r="L1552" i="3"/>
  <c r="N1552" i="3" s="1"/>
  <c r="K1552" i="3"/>
  <c r="J1552" i="3"/>
  <c r="E1552" i="3"/>
  <c r="D1552" i="3"/>
  <c r="T1551" i="3"/>
  <c r="S1551" i="3"/>
  <c r="R1551" i="3"/>
  <c r="Q1551" i="3"/>
  <c r="P1551" i="3"/>
  <c r="O1551" i="3"/>
  <c r="M1551" i="3"/>
  <c r="L1551" i="3"/>
  <c r="N1551" i="3" s="1"/>
  <c r="K1551" i="3"/>
  <c r="J1551" i="3"/>
  <c r="E1551" i="3"/>
  <c r="D1551" i="3"/>
  <c r="T1550" i="3"/>
  <c r="S1550" i="3"/>
  <c r="R1550" i="3"/>
  <c r="Q1550" i="3"/>
  <c r="P1550" i="3"/>
  <c r="O1550" i="3"/>
  <c r="M1550" i="3"/>
  <c r="L1550" i="3"/>
  <c r="N1550" i="3" s="1"/>
  <c r="K1550" i="3"/>
  <c r="J1550" i="3"/>
  <c r="E1550" i="3"/>
  <c r="D1550" i="3"/>
  <c r="T1549" i="3"/>
  <c r="S1549" i="3"/>
  <c r="R1549" i="3"/>
  <c r="Q1549" i="3"/>
  <c r="P1549" i="3"/>
  <c r="O1549" i="3"/>
  <c r="M1549" i="3"/>
  <c r="L1549" i="3"/>
  <c r="N1549" i="3" s="1"/>
  <c r="K1549" i="3"/>
  <c r="J1549" i="3"/>
  <c r="E1549" i="3"/>
  <c r="D1549" i="3"/>
  <c r="T1548" i="3"/>
  <c r="S1548" i="3"/>
  <c r="R1548" i="3"/>
  <c r="Q1548" i="3"/>
  <c r="P1548" i="3"/>
  <c r="O1548" i="3"/>
  <c r="M1548" i="3"/>
  <c r="L1548" i="3"/>
  <c r="N1548" i="3" s="1"/>
  <c r="K1548" i="3"/>
  <c r="J1548" i="3"/>
  <c r="E1548" i="3"/>
  <c r="D1548" i="3"/>
  <c r="T1547" i="3"/>
  <c r="S1547" i="3"/>
  <c r="R1547" i="3"/>
  <c r="Q1547" i="3"/>
  <c r="P1547" i="3"/>
  <c r="O1547" i="3"/>
  <c r="M1547" i="3"/>
  <c r="L1547" i="3"/>
  <c r="N1547" i="3" s="1"/>
  <c r="K1547" i="3"/>
  <c r="J1547" i="3"/>
  <c r="E1547" i="3"/>
  <c r="D1547" i="3"/>
  <c r="T1546" i="3"/>
  <c r="S1546" i="3"/>
  <c r="R1546" i="3"/>
  <c r="Q1546" i="3"/>
  <c r="P1546" i="3"/>
  <c r="O1546" i="3"/>
  <c r="M1546" i="3"/>
  <c r="L1546" i="3"/>
  <c r="N1546" i="3" s="1"/>
  <c r="K1546" i="3"/>
  <c r="J1546" i="3"/>
  <c r="E1546" i="3"/>
  <c r="D1546" i="3"/>
  <c r="T1545" i="3"/>
  <c r="S1545" i="3"/>
  <c r="R1545" i="3"/>
  <c r="Q1545" i="3"/>
  <c r="P1545" i="3"/>
  <c r="O1545" i="3"/>
  <c r="M1545" i="3"/>
  <c r="L1545" i="3"/>
  <c r="N1545" i="3" s="1"/>
  <c r="K1545" i="3"/>
  <c r="J1545" i="3"/>
  <c r="E1545" i="3"/>
  <c r="D1545" i="3"/>
  <c r="T1544" i="3"/>
  <c r="S1544" i="3"/>
  <c r="R1544" i="3"/>
  <c r="Q1544" i="3"/>
  <c r="P1544" i="3"/>
  <c r="O1544" i="3"/>
  <c r="M1544" i="3"/>
  <c r="L1544" i="3"/>
  <c r="N1544" i="3" s="1"/>
  <c r="K1544" i="3"/>
  <c r="J1544" i="3"/>
  <c r="E1544" i="3"/>
  <c r="D1544" i="3"/>
  <c r="T1543" i="3"/>
  <c r="S1543" i="3"/>
  <c r="R1543" i="3"/>
  <c r="Q1543" i="3"/>
  <c r="P1543" i="3"/>
  <c r="O1543" i="3"/>
  <c r="M1543" i="3"/>
  <c r="L1543" i="3"/>
  <c r="N1543" i="3" s="1"/>
  <c r="K1543" i="3"/>
  <c r="J1543" i="3"/>
  <c r="E1543" i="3"/>
  <c r="D1543" i="3"/>
  <c r="T1542" i="3"/>
  <c r="S1542" i="3"/>
  <c r="R1542" i="3"/>
  <c r="Q1542" i="3"/>
  <c r="P1542" i="3"/>
  <c r="O1542" i="3"/>
  <c r="M1542" i="3"/>
  <c r="L1542" i="3"/>
  <c r="N1542" i="3" s="1"/>
  <c r="K1542" i="3"/>
  <c r="J1542" i="3"/>
  <c r="E1542" i="3"/>
  <c r="D1542" i="3"/>
  <c r="T1541" i="3"/>
  <c r="S1541" i="3"/>
  <c r="R1541" i="3"/>
  <c r="Q1541" i="3"/>
  <c r="P1541" i="3"/>
  <c r="O1541" i="3"/>
  <c r="M1541" i="3"/>
  <c r="L1541" i="3"/>
  <c r="N1541" i="3" s="1"/>
  <c r="K1541" i="3"/>
  <c r="J1541" i="3"/>
  <c r="E1541" i="3"/>
  <c r="D1541" i="3"/>
  <c r="T1540" i="3"/>
  <c r="S1540" i="3"/>
  <c r="R1540" i="3"/>
  <c r="Q1540" i="3"/>
  <c r="P1540" i="3"/>
  <c r="O1540" i="3"/>
  <c r="M1540" i="3"/>
  <c r="L1540" i="3"/>
  <c r="N1540" i="3" s="1"/>
  <c r="K1540" i="3"/>
  <c r="J1540" i="3"/>
  <c r="E1540" i="3"/>
  <c r="D1540" i="3"/>
  <c r="T1539" i="3"/>
  <c r="S1539" i="3"/>
  <c r="R1539" i="3"/>
  <c r="Q1539" i="3"/>
  <c r="P1539" i="3"/>
  <c r="O1539" i="3"/>
  <c r="M1539" i="3"/>
  <c r="L1539" i="3"/>
  <c r="N1539" i="3" s="1"/>
  <c r="K1539" i="3"/>
  <c r="J1539" i="3"/>
  <c r="E1539" i="3"/>
  <c r="D1539" i="3"/>
  <c r="T1538" i="3"/>
  <c r="S1538" i="3"/>
  <c r="R1538" i="3"/>
  <c r="Q1538" i="3"/>
  <c r="P1538" i="3"/>
  <c r="O1538" i="3"/>
  <c r="M1538" i="3"/>
  <c r="L1538" i="3"/>
  <c r="N1538" i="3" s="1"/>
  <c r="K1538" i="3"/>
  <c r="J1538" i="3"/>
  <c r="E1538" i="3"/>
  <c r="D1538" i="3"/>
  <c r="T1537" i="3"/>
  <c r="S1537" i="3"/>
  <c r="R1537" i="3"/>
  <c r="Q1537" i="3"/>
  <c r="P1537" i="3"/>
  <c r="O1537" i="3"/>
  <c r="M1537" i="3"/>
  <c r="L1537" i="3"/>
  <c r="N1537" i="3" s="1"/>
  <c r="K1537" i="3"/>
  <c r="J1537" i="3"/>
  <c r="E1537" i="3"/>
  <c r="D1537" i="3"/>
  <c r="T1536" i="3"/>
  <c r="S1536" i="3"/>
  <c r="R1536" i="3"/>
  <c r="Q1536" i="3"/>
  <c r="P1536" i="3"/>
  <c r="O1536" i="3"/>
  <c r="M1536" i="3"/>
  <c r="L1536" i="3"/>
  <c r="N1536" i="3" s="1"/>
  <c r="K1536" i="3"/>
  <c r="J1536" i="3"/>
  <c r="E1536" i="3"/>
  <c r="D1536" i="3"/>
  <c r="T1535" i="3"/>
  <c r="S1535" i="3"/>
  <c r="R1535" i="3"/>
  <c r="Q1535" i="3"/>
  <c r="P1535" i="3"/>
  <c r="O1535" i="3"/>
  <c r="M1535" i="3"/>
  <c r="L1535" i="3"/>
  <c r="N1535" i="3" s="1"/>
  <c r="K1535" i="3"/>
  <c r="J1535" i="3"/>
  <c r="E1535" i="3"/>
  <c r="D1535" i="3"/>
  <c r="T1534" i="3"/>
  <c r="S1534" i="3"/>
  <c r="R1534" i="3"/>
  <c r="Q1534" i="3"/>
  <c r="P1534" i="3"/>
  <c r="O1534" i="3"/>
  <c r="M1534" i="3"/>
  <c r="L1534" i="3"/>
  <c r="N1534" i="3" s="1"/>
  <c r="K1534" i="3"/>
  <c r="J1534" i="3"/>
  <c r="E1534" i="3"/>
  <c r="D1534" i="3"/>
  <c r="T1533" i="3"/>
  <c r="S1533" i="3"/>
  <c r="R1533" i="3"/>
  <c r="Q1533" i="3"/>
  <c r="P1533" i="3"/>
  <c r="O1533" i="3"/>
  <c r="M1533" i="3"/>
  <c r="L1533" i="3"/>
  <c r="N1533" i="3" s="1"/>
  <c r="K1533" i="3"/>
  <c r="J1533" i="3"/>
  <c r="E1533" i="3"/>
  <c r="D1533" i="3"/>
  <c r="T1532" i="3"/>
  <c r="S1532" i="3"/>
  <c r="R1532" i="3"/>
  <c r="Q1532" i="3"/>
  <c r="P1532" i="3"/>
  <c r="O1532" i="3"/>
  <c r="M1532" i="3"/>
  <c r="L1532" i="3"/>
  <c r="N1532" i="3" s="1"/>
  <c r="K1532" i="3"/>
  <c r="J1532" i="3"/>
  <c r="E1532" i="3"/>
  <c r="D1532" i="3"/>
  <c r="T1531" i="3"/>
  <c r="S1531" i="3"/>
  <c r="R1531" i="3"/>
  <c r="Q1531" i="3"/>
  <c r="P1531" i="3"/>
  <c r="O1531" i="3"/>
  <c r="M1531" i="3"/>
  <c r="L1531" i="3"/>
  <c r="N1531" i="3" s="1"/>
  <c r="K1531" i="3"/>
  <c r="J1531" i="3"/>
  <c r="E1531" i="3"/>
  <c r="D1531" i="3"/>
  <c r="T1530" i="3"/>
  <c r="S1530" i="3"/>
  <c r="R1530" i="3"/>
  <c r="Q1530" i="3"/>
  <c r="P1530" i="3"/>
  <c r="O1530" i="3"/>
  <c r="M1530" i="3"/>
  <c r="L1530" i="3"/>
  <c r="N1530" i="3" s="1"/>
  <c r="K1530" i="3"/>
  <c r="J1530" i="3"/>
  <c r="E1530" i="3"/>
  <c r="D1530" i="3"/>
  <c r="T1529" i="3"/>
  <c r="S1529" i="3"/>
  <c r="R1529" i="3"/>
  <c r="Q1529" i="3"/>
  <c r="P1529" i="3"/>
  <c r="O1529" i="3"/>
  <c r="M1529" i="3"/>
  <c r="L1529" i="3"/>
  <c r="N1529" i="3" s="1"/>
  <c r="K1529" i="3"/>
  <c r="J1529" i="3"/>
  <c r="E1529" i="3"/>
  <c r="D1529" i="3"/>
  <c r="T1528" i="3"/>
  <c r="S1528" i="3"/>
  <c r="R1528" i="3"/>
  <c r="Q1528" i="3"/>
  <c r="P1528" i="3"/>
  <c r="O1528" i="3"/>
  <c r="M1528" i="3"/>
  <c r="L1528" i="3"/>
  <c r="N1528" i="3" s="1"/>
  <c r="K1528" i="3"/>
  <c r="J1528" i="3"/>
  <c r="E1528" i="3"/>
  <c r="D1528" i="3"/>
  <c r="T1527" i="3"/>
  <c r="S1527" i="3"/>
  <c r="R1527" i="3"/>
  <c r="Q1527" i="3"/>
  <c r="P1527" i="3"/>
  <c r="O1527" i="3"/>
  <c r="M1527" i="3"/>
  <c r="L1527" i="3"/>
  <c r="N1527" i="3" s="1"/>
  <c r="K1527" i="3"/>
  <c r="J1527" i="3"/>
  <c r="E1527" i="3"/>
  <c r="D1527" i="3"/>
  <c r="T1526" i="3"/>
  <c r="S1526" i="3"/>
  <c r="R1526" i="3"/>
  <c r="Q1526" i="3"/>
  <c r="P1526" i="3"/>
  <c r="O1526" i="3"/>
  <c r="M1526" i="3"/>
  <c r="L1526" i="3"/>
  <c r="N1526" i="3" s="1"/>
  <c r="K1526" i="3"/>
  <c r="J1526" i="3"/>
  <c r="E1526" i="3"/>
  <c r="D1526" i="3"/>
  <c r="T1525" i="3"/>
  <c r="S1525" i="3"/>
  <c r="R1525" i="3"/>
  <c r="Q1525" i="3"/>
  <c r="P1525" i="3"/>
  <c r="O1525" i="3"/>
  <c r="M1525" i="3"/>
  <c r="L1525" i="3"/>
  <c r="N1525" i="3" s="1"/>
  <c r="K1525" i="3"/>
  <c r="J1525" i="3"/>
  <c r="E1525" i="3"/>
  <c r="D1525" i="3"/>
  <c r="T1524" i="3"/>
  <c r="S1524" i="3"/>
  <c r="R1524" i="3"/>
  <c r="Q1524" i="3"/>
  <c r="P1524" i="3"/>
  <c r="O1524" i="3"/>
  <c r="M1524" i="3"/>
  <c r="L1524" i="3"/>
  <c r="N1524" i="3" s="1"/>
  <c r="K1524" i="3"/>
  <c r="J1524" i="3"/>
  <c r="E1524" i="3"/>
  <c r="D1524" i="3"/>
  <c r="T1523" i="3"/>
  <c r="S1523" i="3"/>
  <c r="R1523" i="3"/>
  <c r="Q1523" i="3"/>
  <c r="P1523" i="3"/>
  <c r="O1523" i="3"/>
  <c r="M1523" i="3"/>
  <c r="L1523" i="3"/>
  <c r="N1523" i="3" s="1"/>
  <c r="K1523" i="3"/>
  <c r="J1523" i="3"/>
  <c r="E1523" i="3"/>
  <c r="D1523" i="3"/>
  <c r="T1522" i="3"/>
  <c r="S1522" i="3"/>
  <c r="R1522" i="3"/>
  <c r="Q1522" i="3"/>
  <c r="P1522" i="3"/>
  <c r="O1522" i="3"/>
  <c r="M1522" i="3"/>
  <c r="L1522" i="3"/>
  <c r="N1522" i="3" s="1"/>
  <c r="K1522" i="3"/>
  <c r="J1522" i="3"/>
  <c r="E1522" i="3"/>
  <c r="D1522" i="3"/>
  <c r="T1521" i="3"/>
  <c r="S1521" i="3"/>
  <c r="R1521" i="3"/>
  <c r="Q1521" i="3"/>
  <c r="P1521" i="3"/>
  <c r="O1521" i="3"/>
  <c r="M1521" i="3"/>
  <c r="L1521" i="3"/>
  <c r="N1521" i="3" s="1"/>
  <c r="K1521" i="3"/>
  <c r="J1521" i="3"/>
  <c r="E1521" i="3"/>
  <c r="D1521" i="3"/>
  <c r="T1520" i="3"/>
  <c r="S1520" i="3"/>
  <c r="R1520" i="3"/>
  <c r="Q1520" i="3"/>
  <c r="P1520" i="3"/>
  <c r="O1520" i="3"/>
  <c r="M1520" i="3"/>
  <c r="L1520" i="3"/>
  <c r="N1520" i="3" s="1"/>
  <c r="K1520" i="3"/>
  <c r="J1520" i="3"/>
  <c r="E1520" i="3"/>
  <c r="D1520" i="3"/>
  <c r="T1519" i="3"/>
  <c r="S1519" i="3"/>
  <c r="R1519" i="3"/>
  <c r="Q1519" i="3"/>
  <c r="P1519" i="3"/>
  <c r="O1519" i="3"/>
  <c r="M1519" i="3"/>
  <c r="L1519" i="3"/>
  <c r="N1519" i="3" s="1"/>
  <c r="K1519" i="3"/>
  <c r="J1519" i="3"/>
  <c r="E1519" i="3"/>
  <c r="D1519" i="3"/>
  <c r="T1518" i="3"/>
  <c r="S1518" i="3"/>
  <c r="R1518" i="3"/>
  <c r="Q1518" i="3"/>
  <c r="P1518" i="3"/>
  <c r="O1518" i="3"/>
  <c r="M1518" i="3"/>
  <c r="L1518" i="3"/>
  <c r="N1518" i="3" s="1"/>
  <c r="K1518" i="3"/>
  <c r="J1518" i="3"/>
  <c r="E1518" i="3"/>
  <c r="D1518" i="3"/>
  <c r="T1517" i="3"/>
  <c r="S1517" i="3"/>
  <c r="R1517" i="3"/>
  <c r="Q1517" i="3"/>
  <c r="P1517" i="3"/>
  <c r="O1517" i="3"/>
  <c r="M1517" i="3"/>
  <c r="L1517" i="3"/>
  <c r="N1517" i="3" s="1"/>
  <c r="K1517" i="3"/>
  <c r="J1517" i="3"/>
  <c r="E1517" i="3"/>
  <c r="D1517" i="3"/>
  <c r="T1516" i="3"/>
  <c r="S1516" i="3"/>
  <c r="R1516" i="3"/>
  <c r="Q1516" i="3"/>
  <c r="P1516" i="3"/>
  <c r="O1516" i="3"/>
  <c r="M1516" i="3"/>
  <c r="L1516" i="3"/>
  <c r="N1516" i="3" s="1"/>
  <c r="K1516" i="3"/>
  <c r="J1516" i="3"/>
  <c r="E1516" i="3"/>
  <c r="D1516" i="3"/>
  <c r="T1515" i="3"/>
  <c r="S1515" i="3"/>
  <c r="R1515" i="3"/>
  <c r="Q1515" i="3"/>
  <c r="P1515" i="3"/>
  <c r="O1515" i="3"/>
  <c r="M1515" i="3"/>
  <c r="L1515" i="3"/>
  <c r="N1515" i="3" s="1"/>
  <c r="K1515" i="3"/>
  <c r="J1515" i="3"/>
  <c r="E1515" i="3"/>
  <c r="D1515" i="3"/>
  <c r="T1514" i="3"/>
  <c r="S1514" i="3"/>
  <c r="R1514" i="3"/>
  <c r="Q1514" i="3"/>
  <c r="P1514" i="3"/>
  <c r="O1514" i="3"/>
  <c r="M1514" i="3"/>
  <c r="L1514" i="3"/>
  <c r="N1514" i="3" s="1"/>
  <c r="K1514" i="3"/>
  <c r="J1514" i="3"/>
  <c r="E1514" i="3"/>
  <c r="D1514" i="3"/>
  <c r="T1513" i="3"/>
  <c r="S1513" i="3"/>
  <c r="R1513" i="3"/>
  <c r="Q1513" i="3"/>
  <c r="P1513" i="3"/>
  <c r="O1513" i="3"/>
  <c r="M1513" i="3"/>
  <c r="L1513" i="3"/>
  <c r="N1513" i="3" s="1"/>
  <c r="K1513" i="3"/>
  <c r="J1513" i="3"/>
  <c r="E1513" i="3"/>
  <c r="D1513" i="3"/>
  <c r="T1512" i="3"/>
  <c r="S1512" i="3"/>
  <c r="R1512" i="3"/>
  <c r="Q1512" i="3"/>
  <c r="P1512" i="3"/>
  <c r="O1512" i="3"/>
  <c r="M1512" i="3"/>
  <c r="L1512" i="3"/>
  <c r="N1512" i="3" s="1"/>
  <c r="K1512" i="3"/>
  <c r="J1512" i="3"/>
  <c r="E1512" i="3"/>
  <c r="D1512" i="3"/>
  <c r="T1511" i="3"/>
  <c r="S1511" i="3"/>
  <c r="R1511" i="3"/>
  <c r="Q1511" i="3"/>
  <c r="P1511" i="3"/>
  <c r="O1511" i="3"/>
  <c r="M1511" i="3"/>
  <c r="L1511" i="3"/>
  <c r="N1511" i="3" s="1"/>
  <c r="K1511" i="3"/>
  <c r="J1511" i="3"/>
  <c r="E1511" i="3"/>
  <c r="D1511" i="3"/>
  <c r="T1510" i="3"/>
  <c r="S1510" i="3"/>
  <c r="R1510" i="3"/>
  <c r="Q1510" i="3"/>
  <c r="P1510" i="3"/>
  <c r="O1510" i="3"/>
  <c r="M1510" i="3"/>
  <c r="L1510" i="3"/>
  <c r="N1510" i="3" s="1"/>
  <c r="K1510" i="3"/>
  <c r="J1510" i="3"/>
  <c r="E1510" i="3"/>
  <c r="D1510" i="3"/>
  <c r="T1509" i="3"/>
  <c r="S1509" i="3"/>
  <c r="R1509" i="3"/>
  <c r="Q1509" i="3"/>
  <c r="P1509" i="3"/>
  <c r="O1509" i="3"/>
  <c r="M1509" i="3"/>
  <c r="L1509" i="3"/>
  <c r="N1509" i="3" s="1"/>
  <c r="K1509" i="3"/>
  <c r="J1509" i="3"/>
  <c r="E1509" i="3"/>
  <c r="D1509" i="3"/>
  <c r="T1508" i="3"/>
  <c r="S1508" i="3"/>
  <c r="R1508" i="3"/>
  <c r="Q1508" i="3"/>
  <c r="P1508" i="3"/>
  <c r="O1508" i="3"/>
  <c r="M1508" i="3"/>
  <c r="L1508" i="3"/>
  <c r="N1508" i="3" s="1"/>
  <c r="K1508" i="3"/>
  <c r="J1508" i="3"/>
  <c r="E1508" i="3"/>
  <c r="D1508" i="3"/>
  <c r="T1507" i="3"/>
  <c r="S1507" i="3"/>
  <c r="R1507" i="3"/>
  <c r="Q1507" i="3"/>
  <c r="P1507" i="3"/>
  <c r="O1507" i="3"/>
  <c r="M1507" i="3"/>
  <c r="L1507" i="3"/>
  <c r="N1507" i="3" s="1"/>
  <c r="K1507" i="3"/>
  <c r="J1507" i="3"/>
  <c r="E1507" i="3"/>
  <c r="D1507" i="3"/>
  <c r="T1506" i="3"/>
  <c r="S1506" i="3"/>
  <c r="R1506" i="3"/>
  <c r="Q1506" i="3"/>
  <c r="P1506" i="3"/>
  <c r="O1506" i="3"/>
  <c r="M1506" i="3"/>
  <c r="L1506" i="3"/>
  <c r="N1506" i="3" s="1"/>
  <c r="K1506" i="3"/>
  <c r="J1506" i="3"/>
  <c r="E1506" i="3"/>
  <c r="D1506" i="3"/>
  <c r="T1505" i="3"/>
  <c r="S1505" i="3"/>
  <c r="R1505" i="3"/>
  <c r="Q1505" i="3"/>
  <c r="P1505" i="3"/>
  <c r="O1505" i="3"/>
  <c r="M1505" i="3"/>
  <c r="L1505" i="3"/>
  <c r="N1505" i="3" s="1"/>
  <c r="K1505" i="3"/>
  <c r="J1505" i="3"/>
  <c r="E1505" i="3"/>
  <c r="D1505" i="3"/>
  <c r="T1504" i="3"/>
  <c r="S1504" i="3"/>
  <c r="R1504" i="3"/>
  <c r="Q1504" i="3"/>
  <c r="P1504" i="3"/>
  <c r="O1504" i="3"/>
  <c r="M1504" i="3"/>
  <c r="L1504" i="3"/>
  <c r="N1504" i="3" s="1"/>
  <c r="K1504" i="3"/>
  <c r="J1504" i="3"/>
  <c r="E1504" i="3"/>
  <c r="D1504" i="3"/>
  <c r="T1503" i="3"/>
  <c r="S1503" i="3"/>
  <c r="R1503" i="3"/>
  <c r="Q1503" i="3"/>
  <c r="P1503" i="3"/>
  <c r="O1503" i="3"/>
  <c r="M1503" i="3"/>
  <c r="L1503" i="3"/>
  <c r="N1503" i="3" s="1"/>
  <c r="K1503" i="3"/>
  <c r="J1503" i="3"/>
  <c r="E1503" i="3"/>
  <c r="D1503" i="3"/>
  <c r="T1502" i="3"/>
  <c r="S1502" i="3"/>
  <c r="R1502" i="3"/>
  <c r="Q1502" i="3"/>
  <c r="P1502" i="3"/>
  <c r="O1502" i="3"/>
  <c r="M1502" i="3"/>
  <c r="L1502" i="3"/>
  <c r="N1502" i="3" s="1"/>
  <c r="K1502" i="3"/>
  <c r="J1502" i="3"/>
  <c r="E1502" i="3"/>
  <c r="D1502" i="3"/>
  <c r="T1501" i="3"/>
  <c r="S1501" i="3"/>
  <c r="R1501" i="3"/>
  <c r="Q1501" i="3"/>
  <c r="P1501" i="3"/>
  <c r="O1501" i="3"/>
  <c r="M1501" i="3"/>
  <c r="L1501" i="3"/>
  <c r="N1501" i="3" s="1"/>
  <c r="K1501" i="3"/>
  <c r="J1501" i="3"/>
  <c r="E1501" i="3"/>
  <c r="D1501" i="3"/>
  <c r="T1500" i="3"/>
  <c r="S1500" i="3"/>
  <c r="R1500" i="3"/>
  <c r="Q1500" i="3"/>
  <c r="P1500" i="3"/>
  <c r="O1500" i="3"/>
  <c r="M1500" i="3"/>
  <c r="L1500" i="3"/>
  <c r="N1500" i="3" s="1"/>
  <c r="K1500" i="3"/>
  <c r="J1500" i="3"/>
  <c r="E1500" i="3"/>
  <c r="D1500" i="3"/>
  <c r="T1499" i="3"/>
  <c r="S1499" i="3"/>
  <c r="R1499" i="3"/>
  <c r="Q1499" i="3"/>
  <c r="P1499" i="3"/>
  <c r="O1499" i="3"/>
  <c r="M1499" i="3"/>
  <c r="L1499" i="3"/>
  <c r="N1499" i="3" s="1"/>
  <c r="K1499" i="3"/>
  <c r="J1499" i="3"/>
  <c r="E1499" i="3"/>
  <c r="D1499" i="3"/>
  <c r="T1498" i="3"/>
  <c r="S1498" i="3"/>
  <c r="R1498" i="3"/>
  <c r="Q1498" i="3"/>
  <c r="P1498" i="3"/>
  <c r="O1498" i="3"/>
  <c r="M1498" i="3"/>
  <c r="L1498" i="3"/>
  <c r="N1498" i="3" s="1"/>
  <c r="K1498" i="3"/>
  <c r="J1498" i="3"/>
  <c r="E1498" i="3"/>
  <c r="D1498" i="3"/>
  <c r="T1497" i="3"/>
  <c r="S1497" i="3"/>
  <c r="R1497" i="3"/>
  <c r="Q1497" i="3"/>
  <c r="P1497" i="3"/>
  <c r="O1497" i="3"/>
  <c r="M1497" i="3"/>
  <c r="L1497" i="3"/>
  <c r="N1497" i="3" s="1"/>
  <c r="K1497" i="3"/>
  <c r="J1497" i="3"/>
  <c r="E1497" i="3"/>
  <c r="D1497" i="3"/>
  <c r="T1496" i="3"/>
  <c r="S1496" i="3"/>
  <c r="R1496" i="3"/>
  <c r="Q1496" i="3"/>
  <c r="P1496" i="3"/>
  <c r="O1496" i="3"/>
  <c r="M1496" i="3"/>
  <c r="L1496" i="3"/>
  <c r="N1496" i="3" s="1"/>
  <c r="K1496" i="3"/>
  <c r="J1496" i="3"/>
  <c r="E1496" i="3"/>
  <c r="D1496" i="3"/>
  <c r="T1495" i="3"/>
  <c r="S1495" i="3"/>
  <c r="R1495" i="3"/>
  <c r="Q1495" i="3"/>
  <c r="P1495" i="3"/>
  <c r="O1495" i="3"/>
  <c r="M1495" i="3"/>
  <c r="L1495" i="3"/>
  <c r="N1495" i="3" s="1"/>
  <c r="K1495" i="3"/>
  <c r="J1495" i="3"/>
  <c r="E1495" i="3"/>
  <c r="D1495" i="3"/>
  <c r="T1494" i="3"/>
  <c r="S1494" i="3"/>
  <c r="R1494" i="3"/>
  <c r="Q1494" i="3"/>
  <c r="P1494" i="3"/>
  <c r="O1494" i="3"/>
  <c r="M1494" i="3"/>
  <c r="L1494" i="3"/>
  <c r="N1494" i="3" s="1"/>
  <c r="K1494" i="3"/>
  <c r="J1494" i="3"/>
  <c r="E1494" i="3"/>
  <c r="D1494" i="3"/>
  <c r="T1493" i="3"/>
  <c r="S1493" i="3"/>
  <c r="R1493" i="3"/>
  <c r="Q1493" i="3"/>
  <c r="P1493" i="3"/>
  <c r="O1493" i="3"/>
  <c r="M1493" i="3"/>
  <c r="L1493" i="3"/>
  <c r="N1493" i="3" s="1"/>
  <c r="K1493" i="3"/>
  <c r="J1493" i="3"/>
  <c r="E1493" i="3"/>
  <c r="D1493" i="3"/>
  <c r="T1492" i="3"/>
  <c r="S1492" i="3"/>
  <c r="R1492" i="3"/>
  <c r="Q1492" i="3"/>
  <c r="P1492" i="3"/>
  <c r="O1492" i="3"/>
  <c r="M1492" i="3"/>
  <c r="L1492" i="3"/>
  <c r="N1492" i="3" s="1"/>
  <c r="K1492" i="3"/>
  <c r="J1492" i="3"/>
  <c r="E1492" i="3"/>
  <c r="D1492" i="3"/>
  <c r="T1491" i="3"/>
  <c r="S1491" i="3"/>
  <c r="R1491" i="3"/>
  <c r="Q1491" i="3"/>
  <c r="P1491" i="3"/>
  <c r="O1491" i="3"/>
  <c r="M1491" i="3"/>
  <c r="L1491" i="3"/>
  <c r="N1491" i="3" s="1"/>
  <c r="K1491" i="3"/>
  <c r="J1491" i="3"/>
  <c r="E1491" i="3"/>
  <c r="D1491" i="3"/>
  <c r="T1490" i="3"/>
  <c r="S1490" i="3"/>
  <c r="R1490" i="3"/>
  <c r="Q1490" i="3"/>
  <c r="P1490" i="3"/>
  <c r="O1490" i="3"/>
  <c r="M1490" i="3"/>
  <c r="L1490" i="3"/>
  <c r="N1490" i="3" s="1"/>
  <c r="K1490" i="3"/>
  <c r="J1490" i="3"/>
  <c r="E1490" i="3"/>
  <c r="D1490" i="3"/>
  <c r="T1489" i="3"/>
  <c r="S1489" i="3"/>
  <c r="R1489" i="3"/>
  <c r="Q1489" i="3"/>
  <c r="P1489" i="3"/>
  <c r="O1489" i="3"/>
  <c r="M1489" i="3"/>
  <c r="L1489" i="3"/>
  <c r="N1489" i="3" s="1"/>
  <c r="K1489" i="3"/>
  <c r="J1489" i="3"/>
  <c r="E1489" i="3"/>
  <c r="D1489" i="3"/>
  <c r="T1488" i="3"/>
  <c r="S1488" i="3"/>
  <c r="R1488" i="3"/>
  <c r="Q1488" i="3"/>
  <c r="P1488" i="3"/>
  <c r="O1488" i="3"/>
  <c r="M1488" i="3"/>
  <c r="L1488" i="3"/>
  <c r="N1488" i="3" s="1"/>
  <c r="K1488" i="3"/>
  <c r="J1488" i="3"/>
  <c r="E1488" i="3"/>
  <c r="D1488" i="3"/>
  <c r="T1487" i="3"/>
  <c r="S1487" i="3"/>
  <c r="R1487" i="3"/>
  <c r="Q1487" i="3"/>
  <c r="P1487" i="3"/>
  <c r="O1487" i="3"/>
  <c r="M1487" i="3"/>
  <c r="L1487" i="3"/>
  <c r="N1487" i="3" s="1"/>
  <c r="K1487" i="3"/>
  <c r="J1487" i="3"/>
  <c r="E1487" i="3"/>
  <c r="D1487" i="3"/>
  <c r="T1486" i="3"/>
  <c r="S1486" i="3"/>
  <c r="R1486" i="3"/>
  <c r="Q1486" i="3"/>
  <c r="P1486" i="3"/>
  <c r="O1486" i="3"/>
  <c r="M1486" i="3"/>
  <c r="L1486" i="3"/>
  <c r="N1486" i="3" s="1"/>
  <c r="K1486" i="3"/>
  <c r="J1486" i="3"/>
  <c r="E1486" i="3"/>
  <c r="D1486" i="3"/>
  <c r="T1485" i="3"/>
  <c r="S1485" i="3"/>
  <c r="R1485" i="3"/>
  <c r="Q1485" i="3"/>
  <c r="P1485" i="3"/>
  <c r="O1485" i="3"/>
  <c r="M1485" i="3"/>
  <c r="L1485" i="3"/>
  <c r="N1485" i="3" s="1"/>
  <c r="K1485" i="3"/>
  <c r="J1485" i="3"/>
  <c r="E1485" i="3"/>
  <c r="D1485" i="3"/>
  <c r="T1484" i="3"/>
  <c r="S1484" i="3"/>
  <c r="R1484" i="3"/>
  <c r="Q1484" i="3"/>
  <c r="P1484" i="3"/>
  <c r="O1484" i="3"/>
  <c r="M1484" i="3"/>
  <c r="L1484" i="3"/>
  <c r="N1484" i="3" s="1"/>
  <c r="K1484" i="3"/>
  <c r="J1484" i="3"/>
  <c r="E1484" i="3"/>
  <c r="D1484" i="3"/>
  <c r="T1483" i="3"/>
  <c r="S1483" i="3"/>
  <c r="R1483" i="3"/>
  <c r="Q1483" i="3"/>
  <c r="P1483" i="3"/>
  <c r="O1483" i="3"/>
  <c r="M1483" i="3"/>
  <c r="L1483" i="3"/>
  <c r="N1483" i="3" s="1"/>
  <c r="K1483" i="3"/>
  <c r="J1483" i="3"/>
  <c r="E1483" i="3"/>
  <c r="D1483" i="3"/>
  <c r="T1482" i="3"/>
  <c r="S1482" i="3"/>
  <c r="R1482" i="3"/>
  <c r="Q1482" i="3"/>
  <c r="P1482" i="3"/>
  <c r="O1482" i="3"/>
  <c r="M1482" i="3"/>
  <c r="L1482" i="3"/>
  <c r="N1482" i="3" s="1"/>
  <c r="K1482" i="3"/>
  <c r="J1482" i="3"/>
  <c r="E1482" i="3"/>
  <c r="D1482" i="3"/>
  <c r="T1481" i="3"/>
  <c r="S1481" i="3"/>
  <c r="R1481" i="3"/>
  <c r="Q1481" i="3"/>
  <c r="P1481" i="3"/>
  <c r="O1481" i="3"/>
  <c r="M1481" i="3"/>
  <c r="L1481" i="3"/>
  <c r="N1481" i="3" s="1"/>
  <c r="K1481" i="3"/>
  <c r="J1481" i="3"/>
  <c r="E1481" i="3"/>
  <c r="D1481" i="3"/>
  <c r="T1480" i="3"/>
  <c r="S1480" i="3"/>
  <c r="R1480" i="3"/>
  <c r="Q1480" i="3"/>
  <c r="P1480" i="3"/>
  <c r="O1480" i="3"/>
  <c r="M1480" i="3"/>
  <c r="L1480" i="3"/>
  <c r="N1480" i="3" s="1"/>
  <c r="K1480" i="3"/>
  <c r="J1480" i="3"/>
  <c r="E1480" i="3"/>
  <c r="D1480" i="3"/>
  <c r="T1479" i="3"/>
  <c r="S1479" i="3"/>
  <c r="R1479" i="3"/>
  <c r="Q1479" i="3"/>
  <c r="P1479" i="3"/>
  <c r="O1479" i="3"/>
  <c r="M1479" i="3"/>
  <c r="L1479" i="3"/>
  <c r="N1479" i="3" s="1"/>
  <c r="K1479" i="3"/>
  <c r="J1479" i="3"/>
  <c r="E1479" i="3"/>
  <c r="D1479" i="3"/>
  <c r="T1478" i="3"/>
  <c r="S1478" i="3"/>
  <c r="R1478" i="3"/>
  <c r="Q1478" i="3"/>
  <c r="P1478" i="3"/>
  <c r="O1478" i="3"/>
  <c r="M1478" i="3"/>
  <c r="L1478" i="3"/>
  <c r="N1478" i="3" s="1"/>
  <c r="K1478" i="3"/>
  <c r="J1478" i="3"/>
  <c r="E1478" i="3"/>
  <c r="D1478" i="3"/>
  <c r="T1477" i="3"/>
  <c r="S1477" i="3"/>
  <c r="R1477" i="3"/>
  <c r="Q1477" i="3"/>
  <c r="P1477" i="3"/>
  <c r="O1477" i="3"/>
  <c r="M1477" i="3"/>
  <c r="L1477" i="3"/>
  <c r="N1477" i="3" s="1"/>
  <c r="K1477" i="3"/>
  <c r="J1477" i="3"/>
  <c r="E1477" i="3"/>
  <c r="D1477" i="3"/>
  <c r="T1476" i="3"/>
  <c r="S1476" i="3"/>
  <c r="R1476" i="3"/>
  <c r="Q1476" i="3"/>
  <c r="P1476" i="3"/>
  <c r="O1476" i="3"/>
  <c r="M1476" i="3"/>
  <c r="L1476" i="3"/>
  <c r="N1476" i="3" s="1"/>
  <c r="K1476" i="3"/>
  <c r="J1476" i="3"/>
  <c r="E1476" i="3"/>
  <c r="D1476" i="3"/>
  <c r="T1475" i="3"/>
  <c r="S1475" i="3"/>
  <c r="R1475" i="3"/>
  <c r="Q1475" i="3"/>
  <c r="P1475" i="3"/>
  <c r="O1475" i="3"/>
  <c r="M1475" i="3"/>
  <c r="L1475" i="3"/>
  <c r="N1475" i="3" s="1"/>
  <c r="K1475" i="3"/>
  <c r="J1475" i="3"/>
  <c r="E1475" i="3"/>
  <c r="D1475" i="3"/>
  <c r="T1474" i="3"/>
  <c r="S1474" i="3"/>
  <c r="R1474" i="3"/>
  <c r="Q1474" i="3"/>
  <c r="P1474" i="3"/>
  <c r="O1474" i="3"/>
  <c r="M1474" i="3"/>
  <c r="L1474" i="3"/>
  <c r="N1474" i="3" s="1"/>
  <c r="K1474" i="3"/>
  <c r="J1474" i="3"/>
  <c r="E1474" i="3"/>
  <c r="D1474" i="3"/>
  <c r="T1473" i="3"/>
  <c r="S1473" i="3"/>
  <c r="R1473" i="3"/>
  <c r="Q1473" i="3"/>
  <c r="P1473" i="3"/>
  <c r="O1473" i="3"/>
  <c r="M1473" i="3"/>
  <c r="L1473" i="3"/>
  <c r="N1473" i="3" s="1"/>
  <c r="K1473" i="3"/>
  <c r="J1473" i="3"/>
  <c r="E1473" i="3"/>
  <c r="D1473" i="3"/>
  <c r="T1472" i="3"/>
  <c r="S1472" i="3"/>
  <c r="R1472" i="3"/>
  <c r="Q1472" i="3"/>
  <c r="P1472" i="3"/>
  <c r="O1472" i="3"/>
  <c r="M1472" i="3"/>
  <c r="L1472" i="3"/>
  <c r="N1472" i="3" s="1"/>
  <c r="K1472" i="3"/>
  <c r="J1472" i="3"/>
  <c r="E1472" i="3"/>
  <c r="D1472" i="3"/>
  <c r="T1471" i="3"/>
  <c r="S1471" i="3"/>
  <c r="R1471" i="3"/>
  <c r="Q1471" i="3"/>
  <c r="P1471" i="3"/>
  <c r="O1471" i="3"/>
  <c r="M1471" i="3"/>
  <c r="L1471" i="3"/>
  <c r="N1471" i="3" s="1"/>
  <c r="K1471" i="3"/>
  <c r="J1471" i="3"/>
  <c r="E1471" i="3"/>
  <c r="D1471" i="3"/>
  <c r="T1470" i="3"/>
  <c r="S1470" i="3"/>
  <c r="R1470" i="3"/>
  <c r="Q1470" i="3"/>
  <c r="P1470" i="3"/>
  <c r="O1470" i="3"/>
  <c r="M1470" i="3"/>
  <c r="L1470" i="3"/>
  <c r="N1470" i="3" s="1"/>
  <c r="K1470" i="3"/>
  <c r="J1470" i="3"/>
  <c r="E1470" i="3"/>
  <c r="D1470" i="3"/>
  <c r="T1469" i="3"/>
  <c r="S1469" i="3"/>
  <c r="R1469" i="3"/>
  <c r="Q1469" i="3"/>
  <c r="P1469" i="3"/>
  <c r="O1469" i="3"/>
  <c r="M1469" i="3"/>
  <c r="L1469" i="3"/>
  <c r="N1469" i="3" s="1"/>
  <c r="K1469" i="3"/>
  <c r="J1469" i="3"/>
  <c r="E1469" i="3"/>
  <c r="D1469" i="3"/>
  <c r="T1468" i="3"/>
  <c r="S1468" i="3"/>
  <c r="R1468" i="3"/>
  <c r="Q1468" i="3"/>
  <c r="P1468" i="3"/>
  <c r="O1468" i="3"/>
  <c r="M1468" i="3"/>
  <c r="L1468" i="3"/>
  <c r="N1468" i="3" s="1"/>
  <c r="K1468" i="3"/>
  <c r="J1468" i="3"/>
  <c r="E1468" i="3"/>
  <c r="D1468" i="3"/>
  <c r="T1467" i="3"/>
  <c r="S1467" i="3"/>
  <c r="R1467" i="3"/>
  <c r="Q1467" i="3"/>
  <c r="P1467" i="3"/>
  <c r="O1467" i="3"/>
  <c r="M1467" i="3"/>
  <c r="L1467" i="3"/>
  <c r="N1467" i="3" s="1"/>
  <c r="K1467" i="3"/>
  <c r="J1467" i="3"/>
  <c r="E1467" i="3"/>
  <c r="D1467" i="3"/>
  <c r="T1466" i="3"/>
  <c r="S1466" i="3"/>
  <c r="R1466" i="3"/>
  <c r="Q1466" i="3"/>
  <c r="P1466" i="3"/>
  <c r="O1466" i="3"/>
  <c r="M1466" i="3"/>
  <c r="L1466" i="3"/>
  <c r="N1466" i="3" s="1"/>
  <c r="K1466" i="3"/>
  <c r="J1466" i="3"/>
  <c r="E1466" i="3"/>
  <c r="D1466" i="3"/>
  <c r="T1465" i="3"/>
  <c r="S1465" i="3"/>
  <c r="R1465" i="3"/>
  <c r="Q1465" i="3"/>
  <c r="P1465" i="3"/>
  <c r="O1465" i="3"/>
  <c r="M1465" i="3"/>
  <c r="L1465" i="3"/>
  <c r="N1465" i="3" s="1"/>
  <c r="K1465" i="3"/>
  <c r="J1465" i="3"/>
  <c r="E1465" i="3"/>
  <c r="D1465" i="3"/>
  <c r="T1464" i="3"/>
  <c r="S1464" i="3"/>
  <c r="R1464" i="3"/>
  <c r="Q1464" i="3"/>
  <c r="P1464" i="3"/>
  <c r="O1464" i="3"/>
  <c r="M1464" i="3"/>
  <c r="L1464" i="3"/>
  <c r="N1464" i="3" s="1"/>
  <c r="K1464" i="3"/>
  <c r="J1464" i="3"/>
  <c r="E1464" i="3"/>
  <c r="D1464" i="3"/>
  <c r="T1463" i="3"/>
  <c r="S1463" i="3"/>
  <c r="R1463" i="3"/>
  <c r="Q1463" i="3"/>
  <c r="P1463" i="3"/>
  <c r="O1463" i="3"/>
  <c r="M1463" i="3"/>
  <c r="L1463" i="3"/>
  <c r="N1463" i="3" s="1"/>
  <c r="K1463" i="3"/>
  <c r="J1463" i="3"/>
  <c r="E1463" i="3"/>
  <c r="D1463" i="3"/>
  <c r="T1462" i="3"/>
  <c r="S1462" i="3"/>
  <c r="R1462" i="3"/>
  <c r="Q1462" i="3"/>
  <c r="P1462" i="3"/>
  <c r="O1462" i="3"/>
  <c r="M1462" i="3"/>
  <c r="L1462" i="3"/>
  <c r="N1462" i="3" s="1"/>
  <c r="K1462" i="3"/>
  <c r="J1462" i="3"/>
  <c r="E1462" i="3"/>
  <c r="D1462" i="3"/>
  <c r="T1461" i="3"/>
  <c r="S1461" i="3"/>
  <c r="R1461" i="3"/>
  <c r="Q1461" i="3"/>
  <c r="P1461" i="3"/>
  <c r="O1461" i="3"/>
  <c r="M1461" i="3"/>
  <c r="L1461" i="3"/>
  <c r="N1461" i="3" s="1"/>
  <c r="K1461" i="3"/>
  <c r="J1461" i="3"/>
  <c r="E1461" i="3"/>
  <c r="D1461" i="3"/>
  <c r="T1460" i="3"/>
  <c r="S1460" i="3"/>
  <c r="R1460" i="3"/>
  <c r="Q1460" i="3"/>
  <c r="P1460" i="3"/>
  <c r="O1460" i="3"/>
  <c r="M1460" i="3"/>
  <c r="L1460" i="3"/>
  <c r="N1460" i="3" s="1"/>
  <c r="K1460" i="3"/>
  <c r="J1460" i="3"/>
  <c r="E1460" i="3"/>
  <c r="D1460" i="3"/>
  <c r="T1459" i="3"/>
  <c r="S1459" i="3"/>
  <c r="R1459" i="3"/>
  <c r="Q1459" i="3"/>
  <c r="P1459" i="3"/>
  <c r="O1459" i="3"/>
  <c r="M1459" i="3"/>
  <c r="L1459" i="3"/>
  <c r="N1459" i="3" s="1"/>
  <c r="K1459" i="3"/>
  <c r="J1459" i="3"/>
  <c r="E1459" i="3"/>
  <c r="D1459" i="3"/>
  <c r="T1458" i="3"/>
  <c r="S1458" i="3"/>
  <c r="R1458" i="3"/>
  <c r="Q1458" i="3"/>
  <c r="P1458" i="3"/>
  <c r="O1458" i="3"/>
  <c r="M1458" i="3"/>
  <c r="L1458" i="3"/>
  <c r="N1458" i="3" s="1"/>
  <c r="K1458" i="3"/>
  <c r="J1458" i="3"/>
  <c r="E1458" i="3"/>
  <c r="D1458" i="3"/>
  <c r="T1457" i="3"/>
  <c r="S1457" i="3"/>
  <c r="R1457" i="3"/>
  <c r="Q1457" i="3"/>
  <c r="P1457" i="3"/>
  <c r="O1457" i="3"/>
  <c r="M1457" i="3"/>
  <c r="L1457" i="3"/>
  <c r="N1457" i="3" s="1"/>
  <c r="K1457" i="3"/>
  <c r="J1457" i="3"/>
  <c r="E1457" i="3"/>
  <c r="D1457" i="3"/>
  <c r="T1456" i="3"/>
  <c r="S1456" i="3"/>
  <c r="R1456" i="3"/>
  <c r="Q1456" i="3"/>
  <c r="P1456" i="3"/>
  <c r="O1456" i="3"/>
  <c r="M1456" i="3"/>
  <c r="L1456" i="3"/>
  <c r="N1456" i="3" s="1"/>
  <c r="K1456" i="3"/>
  <c r="J1456" i="3"/>
  <c r="E1456" i="3"/>
  <c r="D1456" i="3"/>
  <c r="T1455" i="3"/>
  <c r="S1455" i="3"/>
  <c r="R1455" i="3"/>
  <c r="Q1455" i="3"/>
  <c r="P1455" i="3"/>
  <c r="O1455" i="3"/>
  <c r="M1455" i="3"/>
  <c r="L1455" i="3"/>
  <c r="N1455" i="3" s="1"/>
  <c r="K1455" i="3"/>
  <c r="J1455" i="3"/>
  <c r="E1455" i="3"/>
  <c r="D1455" i="3"/>
  <c r="T1454" i="3"/>
  <c r="S1454" i="3"/>
  <c r="R1454" i="3"/>
  <c r="Q1454" i="3"/>
  <c r="P1454" i="3"/>
  <c r="O1454" i="3"/>
  <c r="M1454" i="3"/>
  <c r="L1454" i="3"/>
  <c r="N1454" i="3" s="1"/>
  <c r="K1454" i="3"/>
  <c r="J1454" i="3"/>
  <c r="E1454" i="3"/>
  <c r="D1454" i="3"/>
  <c r="T1453" i="3"/>
  <c r="S1453" i="3"/>
  <c r="R1453" i="3"/>
  <c r="Q1453" i="3"/>
  <c r="P1453" i="3"/>
  <c r="O1453" i="3"/>
  <c r="M1453" i="3"/>
  <c r="L1453" i="3"/>
  <c r="N1453" i="3" s="1"/>
  <c r="K1453" i="3"/>
  <c r="J1453" i="3"/>
  <c r="E1453" i="3"/>
  <c r="D1453" i="3"/>
  <c r="T1452" i="3"/>
  <c r="S1452" i="3"/>
  <c r="R1452" i="3"/>
  <c r="Q1452" i="3"/>
  <c r="P1452" i="3"/>
  <c r="O1452" i="3"/>
  <c r="M1452" i="3"/>
  <c r="L1452" i="3"/>
  <c r="N1452" i="3" s="1"/>
  <c r="K1452" i="3"/>
  <c r="J1452" i="3"/>
  <c r="E1452" i="3"/>
  <c r="D1452" i="3"/>
  <c r="T1451" i="3"/>
  <c r="S1451" i="3"/>
  <c r="R1451" i="3"/>
  <c r="Q1451" i="3"/>
  <c r="P1451" i="3"/>
  <c r="O1451" i="3"/>
  <c r="M1451" i="3"/>
  <c r="L1451" i="3"/>
  <c r="N1451" i="3" s="1"/>
  <c r="K1451" i="3"/>
  <c r="J1451" i="3"/>
  <c r="E1451" i="3"/>
  <c r="D1451" i="3"/>
  <c r="T1450" i="3"/>
  <c r="S1450" i="3"/>
  <c r="R1450" i="3"/>
  <c r="Q1450" i="3"/>
  <c r="P1450" i="3"/>
  <c r="O1450" i="3"/>
  <c r="M1450" i="3"/>
  <c r="L1450" i="3"/>
  <c r="N1450" i="3" s="1"/>
  <c r="K1450" i="3"/>
  <c r="J1450" i="3"/>
  <c r="E1450" i="3"/>
  <c r="D1450" i="3"/>
  <c r="T1449" i="3"/>
  <c r="S1449" i="3"/>
  <c r="R1449" i="3"/>
  <c r="Q1449" i="3"/>
  <c r="P1449" i="3"/>
  <c r="O1449" i="3"/>
  <c r="M1449" i="3"/>
  <c r="L1449" i="3"/>
  <c r="N1449" i="3" s="1"/>
  <c r="K1449" i="3"/>
  <c r="J1449" i="3"/>
  <c r="E1449" i="3"/>
  <c r="D1449" i="3"/>
  <c r="T1448" i="3"/>
  <c r="S1448" i="3"/>
  <c r="R1448" i="3"/>
  <c r="Q1448" i="3"/>
  <c r="P1448" i="3"/>
  <c r="O1448" i="3"/>
  <c r="M1448" i="3"/>
  <c r="L1448" i="3"/>
  <c r="N1448" i="3" s="1"/>
  <c r="K1448" i="3"/>
  <c r="J1448" i="3"/>
  <c r="E1448" i="3"/>
  <c r="D1448" i="3"/>
  <c r="T1447" i="3"/>
  <c r="S1447" i="3"/>
  <c r="R1447" i="3"/>
  <c r="Q1447" i="3"/>
  <c r="P1447" i="3"/>
  <c r="O1447" i="3"/>
  <c r="M1447" i="3"/>
  <c r="L1447" i="3"/>
  <c r="N1447" i="3" s="1"/>
  <c r="K1447" i="3"/>
  <c r="J1447" i="3"/>
  <c r="E1447" i="3"/>
  <c r="D1447" i="3"/>
  <c r="T1446" i="3"/>
  <c r="S1446" i="3"/>
  <c r="R1446" i="3"/>
  <c r="Q1446" i="3"/>
  <c r="P1446" i="3"/>
  <c r="O1446" i="3"/>
  <c r="M1446" i="3"/>
  <c r="L1446" i="3"/>
  <c r="N1446" i="3" s="1"/>
  <c r="K1446" i="3"/>
  <c r="J1446" i="3"/>
  <c r="E1446" i="3"/>
  <c r="D1446" i="3"/>
  <c r="T1445" i="3"/>
  <c r="S1445" i="3"/>
  <c r="R1445" i="3"/>
  <c r="Q1445" i="3"/>
  <c r="P1445" i="3"/>
  <c r="O1445" i="3"/>
  <c r="M1445" i="3"/>
  <c r="L1445" i="3"/>
  <c r="N1445" i="3" s="1"/>
  <c r="K1445" i="3"/>
  <c r="J1445" i="3"/>
  <c r="E1445" i="3"/>
  <c r="D1445" i="3"/>
  <c r="T1444" i="3"/>
  <c r="S1444" i="3"/>
  <c r="R1444" i="3"/>
  <c r="Q1444" i="3"/>
  <c r="P1444" i="3"/>
  <c r="O1444" i="3"/>
  <c r="M1444" i="3"/>
  <c r="L1444" i="3"/>
  <c r="N1444" i="3" s="1"/>
  <c r="K1444" i="3"/>
  <c r="J1444" i="3"/>
  <c r="E1444" i="3"/>
  <c r="D1444" i="3"/>
  <c r="T1443" i="3"/>
  <c r="S1443" i="3"/>
  <c r="R1443" i="3"/>
  <c r="Q1443" i="3"/>
  <c r="P1443" i="3"/>
  <c r="O1443" i="3"/>
  <c r="M1443" i="3"/>
  <c r="L1443" i="3"/>
  <c r="N1443" i="3" s="1"/>
  <c r="K1443" i="3"/>
  <c r="J1443" i="3"/>
  <c r="E1443" i="3"/>
  <c r="D1443" i="3"/>
  <c r="T1442" i="3"/>
  <c r="S1442" i="3"/>
  <c r="R1442" i="3"/>
  <c r="Q1442" i="3"/>
  <c r="P1442" i="3"/>
  <c r="O1442" i="3"/>
  <c r="M1442" i="3"/>
  <c r="L1442" i="3"/>
  <c r="N1442" i="3" s="1"/>
  <c r="K1442" i="3"/>
  <c r="J1442" i="3"/>
  <c r="E1442" i="3"/>
  <c r="D1442" i="3"/>
  <c r="T1441" i="3"/>
  <c r="S1441" i="3"/>
  <c r="R1441" i="3"/>
  <c r="Q1441" i="3"/>
  <c r="P1441" i="3"/>
  <c r="O1441" i="3"/>
  <c r="M1441" i="3"/>
  <c r="L1441" i="3"/>
  <c r="N1441" i="3" s="1"/>
  <c r="K1441" i="3"/>
  <c r="J1441" i="3"/>
  <c r="E1441" i="3"/>
  <c r="D1441" i="3"/>
  <c r="T1440" i="3"/>
  <c r="S1440" i="3"/>
  <c r="R1440" i="3"/>
  <c r="Q1440" i="3"/>
  <c r="P1440" i="3"/>
  <c r="O1440" i="3"/>
  <c r="M1440" i="3"/>
  <c r="L1440" i="3"/>
  <c r="N1440" i="3" s="1"/>
  <c r="K1440" i="3"/>
  <c r="J1440" i="3"/>
  <c r="E1440" i="3"/>
  <c r="D1440" i="3"/>
  <c r="T1439" i="3"/>
  <c r="S1439" i="3"/>
  <c r="R1439" i="3"/>
  <c r="Q1439" i="3"/>
  <c r="P1439" i="3"/>
  <c r="O1439" i="3"/>
  <c r="M1439" i="3"/>
  <c r="L1439" i="3"/>
  <c r="N1439" i="3" s="1"/>
  <c r="K1439" i="3"/>
  <c r="J1439" i="3"/>
  <c r="E1439" i="3"/>
  <c r="D1439" i="3"/>
  <c r="T1438" i="3"/>
  <c r="S1438" i="3"/>
  <c r="R1438" i="3"/>
  <c r="Q1438" i="3"/>
  <c r="P1438" i="3"/>
  <c r="O1438" i="3"/>
  <c r="M1438" i="3"/>
  <c r="L1438" i="3"/>
  <c r="N1438" i="3" s="1"/>
  <c r="K1438" i="3"/>
  <c r="J1438" i="3"/>
  <c r="E1438" i="3"/>
  <c r="D1438" i="3"/>
  <c r="T1437" i="3"/>
  <c r="S1437" i="3"/>
  <c r="R1437" i="3"/>
  <c r="Q1437" i="3"/>
  <c r="P1437" i="3"/>
  <c r="O1437" i="3"/>
  <c r="M1437" i="3"/>
  <c r="L1437" i="3"/>
  <c r="N1437" i="3" s="1"/>
  <c r="K1437" i="3"/>
  <c r="J1437" i="3"/>
  <c r="E1437" i="3"/>
  <c r="D1437" i="3"/>
  <c r="T1436" i="3"/>
  <c r="S1436" i="3"/>
  <c r="R1436" i="3"/>
  <c r="Q1436" i="3"/>
  <c r="P1436" i="3"/>
  <c r="O1436" i="3"/>
  <c r="M1436" i="3"/>
  <c r="L1436" i="3"/>
  <c r="N1436" i="3" s="1"/>
  <c r="K1436" i="3"/>
  <c r="J1436" i="3"/>
  <c r="E1436" i="3"/>
  <c r="D1436" i="3"/>
  <c r="T1435" i="3"/>
  <c r="S1435" i="3"/>
  <c r="R1435" i="3"/>
  <c r="Q1435" i="3"/>
  <c r="P1435" i="3"/>
  <c r="O1435" i="3"/>
  <c r="M1435" i="3"/>
  <c r="L1435" i="3"/>
  <c r="N1435" i="3" s="1"/>
  <c r="K1435" i="3"/>
  <c r="J1435" i="3"/>
  <c r="E1435" i="3"/>
  <c r="D1435" i="3"/>
  <c r="T1434" i="3"/>
  <c r="S1434" i="3"/>
  <c r="R1434" i="3"/>
  <c r="Q1434" i="3"/>
  <c r="P1434" i="3"/>
  <c r="O1434" i="3"/>
  <c r="M1434" i="3"/>
  <c r="L1434" i="3"/>
  <c r="N1434" i="3" s="1"/>
  <c r="K1434" i="3"/>
  <c r="J1434" i="3"/>
  <c r="E1434" i="3"/>
  <c r="D1434" i="3"/>
  <c r="T1433" i="3"/>
  <c r="S1433" i="3"/>
  <c r="R1433" i="3"/>
  <c r="Q1433" i="3"/>
  <c r="P1433" i="3"/>
  <c r="O1433" i="3"/>
  <c r="M1433" i="3"/>
  <c r="L1433" i="3"/>
  <c r="N1433" i="3" s="1"/>
  <c r="K1433" i="3"/>
  <c r="J1433" i="3"/>
  <c r="E1433" i="3"/>
  <c r="D1433" i="3"/>
  <c r="T1432" i="3"/>
  <c r="S1432" i="3"/>
  <c r="R1432" i="3"/>
  <c r="Q1432" i="3"/>
  <c r="P1432" i="3"/>
  <c r="O1432" i="3"/>
  <c r="M1432" i="3"/>
  <c r="L1432" i="3"/>
  <c r="N1432" i="3" s="1"/>
  <c r="K1432" i="3"/>
  <c r="J1432" i="3"/>
  <c r="E1432" i="3"/>
  <c r="D1432" i="3"/>
  <c r="T1431" i="3"/>
  <c r="S1431" i="3"/>
  <c r="R1431" i="3"/>
  <c r="Q1431" i="3"/>
  <c r="P1431" i="3"/>
  <c r="O1431" i="3"/>
  <c r="M1431" i="3"/>
  <c r="L1431" i="3"/>
  <c r="N1431" i="3" s="1"/>
  <c r="K1431" i="3"/>
  <c r="J1431" i="3"/>
  <c r="E1431" i="3"/>
  <c r="D1431" i="3"/>
  <c r="T1430" i="3"/>
  <c r="S1430" i="3"/>
  <c r="R1430" i="3"/>
  <c r="Q1430" i="3"/>
  <c r="P1430" i="3"/>
  <c r="O1430" i="3"/>
  <c r="M1430" i="3"/>
  <c r="L1430" i="3"/>
  <c r="N1430" i="3" s="1"/>
  <c r="K1430" i="3"/>
  <c r="J1430" i="3"/>
  <c r="E1430" i="3"/>
  <c r="D1430" i="3"/>
  <c r="T1429" i="3"/>
  <c r="S1429" i="3"/>
  <c r="R1429" i="3"/>
  <c r="Q1429" i="3"/>
  <c r="P1429" i="3"/>
  <c r="O1429" i="3"/>
  <c r="M1429" i="3"/>
  <c r="L1429" i="3"/>
  <c r="N1429" i="3" s="1"/>
  <c r="K1429" i="3"/>
  <c r="J1429" i="3"/>
  <c r="E1429" i="3"/>
  <c r="D1429" i="3"/>
  <c r="T1428" i="3"/>
  <c r="S1428" i="3"/>
  <c r="R1428" i="3"/>
  <c r="Q1428" i="3"/>
  <c r="P1428" i="3"/>
  <c r="O1428" i="3"/>
  <c r="M1428" i="3"/>
  <c r="L1428" i="3"/>
  <c r="N1428" i="3" s="1"/>
  <c r="K1428" i="3"/>
  <c r="J1428" i="3"/>
  <c r="E1428" i="3"/>
  <c r="D1428" i="3"/>
  <c r="T1427" i="3"/>
  <c r="S1427" i="3"/>
  <c r="R1427" i="3"/>
  <c r="Q1427" i="3"/>
  <c r="P1427" i="3"/>
  <c r="O1427" i="3"/>
  <c r="M1427" i="3"/>
  <c r="L1427" i="3"/>
  <c r="N1427" i="3" s="1"/>
  <c r="K1427" i="3"/>
  <c r="J1427" i="3"/>
  <c r="E1427" i="3"/>
  <c r="D1427" i="3"/>
  <c r="T1426" i="3"/>
  <c r="S1426" i="3"/>
  <c r="R1426" i="3"/>
  <c r="Q1426" i="3"/>
  <c r="P1426" i="3"/>
  <c r="O1426" i="3"/>
  <c r="M1426" i="3"/>
  <c r="L1426" i="3"/>
  <c r="N1426" i="3" s="1"/>
  <c r="K1426" i="3"/>
  <c r="J1426" i="3"/>
  <c r="E1426" i="3"/>
  <c r="D1426" i="3"/>
  <c r="T1425" i="3"/>
  <c r="S1425" i="3"/>
  <c r="R1425" i="3"/>
  <c r="Q1425" i="3"/>
  <c r="P1425" i="3"/>
  <c r="O1425" i="3"/>
  <c r="M1425" i="3"/>
  <c r="L1425" i="3"/>
  <c r="N1425" i="3" s="1"/>
  <c r="K1425" i="3"/>
  <c r="J1425" i="3"/>
  <c r="E1425" i="3"/>
  <c r="D1425" i="3"/>
  <c r="T1424" i="3"/>
  <c r="S1424" i="3"/>
  <c r="R1424" i="3"/>
  <c r="Q1424" i="3"/>
  <c r="P1424" i="3"/>
  <c r="O1424" i="3"/>
  <c r="M1424" i="3"/>
  <c r="L1424" i="3"/>
  <c r="N1424" i="3" s="1"/>
  <c r="K1424" i="3"/>
  <c r="J1424" i="3"/>
  <c r="E1424" i="3"/>
  <c r="D1424" i="3"/>
  <c r="T1423" i="3"/>
  <c r="S1423" i="3"/>
  <c r="R1423" i="3"/>
  <c r="Q1423" i="3"/>
  <c r="P1423" i="3"/>
  <c r="O1423" i="3"/>
  <c r="M1423" i="3"/>
  <c r="L1423" i="3"/>
  <c r="N1423" i="3" s="1"/>
  <c r="K1423" i="3"/>
  <c r="J1423" i="3"/>
  <c r="E1423" i="3"/>
  <c r="D1423" i="3"/>
  <c r="T1422" i="3"/>
  <c r="S1422" i="3"/>
  <c r="R1422" i="3"/>
  <c r="Q1422" i="3"/>
  <c r="P1422" i="3"/>
  <c r="O1422" i="3"/>
  <c r="M1422" i="3"/>
  <c r="L1422" i="3"/>
  <c r="N1422" i="3" s="1"/>
  <c r="K1422" i="3"/>
  <c r="J1422" i="3"/>
  <c r="E1422" i="3"/>
  <c r="D1422" i="3"/>
  <c r="T1421" i="3"/>
  <c r="S1421" i="3"/>
  <c r="R1421" i="3"/>
  <c r="Q1421" i="3"/>
  <c r="P1421" i="3"/>
  <c r="O1421" i="3"/>
  <c r="M1421" i="3"/>
  <c r="L1421" i="3"/>
  <c r="N1421" i="3" s="1"/>
  <c r="K1421" i="3"/>
  <c r="J1421" i="3"/>
  <c r="E1421" i="3"/>
  <c r="D1421" i="3"/>
  <c r="T1420" i="3"/>
  <c r="S1420" i="3"/>
  <c r="R1420" i="3"/>
  <c r="Q1420" i="3"/>
  <c r="P1420" i="3"/>
  <c r="O1420" i="3"/>
  <c r="M1420" i="3"/>
  <c r="L1420" i="3"/>
  <c r="N1420" i="3" s="1"/>
  <c r="K1420" i="3"/>
  <c r="J1420" i="3"/>
  <c r="E1420" i="3"/>
  <c r="D1420" i="3"/>
  <c r="T1419" i="3"/>
  <c r="S1419" i="3"/>
  <c r="R1419" i="3"/>
  <c r="Q1419" i="3"/>
  <c r="P1419" i="3"/>
  <c r="O1419" i="3"/>
  <c r="M1419" i="3"/>
  <c r="L1419" i="3"/>
  <c r="N1419" i="3" s="1"/>
  <c r="K1419" i="3"/>
  <c r="J1419" i="3"/>
  <c r="E1419" i="3"/>
  <c r="D1419" i="3"/>
  <c r="T1418" i="3"/>
  <c r="S1418" i="3"/>
  <c r="R1418" i="3"/>
  <c r="Q1418" i="3"/>
  <c r="P1418" i="3"/>
  <c r="O1418" i="3"/>
  <c r="M1418" i="3"/>
  <c r="L1418" i="3"/>
  <c r="N1418" i="3" s="1"/>
  <c r="K1418" i="3"/>
  <c r="J1418" i="3"/>
  <c r="E1418" i="3"/>
  <c r="D1418" i="3"/>
  <c r="T1417" i="3"/>
  <c r="S1417" i="3"/>
  <c r="R1417" i="3"/>
  <c r="Q1417" i="3"/>
  <c r="P1417" i="3"/>
  <c r="O1417" i="3"/>
  <c r="M1417" i="3"/>
  <c r="L1417" i="3"/>
  <c r="N1417" i="3" s="1"/>
  <c r="K1417" i="3"/>
  <c r="J1417" i="3"/>
  <c r="E1417" i="3"/>
  <c r="D1417" i="3"/>
  <c r="T1416" i="3"/>
  <c r="S1416" i="3"/>
  <c r="R1416" i="3"/>
  <c r="Q1416" i="3"/>
  <c r="P1416" i="3"/>
  <c r="O1416" i="3"/>
  <c r="M1416" i="3"/>
  <c r="L1416" i="3"/>
  <c r="N1416" i="3" s="1"/>
  <c r="K1416" i="3"/>
  <c r="J1416" i="3"/>
  <c r="E1416" i="3"/>
  <c r="D1416" i="3"/>
  <c r="T1415" i="3"/>
  <c r="S1415" i="3"/>
  <c r="R1415" i="3"/>
  <c r="Q1415" i="3"/>
  <c r="P1415" i="3"/>
  <c r="O1415" i="3"/>
  <c r="M1415" i="3"/>
  <c r="L1415" i="3"/>
  <c r="N1415" i="3" s="1"/>
  <c r="K1415" i="3"/>
  <c r="J1415" i="3"/>
  <c r="E1415" i="3"/>
  <c r="D1415" i="3"/>
  <c r="T1414" i="3"/>
  <c r="S1414" i="3"/>
  <c r="R1414" i="3"/>
  <c r="Q1414" i="3"/>
  <c r="P1414" i="3"/>
  <c r="O1414" i="3"/>
  <c r="M1414" i="3"/>
  <c r="L1414" i="3"/>
  <c r="N1414" i="3" s="1"/>
  <c r="K1414" i="3"/>
  <c r="J1414" i="3"/>
  <c r="E1414" i="3"/>
  <c r="D1414" i="3"/>
  <c r="T1413" i="3"/>
  <c r="S1413" i="3"/>
  <c r="R1413" i="3"/>
  <c r="Q1413" i="3"/>
  <c r="P1413" i="3"/>
  <c r="O1413" i="3"/>
  <c r="M1413" i="3"/>
  <c r="L1413" i="3"/>
  <c r="N1413" i="3" s="1"/>
  <c r="K1413" i="3"/>
  <c r="J1413" i="3"/>
  <c r="E1413" i="3"/>
  <c r="D1413" i="3"/>
  <c r="T1412" i="3"/>
  <c r="S1412" i="3"/>
  <c r="R1412" i="3"/>
  <c r="Q1412" i="3"/>
  <c r="P1412" i="3"/>
  <c r="O1412" i="3"/>
  <c r="M1412" i="3"/>
  <c r="L1412" i="3"/>
  <c r="N1412" i="3" s="1"/>
  <c r="K1412" i="3"/>
  <c r="J1412" i="3"/>
  <c r="E1412" i="3"/>
  <c r="D1412" i="3"/>
  <c r="T1411" i="3"/>
  <c r="S1411" i="3"/>
  <c r="R1411" i="3"/>
  <c r="Q1411" i="3"/>
  <c r="P1411" i="3"/>
  <c r="O1411" i="3"/>
  <c r="M1411" i="3"/>
  <c r="L1411" i="3"/>
  <c r="N1411" i="3" s="1"/>
  <c r="K1411" i="3"/>
  <c r="J1411" i="3"/>
  <c r="E1411" i="3"/>
  <c r="D1411" i="3"/>
  <c r="T1410" i="3"/>
  <c r="S1410" i="3"/>
  <c r="R1410" i="3"/>
  <c r="Q1410" i="3"/>
  <c r="P1410" i="3"/>
  <c r="O1410" i="3"/>
  <c r="M1410" i="3"/>
  <c r="L1410" i="3"/>
  <c r="N1410" i="3" s="1"/>
  <c r="K1410" i="3"/>
  <c r="J1410" i="3"/>
  <c r="E1410" i="3"/>
  <c r="D1410" i="3"/>
  <c r="T1409" i="3"/>
  <c r="S1409" i="3"/>
  <c r="R1409" i="3"/>
  <c r="Q1409" i="3"/>
  <c r="P1409" i="3"/>
  <c r="O1409" i="3"/>
  <c r="M1409" i="3"/>
  <c r="L1409" i="3"/>
  <c r="N1409" i="3" s="1"/>
  <c r="K1409" i="3"/>
  <c r="J1409" i="3"/>
  <c r="E1409" i="3"/>
  <c r="D1409" i="3"/>
  <c r="T1408" i="3"/>
  <c r="S1408" i="3"/>
  <c r="R1408" i="3"/>
  <c r="Q1408" i="3"/>
  <c r="P1408" i="3"/>
  <c r="O1408" i="3"/>
  <c r="M1408" i="3"/>
  <c r="L1408" i="3"/>
  <c r="N1408" i="3" s="1"/>
  <c r="K1408" i="3"/>
  <c r="J1408" i="3"/>
  <c r="E1408" i="3"/>
  <c r="D1408" i="3"/>
  <c r="T1407" i="3"/>
  <c r="S1407" i="3"/>
  <c r="R1407" i="3"/>
  <c r="Q1407" i="3"/>
  <c r="P1407" i="3"/>
  <c r="O1407" i="3"/>
  <c r="M1407" i="3"/>
  <c r="L1407" i="3"/>
  <c r="N1407" i="3" s="1"/>
  <c r="K1407" i="3"/>
  <c r="J1407" i="3"/>
  <c r="E1407" i="3"/>
  <c r="D1407" i="3"/>
  <c r="T1406" i="3"/>
  <c r="S1406" i="3"/>
  <c r="R1406" i="3"/>
  <c r="Q1406" i="3"/>
  <c r="P1406" i="3"/>
  <c r="O1406" i="3"/>
  <c r="M1406" i="3"/>
  <c r="L1406" i="3"/>
  <c r="N1406" i="3" s="1"/>
  <c r="K1406" i="3"/>
  <c r="J1406" i="3"/>
  <c r="E1406" i="3"/>
  <c r="D1406" i="3"/>
  <c r="T1405" i="3"/>
  <c r="S1405" i="3"/>
  <c r="R1405" i="3"/>
  <c r="Q1405" i="3"/>
  <c r="P1405" i="3"/>
  <c r="O1405" i="3"/>
  <c r="M1405" i="3"/>
  <c r="L1405" i="3"/>
  <c r="N1405" i="3" s="1"/>
  <c r="K1405" i="3"/>
  <c r="J1405" i="3"/>
  <c r="E1405" i="3"/>
  <c r="D1405" i="3"/>
  <c r="T1404" i="3"/>
  <c r="S1404" i="3"/>
  <c r="R1404" i="3"/>
  <c r="Q1404" i="3"/>
  <c r="P1404" i="3"/>
  <c r="O1404" i="3"/>
  <c r="M1404" i="3"/>
  <c r="L1404" i="3"/>
  <c r="N1404" i="3" s="1"/>
  <c r="K1404" i="3"/>
  <c r="J1404" i="3"/>
  <c r="E1404" i="3"/>
  <c r="D1404" i="3"/>
  <c r="T1403" i="3"/>
  <c r="S1403" i="3"/>
  <c r="R1403" i="3"/>
  <c r="Q1403" i="3"/>
  <c r="P1403" i="3"/>
  <c r="O1403" i="3"/>
  <c r="M1403" i="3"/>
  <c r="L1403" i="3"/>
  <c r="N1403" i="3" s="1"/>
  <c r="K1403" i="3"/>
  <c r="J1403" i="3"/>
  <c r="E1403" i="3"/>
  <c r="D1403" i="3"/>
  <c r="T1402" i="3"/>
  <c r="S1402" i="3"/>
  <c r="R1402" i="3"/>
  <c r="Q1402" i="3"/>
  <c r="P1402" i="3"/>
  <c r="O1402" i="3"/>
  <c r="M1402" i="3"/>
  <c r="L1402" i="3"/>
  <c r="N1402" i="3" s="1"/>
  <c r="K1402" i="3"/>
  <c r="J1402" i="3"/>
  <c r="E1402" i="3"/>
  <c r="D1402" i="3"/>
  <c r="T1401" i="3"/>
  <c r="S1401" i="3"/>
  <c r="R1401" i="3"/>
  <c r="Q1401" i="3"/>
  <c r="P1401" i="3"/>
  <c r="O1401" i="3"/>
  <c r="M1401" i="3"/>
  <c r="L1401" i="3"/>
  <c r="N1401" i="3" s="1"/>
  <c r="K1401" i="3"/>
  <c r="J1401" i="3"/>
  <c r="E1401" i="3"/>
  <c r="D1401" i="3"/>
  <c r="T1400" i="3"/>
  <c r="S1400" i="3"/>
  <c r="R1400" i="3"/>
  <c r="Q1400" i="3"/>
  <c r="P1400" i="3"/>
  <c r="O1400" i="3"/>
  <c r="M1400" i="3"/>
  <c r="L1400" i="3"/>
  <c r="N1400" i="3" s="1"/>
  <c r="K1400" i="3"/>
  <c r="J1400" i="3"/>
  <c r="E1400" i="3"/>
  <c r="D1400" i="3"/>
  <c r="T1399" i="3"/>
  <c r="S1399" i="3"/>
  <c r="R1399" i="3"/>
  <c r="Q1399" i="3"/>
  <c r="P1399" i="3"/>
  <c r="O1399" i="3"/>
  <c r="M1399" i="3"/>
  <c r="L1399" i="3"/>
  <c r="N1399" i="3" s="1"/>
  <c r="K1399" i="3"/>
  <c r="J1399" i="3"/>
  <c r="E1399" i="3"/>
  <c r="D1399" i="3"/>
  <c r="T1398" i="3"/>
  <c r="S1398" i="3"/>
  <c r="R1398" i="3"/>
  <c r="Q1398" i="3"/>
  <c r="P1398" i="3"/>
  <c r="O1398" i="3"/>
  <c r="M1398" i="3"/>
  <c r="L1398" i="3"/>
  <c r="N1398" i="3" s="1"/>
  <c r="K1398" i="3"/>
  <c r="J1398" i="3"/>
  <c r="E1398" i="3"/>
  <c r="D1398" i="3"/>
  <c r="T1397" i="3"/>
  <c r="S1397" i="3"/>
  <c r="R1397" i="3"/>
  <c r="Q1397" i="3"/>
  <c r="P1397" i="3"/>
  <c r="O1397" i="3"/>
  <c r="M1397" i="3"/>
  <c r="L1397" i="3"/>
  <c r="N1397" i="3" s="1"/>
  <c r="K1397" i="3"/>
  <c r="J1397" i="3"/>
  <c r="E1397" i="3"/>
  <c r="D1397" i="3"/>
  <c r="T1396" i="3"/>
  <c r="S1396" i="3"/>
  <c r="R1396" i="3"/>
  <c r="Q1396" i="3"/>
  <c r="P1396" i="3"/>
  <c r="O1396" i="3"/>
  <c r="M1396" i="3"/>
  <c r="L1396" i="3"/>
  <c r="N1396" i="3" s="1"/>
  <c r="K1396" i="3"/>
  <c r="J1396" i="3"/>
  <c r="E1396" i="3"/>
  <c r="D1396" i="3"/>
  <c r="T1395" i="3"/>
  <c r="S1395" i="3"/>
  <c r="R1395" i="3"/>
  <c r="Q1395" i="3"/>
  <c r="P1395" i="3"/>
  <c r="O1395" i="3"/>
  <c r="M1395" i="3"/>
  <c r="L1395" i="3"/>
  <c r="N1395" i="3" s="1"/>
  <c r="K1395" i="3"/>
  <c r="J1395" i="3"/>
  <c r="E1395" i="3"/>
  <c r="D1395" i="3"/>
  <c r="T1394" i="3"/>
  <c r="S1394" i="3"/>
  <c r="R1394" i="3"/>
  <c r="Q1394" i="3"/>
  <c r="P1394" i="3"/>
  <c r="O1394" i="3"/>
  <c r="M1394" i="3"/>
  <c r="L1394" i="3"/>
  <c r="N1394" i="3" s="1"/>
  <c r="K1394" i="3"/>
  <c r="J1394" i="3"/>
  <c r="E1394" i="3"/>
  <c r="D1394" i="3"/>
  <c r="T1393" i="3"/>
  <c r="S1393" i="3"/>
  <c r="R1393" i="3"/>
  <c r="Q1393" i="3"/>
  <c r="P1393" i="3"/>
  <c r="O1393" i="3"/>
  <c r="M1393" i="3"/>
  <c r="L1393" i="3"/>
  <c r="N1393" i="3" s="1"/>
  <c r="K1393" i="3"/>
  <c r="J1393" i="3"/>
  <c r="E1393" i="3"/>
  <c r="D1393" i="3"/>
  <c r="T1392" i="3"/>
  <c r="S1392" i="3"/>
  <c r="R1392" i="3"/>
  <c r="Q1392" i="3"/>
  <c r="P1392" i="3"/>
  <c r="O1392" i="3"/>
  <c r="M1392" i="3"/>
  <c r="L1392" i="3"/>
  <c r="N1392" i="3" s="1"/>
  <c r="K1392" i="3"/>
  <c r="J1392" i="3"/>
  <c r="E1392" i="3"/>
  <c r="D1392" i="3"/>
  <c r="T1391" i="3"/>
  <c r="S1391" i="3"/>
  <c r="R1391" i="3"/>
  <c r="Q1391" i="3"/>
  <c r="P1391" i="3"/>
  <c r="O1391" i="3"/>
  <c r="M1391" i="3"/>
  <c r="L1391" i="3"/>
  <c r="N1391" i="3" s="1"/>
  <c r="K1391" i="3"/>
  <c r="J1391" i="3"/>
  <c r="E1391" i="3"/>
  <c r="D1391" i="3"/>
  <c r="T1390" i="3"/>
  <c r="S1390" i="3"/>
  <c r="R1390" i="3"/>
  <c r="Q1390" i="3"/>
  <c r="P1390" i="3"/>
  <c r="O1390" i="3"/>
  <c r="M1390" i="3"/>
  <c r="L1390" i="3"/>
  <c r="N1390" i="3" s="1"/>
  <c r="K1390" i="3"/>
  <c r="J1390" i="3"/>
  <c r="E1390" i="3"/>
  <c r="D1390" i="3"/>
  <c r="T1389" i="3"/>
  <c r="S1389" i="3"/>
  <c r="R1389" i="3"/>
  <c r="Q1389" i="3"/>
  <c r="P1389" i="3"/>
  <c r="O1389" i="3"/>
  <c r="M1389" i="3"/>
  <c r="L1389" i="3"/>
  <c r="N1389" i="3" s="1"/>
  <c r="K1389" i="3"/>
  <c r="J1389" i="3"/>
  <c r="E1389" i="3"/>
  <c r="D1389" i="3"/>
  <c r="T1388" i="3"/>
  <c r="S1388" i="3"/>
  <c r="R1388" i="3"/>
  <c r="Q1388" i="3"/>
  <c r="P1388" i="3"/>
  <c r="O1388" i="3"/>
  <c r="M1388" i="3"/>
  <c r="L1388" i="3"/>
  <c r="N1388" i="3" s="1"/>
  <c r="K1388" i="3"/>
  <c r="J1388" i="3"/>
  <c r="E1388" i="3"/>
  <c r="D1388" i="3"/>
  <c r="T1387" i="3"/>
  <c r="S1387" i="3"/>
  <c r="R1387" i="3"/>
  <c r="Q1387" i="3"/>
  <c r="P1387" i="3"/>
  <c r="O1387" i="3"/>
  <c r="M1387" i="3"/>
  <c r="L1387" i="3"/>
  <c r="N1387" i="3" s="1"/>
  <c r="K1387" i="3"/>
  <c r="J1387" i="3"/>
  <c r="E1387" i="3"/>
  <c r="D1387" i="3"/>
  <c r="T1386" i="3"/>
  <c r="S1386" i="3"/>
  <c r="R1386" i="3"/>
  <c r="Q1386" i="3"/>
  <c r="P1386" i="3"/>
  <c r="O1386" i="3"/>
  <c r="M1386" i="3"/>
  <c r="L1386" i="3"/>
  <c r="N1386" i="3" s="1"/>
  <c r="K1386" i="3"/>
  <c r="J1386" i="3"/>
  <c r="E1386" i="3"/>
  <c r="D1386" i="3"/>
  <c r="T1385" i="3"/>
  <c r="S1385" i="3"/>
  <c r="R1385" i="3"/>
  <c r="Q1385" i="3"/>
  <c r="P1385" i="3"/>
  <c r="O1385" i="3"/>
  <c r="M1385" i="3"/>
  <c r="L1385" i="3"/>
  <c r="N1385" i="3" s="1"/>
  <c r="K1385" i="3"/>
  <c r="J1385" i="3"/>
  <c r="E1385" i="3"/>
  <c r="D1385" i="3"/>
  <c r="T1384" i="3"/>
  <c r="S1384" i="3"/>
  <c r="R1384" i="3"/>
  <c r="Q1384" i="3"/>
  <c r="P1384" i="3"/>
  <c r="O1384" i="3"/>
  <c r="M1384" i="3"/>
  <c r="L1384" i="3"/>
  <c r="N1384" i="3" s="1"/>
  <c r="K1384" i="3"/>
  <c r="J1384" i="3"/>
  <c r="E1384" i="3"/>
  <c r="D1384" i="3"/>
  <c r="T1383" i="3"/>
  <c r="S1383" i="3"/>
  <c r="R1383" i="3"/>
  <c r="Q1383" i="3"/>
  <c r="P1383" i="3"/>
  <c r="O1383" i="3"/>
  <c r="M1383" i="3"/>
  <c r="L1383" i="3"/>
  <c r="N1383" i="3" s="1"/>
  <c r="K1383" i="3"/>
  <c r="J1383" i="3"/>
  <c r="E1383" i="3"/>
  <c r="D1383" i="3"/>
  <c r="T1382" i="3"/>
  <c r="S1382" i="3"/>
  <c r="R1382" i="3"/>
  <c r="Q1382" i="3"/>
  <c r="P1382" i="3"/>
  <c r="O1382" i="3"/>
  <c r="M1382" i="3"/>
  <c r="L1382" i="3"/>
  <c r="N1382" i="3" s="1"/>
  <c r="K1382" i="3"/>
  <c r="J1382" i="3"/>
  <c r="E1382" i="3"/>
  <c r="D1382" i="3"/>
  <c r="T1381" i="3"/>
  <c r="S1381" i="3"/>
  <c r="R1381" i="3"/>
  <c r="Q1381" i="3"/>
  <c r="P1381" i="3"/>
  <c r="O1381" i="3"/>
  <c r="M1381" i="3"/>
  <c r="L1381" i="3"/>
  <c r="N1381" i="3" s="1"/>
  <c r="K1381" i="3"/>
  <c r="J1381" i="3"/>
  <c r="E1381" i="3"/>
  <c r="D1381" i="3"/>
  <c r="T1380" i="3"/>
  <c r="S1380" i="3"/>
  <c r="R1380" i="3"/>
  <c r="Q1380" i="3"/>
  <c r="P1380" i="3"/>
  <c r="O1380" i="3"/>
  <c r="M1380" i="3"/>
  <c r="L1380" i="3"/>
  <c r="N1380" i="3" s="1"/>
  <c r="K1380" i="3"/>
  <c r="J1380" i="3"/>
  <c r="E1380" i="3"/>
  <c r="D1380" i="3"/>
  <c r="T1379" i="3"/>
  <c r="S1379" i="3"/>
  <c r="R1379" i="3"/>
  <c r="Q1379" i="3"/>
  <c r="P1379" i="3"/>
  <c r="O1379" i="3"/>
  <c r="M1379" i="3"/>
  <c r="L1379" i="3"/>
  <c r="N1379" i="3" s="1"/>
  <c r="K1379" i="3"/>
  <c r="J1379" i="3"/>
  <c r="E1379" i="3"/>
  <c r="D1379" i="3"/>
  <c r="T1378" i="3"/>
  <c r="S1378" i="3"/>
  <c r="R1378" i="3"/>
  <c r="Q1378" i="3"/>
  <c r="P1378" i="3"/>
  <c r="O1378" i="3"/>
  <c r="M1378" i="3"/>
  <c r="L1378" i="3"/>
  <c r="N1378" i="3" s="1"/>
  <c r="K1378" i="3"/>
  <c r="J1378" i="3"/>
  <c r="E1378" i="3"/>
  <c r="D1378" i="3"/>
  <c r="T1377" i="3"/>
  <c r="S1377" i="3"/>
  <c r="R1377" i="3"/>
  <c r="Q1377" i="3"/>
  <c r="P1377" i="3"/>
  <c r="O1377" i="3"/>
  <c r="M1377" i="3"/>
  <c r="L1377" i="3"/>
  <c r="N1377" i="3" s="1"/>
  <c r="K1377" i="3"/>
  <c r="J1377" i="3"/>
  <c r="E1377" i="3"/>
  <c r="D1377" i="3"/>
  <c r="T1376" i="3"/>
  <c r="S1376" i="3"/>
  <c r="R1376" i="3"/>
  <c r="Q1376" i="3"/>
  <c r="P1376" i="3"/>
  <c r="O1376" i="3"/>
  <c r="M1376" i="3"/>
  <c r="L1376" i="3"/>
  <c r="N1376" i="3" s="1"/>
  <c r="K1376" i="3"/>
  <c r="J1376" i="3"/>
  <c r="E1376" i="3"/>
  <c r="D1376" i="3"/>
  <c r="T1375" i="3"/>
  <c r="S1375" i="3"/>
  <c r="R1375" i="3"/>
  <c r="Q1375" i="3"/>
  <c r="P1375" i="3"/>
  <c r="O1375" i="3"/>
  <c r="M1375" i="3"/>
  <c r="L1375" i="3"/>
  <c r="N1375" i="3" s="1"/>
  <c r="K1375" i="3"/>
  <c r="J1375" i="3"/>
  <c r="E1375" i="3"/>
  <c r="D1375" i="3"/>
  <c r="T1374" i="3"/>
  <c r="S1374" i="3"/>
  <c r="R1374" i="3"/>
  <c r="Q1374" i="3"/>
  <c r="P1374" i="3"/>
  <c r="O1374" i="3"/>
  <c r="M1374" i="3"/>
  <c r="L1374" i="3"/>
  <c r="N1374" i="3" s="1"/>
  <c r="K1374" i="3"/>
  <c r="J1374" i="3"/>
  <c r="E1374" i="3"/>
  <c r="D1374" i="3"/>
  <c r="T1373" i="3"/>
  <c r="S1373" i="3"/>
  <c r="R1373" i="3"/>
  <c r="Q1373" i="3"/>
  <c r="P1373" i="3"/>
  <c r="O1373" i="3"/>
  <c r="M1373" i="3"/>
  <c r="L1373" i="3"/>
  <c r="N1373" i="3" s="1"/>
  <c r="K1373" i="3"/>
  <c r="J1373" i="3"/>
  <c r="E1373" i="3"/>
  <c r="D1373" i="3"/>
  <c r="T1372" i="3"/>
  <c r="S1372" i="3"/>
  <c r="R1372" i="3"/>
  <c r="Q1372" i="3"/>
  <c r="P1372" i="3"/>
  <c r="O1372" i="3"/>
  <c r="M1372" i="3"/>
  <c r="L1372" i="3"/>
  <c r="N1372" i="3" s="1"/>
  <c r="K1372" i="3"/>
  <c r="J1372" i="3"/>
  <c r="E1372" i="3"/>
  <c r="D1372" i="3"/>
  <c r="T1371" i="3"/>
  <c r="S1371" i="3"/>
  <c r="R1371" i="3"/>
  <c r="Q1371" i="3"/>
  <c r="P1371" i="3"/>
  <c r="O1371" i="3"/>
  <c r="M1371" i="3"/>
  <c r="L1371" i="3"/>
  <c r="N1371" i="3" s="1"/>
  <c r="K1371" i="3"/>
  <c r="J1371" i="3"/>
  <c r="E1371" i="3"/>
  <c r="D1371" i="3"/>
  <c r="T1370" i="3"/>
  <c r="S1370" i="3"/>
  <c r="R1370" i="3"/>
  <c r="Q1370" i="3"/>
  <c r="P1370" i="3"/>
  <c r="O1370" i="3"/>
  <c r="M1370" i="3"/>
  <c r="L1370" i="3"/>
  <c r="N1370" i="3" s="1"/>
  <c r="K1370" i="3"/>
  <c r="J1370" i="3"/>
  <c r="E1370" i="3"/>
  <c r="D1370" i="3"/>
  <c r="T1369" i="3"/>
  <c r="S1369" i="3"/>
  <c r="R1369" i="3"/>
  <c r="Q1369" i="3"/>
  <c r="P1369" i="3"/>
  <c r="O1369" i="3"/>
  <c r="M1369" i="3"/>
  <c r="L1369" i="3"/>
  <c r="N1369" i="3" s="1"/>
  <c r="K1369" i="3"/>
  <c r="J1369" i="3"/>
  <c r="E1369" i="3"/>
  <c r="D1369" i="3"/>
  <c r="T1368" i="3"/>
  <c r="S1368" i="3"/>
  <c r="R1368" i="3"/>
  <c r="Q1368" i="3"/>
  <c r="P1368" i="3"/>
  <c r="O1368" i="3"/>
  <c r="M1368" i="3"/>
  <c r="L1368" i="3"/>
  <c r="N1368" i="3" s="1"/>
  <c r="K1368" i="3"/>
  <c r="J1368" i="3"/>
  <c r="E1368" i="3"/>
  <c r="D1368" i="3"/>
  <c r="T1367" i="3"/>
  <c r="S1367" i="3"/>
  <c r="R1367" i="3"/>
  <c r="Q1367" i="3"/>
  <c r="P1367" i="3"/>
  <c r="O1367" i="3"/>
  <c r="M1367" i="3"/>
  <c r="L1367" i="3"/>
  <c r="N1367" i="3" s="1"/>
  <c r="K1367" i="3"/>
  <c r="J1367" i="3"/>
  <c r="E1367" i="3"/>
  <c r="D1367" i="3"/>
  <c r="T1366" i="3"/>
  <c r="S1366" i="3"/>
  <c r="R1366" i="3"/>
  <c r="Q1366" i="3"/>
  <c r="P1366" i="3"/>
  <c r="O1366" i="3"/>
  <c r="M1366" i="3"/>
  <c r="L1366" i="3"/>
  <c r="N1366" i="3" s="1"/>
  <c r="K1366" i="3"/>
  <c r="J1366" i="3"/>
  <c r="E1366" i="3"/>
  <c r="D1366" i="3"/>
  <c r="T1365" i="3"/>
  <c r="S1365" i="3"/>
  <c r="R1365" i="3"/>
  <c r="Q1365" i="3"/>
  <c r="P1365" i="3"/>
  <c r="O1365" i="3"/>
  <c r="M1365" i="3"/>
  <c r="L1365" i="3"/>
  <c r="N1365" i="3" s="1"/>
  <c r="K1365" i="3"/>
  <c r="J1365" i="3"/>
  <c r="E1365" i="3"/>
  <c r="D1365" i="3"/>
  <c r="T1364" i="3"/>
  <c r="S1364" i="3"/>
  <c r="R1364" i="3"/>
  <c r="Q1364" i="3"/>
  <c r="P1364" i="3"/>
  <c r="O1364" i="3"/>
  <c r="M1364" i="3"/>
  <c r="L1364" i="3"/>
  <c r="N1364" i="3" s="1"/>
  <c r="K1364" i="3"/>
  <c r="J1364" i="3"/>
  <c r="E1364" i="3"/>
  <c r="D1364" i="3"/>
  <c r="N1363" i="3"/>
  <c r="S506" i="3"/>
  <c r="O506" i="3"/>
  <c r="L506" i="3"/>
  <c r="N506" i="3" s="1"/>
  <c r="S505" i="3"/>
  <c r="P505" i="3"/>
  <c r="L505" i="3"/>
  <c r="N505" i="3" s="1"/>
  <c r="J505" i="3"/>
  <c r="D505" i="3"/>
  <c r="B505" i="3"/>
  <c r="Q504" i="3"/>
  <c r="J504" i="3"/>
  <c r="D504" i="3"/>
  <c r="B504" i="3"/>
  <c r="S503" i="3"/>
  <c r="O503" i="3"/>
  <c r="L503" i="3"/>
  <c r="N503" i="3" s="1"/>
  <c r="J503" i="3"/>
  <c r="T502" i="3"/>
  <c r="S502" i="3"/>
  <c r="Q502" i="3"/>
  <c r="O502" i="3"/>
  <c r="K502" i="3"/>
  <c r="E502" i="3"/>
  <c r="T501" i="3"/>
  <c r="Q501" i="3"/>
  <c r="O501" i="3"/>
  <c r="K501" i="3"/>
  <c r="O500" i="3"/>
  <c r="M500" i="3"/>
  <c r="R499" i="3"/>
  <c r="O499" i="3"/>
  <c r="L499" i="3"/>
  <c r="N499" i="3" s="1"/>
  <c r="R498" i="3"/>
  <c r="O498" i="3"/>
  <c r="M498" i="3"/>
  <c r="P497" i="3"/>
  <c r="M497" i="3"/>
  <c r="K497" i="3"/>
  <c r="R496" i="3"/>
  <c r="O496" i="3"/>
  <c r="L496" i="3"/>
  <c r="N496" i="3" s="1"/>
  <c r="S495" i="3"/>
  <c r="P495" i="3"/>
  <c r="O494" i="3"/>
  <c r="M494" i="3"/>
  <c r="J494" i="3"/>
  <c r="D494" i="3"/>
  <c r="B494" i="3"/>
  <c r="T493" i="3"/>
  <c r="R493" i="3"/>
  <c r="O493" i="3"/>
  <c r="M493" i="3"/>
  <c r="J493" i="3"/>
  <c r="E493" i="3"/>
  <c r="S492" i="3"/>
  <c r="Q492" i="3"/>
  <c r="J492" i="3"/>
  <c r="E492" i="3"/>
  <c r="S491" i="3"/>
  <c r="P491" i="3"/>
  <c r="M491" i="3"/>
  <c r="E491" i="3"/>
  <c r="D491" i="3"/>
  <c r="B491" i="3"/>
  <c r="Q490" i="3"/>
  <c r="O490" i="3"/>
  <c r="M490" i="3"/>
  <c r="K490" i="3"/>
  <c r="E490" i="3"/>
  <c r="T489" i="3"/>
  <c r="Q489" i="3"/>
  <c r="O489" i="3"/>
  <c r="L489" i="3"/>
  <c r="N489" i="3" s="1"/>
  <c r="T488" i="3"/>
  <c r="Q488" i="3"/>
  <c r="J488" i="3"/>
  <c r="E488" i="3"/>
  <c r="T487" i="3"/>
  <c r="Q487" i="3"/>
  <c r="O487" i="3"/>
  <c r="K487" i="3"/>
  <c r="D487" i="3"/>
  <c r="B487" i="3"/>
  <c r="P486" i="3"/>
  <c r="K486" i="3"/>
  <c r="E486" i="3"/>
  <c r="T485" i="3"/>
  <c r="R485" i="3"/>
  <c r="P485" i="3"/>
  <c r="M485" i="3"/>
  <c r="J485" i="3"/>
  <c r="D485" i="3"/>
  <c r="B485" i="3"/>
  <c r="R484" i="3"/>
  <c r="P484" i="3"/>
  <c r="M484" i="3"/>
  <c r="K484" i="3"/>
  <c r="E484" i="3"/>
  <c r="T483" i="3"/>
  <c r="R483" i="3"/>
  <c r="Q483" i="3"/>
  <c r="J483" i="3"/>
  <c r="D483" i="3"/>
  <c r="B483" i="3"/>
  <c r="O482" i="3"/>
  <c r="L482" i="3"/>
  <c r="N482" i="3" s="1"/>
  <c r="B482" i="3"/>
  <c r="T481" i="3"/>
  <c r="S481" i="3"/>
  <c r="Q481" i="3"/>
  <c r="J481" i="3"/>
  <c r="T480" i="3"/>
  <c r="P480" i="3"/>
  <c r="J480" i="3"/>
  <c r="E480" i="3"/>
  <c r="T479" i="3"/>
  <c r="R479" i="3"/>
  <c r="J479" i="3"/>
  <c r="E479" i="3"/>
  <c r="B479" i="3"/>
  <c r="Q478" i="3"/>
  <c r="P477" i="3"/>
  <c r="J477" i="3"/>
  <c r="T476" i="3"/>
  <c r="R476" i="3"/>
  <c r="P476" i="3"/>
  <c r="K476" i="3"/>
  <c r="D476" i="3"/>
  <c r="B476" i="3"/>
  <c r="O475" i="3"/>
  <c r="J475" i="3"/>
  <c r="D475" i="3"/>
  <c r="B475" i="3"/>
  <c r="Q474" i="3"/>
  <c r="M474" i="3"/>
  <c r="E474" i="3"/>
  <c r="T473" i="3"/>
  <c r="S473" i="3"/>
  <c r="R473" i="3"/>
  <c r="P473" i="3"/>
  <c r="O473" i="3"/>
  <c r="L473" i="3"/>
  <c r="N473" i="3" s="1"/>
  <c r="R472" i="3"/>
  <c r="O472" i="3"/>
  <c r="L472" i="3"/>
  <c r="N472" i="3" s="1"/>
  <c r="K472" i="3"/>
  <c r="D472" i="3"/>
  <c r="B472" i="3"/>
  <c r="O471" i="3"/>
  <c r="L471" i="3"/>
  <c r="N471" i="3" s="1"/>
  <c r="T470" i="3"/>
  <c r="R470" i="3"/>
  <c r="P470" i="3"/>
  <c r="M470" i="3"/>
  <c r="P469" i="3"/>
  <c r="M469" i="3"/>
  <c r="J469" i="3"/>
  <c r="E469" i="3"/>
  <c r="S468" i="3"/>
  <c r="P468" i="3"/>
  <c r="S467" i="3"/>
  <c r="Q467" i="3"/>
  <c r="L467" i="3"/>
  <c r="N467" i="3" s="1"/>
  <c r="E467" i="3"/>
  <c r="T466" i="3"/>
  <c r="R466" i="3"/>
  <c r="O466" i="3"/>
  <c r="L466" i="3"/>
  <c r="N466" i="3" s="1"/>
  <c r="T465" i="3"/>
  <c r="R465" i="3"/>
  <c r="O465" i="3"/>
  <c r="L465" i="3"/>
  <c r="N465" i="3" s="1"/>
  <c r="J465" i="3"/>
  <c r="E465" i="3"/>
  <c r="R464" i="3"/>
  <c r="P464" i="3"/>
  <c r="L464" i="3"/>
  <c r="N464" i="3" s="1"/>
  <c r="J464" i="3"/>
  <c r="S463" i="3"/>
  <c r="Q463" i="3"/>
  <c r="O463" i="3"/>
  <c r="L463" i="3"/>
  <c r="N463" i="3" s="1"/>
  <c r="T462" i="3"/>
  <c r="R462" i="3"/>
  <c r="O462" i="3"/>
  <c r="M462" i="3"/>
  <c r="J462" i="3"/>
  <c r="E462" i="3"/>
  <c r="T461" i="3"/>
  <c r="S461" i="3"/>
  <c r="P461" i="3"/>
  <c r="T460" i="3"/>
  <c r="R460" i="3"/>
  <c r="O460" i="3"/>
  <c r="J460" i="3"/>
  <c r="E460" i="3"/>
  <c r="T459" i="3"/>
  <c r="R459" i="3"/>
  <c r="P459" i="3"/>
  <c r="M459" i="3"/>
  <c r="J459" i="3"/>
  <c r="D459" i="3"/>
  <c r="B459" i="3"/>
  <c r="P457" i="3"/>
  <c r="L457" i="3"/>
  <c r="N457" i="3" s="1"/>
  <c r="S456" i="3"/>
  <c r="P456" i="3"/>
  <c r="L456" i="3"/>
  <c r="N456" i="3" s="1"/>
  <c r="J456" i="3"/>
  <c r="D456" i="3"/>
  <c r="B456" i="3"/>
  <c r="T12" i="3"/>
  <c r="Q12" i="3"/>
  <c r="P12" i="3"/>
  <c r="M12" i="3"/>
  <c r="B12" i="3"/>
  <c r="S11" i="3"/>
  <c r="P11" i="3"/>
  <c r="K11" i="3"/>
  <c r="D11" i="3"/>
  <c r="B11" i="3"/>
  <c r="R10" i="3"/>
  <c r="O10" i="3"/>
  <c r="K10" i="3"/>
  <c r="E10" i="3"/>
  <c r="D10" i="3"/>
  <c r="B10" i="3"/>
  <c r="T9" i="3"/>
  <c r="R9" i="3"/>
  <c r="P9" i="3"/>
  <c r="Q8" i="3"/>
  <c r="O8" i="3"/>
  <c r="T7" i="3"/>
  <c r="R7" i="3"/>
  <c r="O7" i="3"/>
  <c r="B7" i="3"/>
  <c r="S6" i="3"/>
  <c r="R6" i="3"/>
  <c r="P6" i="3"/>
  <c r="B6" i="3"/>
  <c r="S5" i="3"/>
  <c r="Q5" i="3"/>
  <c r="D5" i="3"/>
  <c r="K1363" i="3"/>
  <c r="J1363" i="3"/>
  <c r="E1363" i="3"/>
  <c r="D1363" i="3"/>
  <c r="T1362" i="3"/>
  <c r="S1362" i="3"/>
  <c r="R1362" i="3"/>
  <c r="Q1362" i="3"/>
  <c r="P1362" i="3"/>
  <c r="O1362" i="3"/>
  <c r="M1362" i="3"/>
  <c r="L1362" i="3"/>
  <c r="N1362" i="3" s="1"/>
  <c r="K1362" i="3"/>
  <c r="J1362" i="3"/>
  <c r="E1362" i="3"/>
  <c r="D1362" i="3"/>
  <c r="T1361" i="3"/>
  <c r="S1361" i="3"/>
  <c r="R1361" i="3"/>
  <c r="Q1361" i="3"/>
  <c r="P1361" i="3"/>
  <c r="O1361" i="3"/>
  <c r="M1361" i="3"/>
  <c r="L1361" i="3"/>
  <c r="N1361" i="3" s="1"/>
  <c r="K1361" i="3"/>
  <c r="J1361" i="3"/>
  <c r="E1361" i="3"/>
  <c r="D1361" i="3"/>
  <c r="T1360" i="3"/>
  <c r="S1360" i="3"/>
  <c r="R1360" i="3"/>
  <c r="Q1360" i="3"/>
  <c r="P1360" i="3"/>
  <c r="O1360" i="3"/>
  <c r="M1360" i="3"/>
  <c r="L1360" i="3"/>
  <c r="N1360" i="3" s="1"/>
  <c r="K1360" i="3"/>
  <c r="J1360" i="3"/>
  <c r="E1360" i="3"/>
  <c r="D1360" i="3"/>
  <c r="T1359" i="3"/>
  <c r="S1359" i="3"/>
  <c r="R1359" i="3"/>
  <c r="Q1359" i="3"/>
  <c r="P1359" i="3"/>
  <c r="O1359" i="3"/>
  <c r="M1359" i="3"/>
  <c r="L1359" i="3"/>
  <c r="N1359" i="3" s="1"/>
  <c r="K1359" i="3"/>
  <c r="J1359" i="3"/>
  <c r="E1359" i="3"/>
  <c r="D1359" i="3"/>
  <c r="T1358" i="3"/>
  <c r="S1358" i="3"/>
  <c r="R1358" i="3"/>
  <c r="Q1358" i="3"/>
  <c r="P1358" i="3"/>
  <c r="O1358" i="3"/>
  <c r="M1358" i="3"/>
  <c r="L1358" i="3"/>
  <c r="N1358" i="3" s="1"/>
  <c r="K1358" i="3"/>
  <c r="J1358" i="3"/>
  <c r="E1358" i="3"/>
  <c r="D1358" i="3"/>
  <c r="T1357" i="3"/>
  <c r="S1357" i="3"/>
  <c r="R1357" i="3"/>
  <c r="Q1357" i="3"/>
  <c r="P1357" i="3"/>
  <c r="O1357" i="3"/>
  <c r="M1357" i="3"/>
  <c r="L1357" i="3"/>
  <c r="N1357" i="3" s="1"/>
  <c r="K1357" i="3"/>
  <c r="J1357" i="3"/>
  <c r="E1357" i="3"/>
  <c r="D1357" i="3"/>
  <c r="T1356" i="3"/>
  <c r="S1356" i="3"/>
  <c r="R1356" i="3"/>
  <c r="Q1356" i="3"/>
  <c r="P1356" i="3"/>
  <c r="O1356" i="3"/>
  <c r="M1356" i="3"/>
  <c r="L1356" i="3"/>
  <c r="N1356" i="3" s="1"/>
  <c r="K1356" i="3"/>
  <c r="J1356" i="3"/>
  <c r="E1356" i="3"/>
  <c r="D1356" i="3"/>
  <c r="T1355" i="3"/>
  <c r="S1355" i="3"/>
  <c r="R1355" i="3"/>
  <c r="Q1355" i="3"/>
  <c r="P1355" i="3"/>
  <c r="O1355" i="3"/>
  <c r="M1355" i="3"/>
  <c r="L1355" i="3"/>
  <c r="N1355" i="3" s="1"/>
  <c r="K1355" i="3"/>
  <c r="J1355" i="3"/>
  <c r="E1355" i="3"/>
  <c r="D1355" i="3"/>
  <c r="T1354" i="3"/>
  <c r="S1354" i="3"/>
  <c r="R1354" i="3"/>
  <c r="Q1354" i="3"/>
  <c r="P1354" i="3"/>
  <c r="O1354" i="3"/>
  <c r="M1354" i="3"/>
  <c r="L1354" i="3"/>
  <c r="N1354" i="3" s="1"/>
  <c r="K1354" i="3"/>
  <c r="J1354" i="3"/>
  <c r="E1354" i="3"/>
  <c r="D1354" i="3"/>
  <c r="T1353" i="3"/>
  <c r="S1353" i="3"/>
  <c r="R1353" i="3"/>
  <c r="Q1353" i="3"/>
  <c r="P1353" i="3"/>
  <c r="O1353" i="3"/>
  <c r="M1353" i="3"/>
  <c r="L1353" i="3"/>
  <c r="N1353" i="3" s="1"/>
  <c r="K1353" i="3"/>
  <c r="J1353" i="3"/>
  <c r="E1353" i="3"/>
  <c r="D1353" i="3"/>
  <c r="T1352" i="3"/>
  <c r="S1352" i="3"/>
  <c r="R1352" i="3"/>
  <c r="Q1352" i="3"/>
  <c r="P1352" i="3"/>
  <c r="O1352" i="3"/>
  <c r="M1352" i="3"/>
  <c r="L1352" i="3"/>
  <c r="N1352" i="3" s="1"/>
  <c r="K1352" i="3"/>
  <c r="J1352" i="3"/>
  <c r="E1352" i="3"/>
  <c r="D1352" i="3"/>
  <c r="T1351" i="3"/>
  <c r="S1351" i="3"/>
  <c r="R1351" i="3"/>
  <c r="Q1351" i="3"/>
  <c r="P1351" i="3"/>
  <c r="O1351" i="3"/>
  <c r="M1351" i="3"/>
  <c r="L1351" i="3"/>
  <c r="N1351" i="3" s="1"/>
  <c r="K1351" i="3"/>
  <c r="J1351" i="3"/>
  <c r="E1351" i="3"/>
  <c r="D1351" i="3"/>
  <c r="T1350" i="3"/>
  <c r="S1350" i="3"/>
  <c r="R1350" i="3"/>
  <c r="Q1350" i="3"/>
  <c r="P1350" i="3"/>
  <c r="O1350" i="3"/>
  <c r="M1350" i="3"/>
  <c r="L1350" i="3"/>
  <c r="N1350" i="3" s="1"/>
  <c r="K1350" i="3"/>
  <c r="J1350" i="3"/>
  <c r="E1350" i="3"/>
  <c r="D1350" i="3"/>
  <c r="T1349" i="3"/>
  <c r="S1349" i="3"/>
  <c r="R1349" i="3"/>
  <c r="Q1349" i="3"/>
  <c r="P1349" i="3"/>
  <c r="O1349" i="3"/>
  <c r="M1349" i="3"/>
  <c r="L1349" i="3"/>
  <c r="N1349" i="3" s="1"/>
  <c r="K1349" i="3"/>
  <c r="J1349" i="3"/>
  <c r="E1349" i="3"/>
  <c r="D1349" i="3"/>
  <c r="T1348" i="3"/>
  <c r="S1348" i="3"/>
  <c r="R1348" i="3"/>
  <c r="Q1348" i="3"/>
  <c r="P1348" i="3"/>
  <c r="O1348" i="3"/>
  <c r="M1348" i="3"/>
  <c r="L1348" i="3"/>
  <c r="N1348" i="3" s="1"/>
  <c r="K1348" i="3"/>
  <c r="J1348" i="3"/>
  <c r="E1348" i="3"/>
  <c r="D1348" i="3"/>
  <c r="T1347" i="3"/>
  <c r="S1347" i="3"/>
  <c r="R1347" i="3"/>
  <c r="Q1347" i="3"/>
  <c r="P1347" i="3"/>
  <c r="O1347" i="3"/>
  <c r="M1347" i="3"/>
  <c r="L1347" i="3"/>
  <c r="N1347" i="3" s="1"/>
  <c r="K1347" i="3"/>
  <c r="J1347" i="3"/>
  <c r="E1347" i="3"/>
  <c r="D1347" i="3"/>
  <c r="T1346" i="3"/>
  <c r="S1346" i="3"/>
  <c r="R1346" i="3"/>
  <c r="Q1346" i="3"/>
  <c r="P1346" i="3"/>
  <c r="O1346" i="3"/>
  <c r="M1346" i="3"/>
  <c r="L1346" i="3"/>
  <c r="N1346" i="3" s="1"/>
  <c r="K1346" i="3"/>
  <c r="J1346" i="3"/>
  <c r="E1346" i="3"/>
  <c r="D1346" i="3"/>
  <c r="T1345" i="3"/>
  <c r="S1345" i="3"/>
  <c r="R1345" i="3"/>
  <c r="Q1345" i="3"/>
  <c r="P1345" i="3"/>
  <c r="O1345" i="3"/>
  <c r="M1345" i="3"/>
  <c r="L1345" i="3"/>
  <c r="N1345" i="3" s="1"/>
  <c r="K1345" i="3"/>
  <c r="J1345" i="3"/>
  <c r="E1345" i="3"/>
  <c r="D1345" i="3"/>
  <c r="T1344" i="3"/>
  <c r="S1344" i="3"/>
  <c r="R1344" i="3"/>
  <c r="Q1344" i="3"/>
  <c r="P1344" i="3"/>
  <c r="O1344" i="3"/>
  <c r="M1344" i="3"/>
  <c r="L1344" i="3"/>
  <c r="N1344" i="3" s="1"/>
  <c r="K1344" i="3"/>
  <c r="J1344" i="3"/>
  <c r="E1344" i="3"/>
  <c r="D1344" i="3"/>
  <c r="T1343" i="3"/>
  <c r="S1343" i="3"/>
  <c r="R1343" i="3"/>
  <c r="Q1343" i="3"/>
  <c r="P1343" i="3"/>
  <c r="O1343" i="3"/>
  <c r="M1343" i="3"/>
  <c r="L1343" i="3"/>
  <c r="N1343" i="3" s="1"/>
  <c r="K1343" i="3"/>
  <c r="J1343" i="3"/>
  <c r="E1343" i="3"/>
  <c r="D1343" i="3"/>
  <c r="T1342" i="3"/>
  <c r="S1342" i="3"/>
  <c r="R1342" i="3"/>
  <c r="Q1342" i="3"/>
  <c r="P1342" i="3"/>
  <c r="O1342" i="3"/>
  <c r="M1342" i="3"/>
  <c r="L1342" i="3"/>
  <c r="N1342" i="3" s="1"/>
  <c r="K1342" i="3"/>
  <c r="J1342" i="3"/>
  <c r="E1342" i="3"/>
  <c r="D1342" i="3"/>
  <c r="T1341" i="3"/>
  <c r="S1341" i="3"/>
  <c r="R1341" i="3"/>
  <c r="Q1341" i="3"/>
  <c r="P1341" i="3"/>
  <c r="O1341" i="3"/>
  <c r="M1341" i="3"/>
  <c r="L1341" i="3"/>
  <c r="N1341" i="3" s="1"/>
  <c r="K1341" i="3"/>
  <c r="J1341" i="3"/>
  <c r="E1341" i="3"/>
  <c r="D1341" i="3"/>
  <c r="T1340" i="3"/>
  <c r="S1340" i="3"/>
  <c r="R1340" i="3"/>
  <c r="Q1340" i="3"/>
  <c r="P1340" i="3"/>
  <c r="O1340" i="3"/>
  <c r="M1340" i="3"/>
  <c r="L1340" i="3"/>
  <c r="N1340" i="3" s="1"/>
  <c r="K1340" i="3"/>
  <c r="J1340" i="3"/>
  <c r="E1340" i="3"/>
  <c r="D1340" i="3"/>
  <c r="T1339" i="3"/>
  <c r="S1339" i="3"/>
  <c r="R1339" i="3"/>
  <c r="Q1339" i="3"/>
  <c r="P1339" i="3"/>
  <c r="O1339" i="3"/>
  <c r="M1339" i="3"/>
  <c r="L1339" i="3"/>
  <c r="N1339" i="3" s="1"/>
  <c r="K1339" i="3"/>
  <c r="J1339" i="3"/>
  <c r="E1339" i="3"/>
  <c r="D1339" i="3"/>
  <c r="T1338" i="3"/>
  <c r="S1338" i="3"/>
  <c r="R1338" i="3"/>
  <c r="Q1338" i="3"/>
  <c r="P1338" i="3"/>
  <c r="O1338" i="3"/>
  <c r="M1338" i="3"/>
  <c r="L1338" i="3"/>
  <c r="N1338" i="3" s="1"/>
  <c r="K1338" i="3"/>
  <c r="J1338" i="3"/>
  <c r="E1338" i="3"/>
  <c r="D1338" i="3"/>
  <c r="T1337" i="3"/>
  <c r="S1337" i="3"/>
  <c r="R1337" i="3"/>
  <c r="Q1337" i="3"/>
  <c r="P1337" i="3"/>
  <c r="O1337" i="3"/>
  <c r="M1337" i="3"/>
  <c r="L1337" i="3"/>
  <c r="N1337" i="3" s="1"/>
  <c r="K1337" i="3"/>
  <c r="J1337" i="3"/>
  <c r="E1337" i="3"/>
  <c r="D1337" i="3"/>
  <c r="T1336" i="3"/>
  <c r="S1336" i="3"/>
  <c r="R1336" i="3"/>
  <c r="Q1336" i="3"/>
  <c r="P1336" i="3"/>
  <c r="O1336" i="3"/>
  <c r="M1336" i="3"/>
  <c r="L1336" i="3"/>
  <c r="N1336" i="3" s="1"/>
  <c r="K1336" i="3"/>
  <c r="J1336" i="3"/>
  <c r="E1336" i="3"/>
  <c r="D1336" i="3"/>
  <c r="T1335" i="3"/>
  <c r="S1335" i="3"/>
  <c r="R1335" i="3"/>
  <c r="Q1335" i="3"/>
  <c r="P1335" i="3"/>
  <c r="O1335" i="3"/>
  <c r="M1335" i="3"/>
  <c r="L1335" i="3"/>
  <c r="N1335" i="3" s="1"/>
  <c r="K1335" i="3"/>
  <c r="J1335" i="3"/>
  <c r="E1335" i="3"/>
  <c r="D1335" i="3"/>
  <c r="T1334" i="3"/>
  <c r="S1334" i="3"/>
  <c r="R1334" i="3"/>
  <c r="Q1334" i="3"/>
  <c r="P1334" i="3"/>
  <c r="O1334" i="3"/>
  <c r="M1334" i="3"/>
  <c r="L1334" i="3"/>
  <c r="N1334" i="3" s="1"/>
  <c r="K1334" i="3"/>
  <c r="J1334" i="3"/>
  <c r="E1334" i="3"/>
  <c r="D1334" i="3"/>
  <c r="T1333" i="3"/>
  <c r="S1333" i="3"/>
  <c r="R1333" i="3"/>
  <c r="Q1333" i="3"/>
  <c r="P1333" i="3"/>
  <c r="O1333" i="3"/>
  <c r="M1333" i="3"/>
  <c r="L1333" i="3"/>
  <c r="N1333" i="3" s="1"/>
  <c r="K1333" i="3"/>
  <c r="J1333" i="3"/>
  <c r="E1333" i="3"/>
  <c r="D1333" i="3"/>
  <c r="T1332" i="3"/>
  <c r="S1332" i="3"/>
  <c r="R1332" i="3"/>
  <c r="Q1332" i="3"/>
  <c r="P1332" i="3"/>
  <c r="O1332" i="3"/>
  <c r="M1332" i="3"/>
  <c r="L1332" i="3"/>
  <c r="N1332" i="3" s="1"/>
  <c r="K1332" i="3"/>
  <c r="J1332" i="3"/>
  <c r="E1332" i="3"/>
  <c r="D1332" i="3"/>
  <c r="T1331" i="3"/>
  <c r="S1331" i="3"/>
  <c r="R1331" i="3"/>
  <c r="Q1331" i="3"/>
  <c r="P1331" i="3"/>
  <c r="O1331" i="3"/>
  <c r="M1331" i="3"/>
  <c r="L1331" i="3"/>
  <c r="N1331" i="3" s="1"/>
  <c r="K1331" i="3"/>
  <c r="J1331" i="3"/>
  <c r="E1331" i="3"/>
  <c r="D1331" i="3"/>
  <c r="T1330" i="3"/>
  <c r="S1330" i="3"/>
  <c r="R1330" i="3"/>
  <c r="Q1330" i="3"/>
  <c r="P1330" i="3"/>
  <c r="O1330" i="3"/>
  <c r="M1330" i="3"/>
  <c r="L1330" i="3"/>
  <c r="N1330" i="3" s="1"/>
  <c r="K1330" i="3"/>
  <c r="J1330" i="3"/>
  <c r="E1330" i="3"/>
  <c r="D1330" i="3"/>
  <c r="T1329" i="3"/>
  <c r="S1329" i="3"/>
  <c r="R1329" i="3"/>
  <c r="Q1329" i="3"/>
  <c r="P1329" i="3"/>
  <c r="O1329" i="3"/>
  <c r="M1329" i="3"/>
  <c r="L1329" i="3"/>
  <c r="N1329" i="3" s="1"/>
  <c r="K1329" i="3"/>
  <c r="J1329" i="3"/>
  <c r="E1329" i="3"/>
  <c r="D1329" i="3"/>
  <c r="T1328" i="3"/>
  <c r="S1328" i="3"/>
  <c r="R1328" i="3"/>
  <c r="Q1328" i="3"/>
  <c r="P1328" i="3"/>
  <c r="O1328" i="3"/>
  <c r="M1328" i="3"/>
  <c r="L1328" i="3"/>
  <c r="N1328" i="3" s="1"/>
  <c r="K1328" i="3"/>
  <c r="J1328" i="3"/>
  <c r="E1328" i="3"/>
  <c r="D1328" i="3"/>
  <c r="T1327" i="3"/>
  <c r="S1327" i="3"/>
  <c r="R1327" i="3"/>
  <c r="Q1327" i="3"/>
  <c r="P1327" i="3"/>
  <c r="O1327" i="3"/>
  <c r="M1327" i="3"/>
  <c r="L1327" i="3"/>
  <c r="N1327" i="3" s="1"/>
  <c r="K1327" i="3"/>
  <c r="J1327" i="3"/>
  <c r="E1327" i="3"/>
  <c r="D1327" i="3"/>
  <c r="T1326" i="3"/>
  <c r="S1326" i="3"/>
  <c r="R1326" i="3"/>
  <c r="Q1326" i="3"/>
  <c r="P1326" i="3"/>
  <c r="O1326" i="3"/>
  <c r="M1326" i="3"/>
  <c r="L1326" i="3"/>
  <c r="N1326" i="3" s="1"/>
  <c r="K1326" i="3"/>
  <c r="J1326" i="3"/>
  <c r="E1326" i="3"/>
  <c r="D1326" i="3"/>
  <c r="T1325" i="3"/>
  <c r="S1325" i="3"/>
  <c r="R1325" i="3"/>
  <c r="Q1325" i="3"/>
  <c r="P1325" i="3"/>
  <c r="O1325" i="3"/>
  <c r="M1325" i="3"/>
  <c r="L1325" i="3"/>
  <c r="N1325" i="3" s="1"/>
  <c r="K1325" i="3"/>
  <c r="J1325" i="3"/>
  <c r="E1325" i="3"/>
  <c r="D1325" i="3"/>
  <c r="T1324" i="3"/>
  <c r="S1324" i="3"/>
  <c r="R1324" i="3"/>
  <c r="Q1324" i="3"/>
  <c r="P1324" i="3"/>
  <c r="O1324" i="3"/>
  <c r="M1324" i="3"/>
  <c r="L1324" i="3"/>
  <c r="N1324" i="3" s="1"/>
  <c r="K1324" i="3"/>
  <c r="J1324" i="3"/>
  <c r="E1324" i="3"/>
  <c r="D1324" i="3"/>
  <c r="T1323" i="3"/>
  <c r="S1323" i="3"/>
  <c r="R1323" i="3"/>
  <c r="Q1323" i="3"/>
  <c r="P1323" i="3"/>
  <c r="O1323" i="3"/>
  <c r="M1323" i="3"/>
  <c r="L1323" i="3"/>
  <c r="N1323" i="3" s="1"/>
  <c r="K1323" i="3"/>
  <c r="J1323" i="3"/>
  <c r="E1323" i="3"/>
  <c r="D1323" i="3"/>
  <c r="T1322" i="3"/>
  <c r="S1322" i="3"/>
  <c r="R1322" i="3"/>
  <c r="Q1322" i="3"/>
  <c r="P1322" i="3"/>
  <c r="O1322" i="3"/>
  <c r="M1322" i="3"/>
  <c r="L1322" i="3"/>
  <c r="N1322" i="3" s="1"/>
  <c r="K1322" i="3"/>
  <c r="J1322" i="3"/>
  <c r="E1322" i="3"/>
  <c r="D1322" i="3"/>
  <c r="T1321" i="3"/>
  <c r="S1321" i="3"/>
  <c r="R1321" i="3"/>
  <c r="Q1321" i="3"/>
  <c r="P1321" i="3"/>
  <c r="O1321" i="3"/>
  <c r="M1321" i="3"/>
  <c r="L1321" i="3"/>
  <c r="N1321" i="3" s="1"/>
  <c r="K1321" i="3"/>
  <c r="J1321" i="3"/>
  <c r="E1321" i="3"/>
  <c r="D1321" i="3"/>
  <c r="T1320" i="3"/>
  <c r="S1320" i="3"/>
  <c r="R1320" i="3"/>
  <c r="Q1320" i="3"/>
  <c r="P1320" i="3"/>
  <c r="O1320" i="3"/>
  <c r="M1320" i="3"/>
  <c r="L1320" i="3"/>
  <c r="N1320" i="3" s="1"/>
  <c r="K1320" i="3"/>
  <c r="J1320" i="3"/>
  <c r="E1320" i="3"/>
  <c r="D1320" i="3"/>
  <c r="T1319" i="3"/>
  <c r="S1319" i="3"/>
  <c r="R1319" i="3"/>
  <c r="Q1319" i="3"/>
  <c r="P1319" i="3"/>
  <c r="O1319" i="3"/>
  <c r="M1319" i="3"/>
  <c r="L1319" i="3"/>
  <c r="N1319" i="3" s="1"/>
  <c r="K1319" i="3"/>
  <c r="J1319" i="3"/>
  <c r="E1319" i="3"/>
  <c r="D1319" i="3"/>
  <c r="T1318" i="3"/>
  <c r="S1318" i="3"/>
  <c r="R1318" i="3"/>
  <c r="Q1318" i="3"/>
  <c r="P1318" i="3"/>
  <c r="O1318" i="3"/>
  <c r="M1318" i="3"/>
  <c r="L1318" i="3"/>
  <c r="N1318" i="3" s="1"/>
  <c r="K1318" i="3"/>
  <c r="J1318" i="3"/>
  <c r="E1318" i="3"/>
  <c r="D1318" i="3"/>
  <c r="T1317" i="3"/>
  <c r="S1317" i="3"/>
  <c r="R1317" i="3"/>
  <c r="Q1317" i="3"/>
  <c r="P1317" i="3"/>
  <c r="O1317" i="3"/>
  <c r="M1317" i="3"/>
  <c r="L1317" i="3"/>
  <c r="N1317" i="3" s="1"/>
  <c r="K1317" i="3"/>
  <c r="J1317" i="3"/>
  <c r="E1317" i="3"/>
  <c r="D1317" i="3"/>
  <c r="T1316" i="3"/>
  <c r="S1316" i="3"/>
  <c r="R1316" i="3"/>
  <c r="Q1316" i="3"/>
  <c r="P1316" i="3"/>
  <c r="O1316" i="3"/>
  <c r="M1316" i="3"/>
  <c r="L1316" i="3"/>
  <c r="N1316" i="3" s="1"/>
  <c r="K1316" i="3"/>
  <c r="J1316" i="3"/>
  <c r="E1316" i="3"/>
  <c r="D1316" i="3"/>
  <c r="T1315" i="3"/>
  <c r="S1315" i="3"/>
  <c r="R1315" i="3"/>
  <c r="Q1315" i="3"/>
  <c r="P1315" i="3"/>
  <c r="O1315" i="3"/>
  <c r="M1315" i="3"/>
  <c r="L1315" i="3"/>
  <c r="N1315" i="3" s="1"/>
  <c r="K1315" i="3"/>
  <c r="J1315" i="3"/>
  <c r="E1315" i="3"/>
  <c r="D1315" i="3"/>
  <c r="T1314" i="3"/>
  <c r="S1314" i="3"/>
  <c r="R1314" i="3"/>
  <c r="Q1314" i="3"/>
  <c r="P1314" i="3"/>
  <c r="O1314" i="3"/>
  <c r="M1314" i="3"/>
  <c r="L1314" i="3"/>
  <c r="N1314" i="3" s="1"/>
  <c r="K1314" i="3"/>
  <c r="J1314" i="3"/>
  <c r="E1314" i="3"/>
  <c r="D1314" i="3"/>
  <c r="T1313" i="3"/>
  <c r="S1313" i="3"/>
  <c r="R1313" i="3"/>
  <c r="Q1313" i="3"/>
  <c r="P1313" i="3"/>
  <c r="O1313" i="3"/>
  <c r="M1313" i="3"/>
  <c r="L1313" i="3"/>
  <c r="N1313" i="3" s="1"/>
  <c r="K1313" i="3"/>
  <c r="J1313" i="3"/>
  <c r="E1313" i="3"/>
  <c r="D1313" i="3"/>
  <c r="T1312" i="3"/>
  <c r="S1312" i="3"/>
  <c r="R1312" i="3"/>
  <c r="Q1312" i="3"/>
  <c r="P1312" i="3"/>
  <c r="O1312" i="3"/>
  <c r="M1312" i="3"/>
  <c r="L1312" i="3"/>
  <c r="N1312" i="3" s="1"/>
  <c r="K1312" i="3"/>
  <c r="J1312" i="3"/>
  <c r="E1312" i="3"/>
  <c r="D1312" i="3"/>
  <c r="T1311" i="3"/>
  <c r="S1311" i="3"/>
  <c r="R1311" i="3"/>
  <c r="Q1311" i="3"/>
  <c r="P1311" i="3"/>
  <c r="O1311" i="3"/>
  <c r="M1311" i="3"/>
  <c r="L1311" i="3"/>
  <c r="N1311" i="3" s="1"/>
  <c r="K1311" i="3"/>
  <c r="J1311" i="3"/>
  <c r="E1311" i="3"/>
  <c r="D1311" i="3"/>
  <c r="T1310" i="3"/>
  <c r="S1310" i="3"/>
  <c r="R1310" i="3"/>
  <c r="Q1310" i="3"/>
  <c r="P1310" i="3"/>
  <c r="O1310" i="3"/>
  <c r="M1310" i="3"/>
  <c r="L1310" i="3"/>
  <c r="N1310" i="3" s="1"/>
  <c r="K1310" i="3"/>
  <c r="J1310" i="3"/>
  <c r="E1310" i="3"/>
  <c r="D1310" i="3"/>
  <c r="T1309" i="3"/>
  <c r="S1309" i="3"/>
  <c r="R1309" i="3"/>
  <c r="Q1309" i="3"/>
  <c r="P1309" i="3"/>
  <c r="O1309" i="3"/>
  <c r="M1309" i="3"/>
  <c r="L1309" i="3"/>
  <c r="N1309" i="3" s="1"/>
  <c r="K1309" i="3"/>
  <c r="J1309" i="3"/>
  <c r="E1309" i="3"/>
  <c r="D1309" i="3"/>
  <c r="T1308" i="3"/>
  <c r="S1308" i="3"/>
  <c r="R1308" i="3"/>
  <c r="Q1308" i="3"/>
  <c r="P1308" i="3"/>
  <c r="O1308" i="3"/>
  <c r="M1308" i="3"/>
  <c r="L1308" i="3"/>
  <c r="N1308" i="3" s="1"/>
  <c r="K1308" i="3"/>
  <c r="J1308" i="3"/>
  <c r="E1308" i="3"/>
  <c r="D1308" i="3"/>
  <c r="T1307" i="3"/>
  <c r="S1307" i="3"/>
  <c r="R1307" i="3"/>
  <c r="Q1307" i="3"/>
  <c r="P1307" i="3"/>
  <c r="O1307" i="3"/>
  <c r="M1307" i="3"/>
  <c r="L1307" i="3"/>
  <c r="N1307" i="3" s="1"/>
  <c r="K1307" i="3"/>
  <c r="J1307" i="3"/>
  <c r="E1307" i="3"/>
  <c r="D1307" i="3"/>
  <c r="T1306" i="3"/>
  <c r="S1306" i="3"/>
  <c r="R1306" i="3"/>
  <c r="Q1306" i="3"/>
  <c r="P1306" i="3"/>
  <c r="O1306" i="3"/>
  <c r="M1306" i="3"/>
  <c r="L1306" i="3"/>
  <c r="N1306" i="3" s="1"/>
  <c r="K1306" i="3"/>
  <c r="J1306" i="3"/>
  <c r="E1306" i="3"/>
  <c r="D1306" i="3"/>
  <c r="T1305" i="3"/>
  <c r="S1305" i="3"/>
  <c r="R1305" i="3"/>
  <c r="Q1305" i="3"/>
  <c r="P1305" i="3"/>
  <c r="O1305" i="3"/>
  <c r="M1305" i="3"/>
  <c r="L1305" i="3"/>
  <c r="N1305" i="3" s="1"/>
  <c r="K1305" i="3"/>
  <c r="J1305" i="3"/>
  <c r="E1305" i="3"/>
  <c r="D1305" i="3"/>
  <c r="T1304" i="3"/>
  <c r="S1304" i="3"/>
  <c r="R1304" i="3"/>
  <c r="Q1304" i="3"/>
  <c r="P1304" i="3"/>
  <c r="O1304" i="3"/>
  <c r="M1304" i="3"/>
  <c r="L1304" i="3"/>
  <c r="N1304" i="3" s="1"/>
  <c r="K1304" i="3"/>
  <c r="J1304" i="3"/>
  <c r="E1304" i="3"/>
  <c r="D1304" i="3"/>
  <c r="T1303" i="3"/>
  <c r="S1303" i="3"/>
  <c r="R1303" i="3"/>
  <c r="Q1303" i="3"/>
  <c r="P1303" i="3"/>
  <c r="O1303" i="3"/>
  <c r="M1303" i="3"/>
  <c r="L1303" i="3"/>
  <c r="N1303" i="3" s="1"/>
  <c r="K1303" i="3"/>
  <c r="J1303" i="3"/>
  <c r="E1303" i="3"/>
  <c r="D1303" i="3"/>
  <c r="T1302" i="3"/>
  <c r="S1302" i="3"/>
  <c r="R1302" i="3"/>
  <c r="Q1302" i="3"/>
  <c r="P1302" i="3"/>
  <c r="O1302" i="3"/>
  <c r="M1302" i="3"/>
  <c r="L1302" i="3"/>
  <c r="N1302" i="3" s="1"/>
  <c r="K1302" i="3"/>
  <c r="J1302" i="3"/>
  <c r="E1302" i="3"/>
  <c r="D1302" i="3"/>
  <c r="T1301" i="3"/>
  <c r="S1301" i="3"/>
  <c r="R1301" i="3"/>
  <c r="Q1301" i="3"/>
  <c r="P1301" i="3"/>
  <c r="O1301" i="3"/>
  <c r="M1301" i="3"/>
  <c r="L1301" i="3"/>
  <c r="N1301" i="3" s="1"/>
  <c r="K1301" i="3"/>
  <c r="J1301" i="3"/>
  <c r="E1301" i="3"/>
  <c r="D1301" i="3"/>
  <c r="T1300" i="3"/>
  <c r="S1300" i="3"/>
  <c r="R1300" i="3"/>
  <c r="Q1300" i="3"/>
  <c r="P1300" i="3"/>
  <c r="O1300" i="3"/>
  <c r="M1300" i="3"/>
  <c r="L1300" i="3"/>
  <c r="N1300" i="3" s="1"/>
  <c r="K1300" i="3"/>
  <c r="J1300" i="3"/>
  <c r="E1300" i="3"/>
  <c r="D1300" i="3"/>
  <c r="T1299" i="3"/>
  <c r="S1299" i="3"/>
  <c r="R1299" i="3"/>
  <c r="Q1299" i="3"/>
  <c r="P1299" i="3"/>
  <c r="O1299" i="3"/>
  <c r="M1299" i="3"/>
  <c r="L1299" i="3"/>
  <c r="N1299" i="3" s="1"/>
  <c r="K1299" i="3"/>
  <c r="J1299" i="3"/>
  <c r="E1299" i="3"/>
  <c r="D1299" i="3"/>
  <c r="T1298" i="3"/>
  <c r="S1298" i="3"/>
  <c r="R1298" i="3"/>
  <c r="Q1298" i="3"/>
  <c r="P1298" i="3"/>
  <c r="O1298" i="3"/>
  <c r="M1298" i="3"/>
  <c r="L1298" i="3"/>
  <c r="N1298" i="3" s="1"/>
  <c r="K1298" i="3"/>
  <c r="J1298" i="3"/>
  <c r="E1298" i="3"/>
  <c r="D1298" i="3"/>
  <c r="T1297" i="3"/>
  <c r="S1297" i="3"/>
  <c r="R1297" i="3"/>
  <c r="Q1297" i="3"/>
  <c r="P1297" i="3"/>
  <c r="O1297" i="3"/>
  <c r="M1297" i="3"/>
  <c r="L1297" i="3"/>
  <c r="N1297" i="3" s="1"/>
  <c r="K1297" i="3"/>
  <c r="J1297" i="3"/>
  <c r="E1297" i="3"/>
  <c r="D1297" i="3"/>
  <c r="T1296" i="3"/>
  <c r="S1296" i="3"/>
  <c r="R1296" i="3"/>
  <c r="Q1296" i="3"/>
  <c r="P1296" i="3"/>
  <c r="O1296" i="3"/>
  <c r="M1296" i="3"/>
  <c r="L1296" i="3"/>
  <c r="N1296" i="3" s="1"/>
  <c r="K1296" i="3"/>
  <c r="J1296" i="3"/>
  <c r="E1296" i="3"/>
  <c r="D1296" i="3"/>
  <c r="T1295" i="3"/>
  <c r="S1295" i="3"/>
  <c r="R1295" i="3"/>
  <c r="Q1295" i="3"/>
  <c r="P1295" i="3"/>
  <c r="O1295" i="3"/>
  <c r="M1295" i="3"/>
  <c r="L1295" i="3"/>
  <c r="N1295" i="3" s="1"/>
  <c r="K1295" i="3"/>
  <c r="J1295" i="3"/>
  <c r="E1295" i="3"/>
  <c r="D1295" i="3"/>
  <c r="T1294" i="3"/>
  <c r="S1294" i="3"/>
  <c r="R1294" i="3"/>
  <c r="Q1294" i="3"/>
  <c r="P1294" i="3"/>
  <c r="O1294" i="3"/>
  <c r="M1294" i="3"/>
  <c r="L1294" i="3"/>
  <c r="N1294" i="3" s="1"/>
  <c r="K1294" i="3"/>
  <c r="J1294" i="3"/>
  <c r="E1294" i="3"/>
  <c r="D1294" i="3"/>
  <c r="T1293" i="3"/>
  <c r="S1293" i="3"/>
  <c r="R1293" i="3"/>
  <c r="Q1293" i="3"/>
  <c r="P1293" i="3"/>
  <c r="O1293" i="3"/>
  <c r="M1293" i="3"/>
  <c r="L1293" i="3"/>
  <c r="N1293" i="3" s="1"/>
  <c r="K1293" i="3"/>
  <c r="J1293" i="3"/>
  <c r="E1293" i="3"/>
  <c r="D1293" i="3"/>
  <c r="T1292" i="3"/>
  <c r="S1292" i="3"/>
  <c r="R1292" i="3"/>
  <c r="Q1292" i="3"/>
  <c r="P1292" i="3"/>
  <c r="O1292" i="3"/>
  <c r="M1292" i="3"/>
  <c r="L1292" i="3"/>
  <c r="N1292" i="3" s="1"/>
  <c r="K1292" i="3"/>
  <c r="J1292" i="3"/>
  <c r="E1292" i="3"/>
  <c r="D1292" i="3"/>
  <c r="T1291" i="3"/>
  <c r="S1291" i="3"/>
  <c r="R1291" i="3"/>
  <c r="Q1291" i="3"/>
  <c r="P1291" i="3"/>
  <c r="O1291" i="3"/>
  <c r="M1291" i="3"/>
  <c r="L1291" i="3"/>
  <c r="N1291" i="3" s="1"/>
  <c r="K1291" i="3"/>
  <c r="J1291" i="3"/>
  <c r="E1291" i="3"/>
  <c r="D1291" i="3"/>
  <c r="T1290" i="3"/>
  <c r="S1290" i="3"/>
  <c r="R1290" i="3"/>
  <c r="Q1290" i="3"/>
  <c r="P1290" i="3"/>
  <c r="O1290" i="3"/>
  <c r="M1290" i="3"/>
  <c r="L1290" i="3"/>
  <c r="N1290" i="3" s="1"/>
  <c r="K1290" i="3"/>
  <c r="J1290" i="3"/>
  <c r="E1290" i="3"/>
  <c r="D1290" i="3"/>
  <c r="T1289" i="3"/>
  <c r="S1289" i="3"/>
  <c r="R1289" i="3"/>
  <c r="Q1289" i="3"/>
  <c r="P1289" i="3"/>
  <c r="O1289" i="3"/>
  <c r="M1289" i="3"/>
  <c r="L1289" i="3"/>
  <c r="N1289" i="3" s="1"/>
  <c r="K1289" i="3"/>
  <c r="J1289" i="3"/>
  <c r="E1289" i="3"/>
  <c r="D1289" i="3"/>
  <c r="T1288" i="3"/>
  <c r="S1288" i="3"/>
  <c r="R1288" i="3"/>
  <c r="Q1288" i="3"/>
  <c r="P1288" i="3"/>
  <c r="O1288" i="3"/>
  <c r="M1288" i="3"/>
  <c r="L1288" i="3"/>
  <c r="N1288" i="3" s="1"/>
  <c r="K1288" i="3"/>
  <c r="J1288" i="3"/>
  <c r="E1288" i="3"/>
  <c r="D1288" i="3"/>
  <c r="T1287" i="3"/>
  <c r="S1287" i="3"/>
  <c r="R1287" i="3"/>
  <c r="Q1287" i="3"/>
  <c r="P1287" i="3"/>
  <c r="O1287" i="3"/>
  <c r="M1287" i="3"/>
  <c r="L1287" i="3"/>
  <c r="N1287" i="3" s="1"/>
  <c r="K1287" i="3"/>
  <c r="J1287" i="3"/>
  <c r="E1287" i="3"/>
  <c r="D1287" i="3"/>
  <c r="T1286" i="3"/>
  <c r="S1286" i="3"/>
  <c r="R1286" i="3"/>
  <c r="Q1286" i="3"/>
  <c r="P1286" i="3"/>
  <c r="O1286" i="3"/>
  <c r="M1286" i="3"/>
  <c r="L1286" i="3"/>
  <c r="N1286" i="3" s="1"/>
  <c r="K1286" i="3"/>
  <c r="J1286" i="3"/>
  <c r="E1286" i="3"/>
  <c r="D1286" i="3"/>
  <c r="T1285" i="3"/>
  <c r="S1285" i="3"/>
  <c r="R1285" i="3"/>
  <c r="Q1285" i="3"/>
  <c r="P1285" i="3"/>
  <c r="O1285" i="3"/>
  <c r="M1285" i="3"/>
  <c r="L1285" i="3"/>
  <c r="N1285" i="3" s="1"/>
  <c r="K1285" i="3"/>
  <c r="J1285" i="3"/>
  <c r="E1285" i="3"/>
  <c r="D1285" i="3"/>
  <c r="T1284" i="3"/>
  <c r="S1284" i="3"/>
  <c r="R1284" i="3"/>
  <c r="Q1284" i="3"/>
  <c r="P1284" i="3"/>
  <c r="O1284" i="3"/>
  <c r="M1284" i="3"/>
  <c r="L1284" i="3"/>
  <c r="N1284" i="3" s="1"/>
  <c r="K1284" i="3"/>
  <c r="J1284" i="3"/>
  <c r="E1284" i="3"/>
  <c r="D1284" i="3"/>
  <c r="T1283" i="3"/>
  <c r="S1283" i="3"/>
  <c r="R1283" i="3"/>
  <c r="Q1283" i="3"/>
  <c r="P1283" i="3"/>
  <c r="O1283" i="3"/>
  <c r="M1283" i="3"/>
  <c r="L1283" i="3"/>
  <c r="N1283" i="3" s="1"/>
  <c r="K1283" i="3"/>
  <c r="J1283" i="3"/>
  <c r="E1283" i="3"/>
  <c r="D1283" i="3"/>
  <c r="T1282" i="3"/>
  <c r="S1282" i="3"/>
  <c r="R1282" i="3"/>
  <c r="Q1282" i="3"/>
  <c r="P1282" i="3"/>
  <c r="O1282" i="3"/>
  <c r="M1282" i="3"/>
  <c r="L1282" i="3"/>
  <c r="N1282" i="3" s="1"/>
  <c r="K1282" i="3"/>
  <c r="J1282" i="3"/>
  <c r="E1282" i="3"/>
  <c r="D1282" i="3"/>
  <c r="T1281" i="3"/>
  <c r="S1281" i="3"/>
  <c r="R1281" i="3"/>
  <c r="Q1281" i="3"/>
  <c r="P1281" i="3"/>
  <c r="O1281" i="3"/>
  <c r="M1281" i="3"/>
  <c r="L1281" i="3"/>
  <c r="N1281" i="3" s="1"/>
  <c r="K1281" i="3"/>
  <c r="J1281" i="3"/>
  <c r="E1281" i="3"/>
  <c r="D1281" i="3"/>
  <c r="T1280" i="3"/>
  <c r="S1280" i="3"/>
  <c r="R1280" i="3"/>
  <c r="Q1280" i="3"/>
  <c r="P1280" i="3"/>
  <c r="O1280" i="3"/>
  <c r="M1280" i="3"/>
  <c r="L1280" i="3"/>
  <c r="N1280" i="3" s="1"/>
  <c r="K1280" i="3"/>
  <c r="J1280" i="3"/>
  <c r="E1280" i="3"/>
  <c r="D1280" i="3"/>
  <c r="T1279" i="3"/>
  <c r="S1279" i="3"/>
  <c r="R1279" i="3"/>
  <c r="Q1279" i="3"/>
  <c r="P1279" i="3"/>
  <c r="O1279" i="3"/>
  <c r="M1279" i="3"/>
  <c r="L1279" i="3"/>
  <c r="N1279" i="3" s="1"/>
  <c r="K1279" i="3"/>
  <c r="J1279" i="3"/>
  <c r="E1279" i="3"/>
  <c r="D1279" i="3"/>
  <c r="T1278" i="3"/>
  <c r="S1278" i="3"/>
  <c r="R1278" i="3"/>
  <c r="Q1278" i="3"/>
  <c r="P1278" i="3"/>
  <c r="O1278" i="3"/>
  <c r="M1278" i="3"/>
  <c r="L1278" i="3"/>
  <c r="N1278" i="3" s="1"/>
  <c r="K1278" i="3"/>
  <c r="J1278" i="3"/>
  <c r="E1278" i="3"/>
  <c r="D1278" i="3"/>
  <c r="T1277" i="3"/>
  <c r="S1277" i="3"/>
  <c r="R1277" i="3"/>
  <c r="Q1277" i="3"/>
  <c r="P1277" i="3"/>
  <c r="O1277" i="3"/>
  <c r="M1277" i="3"/>
  <c r="L1277" i="3"/>
  <c r="N1277" i="3" s="1"/>
  <c r="K1277" i="3"/>
  <c r="J1277" i="3"/>
  <c r="E1277" i="3"/>
  <c r="D1277" i="3"/>
  <c r="T1276" i="3"/>
  <c r="S1276" i="3"/>
  <c r="R1276" i="3"/>
  <c r="Q1276" i="3"/>
  <c r="P1276" i="3"/>
  <c r="O1276" i="3"/>
  <c r="M1276" i="3"/>
  <c r="L1276" i="3"/>
  <c r="N1276" i="3" s="1"/>
  <c r="K1276" i="3"/>
  <c r="J1276" i="3"/>
  <c r="E1276" i="3"/>
  <c r="D1276" i="3"/>
  <c r="T1275" i="3"/>
  <c r="S1275" i="3"/>
  <c r="R1275" i="3"/>
  <c r="Q1275" i="3"/>
  <c r="P1275" i="3"/>
  <c r="O1275" i="3"/>
  <c r="M1275" i="3"/>
  <c r="L1275" i="3"/>
  <c r="N1275" i="3" s="1"/>
  <c r="K1275" i="3"/>
  <c r="J1275" i="3"/>
  <c r="E1275" i="3"/>
  <c r="D1275" i="3"/>
  <c r="T1274" i="3"/>
  <c r="S1274" i="3"/>
  <c r="R1274" i="3"/>
  <c r="Q1274" i="3"/>
  <c r="P1274" i="3"/>
  <c r="O1274" i="3"/>
  <c r="M1274" i="3"/>
  <c r="L1274" i="3"/>
  <c r="N1274" i="3" s="1"/>
  <c r="K1274" i="3"/>
  <c r="J1274" i="3"/>
  <c r="E1274" i="3"/>
  <c r="D1274" i="3"/>
  <c r="T1273" i="3"/>
  <c r="S1273" i="3"/>
  <c r="R1273" i="3"/>
  <c r="Q1273" i="3"/>
  <c r="P1273" i="3"/>
  <c r="O1273" i="3"/>
  <c r="M1273" i="3"/>
  <c r="L1273" i="3"/>
  <c r="N1273" i="3" s="1"/>
  <c r="K1273" i="3"/>
  <c r="J1273" i="3"/>
  <c r="E1273" i="3"/>
  <c r="D1273" i="3"/>
  <c r="T1272" i="3"/>
  <c r="S1272" i="3"/>
  <c r="R1272" i="3"/>
  <c r="Q1272" i="3"/>
  <c r="P1272" i="3"/>
  <c r="O1272" i="3"/>
  <c r="M1272" i="3"/>
  <c r="L1272" i="3"/>
  <c r="N1272" i="3" s="1"/>
  <c r="K1272" i="3"/>
  <c r="J1272" i="3"/>
  <c r="E1272" i="3"/>
  <c r="D1272" i="3"/>
  <c r="T1271" i="3"/>
  <c r="S1271" i="3"/>
  <c r="R1271" i="3"/>
  <c r="Q1271" i="3"/>
  <c r="P1271" i="3"/>
  <c r="O1271" i="3"/>
  <c r="M1271" i="3"/>
  <c r="L1271" i="3"/>
  <c r="N1271" i="3" s="1"/>
  <c r="K1271" i="3"/>
  <c r="J1271" i="3"/>
  <c r="E1271" i="3"/>
  <c r="D1271" i="3"/>
  <c r="T1270" i="3"/>
  <c r="S1270" i="3"/>
  <c r="R1270" i="3"/>
  <c r="Q1270" i="3"/>
  <c r="P1270" i="3"/>
  <c r="O1270" i="3"/>
  <c r="M1270" i="3"/>
  <c r="L1270" i="3"/>
  <c r="N1270" i="3" s="1"/>
  <c r="K1270" i="3"/>
  <c r="J1270" i="3"/>
  <c r="E1270" i="3"/>
  <c r="D1270" i="3"/>
  <c r="T1269" i="3"/>
  <c r="S1269" i="3"/>
  <c r="R1269" i="3"/>
  <c r="Q1269" i="3"/>
  <c r="P1269" i="3"/>
  <c r="O1269" i="3"/>
  <c r="M1269" i="3"/>
  <c r="L1269" i="3"/>
  <c r="N1269" i="3" s="1"/>
  <c r="K1269" i="3"/>
  <c r="J1269" i="3"/>
  <c r="E1269" i="3"/>
  <c r="D1269" i="3"/>
  <c r="T1268" i="3"/>
  <c r="S1268" i="3"/>
  <c r="R1268" i="3"/>
  <c r="Q1268" i="3"/>
  <c r="P1268" i="3"/>
  <c r="O1268" i="3"/>
  <c r="M1268" i="3"/>
  <c r="L1268" i="3"/>
  <c r="N1268" i="3" s="1"/>
  <c r="K1268" i="3"/>
  <c r="J1268" i="3"/>
  <c r="E1268" i="3"/>
  <c r="D1268" i="3"/>
  <c r="T1267" i="3"/>
  <c r="S1267" i="3"/>
  <c r="R1267" i="3"/>
  <c r="Q1267" i="3"/>
  <c r="P1267" i="3"/>
  <c r="O1267" i="3"/>
  <c r="M1267" i="3"/>
  <c r="L1267" i="3"/>
  <c r="N1267" i="3" s="1"/>
  <c r="K1267" i="3"/>
  <c r="J1267" i="3"/>
  <c r="E1267" i="3"/>
  <c r="D1267" i="3"/>
  <c r="T1266" i="3"/>
  <c r="S1266" i="3"/>
  <c r="R1266" i="3"/>
  <c r="Q1266" i="3"/>
  <c r="P1266" i="3"/>
  <c r="O1266" i="3"/>
  <c r="M1266" i="3"/>
  <c r="L1266" i="3"/>
  <c r="N1266" i="3" s="1"/>
  <c r="K1266" i="3"/>
  <c r="J1266" i="3"/>
  <c r="E1266" i="3"/>
  <c r="D1266" i="3"/>
  <c r="T1265" i="3"/>
  <c r="S1265" i="3"/>
  <c r="R1265" i="3"/>
  <c r="Q1265" i="3"/>
  <c r="P1265" i="3"/>
  <c r="O1265" i="3"/>
  <c r="M1265" i="3"/>
  <c r="L1265" i="3"/>
  <c r="N1265" i="3" s="1"/>
  <c r="K1265" i="3"/>
  <c r="J1265" i="3"/>
  <c r="E1265" i="3"/>
  <c r="D1265" i="3"/>
  <c r="T1264" i="3"/>
  <c r="S1264" i="3"/>
  <c r="R1264" i="3"/>
  <c r="Q1264" i="3"/>
  <c r="P1264" i="3"/>
  <c r="O1264" i="3"/>
  <c r="M1264" i="3"/>
  <c r="L1264" i="3"/>
  <c r="N1264" i="3" s="1"/>
  <c r="K1264" i="3"/>
  <c r="J1264" i="3"/>
  <c r="E1264" i="3"/>
  <c r="D1264" i="3"/>
  <c r="T1263" i="3"/>
  <c r="S1263" i="3"/>
  <c r="R1263" i="3"/>
  <c r="Q1263" i="3"/>
  <c r="P1263" i="3"/>
  <c r="O1263" i="3"/>
  <c r="M1263" i="3"/>
  <c r="L1263" i="3"/>
  <c r="N1263" i="3" s="1"/>
  <c r="K1263" i="3"/>
  <c r="J1263" i="3"/>
  <c r="E1263" i="3"/>
  <c r="D1263" i="3"/>
  <c r="T1262" i="3"/>
  <c r="S1262" i="3"/>
  <c r="R1262" i="3"/>
  <c r="Q1262" i="3"/>
  <c r="P1262" i="3"/>
  <c r="O1262" i="3"/>
  <c r="M1262" i="3"/>
  <c r="L1262" i="3"/>
  <c r="N1262" i="3" s="1"/>
  <c r="K1262" i="3"/>
  <c r="J1262" i="3"/>
  <c r="E1262" i="3"/>
  <c r="D1262" i="3"/>
  <c r="T1261" i="3"/>
  <c r="S1261" i="3"/>
  <c r="R1261" i="3"/>
  <c r="Q1261" i="3"/>
  <c r="P1261" i="3"/>
  <c r="O1261" i="3"/>
  <c r="M1261" i="3"/>
  <c r="L1261" i="3"/>
  <c r="N1261" i="3" s="1"/>
  <c r="K1261" i="3"/>
  <c r="J1261" i="3"/>
  <c r="E1261" i="3"/>
  <c r="D1261" i="3"/>
  <c r="T1260" i="3"/>
  <c r="S1260" i="3"/>
  <c r="R1260" i="3"/>
  <c r="Q1260" i="3"/>
  <c r="P1260" i="3"/>
  <c r="O1260" i="3"/>
  <c r="M1260" i="3"/>
  <c r="L1260" i="3"/>
  <c r="N1260" i="3" s="1"/>
  <c r="K1260" i="3"/>
  <c r="J1260" i="3"/>
  <c r="E1260" i="3"/>
  <c r="D1260" i="3"/>
  <c r="T1259" i="3"/>
  <c r="S1259" i="3"/>
  <c r="R1259" i="3"/>
  <c r="Q1259" i="3"/>
  <c r="P1259" i="3"/>
  <c r="O1259" i="3"/>
  <c r="M1259" i="3"/>
  <c r="L1259" i="3"/>
  <c r="N1259" i="3" s="1"/>
  <c r="K1259" i="3"/>
  <c r="J1259" i="3"/>
  <c r="E1259" i="3"/>
  <c r="D1259" i="3"/>
  <c r="T1258" i="3"/>
  <c r="S1258" i="3"/>
  <c r="R1258" i="3"/>
  <c r="Q1258" i="3"/>
  <c r="P1258" i="3"/>
  <c r="O1258" i="3"/>
  <c r="M1258" i="3"/>
  <c r="L1258" i="3"/>
  <c r="N1258" i="3" s="1"/>
  <c r="K1258" i="3"/>
  <c r="J1258" i="3"/>
  <c r="E1258" i="3"/>
  <c r="D1258" i="3"/>
  <c r="T1257" i="3"/>
  <c r="S1257" i="3"/>
  <c r="R1257" i="3"/>
  <c r="Q1257" i="3"/>
  <c r="P1257" i="3"/>
  <c r="O1257" i="3"/>
  <c r="M1257" i="3"/>
  <c r="L1257" i="3"/>
  <c r="N1257" i="3" s="1"/>
  <c r="K1257" i="3"/>
  <c r="J1257" i="3"/>
  <c r="E1257" i="3"/>
  <c r="D1257" i="3"/>
  <c r="T1256" i="3"/>
  <c r="S1256" i="3"/>
  <c r="R1256" i="3"/>
  <c r="Q1256" i="3"/>
  <c r="P1256" i="3"/>
  <c r="O1256" i="3"/>
  <c r="M1256" i="3"/>
  <c r="L1256" i="3"/>
  <c r="N1256" i="3" s="1"/>
  <c r="K1256" i="3"/>
  <c r="J1256" i="3"/>
  <c r="E1256" i="3"/>
  <c r="D1256" i="3"/>
  <c r="T1255" i="3"/>
  <c r="S1255" i="3"/>
  <c r="R1255" i="3"/>
  <c r="Q1255" i="3"/>
  <c r="P1255" i="3"/>
  <c r="O1255" i="3"/>
  <c r="M1255" i="3"/>
  <c r="L1255" i="3"/>
  <c r="N1255" i="3" s="1"/>
  <c r="K1255" i="3"/>
  <c r="J1255" i="3"/>
  <c r="E1255" i="3"/>
  <c r="D1255" i="3"/>
  <c r="T1254" i="3"/>
  <c r="S1254" i="3"/>
  <c r="R1254" i="3"/>
  <c r="Q1254" i="3"/>
  <c r="P1254" i="3"/>
  <c r="O1254" i="3"/>
  <c r="M1254" i="3"/>
  <c r="L1254" i="3"/>
  <c r="N1254" i="3" s="1"/>
  <c r="K1254" i="3"/>
  <c r="J1254" i="3"/>
  <c r="E1254" i="3"/>
  <c r="D1254" i="3"/>
  <c r="T1253" i="3"/>
  <c r="S1253" i="3"/>
  <c r="R1253" i="3"/>
  <c r="Q1253" i="3"/>
  <c r="P1253" i="3"/>
  <c r="O1253" i="3"/>
  <c r="M1253" i="3"/>
  <c r="L1253" i="3"/>
  <c r="N1253" i="3" s="1"/>
  <c r="K1253" i="3"/>
  <c r="J1253" i="3"/>
  <c r="E1253" i="3"/>
  <c r="D1253" i="3"/>
  <c r="T1252" i="3"/>
  <c r="S1252" i="3"/>
  <c r="R1252" i="3"/>
  <c r="Q1252" i="3"/>
  <c r="P1252" i="3"/>
  <c r="O1252" i="3"/>
  <c r="M1252" i="3"/>
  <c r="L1252" i="3"/>
  <c r="N1252" i="3" s="1"/>
  <c r="K1252" i="3"/>
  <c r="J1252" i="3"/>
  <c r="E1252" i="3"/>
  <c r="D1252" i="3"/>
  <c r="T1251" i="3"/>
  <c r="S1251" i="3"/>
  <c r="R1251" i="3"/>
  <c r="Q1251" i="3"/>
  <c r="P1251" i="3"/>
  <c r="O1251" i="3"/>
  <c r="M1251" i="3"/>
  <c r="L1251" i="3"/>
  <c r="N1251" i="3" s="1"/>
  <c r="K1251" i="3"/>
  <c r="J1251" i="3"/>
  <c r="E1251" i="3"/>
  <c r="D1251" i="3"/>
  <c r="T1250" i="3"/>
  <c r="S1250" i="3"/>
  <c r="R1250" i="3"/>
  <c r="Q1250" i="3"/>
  <c r="P1250" i="3"/>
  <c r="O1250" i="3"/>
  <c r="M1250" i="3"/>
  <c r="L1250" i="3"/>
  <c r="N1250" i="3" s="1"/>
  <c r="K1250" i="3"/>
  <c r="J1250" i="3"/>
  <c r="E1250" i="3"/>
  <c r="D1250" i="3"/>
  <c r="T1249" i="3"/>
  <c r="S1249" i="3"/>
  <c r="R1249" i="3"/>
  <c r="Q1249" i="3"/>
  <c r="P1249" i="3"/>
  <c r="O1249" i="3"/>
  <c r="M1249" i="3"/>
  <c r="L1249" i="3"/>
  <c r="N1249" i="3" s="1"/>
  <c r="K1249" i="3"/>
  <c r="J1249" i="3"/>
  <c r="E1249" i="3"/>
  <c r="D1249" i="3"/>
  <c r="T1248" i="3"/>
  <c r="S1248" i="3"/>
  <c r="R1248" i="3"/>
  <c r="Q1248" i="3"/>
  <c r="P1248" i="3"/>
  <c r="O1248" i="3"/>
  <c r="M1248" i="3"/>
  <c r="L1248" i="3"/>
  <c r="N1248" i="3" s="1"/>
  <c r="K1248" i="3"/>
  <c r="J1248" i="3"/>
  <c r="E1248" i="3"/>
  <c r="D1248" i="3"/>
  <c r="T1247" i="3"/>
  <c r="S1247" i="3"/>
  <c r="R1247" i="3"/>
  <c r="Q1247" i="3"/>
  <c r="P1247" i="3"/>
  <c r="O1247" i="3"/>
  <c r="M1247" i="3"/>
  <c r="L1247" i="3"/>
  <c r="N1247" i="3" s="1"/>
  <c r="K1247" i="3"/>
  <c r="J1247" i="3"/>
  <c r="E1247" i="3"/>
  <c r="D1247" i="3"/>
  <c r="T1246" i="3"/>
  <c r="S1246" i="3"/>
  <c r="R1246" i="3"/>
  <c r="Q1246" i="3"/>
  <c r="P1246" i="3"/>
  <c r="O1246" i="3"/>
  <c r="M1246" i="3"/>
  <c r="L1246" i="3"/>
  <c r="N1246" i="3" s="1"/>
  <c r="K1246" i="3"/>
  <c r="J1246" i="3"/>
  <c r="E1246" i="3"/>
  <c r="D1246" i="3"/>
  <c r="T1245" i="3"/>
  <c r="S1245" i="3"/>
  <c r="R1245" i="3"/>
  <c r="Q1245" i="3"/>
  <c r="P1245" i="3"/>
  <c r="O1245" i="3"/>
  <c r="M1245" i="3"/>
  <c r="L1245" i="3"/>
  <c r="N1245" i="3" s="1"/>
  <c r="K1245" i="3"/>
  <c r="J1245" i="3"/>
  <c r="E1245" i="3"/>
  <c r="D1245" i="3"/>
  <c r="T1244" i="3"/>
  <c r="S1244" i="3"/>
  <c r="R1244" i="3"/>
  <c r="Q1244" i="3"/>
  <c r="P1244" i="3"/>
  <c r="O1244" i="3"/>
  <c r="M1244" i="3"/>
  <c r="L1244" i="3"/>
  <c r="N1244" i="3" s="1"/>
  <c r="K1244" i="3"/>
  <c r="J1244" i="3"/>
  <c r="E1244" i="3"/>
  <c r="D1244" i="3"/>
  <c r="T1243" i="3"/>
  <c r="S1243" i="3"/>
  <c r="R1243" i="3"/>
  <c r="Q1243" i="3"/>
  <c r="P1243" i="3"/>
  <c r="O1243" i="3"/>
  <c r="M1243" i="3"/>
  <c r="L1243" i="3"/>
  <c r="N1243" i="3" s="1"/>
  <c r="K1243" i="3"/>
  <c r="J1243" i="3"/>
  <c r="E1243" i="3"/>
  <c r="D1243" i="3"/>
  <c r="T1242" i="3"/>
  <c r="S1242" i="3"/>
  <c r="R1242" i="3"/>
  <c r="Q1242" i="3"/>
  <c r="P1242" i="3"/>
  <c r="O1242" i="3"/>
  <c r="M1242" i="3"/>
  <c r="L1242" i="3"/>
  <c r="N1242" i="3" s="1"/>
  <c r="K1242" i="3"/>
  <c r="J1242" i="3"/>
  <c r="E1242" i="3"/>
  <c r="D1242" i="3"/>
  <c r="T1241" i="3"/>
  <c r="S1241" i="3"/>
  <c r="R1241" i="3"/>
  <c r="Q1241" i="3"/>
  <c r="P1241" i="3"/>
  <c r="O1241" i="3"/>
  <c r="M1241" i="3"/>
  <c r="L1241" i="3"/>
  <c r="N1241" i="3" s="1"/>
  <c r="K1241" i="3"/>
  <c r="J1241" i="3"/>
  <c r="E1241" i="3"/>
  <c r="D1241" i="3"/>
  <c r="T1240" i="3"/>
  <c r="S1240" i="3"/>
  <c r="R1240" i="3"/>
  <c r="Q1240" i="3"/>
  <c r="P1240" i="3"/>
  <c r="O1240" i="3"/>
  <c r="M1240" i="3"/>
  <c r="L1240" i="3"/>
  <c r="N1240" i="3" s="1"/>
  <c r="K1240" i="3"/>
  <c r="J1240" i="3"/>
  <c r="E1240" i="3"/>
  <c r="D1240" i="3"/>
  <c r="T1239" i="3"/>
  <c r="S1239" i="3"/>
  <c r="R1239" i="3"/>
  <c r="Q1239" i="3"/>
  <c r="P1239" i="3"/>
  <c r="O1239" i="3"/>
  <c r="M1239" i="3"/>
  <c r="L1239" i="3"/>
  <c r="N1239" i="3" s="1"/>
  <c r="K1239" i="3"/>
  <c r="J1239" i="3"/>
  <c r="E1239" i="3"/>
  <c r="D1239" i="3"/>
  <c r="T1238" i="3"/>
  <c r="S1238" i="3"/>
  <c r="R1238" i="3"/>
  <c r="Q1238" i="3"/>
  <c r="P1238" i="3"/>
  <c r="O1238" i="3"/>
  <c r="M1238" i="3"/>
  <c r="L1238" i="3"/>
  <c r="N1238" i="3" s="1"/>
  <c r="K1238" i="3"/>
  <c r="J1238" i="3"/>
  <c r="E1238" i="3"/>
  <c r="D1238" i="3"/>
  <c r="T1237" i="3"/>
  <c r="S1237" i="3"/>
  <c r="R1237" i="3"/>
  <c r="Q1237" i="3"/>
  <c r="P1237" i="3"/>
  <c r="O1237" i="3"/>
  <c r="M1237" i="3"/>
  <c r="L1237" i="3"/>
  <c r="N1237" i="3" s="1"/>
  <c r="K1237" i="3"/>
  <c r="J1237" i="3"/>
  <c r="E1237" i="3"/>
  <c r="D1237" i="3"/>
  <c r="T1236" i="3"/>
  <c r="S1236" i="3"/>
  <c r="R1236" i="3"/>
  <c r="Q1236" i="3"/>
  <c r="P1236" i="3"/>
  <c r="O1236" i="3"/>
  <c r="M1236" i="3"/>
  <c r="L1236" i="3"/>
  <c r="N1236" i="3" s="1"/>
  <c r="K1236" i="3"/>
  <c r="J1236" i="3"/>
  <c r="E1236" i="3"/>
  <c r="D1236" i="3"/>
  <c r="T1235" i="3"/>
  <c r="S1235" i="3"/>
  <c r="R1235" i="3"/>
  <c r="Q1235" i="3"/>
  <c r="P1235" i="3"/>
  <c r="O1235" i="3"/>
  <c r="M1235" i="3"/>
  <c r="L1235" i="3"/>
  <c r="N1235" i="3" s="1"/>
  <c r="K1235" i="3"/>
  <c r="J1235" i="3"/>
  <c r="E1235" i="3"/>
  <c r="D1235" i="3"/>
  <c r="T1234" i="3"/>
  <c r="S1234" i="3"/>
  <c r="R1234" i="3"/>
  <c r="Q1234" i="3"/>
  <c r="P1234" i="3"/>
  <c r="O1234" i="3"/>
  <c r="M1234" i="3"/>
  <c r="L1234" i="3"/>
  <c r="N1234" i="3" s="1"/>
  <c r="K1234" i="3"/>
  <c r="J1234" i="3"/>
  <c r="E1234" i="3"/>
  <c r="D1234" i="3"/>
  <c r="T1233" i="3"/>
  <c r="S1233" i="3"/>
  <c r="R1233" i="3"/>
  <c r="Q1233" i="3"/>
  <c r="P1233" i="3"/>
  <c r="O1233" i="3"/>
  <c r="M1233" i="3"/>
  <c r="L1233" i="3"/>
  <c r="N1233" i="3" s="1"/>
  <c r="K1233" i="3"/>
  <c r="J1233" i="3"/>
  <c r="E1233" i="3"/>
  <c r="D1233" i="3"/>
  <c r="T1232" i="3"/>
  <c r="S1232" i="3"/>
  <c r="R1232" i="3"/>
  <c r="Q1232" i="3"/>
  <c r="P1232" i="3"/>
  <c r="O1232" i="3"/>
  <c r="M1232" i="3"/>
  <c r="L1232" i="3"/>
  <c r="N1232" i="3" s="1"/>
  <c r="K1232" i="3"/>
  <c r="J1232" i="3"/>
  <c r="E1232" i="3"/>
  <c r="D1232" i="3"/>
  <c r="T1231" i="3"/>
  <c r="S1231" i="3"/>
  <c r="R1231" i="3"/>
  <c r="Q1231" i="3"/>
  <c r="P1231" i="3"/>
  <c r="O1231" i="3"/>
  <c r="M1231" i="3"/>
  <c r="L1231" i="3"/>
  <c r="N1231" i="3" s="1"/>
  <c r="K1231" i="3"/>
  <c r="J1231" i="3"/>
  <c r="E1231" i="3"/>
  <c r="D1231" i="3"/>
  <c r="T1230" i="3"/>
  <c r="S1230" i="3"/>
  <c r="R1230" i="3"/>
  <c r="Q1230" i="3"/>
  <c r="P1230" i="3"/>
  <c r="O1230" i="3"/>
  <c r="M1230" i="3"/>
  <c r="L1230" i="3"/>
  <c r="N1230" i="3" s="1"/>
  <c r="K1230" i="3"/>
  <c r="J1230" i="3"/>
  <c r="E1230" i="3"/>
  <c r="D1230" i="3"/>
  <c r="T1229" i="3"/>
  <c r="S1229" i="3"/>
  <c r="R1229" i="3"/>
  <c r="Q1229" i="3"/>
  <c r="P1229" i="3"/>
  <c r="O1229" i="3"/>
  <c r="M1229" i="3"/>
  <c r="L1229" i="3"/>
  <c r="N1229" i="3" s="1"/>
  <c r="K1229" i="3"/>
  <c r="J1229" i="3"/>
  <c r="E1229" i="3"/>
  <c r="D1229" i="3"/>
  <c r="T1228" i="3"/>
  <c r="S1228" i="3"/>
  <c r="R1228" i="3"/>
  <c r="Q1228" i="3"/>
  <c r="P1228" i="3"/>
  <c r="O1228" i="3"/>
  <c r="M1228" i="3"/>
  <c r="L1228" i="3"/>
  <c r="N1228" i="3" s="1"/>
  <c r="K1228" i="3"/>
  <c r="J1228" i="3"/>
  <c r="E1228" i="3"/>
  <c r="D1228" i="3"/>
  <c r="T1227" i="3"/>
  <c r="S1227" i="3"/>
  <c r="R1227" i="3"/>
  <c r="Q1227" i="3"/>
  <c r="P1227" i="3"/>
  <c r="O1227" i="3"/>
  <c r="M1227" i="3"/>
  <c r="L1227" i="3"/>
  <c r="N1227" i="3" s="1"/>
  <c r="K1227" i="3"/>
  <c r="J1227" i="3"/>
  <c r="E1227" i="3"/>
  <c r="D1227" i="3"/>
  <c r="T1226" i="3"/>
  <c r="S1226" i="3"/>
  <c r="R1226" i="3"/>
  <c r="Q1226" i="3"/>
  <c r="P1226" i="3"/>
  <c r="O1226" i="3"/>
  <c r="M1226" i="3"/>
  <c r="L1226" i="3"/>
  <c r="N1226" i="3" s="1"/>
  <c r="K1226" i="3"/>
  <c r="J1226" i="3"/>
  <c r="E1226" i="3"/>
  <c r="D1226" i="3"/>
  <c r="T1225" i="3"/>
  <c r="S1225" i="3"/>
  <c r="R1225" i="3"/>
  <c r="Q1225" i="3"/>
  <c r="P1225" i="3"/>
  <c r="O1225" i="3"/>
  <c r="M1225" i="3"/>
  <c r="L1225" i="3"/>
  <c r="N1225" i="3" s="1"/>
  <c r="K1225" i="3"/>
  <c r="J1225" i="3"/>
  <c r="E1225" i="3"/>
  <c r="D1225" i="3"/>
  <c r="T1224" i="3"/>
  <c r="S1224" i="3"/>
  <c r="R1224" i="3"/>
  <c r="Q1224" i="3"/>
  <c r="P1224" i="3"/>
  <c r="O1224" i="3"/>
  <c r="M1224" i="3"/>
  <c r="L1224" i="3"/>
  <c r="N1224" i="3" s="1"/>
  <c r="K1224" i="3"/>
  <c r="J1224" i="3"/>
  <c r="E1224" i="3"/>
  <c r="D1224" i="3"/>
  <c r="T1223" i="3"/>
  <c r="S1223" i="3"/>
  <c r="R1223" i="3"/>
  <c r="Q1223" i="3"/>
  <c r="P1223" i="3"/>
  <c r="O1223" i="3"/>
  <c r="M1223" i="3"/>
  <c r="L1223" i="3"/>
  <c r="N1223" i="3" s="1"/>
  <c r="K1223" i="3"/>
  <c r="J1223" i="3"/>
  <c r="E1223" i="3"/>
  <c r="D1223" i="3"/>
  <c r="T1222" i="3"/>
  <c r="S1222" i="3"/>
  <c r="R1222" i="3"/>
  <c r="Q1222" i="3"/>
  <c r="P1222" i="3"/>
  <c r="O1222" i="3"/>
  <c r="M1222" i="3"/>
  <c r="L1222" i="3"/>
  <c r="N1222" i="3" s="1"/>
  <c r="K1222" i="3"/>
  <c r="J1222" i="3"/>
  <c r="E1222" i="3"/>
  <c r="D1222" i="3"/>
  <c r="T1221" i="3"/>
  <c r="S1221" i="3"/>
  <c r="R1221" i="3"/>
  <c r="Q1221" i="3"/>
  <c r="P1221" i="3"/>
  <c r="O1221" i="3"/>
  <c r="M1221" i="3"/>
  <c r="L1221" i="3"/>
  <c r="N1221" i="3" s="1"/>
  <c r="K1221" i="3"/>
  <c r="J1221" i="3"/>
  <c r="E1221" i="3"/>
  <c r="D1221" i="3"/>
  <c r="T1220" i="3"/>
  <c r="S1220" i="3"/>
  <c r="R1220" i="3"/>
  <c r="Q1220" i="3"/>
  <c r="P1220" i="3"/>
  <c r="O1220" i="3"/>
  <c r="M1220" i="3"/>
  <c r="L1220" i="3"/>
  <c r="N1220" i="3" s="1"/>
  <c r="K1220" i="3"/>
  <c r="J1220" i="3"/>
  <c r="E1220" i="3"/>
  <c r="D1220" i="3"/>
  <c r="T1219" i="3"/>
  <c r="S1219" i="3"/>
  <c r="R1219" i="3"/>
  <c r="Q1219" i="3"/>
  <c r="P1219" i="3"/>
  <c r="O1219" i="3"/>
  <c r="M1219" i="3"/>
  <c r="L1219" i="3"/>
  <c r="N1219" i="3" s="1"/>
  <c r="K1219" i="3"/>
  <c r="J1219" i="3"/>
  <c r="E1219" i="3"/>
  <c r="D1219" i="3"/>
  <c r="T1218" i="3"/>
  <c r="S1218" i="3"/>
  <c r="R1218" i="3"/>
  <c r="Q1218" i="3"/>
  <c r="P1218" i="3"/>
  <c r="O1218" i="3"/>
  <c r="M1218" i="3"/>
  <c r="L1218" i="3"/>
  <c r="N1218" i="3" s="1"/>
  <c r="K1218" i="3"/>
  <c r="J1218" i="3"/>
  <c r="E1218" i="3"/>
  <c r="D1218" i="3"/>
  <c r="T1217" i="3"/>
  <c r="S1217" i="3"/>
  <c r="R1217" i="3"/>
  <c r="Q1217" i="3"/>
  <c r="P1217" i="3"/>
  <c r="O1217" i="3"/>
  <c r="M1217" i="3"/>
  <c r="L1217" i="3"/>
  <c r="N1217" i="3" s="1"/>
  <c r="K1217" i="3"/>
  <c r="J1217" i="3"/>
  <c r="E1217" i="3"/>
  <c r="D1217" i="3"/>
  <c r="T1216" i="3"/>
  <c r="S1216" i="3"/>
  <c r="R1216" i="3"/>
  <c r="Q1216" i="3"/>
  <c r="P1216" i="3"/>
  <c r="O1216" i="3"/>
  <c r="M1216" i="3"/>
  <c r="L1216" i="3"/>
  <c r="N1216" i="3" s="1"/>
  <c r="K1216" i="3"/>
  <c r="J1216" i="3"/>
  <c r="E1216" i="3"/>
  <c r="D1216" i="3"/>
  <c r="T1215" i="3"/>
  <c r="S1215" i="3"/>
  <c r="R1215" i="3"/>
  <c r="Q1215" i="3"/>
  <c r="P1215" i="3"/>
  <c r="O1215" i="3"/>
  <c r="M1215" i="3"/>
  <c r="L1215" i="3"/>
  <c r="N1215" i="3" s="1"/>
  <c r="K1215" i="3"/>
  <c r="J1215" i="3"/>
  <c r="E1215" i="3"/>
  <c r="D1215" i="3"/>
  <c r="T1214" i="3"/>
  <c r="S1214" i="3"/>
  <c r="R1214" i="3"/>
  <c r="Q1214" i="3"/>
  <c r="P1214" i="3"/>
  <c r="O1214" i="3"/>
  <c r="M1214" i="3"/>
  <c r="L1214" i="3"/>
  <c r="N1214" i="3" s="1"/>
  <c r="K1214" i="3"/>
  <c r="J1214" i="3"/>
  <c r="E1214" i="3"/>
  <c r="D1214" i="3"/>
  <c r="T1213" i="3"/>
  <c r="S1213" i="3"/>
  <c r="R1213" i="3"/>
  <c r="Q1213" i="3"/>
  <c r="P1213" i="3"/>
  <c r="O1213" i="3"/>
  <c r="M1213" i="3"/>
  <c r="L1213" i="3"/>
  <c r="N1213" i="3" s="1"/>
  <c r="K1213" i="3"/>
  <c r="J1213" i="3"/>
  <c r="E1213" i="3"/>
  <c r="D1213" i="3"/>
  <c r="T1212" i="3"/>
  <c r="S1212" i="3"/>
  <c r="R1212" i="3"/>
  <c r="Q1212" i="3"/>
  <c r="P1212" i="3"/>
  <c r="O1212" i="3"/>
  <c r="M1212" i="3"/>
  <c r="L1212" i="3"/>
  <c r="N1212" i="3" s="1"/>
  <c r="K1212" i="3"/>
  <c r="J1212" i="3"/>
  <c r="E1212" i="3"/>
  <c r="D1212" i="3"/>
  <c r="T1211" i="3"/>
  <c r="S1211" i="3"/>
  <c r="R1211" i="3"/>
  <c r="Q1211" i="3"/>
  <c r="P1211" i="3"/>
  <c r="O1211" i="3"/>
  <c r="M1211" i="3"/>
  <c r="L1211" i="3"/>
  <c r="N1211" i="3" s="1"/>
  <c r="K1211" i="3"/>
  <c r="J1211" i="3"/>
  <c r="E1211" i="3"/>
  <c r="D1211" i="3"/>
  <c r="T1210" i="3"/>
  <c r="S1210" i="3"/>
  <c r="R1210" i="3"/>
  <c r="Q1210" i="3"/>
  <c r="P1210" i="3"/>
  <c r="O1210" i="3"/>
  <c r="M1210" i="3"/>
  <c r="L1210" i="3"/>
  <c r="N1210" i="3" s="1"/>
  <c r="K1210" i="3"/>
  <c r="J1210" i="3"/>
  <c r="E1210" i="3"/>
  <c r="D1210" i="3"/>
  <c r="T1209" i="3"/>
  <c r="S1209" i="3"/>
  <c r="R1209" i="3"/>
  <c r="Q1209" i="3"/>
  <c r="P1209" i="3"/>
  <c r="O1209" i="3"/>
  <c r="M1209" i="3"/>
  <c r="L1209" i="3"/>
  <c r="N1209" i="3" s="1"/>
  <c r="K1209" i="3"/>
  <c r="J1209" i="3"/>
  <c r="E1209" i="3"/>
  <c r="D1209" i="3"/>
  <c r="T1208" i="3"/>
  <c r="S1208" i="3"/>
  <c r="R1208" i="3"/>
  <c r="Q1208" i="3"/>
  <c r="P1208" i="3"/>
  <c r="O1208" i="3"/>
  <c r="M1208" i="3"/>
  <c r="L1208" i="3"/>
  <c r="N1208" i="3" s="1"/>
  <c r="K1208" i="3"/>
  <c r="J1208" i="3"/>
  <c r="E1208" i="3"/>
  <c r="D1208" i="3"/>
  <c r="T1207" i="3"/>
  <c r="S1207" i="3"/>
  <c r="R1207" i="3"/>
  <c r="Q1207" i="3"/>
  <c r="P1207" i="3"/>
  <c r="O1207" i="3"/>
  <c r="M1207" i="3"/>
  <c r="L1207" i="3"/>
  <c r="N1207" i="3" s="1"/>
  <c r="K1207" i="3"/>
  <c r="J1207" i="3"/>
  <c r="E1207" i="3"/>
  <c r="D1207" i="3"/>
  <c r="T1206" i="3"/>
  <c r="S1206" i="3"/>
  <c r="R1206" i="3"/>
  <c r="Q1206" i="3"/>
  <c r="P1206" i="3"/>
  <c r="O1206" i="3"/>
  <c r="M1206" i="3"/>
  <c r="L1206" i="3"/>
  <c r="N1206" i="3" s="1"/>
  <c r="K1206" i="3"/>
  <c r="J1206" i="3"/>
  <c r="E1206" i="3"/>
  <c r="D1206" i="3"/>
  <c r="T1205" i="3"/>
  <c r="S1205" i="3"/>
  <c r="R1205" i="3"/>
  <c r="Q1205" i="3"/>
  <c r="P1205" i="3"/>
  <c r="O1205" i="3"/>
  <c r="M1205" i="3"/>
  <c r="L1205" i="3"/>
  <c r="N1205" i="3" s="1"/>
  <c r="K1205" i="3"/>
  <c r="J1205" i="3"/>
  <c r="E1205" i="3"/>
  <c r="D1205" i="3"/>
  <c r="T1204" i="3"/>
  <c r="S1204" i="3"/>
  <c r="R1204" i="3"/>
  <c r="Q1204" i="3"/>
  <c r="P1204" i="3"/>
  <c r="O1204" i="3"/>
  <c r="M1204" i="3"/>
  <c r="L1204" i="3"/>
  <c r="N1204" i="3" s="1"/>
  <c r="K1204" i="3"/>
  <c r="J1204" i="3"/>
  <c r="E1204" i="3"/>
  <c r="D1204" i="3"/>
  <c r="T1203" i="3"/>
  <c r="S1203" i="3"/>
  <c r="R1203" i="3"/>
  <c r="Q1203" i="3"/>
  <c r="P1203" i="3"/>
  <c r="O1203" i="3"/>
  <c r="M1203" i="3"/>
  <c r="L1203" i="3"/>
  <c r="N1203" i="3" s="1"/>
  <c r="K1203" i="3"/>
  <c r="J1203" i="3"/>
  <c r="E1203" i="3"/>
  <c r="D1203" i="3"/>
  <c r="T1202" i="3"/>
  <c r="S1202" i="3"/>
  <c r="R1202" i="3"/>
  <c r="Q1202" i="3"/>
  <c r="P1202" i="3"/>
  <c r="O1202" i="3"/>
  <c r="M1202" i="3"/>
  <c r="L1202" i="3"/>
  <c r="N1202" i="3" s="1"/>
  <c r="K1202" i="3"/>
  <c r="J1202" i="3"/>
  <c r="E1202" i="3"/>
  <c r="D1202" i="3"/>
  <c r="T1201" i="3"/>
  <c r="S1201" i="3"/>
  <c r="R1201" i="3"/>
  <c r="Q1201" i="3"/>
  <c r="P1201" i="3"/>
  <c r="O1201" i="3"/>
  <c r="M1201" i="3"/>
  <c r="L1201" i="3"/>
  <c r="N1201" i="3" s="1"/>
  <c r="K1201" i="3"/>
  <c r="J1201" i="3"/>
  <c r="E1201" i="3"/>
  <c r="D1201" i="3"/>
  <c r="T1200" i="3"/>
  <c r="S1200" i="3"/>
  <c r="R1200" i="3"/>
  <c r="Q1200" i="3"/>
  <c r="P1200" i="3"/>
  <c r="O1200" i="3"/>
  <c r="M1200" i="3"/>
  <c r="L1200" i="3"/>
  <c r="N1200" i="3" s="1"/>
  <c r="K1200" i="3"/>
  <c r="J1200" i="3"/>
  <c r="E1200" i="3"/>
  <c r="D1200" i="3"/>
  <c r="T1199" i="3"/>
  <c r="S1199" i="3"/>
  <c r="R1199" i="3"/>
  <c r="Q1199" i="3"/>
  <c r="P1199" i="3"/>
  <c r="O1199" i="3"/>
  <c r="M1199" i="3"/>
  <c r="L1199" i="3"/>
  <c r="N1199" i="3" s="1"/>
  <c r="K1199" i="3"/>
  <c r="J1199" i="3"/>
  <c r="E1199" i="3"/>
  <c r="D1199" i="3"/>
  <c r="T1198" i="3"/>
  <c r="S1198" i="3"/>
  <c r="R1198" i="3"/>
  <c r="Q1198" i="3"/>
  <c r="P1198" i="3"/>
  <c r="O1198" i="3"/>
  <c r="M1198" i="3"/>
  <c r="L1198" i="3"/>
  <c r="N1198" i="3" s="1"/>
  <c r="K1198" i="3"/>
  <c r="J1198" i="3"/>
  <c r="E1198" i="3"/>
  <c r="D1198" i="3"/>
  <c r="T1197" i="3"/>
  <c r="S1197" i="3"/>
  <c r="R1197" i="3"/>
  <c r="Q1197" i="3"/>
  <c r="P1197" i="3"/>
  <c r="O1197" i="3"/>
  <c r="M1197" i="3"/>
  <c r="L1197" i="3"/>
  <c r="N1197" i="3" s="1"/>
  <c r="K1197" i="3"/>
  <c r="J1197" i="3"/>
  <c r="E1197" i="3"/>
  <c r="D1197" i="3"/>
  <c r="T1196" i="3"/>
  <c r="S1196" i="3"/>
  <c r="R1196" i="3"/>
  <c r="Q1196" i="3"/>
  <c r="P1196" i="3"/>
  <c r="O1196" i="3"/>
  <c r="M1196" i="3"/>
  <c r="L1196" i="3"/>
  <c r="N1196" i="3" s="1"/>
  <c r="K1196" i="3"/>
  <c r="J1196" i="3"/>
  <c r="E1196" i="3"/>
  <c r="D1196" i="3"/>
  <c r="T1195" i="3"/>
  <c r="S1195" i="3"/>
  <c r="R1195" i="3"/>
  <c r="Q1195" i="3"/>
  <c r="P1195" i="3"/>
  <c r="O1195" i="3"/>
  <c r="M1195" i="3"/>
  <c r="L1195" i="3"/>
  <c r="N1195" i="3" s="1"/>
  <c r="K1195" i="3"/>
  <c r="J1195" i="3"/>
  <c r="E1195" i="3"/>
  <c r="D1195" i="3"/>
  <c r="T1194" i="3"/>
  <c r="S1194" i="3"/>
  <c r="R1194" i="3"/>
  <c r="Q1194" i="3"/>
  <c r="P1194" i="3"/>
  <c r="O1194" i="3"/>
  <c r="M1194" i="3"/>
  <c r="L1194" i="3"/>
  <c r="N1194" i="3" s="1"/>
  <c r="K1194" i="3"/>
  <c r="J1194" i="3"/>
  <c r="E1194" i="3"/>
  <c r="D1194" i="3"/>
  <c r="T1193" i="3"/>
  <c r="S1193" i="3"/>
  <c r="R1193" i="3"/>
  <c r="Q1193" i="3"/>
  <c r="P1193" i="3"/>
  <c r="O1193" i="3"/>
  <c r="M1193" i="3"/>
  <c r="L1193" i="3"/>
  <c r="N1193" i="3" s="1"/>
  <c r="K1193" i="3"/>
  <c r="J1193" i="3"/>
  <c r="E1193" i="3"/>
  <c r="D1193" i="3"/>
  <c r="T1192" i="3"/>
  <c r="S1192" i="3"/>
  <c r="R1192" i="3"/>
  <c r="Q1192" i="3"/>
  <c r="P1192" i="3"/>
  <c r="O1192" i="3"/>
  <c r="M1192" i="3"/>
  <c r="L1192" i="3"/>
  <c r="N1192" i="3" s="1"/>
  <c r="K1192" i="3"/>
  <c r="J1192" i="3"/>
  <c r="E1192" i="3"/>
  <c r="D1192" i="3"/>
  <c r="T1191" i="3"/>
  <c r="S1191" i="3"/>
  <c r="R1191" i="3"/>
  <c r="Q1191" i="3"/>
  <c r="P1191" i="3"/>
  <c r="O1191" i="3"/>
  <c r="M1191" i="3"/>
  <c r="L1191" i="3"/>
  <c r="N1191" i="3" s="1"/>
  <c r="K1191" i="3"/>
  <c r="J1191" i="3"/>
  <c r="E1191" i="3"/>
  <c r="D1191" i="3"/>
  <c r="T1190" i="3"/>
  <c r="S1190" i="3"/>
  <c r="R1190" i="3"/>
  <c r="Q1190" i="3"/>
  <c r="P1190" i="3"/>
  <c r="O1190" i="3"/>
  <c r="M1190" i="3"/>
  <c r="L1190" i="3"/>
  <c r="N1190" i="3" s="1"/>
  <c r="K1190" i="3"/>
  <c r="J1190" i="3"/>
  <c r="E1190" i="3"/>
  <c r="D1190" i="3"/>
  <c r="T1189" i="3"/>
  <c r="S1189" i="3"/>
  <c r="R1189" i="3"/>
  <c r="Q1189" i="3"/>
  <c r="P1189" i="3"/>
  <c r="O1189" i="3"/>
  <c r="M1189" i="3"/>
  <c r="L1189" i="3"/>
  <c r="N1189" i="3" s="1"/>
  <c r="K1189" i="3"/>
  <c r="J1189" i="3"/>
  <c r="E1189" i="3"/>
  <c r="D1189" i="3"/>
  <c r="T1188" i="3"/>
  <c r="S1188" i="3"/>
  <c r="R1188" i="3"/>
  <c r="Q1188" i="3"/>
  <c r="P1188" i="3"/>
  <c r="O1188" i="3"/>
  <c r="M1188" i="3"/>
  <c r="L1188" i="3"/>
  <c r="N1188" i="3" s="1"/>
  <c r="K1188" i="3"/>
  <c r="J1188" i="3"/>
  <c r="E1188" i="3"/>
  <c r="D1188" i="3"/>
  <c r="T1187" i="3"/>
  <c r="S1187" i="3"/>
  <c r="R1187" i="3"/>
  <c r="Q1187" i="3"/>
  <c r="P1187" i="3"/>
  <c r="O1187" i="3"/>
  <c r="M1187" i="3"/>
  <c r="L1187" i="3"/>
  <c r="N1187" i="3" s="1"/>
  <c r="K1187" i="3"/>
  <c r="J1187" i="3"/>
  <c r="E1187" i="3"/>
  <c r="D1187" i="3"/>
  <c r="T1186" i="3"/>
  <c r="S1186" i="3"/>
  <c r="R1186" i="3"/>
  <c r="Q1186" i="3"/>
  <c r="P1186" i="3"/>
  <c r="O1186" i="3"/>
  <c r="M1186" i="3"/>
  <c r="L1186" i="3"/>
  <c r="N1186" i="3" s="1"/>
  <c r="K1186" i="3"/>
  <c r="J1186" i="3"/>
  <c r="E1186" i="3"/>
  <c r="D1186" i="3"/>
  <c r="T1185" i="3"/>
  <c r="S1185" i="3"/>
  <c r="R1185" i="3"/>
  <c r="Q1185" i="3"/>
  <c r="P1185" i="3"/>
  <c r="O1185" i="3"/>
  <c r="M1185" i="3"/>
  <c r="L1185" i="3"/>
  <c r="N1185" i="3" s="1"/>
  <c r="K1185" i="3"/>
  <c r="J1185" i="3"/>
  <c r="E1185" i="3"/>
  <c r="D1185" i="3"/>
  <c r="T1184" i="3"/>
  <c r="S1184" i="3"/>
  <c r="R1184" i="3"/>
  <c r="Q1184" i="3"/>
  <c r="P1184" i="3"/>
  <c r="O1184" i="3"/>
  <c r="M1184" i="3"/>
  <c r="L1184" i="3"/>
  <c r="N1184" i="3" s="1"/>
  <c r="K1184" i="3"/>
  <c r="J1184" i="3"/>
  <c r="E1184" i="3"/>
  <c r="D1184" i="3"/>
  <c r="T1183" i="3"/>
  <c r="S1183" i="3"/>
  <c r="R1183" i="3"/>
  <c r="Q1183" i="3"/>
  <c r="P1183" i="3"/>
  <c r="O1183" i="3"/>
  <c r="M1183" i="3"/>
  <c r="L1183" i="3"/>
  <c r="N1183" i="3" s="1"/>
  <c r="K1183" i="3"/>
  <c r="J1183" i="3"/>
  <c r="E1183" i="3"/>
  <c r="D1183" i="3"/>
  <c r="T1182" i="3"/>
  <c r="S1182" i="3"/>
  <c r="R1182" i="3"/>
  <c r="Q1182" i="3"/>
  <c r="P1182" i="3"/>
  <c r="O1182" i="3"/>
  <c r="M1182" i="3"/>
  <c r="L1182" i="3"/>
  <c r="N1182" i="3" s="1"/>
  <c r="K1182" i="3"/>
  <c r="J1182" i="3"/>
  <c r="E1182" i="3"/>
  <c r="D1182" i="3"/>
  <c r="T1181" i="3"/>
  <c r="S1181" i="3"/>
  <c r="R1181" i="3"/>
  <c r="Q1181" i="3"/>
  <c r="P1181" i="3"/>
  <c r="O1181" i="3"/>
  <c r="M1181" i="3"/>
  <c r="L1181" i="3"/>
  <c r="N1181" i="3" s="1"/>
  <c r="K1181" i="3"/>
  <c r="J1181" i="3"/>
  <c r="E1181" i="3"/>
  <c r="D1181" i="3"/>
  <c r="T1180" i="3"/>
  <c r="S1180" i="3"/>
  <c r="R1180" i="3"/>
  <c r="Q1180" i="3"/>
  <c r="P1180" i="3"/>
  <c r="O1180" i="3"/>
  <c r="M1180" i="3"/>
  <c r="L1180" i="3"/>
  <c r="N1180" i="3" s="1"/>
  <c r="K1180" i="3"/>
  <c r="J1180" i="3"/>
  <c r="E1180" i="3"/>
  <c r="D1180" i="3"/>
  <c r="T1179" i="3"/>
  <c r="S1179" i="3"/>
  <c r="R1179" i="3"/>
  <c r="Q1179" i="3"/>
  <c r="P1179" i="3"/>
  <c r="O1179" i="3"/>
  <c r="M1179" i="3"/>
  <c r="L1179" i="3"/>
  <c r="N1179" i="3" s="1"/>
  <c r="K1179" i="3"/>
  <c r="J1179" i="3"/>
  <c r="E1179" i="3"/>
  <c r="D1179" i="3"/>
  <c r="T1178" i="3"/>
  <c r="S1178" i="3"/>
  <c r="R1178" i="3"/>
  <c r="Q1178" i="3"/>
  <c r="P1178" i="3"/>
  <c r="O1178" i="3"/>
  <c r="M1178" i="3"/>
  <c r="L1178" i="3"/>
  <c r="N1178" i="3" s="1"/>
  <c r="K1178" i="3"/>
  <c r="J1178" i="3"/>
  <c r="E1178" i="3"/>
  <c r="D1178" i="3"/>
  <c r="T1177" i="3"/>
  <c r="S1177" i="3"/>
  <c r="R1177" i="3"/>
  <c r="Q1177" i="3"/>
  <c r="P1177" i="3"/>
  <c r="O1177" i="3"/>
  <c r="M1177" i="3"/>
  <c r="L1177" i="3"/>
  <c r="N1177" i="3" s="1"/>
  <c r="K1177" i="3"/>
  <c r="J1177" i="3"/>
  <c r="E1177" i="3"/>
  <c r="D1177" i="3"/>
  <c r="T1176" i="3"/>
  <c r="S1176" i="3"/>
  <c r="R1176" i="3"/>
  <c r="Q1176" i="3"/>
  <c r="P1176" i="3"/>
  <c r="O1176" i="3"/>
  <c r="M1176" i="3"/>
  <c r="L1176" i="3"/>
  <c r="N1176" i="3" s="1"/>
  <c r="K1176" i="3"/>
  <c r="J1176" i="3"/>
  <c r="E1176" i="3"/>
  <c r="D1176" i="3"/>
  <c r="T1175" i="3"/>
  <c r="S1175" i="3"/>
  <c r="R1175" i="3"/>
  <c r="Q1175" i="3"/>
  <c r="P1175" i="3"/>
  <c r="O1175" i="3"/>
  <c r="M1175" i="3"/>
  <c r="L1175" i="3"/>
  <c r="N1175" i="3" s="1"/>
  <c r="K1175" i="3"/>
  <c r="J1175" i="3"/>
  <c r="E1175" i="3"/>
  <c r="D1175" i="3"/>
  <c r="T1174" i="3"/>
  <c r="S1174" i="3"/>
  <c r="R1174" i="3"/>
  <c r="Q1174" i="3"/>
  <c r="P1174" i="3"/>
  <c r="O1174" i="3"/>
  <c r="M1174" i="3"/>
  <c r="L1174" i="3"/>
  <c r="N1174" i="3" s="1"/>
  <c r="K1174" i="3"/>
  <c r="J1174" i="3"/>
  <c r="E1174" i="3"/>
  <c r="D1174" i="3"/>
  <c r="T1173" i="3"/>
  <c r="S1173" i="3"/>
  <c r="R1173" i="3"/>
  <c r="Q1173" i="3"/>
  <c r="P1173" i="3"/>
  <c r="O1173" i="3"/>
  <c r="M1173" i="3"/>
  <c r="L1173" i="3"/>
  <c r="N1173" i="3" s="1"/>
  <c r="K1173" i="3"/>
  <c r="J1173" i="3"/>
  <c r="E1173" i="3"/>
  <c r="D1173" i="3"/>
  <c r="T1172" i="3"/>
  <c r="S1172" i="3"/>
  <c r="R1172" i="3"/>
  <c r="Q1172" i="3"/>
  <c r="P1172" i="3"/>
  <c r="O1172" i="3"/>
  <c r="M1172" i="3"/>
  <c r="L1172" i="3"/>
  <c r="N1172" i="3" s="1"/>
  <c r="K1172" i="3"/>
  <c r="J1172" i="3"/>
  <c r="E1172" i="3"/>
  <c r="D1172" i="3"/>
  <c r="T1171" i="3"/>
  <c r="S1171" i="3"/>
  <c r="R1171" i="3"/>
  <c r="Q1171" i="3"/>
  <c r="P1171" i="3"/>
  <c r="O1171" i="3"/>
  <c r="M1171" i="3"/>
  <c r="L1171" i="3"/>
  <c r="N1171" i="3" s="1"/>
  <c r="K1171" i="3"/>
  <c r="J1171" i="3"/>
  <c r="E1171" i="3"/>
  <c r="D1171" i="3"/>
  <c r="T1170" i="3"/>
  <c r="S1170" i="3"/>
  <c r="R1170" i="3"/>
  <c r="Q1170" i="3"/>
  <c r="P1170" i="3"/>
  <c r="O1170" i="3"/>
  <c r="M1170" i="3"/>
  <c r="L1170" i="3"/>
  <c r="N1170" i="3" s="1"/>
  <c r="K1170" i="3"/>
  <c r="J1170" i="3"/>
  <c r="E1170" i="3"/>
  <c r="D1170" i="3"/>
  <c r="T1169" i="3"/>
  <c r="S1169" i="3"/>
  <c r="R1169" i="3"/>
  <c r="Q1169" i="3"/>
  <c r="P1169" i="3"/>
  <c r="O1169" i="3"/>
  <c r="M1169" i="3"/>
  <c r="L1169" i="3"/>
  <c r="N1169" i="3" s="1"/>
  <c r="K1169" i="3"/>
  <c r="J1169" i="3"/>
  <c r="E1169" i="3"/>
  <c r="D1169" i="3"/>
  <c r="T1168" i="3"/>
  <c r="S1168" i="3"/>
  <c r="R1168" i="3"/>
  <c r="Q1168" i="3"/>
  <c r="P1168" i="3"/>
  <c r="O1168" i="3"/>
  <c r="M1168" i="3"/>
  <c r="L1168" i="3"/>
  <c r="N1168" i="3" s="1"/>
  <c r="K1168" i="3"/>
  <c r="J1168" i="3"/>
  <c r="E1168" i="3"/>
  <c r="D1168" i="3"/>
  <c r="T1167" i="3"/>
  <c r="S1167" i="3"/>
  <c r="R1167" i="3"/>
  <c r="Q1167" i="3"/>
  <c r="P1167" i="3"/>
  <c r="O1167" i="3"/>
  <c r="M1167" i="3"/>
  <c r="L1167" i="3"/>
  <c r="N1167" i="3" s="1"/>
  <c r="K1167" i="3"/>
  <c r="J1167" i="3"/>
  <c r="E1167" i="3"/>
  <c r="D1167" i="3"/>
  <c r="T1166" i="3"/>
  <c r="S1166" i="3"/>
  <c r="R1166" i="3"/>
  <c r="Q1166" i="3"/>
  <c r="P1166" i="3"/>
  <c r="O1166" i="3"/>
  <c r="M1166" i="3"/>
  <c r="L1166" i="3"/>
  <c r="N1166" i="3" s="1"/>
  <c r="K1166" i="3"/>
  <c r="J1166" i="3"/>
  <c r="E1166" i="3"/>
  <c r="D1166" i="3"/>
  <c r="T1165" i="3"/>
  <c r="S1165" i="3"/>
  <c r="R1165" i="3"/>
  <c r="Q1165" i="3"/>
  <c r="P1165" i="3"/>
  <c r="O1165" i="3"/>
  <c r="M1165" i="3"/>
  <c r="L1165" i="3"/>
  <c r="N1165" i="3" s="1"/>
  <c r="K1165" i="3"/>
  <c r="J1165" i="3"/>
  <c r="E1165" i="3"/>
  <c r="D1165" i="3"/>
  <c r="T1164" i="3"/>
  <c r="S1164" i="3"/>
  <c r="R1164" i="3"/>
  <c r="Q1164" i="3"/>
  <c r="P1164" i="3"/>
  <c r="O1164" i="3"/>
  <c r="M1164" i="3"/>
  <c r="L1164" i="3"/>
  <c r="N1164" i="3" s="1"/>
  <c r="K1164" i="3"/>
  <c r="J1164" i="3"/>
  <c r="E1164" i="3"/>
  <c r="D1164" i="3"/>
  <c r="T1163" i="3"/>
  <c r="S1163" i="3"/>
  <c r="R1163" i="3"/>
  <c r="Q1163" i="3"/>
  <c r="P1163" i="3"/>
  <c r="O1163" i="3"/>
  <c r="M1163" i="3"/>
  <c r="L1163" i="3"/>
  <c r="N1163" i="3" s="1"/>
  <c r="K1163" i="3"/>
  <c r="J1163" i="3"/>
  <c r="E1163" i="3"/>
  <c r="D1163" i="3"/>
  <c r="T1162" i="3"/>
  <c r="S1162" i="3"/>
  <c r="R1162" i="3"/>
  <c r="Q1162" i="3"/>
  <c r="P1162" i="3"/>
  <c r="O1162" i="3"/>
  <c r="M1162" i="3"/>
  <c r="L1162" i="3"/>
  <c r="N1162" i="3" s="1"/>
  <c r="K1162" i="3"/>
  <c r="J1162" i="3"/>
  <c r="E1162" i="3"/>
  <c r="D1162" i="3"/>
  <c r="T1161" i="3"/>
  <c r="S1161" i="3"/>
  <c r="R1161" i="3"/>
  <c r="Q1161" i="3"/>
  <c r="P1161" i="3"/>
  <c r="O1161" i="3"/>
  <c r="M1161" i="3"/>
  <c r="L1161" i="3"/>
  <c r="N1161" i="3" s="1"/>
  <c r="K1161" i="3"/>
  <c r="J1161" i="3"/>
  <c r="E1161" i="3"/>
  <c r="D1161" i="3"/>
  <c r="T1160" i="3"/>
  <c r="S1160" i="3"/>
  <c r="R1160" i="3"/>
  <c r="Q1160" i="3"/>
  <c r="P1160" i="3"/>
  <c r="O1160" i="3"/>
  <c r="M1160" i="3"/>
  <c r="L1160" i="3"/>
  <c r="N1160" i="3" s="1"/>
  <c r="K1160" i="3"/>
  <c r="J1160" i="3"/>
  <c r="E1160" i="3"/>
  <c r="D1160" i="3"/>
  <c r="T1159" i="3"/>
  <c r="S1159" i="3"/>
  <c r="R1159" i="3"/>
  <c r="Q1159" i="3"/>
  <c r="P1159" i="3"/>
  <c r="O1159" i="3"/>
  <c r="M1159" i="3"/>
  <c r="L1159" i="3"/>
  <c r="N1159" i="3" s="1"/>
  <c r="K1159" i="3"/>
  <c r="J1159" i="3"/>
  <c r="E1159" i="3"/>
  <c r="D1159" i="3"/>
  <c r="T1158" i="3"/>
  <c r="S1158" i="3"/>
  <c r="R1158" i="3"/>
  <c r="Q1158" i="3"/>
  <c r="P1158" i="3"/>
  <c r="O1158" i="3"/>
  <c r="M1158" i="3"/>
  <c r="L1158" i="3"/>
  <c r="N1158" i="3" s="1"/>
  <c r="K1158" i="3"/>
  <c r="J1158" i="3"/>
  <c r="E1158" i="3"/>
  <c r="D1158" i="3"/>
  <c r="T1157" i="3"/>
  <c r="S1157" i="3"/>
  <c r="R1157" i="3"/>
  <c r="Q1157" i="3"/>
  <c r="P1157" i="3"/>
  <c r="O1157" i="3"/>
  <c r="M1157" i="3"/>
  <c r="L1157" i="3"/>
  <c r="N1157" i="3" s="1"/>
  <c r="K1157" i="3"/>
  <c r="J1157" i="3"/>
  <c r="E1157" i="3"/>
  <c r="D1157" i="3"/>
  <c r="T1156" i="3"/>
  <c r="S1156" i="3"/>
  <c r="R1156" i="3"/>
  <c r="Q1156" i="3"/>
  <c r="P1156" i="3"/>
  <c r="O1156" i="3"/>
  <c r="M1156" i="3"/>
  <c r="L1156" i="3"/>
  <c r="N1156" i="3" s="1"/>
  <c r="K1156" i="3"/>
  <c r="J1156" i="3"/>
  <c r="E1156" i="3"/>
  <c r="D1156" i="3"/>
  <c r="T1155" i="3"/>
  <c r="S1155" i="3"/>
  <c r="R1155" i="3"/>
  <c r="Q1155" i="3"/>
  <c r="P1155" i="3"/>
  <c r="O1155" i="3"/>
  <c r="M1155" i="3"/>
  <c r="L1155" i="3"/>
  <c r="N1155" i="3" s="1"/>
  <c r="K1155" i="3"/>
  <c r="J1155" i="3"/>
  <c r="E1155" i="3"/>
  <c r="D1155" i="3"/>
  <c r="T1154" i="3"/>
  <c r="S1154" i="3"/>
  <c r="R1154" i="3"/>
  <c r="Q1154" i="3"/>
  <c r="P1154" i="3"/>
  <c r="O1154" i="3"/>
  <c r="M1154" i="3"/>
  <c r="L1154" i="3"/>
  <c r="N1154" i="3" s="1"/>
  <c r="K1154" i="3"/>
  <c r="J1154" i="3"/>
  <c r="E1154" i="3"/>
  <c r="D1154" i="3"/>
  <c r="T1153" i="3"/>
  <c r="S1153" i="3"/>
  <c r="R1153" i="3"/>
  <c r="Q1153" i="3"/>
  <c r="P1153" i="3"/>
  <c r="O1153" i="3"/>
  <c r="M1153" i="3"/>
  <c r="L1153" i="3"/>
  <c r="N1153" i="3" s="1"/>
  <c r="K1153" i="3"/>
  <c r="J1153" i="3"/>
  <c r="E1153" i="3"/>
  <c r="D1153" i="3"/>
  <c r="T1152" i="3"/>
  <c r="S1152" i="3"/>
  <c r="R1152" i="3"/>
  <c r="Q1152" i="3"/>
  <c r="P1152" i="3"/>
  <c r="O1152" i="3"/>
  <c r="M1152" i="3"/>
  <c r="L1152" i="3"/>
  <c r="N1152" i="3" s="1"/>
  <c r="K1152" i="3"/>
  <c r="J1152" i="3"/>
  <c r="E1152" i="3"/>
  <c r="D1152" i="3"/>
  <c r="T1151" i="3"/>
  <c r="S1151" i="3"/>
  <c r="R1151" i="3"/>
  <c r="Q1151" i="3"/>
  <c r="P1151" i="3"/>
  <c r="O1151" i="3"/>
  <c r="M1151" i="3"/>
  <c r="L1151" i="3"/>
  <c r="N1151" i="3" s="1"/>
  <c r="K1151" i="3"/>
  <c r="J1151" i="3"/>
  <c r="E1151" i="3"/>
  <c r="D1151" i="3"/>
  <c r="T1150" i="3"/>
  <c r="S1150" i="3"/>
  <c r="R1150" i="3"/>
  <c r="Q1150" i="3"/>
  <c r="P1150" i="3"/>
  <c r="O1150" i="3"/>
  <c r="M1150" i="3"/>
  <c r="L1150" i="3"/>
  <c r="N1150" i="3" s="1"/>
  <c r="K1150" i="3"/>
  <c r="J1150" i="3"/>
  <c r="E1150" i="3"/>
  <c r="D1150" i="3"/>
  <c r="T1149" i="3"/>
  <c r="S1149" i="3"/>
  <c r="R1149" i="3"/>
  <c r="Q1149" i="3"/>
  <c r="P1149" i="3"/>
  <c r="O1149" i="3"/>
  <c r="M1149" i="3"/>
  <c r="L1149" i="3"/>
  <c r="N1149" i="3" s="1"/>
  <c r="K1149" i="3"/>
  <c r="J1149" i="3"/>
  <c r="E1149" i="3"/>
  <c r="D1149" i="3"/>
  <c r="T1148" i="3"/>
  <c r="S1148" i="3"/>
  <c r="R1148" i="3"/>
  <c r="Q1148" i="3"/>
  <c r="P1148" i="3"/>
  <c r="O1148" i="3"/>
  <c r="M1148" i="3"/>
  <c r="L1148" i="3"/>
  <c r="N1148" i="3" s="1"/>
  <c r="K1148" i="3"/>
  <c r="J1148" i="3"/>
  <c r="E1148" i="3"/>
  <c r="D1148" i="3"/>
  <c r="T1147" i="3"/>
  <c r="S1147" i="3"/>
  <c r="R1147" i="3"/>
  <c r="Q1147" i="3"/>
  <c r="P1147" i="3"/>
  <c r="O1147" i="3"/>
  <c r="M1147" i="3"/>
  <c r="L1147" i="3"/>
  <c r="N1147" i="3" s="1"/>
  <c r="K1147" i="3"/>
  <c r="J1147" i="3"/>
  <c r="E1147" i="3"/>
  <c r="D1147" i="3"/>
  <c r="T1146" i="3"/>
  <c r="S1146" i="3"/>
  <c r="R1146" i="3"/>
  <c r="Q1146" i="3"/>
  <c r="P1146" i="3"/>
  <c r="O1146" i="3"/>
  <c r="M1146" i="3"/>
  <c r="L1146" i="3"/>
  <c r="N1146" i="3" s="1"/>
  <c r="K1146" i="3"/>
  <c r="J1146" i="3"/>
  <c r="E1146" i="3"/>
  <c r="D1146" i="3"/>
  <c r="T1145" i="3"/>
  <c r="S1145" i="3"/>
  <c r="R1145" i="3"/>
  <c r="Q1145" i="3"/>
  <c r="P1145" i="3"/>
  <c r="O1145" i="3"/>
  <c r="M1145" i="3"/>
  <c r="L1145" i="3"/>
  <c r="N1145" i="3" s="1"/>
  <c r="K1145" i="3"/>
  <c r="J1145" i="3"/>
  <c r="E1145" i="3"/>
  <c r="D1145" i="3"/>
  <c r="T1144" i="3"/>
  <c r="S1144" i="3"/>
  <c r="R1144" i="3"/>
  <c r="Q1144" i="3"/>
  <c r="P1144" i="3"/>
  <c r="O1144" i="3"/>
  <c r="M1144" i="3"/>
  <c r="L1144" i="3"/>
  <c r="N1144" i="3" s="1"/>
  <c r="K1144" i="3"/>
  <c r="J1144" i="3"/>
  <c r="E1144" i="3"/>
  <c r="D1144" i="3"/>
  <c r="T1143" i="3"/>
  <c r="S1143" i="3"/>
  <c r="R1143" i="3"/>
  <c r="Q1143" i="3"/>
  <c r="P1143" i="3"/>
  <c r="O1143" i="3"/>
  <c r="M1143" i="3"/>
  <c r="L1143" i="3"/>
  <c r="N1143" i="3" s="1"/>
  <c r="K1143" i="3"/>
  <c r="J1143" i="3"/>
  <c r="E1143" i="3"/>
  <c r="D1143" i="3"/>
  <c r="T1142" i="3"/>
  <c r="S1142" i="3"/>
  <c r="R1142" i="3"/>
  <c r="Q1142" i="3"/>
  <c r="P1142" i="3"/>
  <c r="O1142" i="3"/>
  <c r="M1142" i="3"/>
  <c r="L1142" i="3"/>
  <c r="N1142" i="3" s="1"/>
  <c r="K1142" i="3"/>
  <c r="J1142" i="3"/>
  <c r="E1142" i="3"/>
  <c r="D1142" i="3"/>
  <c r="T1141" i="3"/>
  <c r="S1141" i="3"/>
  <c r="R1141" i="3"/>
  <c r="Q1141" i="3"/>
  <c r="P1141" i="3"/>
  <c r="O1141" i="3"/>
  <c r="M1141" i="3"/>
  <c r="L1141" i="3"/>
  <c r="N1141" i="3" s="1"/>
  <c r="K1141" i="3"/>
  <c r="J1141" i="3"/>
  <c r="E1141" i="3"/>
  <c r="D1141" i="3"/>
  <c r="T1140" i="3"/>
  <c r="S1140" i="3"/>
  <c r="R1140" i="3"/>
  <c r="Q1140" i="3"/>
  <c r="P1140" i="3"/>
  <c r="O1140" i="3"/>
  <c r="M1140" i="3"/>
  <c r="L1140" i="3"/>
  <c r="N1140" i="3" s="1"/>
  <c r="K1140" i="3"/>
  <c r="J1140" i="3"/>
  <c r="E1140" i="3"/>
  <c r="D1140" i="3"/>
  <c r="T1139" i="3"/>
  <c r="S1139" i="3"/>
  <c r="R1139" i="3"/>
  <c r="Q1139" i="3"/>
  <c r="P1139" i="3"/>
  <c r="O1139" i="3"/>
  <c r="M1139" i="3"/>
  <c r="L1139" i="3"/>
  <c r="N1139" i="3" s="1"/>
  <c r="K1139" i="3"/>
  <c r="J1139" i="3"/>
  <c r="E1139" i="3"/>
  <c r="D1139" i="3"/>
  <c r="T1138" i="3"/>
  <c r="S1138" i="3"/>
  <c r="R1138" i="3"/>
  <c r="Q1138" i="3"/>
  <c r="P1138" i="3"/>
  <c r="O1138" i="3"/>
  <c r="M1138" i="3"/>
  <c r="L1138" i="3"/>
  <c r="N1138" i="3" s="1"/>
  <c r="K1138" i="3"/>
  <c r="J1138" i="3"/>
  <c r="E1138" i="3"/>
  <c r="D1138" i="3"/>
  <c r="T1137" i="3"/>
  <c r="S1137" i="3"/>
  <c r="R1137" i="3"/>
  <c r="Q1137" i="3"/>
  <c r="P1137" i="3"/>
  <c r="O1137" i="3"/>
  <c r="M1137" i="3"/>
  <c r="L1137" i="3"/>
  <c r="N1137" i="3" s="1"/>
  <c r="K1137" i="3"/>
  <c r="J1137" i="3"/>
  <c r="E1137" i="3"/>
  <c r="D1137" i="3"/>
  <c r="T1136" i="3"/>
  <c r="S1136" i="3"/>
  <c r="R1136" i="3"/>
  <c r="Q1136" i="3"/>
  <c r="P1136" i="3"/>
  <c r="O1136" i="3"/>
  <c r="M1136" i="3"/>
  <c r="L1136" i="3"/>
  <c r="N1136" i="3" s="1"/>
  <c r="K1136" i="3"/>
  <c r="J1136" i="3"/>
  <c r="E1136" i="3"/>
  <c r="D1136" i="3"/>
  <c r="T1135" i="3"/>
  <c r="S1135" i="3"/>
  <c r="R1135" i="3"/>
  <c r="Q1135" i="3"/>
  <c r="P1135" i="3"/>
  <c r="O1135" i="3"/>
  <c r="M1135" i="3"/>
  <c r="L1135" i="3"/>
  <c r="N1135" i="3" s="1"/>
  <c r="K1135" i="3"/>
  <c r="J1135" i="3"/>
  <c r="E1135" i="3"/>
  <c r="D1135" i="3"/>
  <c r="T1134" i="3"/>
  <c r="S1134" i="3"/>
  <c r="R1134" i="3"/>
  <c r="Q1134" i="3"/>
  <c r="P1134" i="3"/>
  <c r="O1134" i="3"/>
  <c r="M1134" i="3"/>
  <c r="L1134" i="3"/>
  <c r="N1134" i="3" s="1"/>
  <c r="K1134" i="3"/>
  <c r="J1134" i="3"/>
  <c r="E1134" i="3"/>
  <c r="D1134" i="3"/>
  <c r="T1133" i="3"/>
  <c r="S1133" i="3"/>
  <c r="R1133" i="3"/>
  <c r="Q1133" i="3"/>
  <c r="P1133" i="3"/>
  <c r="O1133" i="3"/>
  <c r="M1133" i="3"/>
  <c r="L1133" i="3"/>
  <c r="N1133" i="3" s="1"/>
  <c r="K1133" i="3"/>
  <c r="J1133" i="3"/>
  <c r="E1133" i="3"/>
  <c r="D1133" i="3"/>
  <c r="T1132" i="3"/>
  <c r="S1132" i="3"/>
  <c r="R1132" i="3"/>
  <c r="Q1132" i="3"/>
  <c r="P1132" i="3"/>
  <c r="O1132" i="3"/>
  <c r="M1132" i="3"/>
  <c r="L1132" i="3"/>
  <c r="N1132" i="3" s="1"/>
  <c r="K1132" i="3"/>
  <c r="J1132" i="3"/>
  <c r="E1132" i="3"/>
  <c r="D1132" i="3"/>
  <c r="T1131" i="3"/>
  <c r="S1131" i="3"/>
  <c r="R1131" i="3"/>
  <c r="Q1131" i="3"/>
  <c r="P1131" i="3"/>
  <c r="O1131" i="3"/>
  <c r="M1131" i="3"/>
  <c r="L1131" i="3"/>
  <c r="N1131" i="3" s="1"/>
  <c r="K1131" i="3"/>
  <c r="J1131" i="3"/>
  <c r="E1131" i="3"/>
  <c r="D1131" i="3"/>
  <c r="T1130" i="3"/>
  <c r="S1130" i="3"/>
  <c r="R1130" i="3"/>
  <c r="Q1130" i="3"/>
  <c r="P1130" i="3"/>
  <c r="O1130" i="3"/>
  <c r="M1130" i="3"/>
  <c r="L1130" i="3"/>
  <c r="N1130" i="3" s="1"/>
  <c r="K1130" i="3"/>
  <c r="J1130" i="3"/>
  <c r="E1130" i="3"/>
  <c r="D1130" i="3"/>
  <c r="T1129" i="3"/>
  <c r="S1129" i="3"/>
  <c r="R1129" i="3"/>
  <c r="Q1129" i="3"/>
  <c r="P1129" i="3"/>
  <c r="O1129" i="3"/>
  <c r="M1129" i="3"/>
  <c r="L1129" i="3"/>
  <c r="N1129" i="3" s="1"/>
  <c r="K1129" i="3"/>
  <c r="J1129" i="3"/>
  <c r="E1129" i="3"/>
  <c r="D1129" i="3"/>
  <c r="T1128" i="3"/>
  <c r="S1128" i="3"/>
  <c r="R1128" i="3"/>
  <c r="Q1128" i="3"/>
  <c r="P1128" i="3"/>
  <c r="O1128" i="3"/>
  <c r="M1128" i="3"/>
  <c r="L1128" i="3"/>
  <c r="N1128" i="3" s="1"/>
  <c r="K1128" i="3"/>
  <c r="J1128" i="3"/>
  <c r="E1128" i="3"/>
  <c r="D1128" i="3"/>
  <c r="T1127" i="3"/>
  <c r="S1127" i="3"/>
  <c r="R1127" i="3"/>
  <c r="Q1127" i="3"/>
  <c r="P1127" i="3"/>
  <c r="O1127" i="3"/>
  <c r="M1127" i="3"/>
  <c r="L1127" i="3"/>
  <c r="N1127" i="3" s="1"/>
  <c r="K1127" i="3"/>
  <c r="J1127" i="3"/>
  <c r="E1127" i="3"/>
  <c r="D1127" i="3"/>
  <c r="T1126" i="3"/>
  <c r="S1126" i="3"/>
  <c r="R1126" i="3"/>
  <c r="Q1126" i="3"/>
  <c r="P1126" i="3"/>
  <c r="O1126" i="3"/>
  <c r="M1126" i="3"/>
  <c r="L1126" i="3"/>
  <c r="N1126" i="3" s="1"/>
  <c r="K1126" i="3"/>
  <c r="J1126" i="3"/>
  <c r="E1126" i="3"/>
  <c r="D1126" i="3"/>
  <c r="T1125" i="3"/>
  <c r="S1125" i="3"/>
  <c r="R1125" i="3"/>
  <c r="Q1125" i="3"/>
  <c r="P1125" i="3"/>
  <c r="O1125" i="3"/>
  <c r="M1125" i="3"/>
  <c r="L1125" i="3"/>
  <c r="N1125" i="3" s="1"/>
  <c r="K1125" i="3"/>
  <c r="J1125" i="3"/>
  <c r="E1125" i="3"/>
  <c r="D1125" i="3"/>
  <c r="T1124" i="3"/>
  <c r="S1124" i="3"/>
  <c r="R1124" i="3"/>
  <c r="Q1124" i="3"/>
  <c r="P1124" i="3"/>
  <c r="O1124" i="3"/>
  <c r="M1124" i="3"/>
  <c r="L1124" i="3"/>
  <c r="N1124" i="3" s="1"/>
  <c r="K1124" i="3"/>
  <c r="J1124" i="3"/>
  <c r="E1124" i="3"/>
  <c r="D1124" i="3"/>
  <c r="T1123" i="3"/>
  <c r="S1123" i="3"/>
  <c r="R1123" i="3"/>
  <c r="Q1123" i="3"/>
  <c r="P1123" i="3"/>
  <c r="O1123" i="3"/>
  <c r="M1123" i="3"/>
  <c r="L1123" i="3"/>
  <c r="N1123" i="3" s="1"/>
  <c r="K1123" i="3"/>
  <c r="J1123" i="3"/>
  <c r="E1123" i="3"/>
  <c r="D1123" i="3"/>
  <c r="T1122" i="3"/>
  <c r="S1122" i="3"/>
  <c r="R1122" i="3"/>
  <c r="Q1122" i="3"/>
  <c r="P1122" i="3"/>
  <c r="O1122" i="3"/>
  <c r="M1122" i="3"/>
  <c r="L1122" i="3"/>
  <c r="N1122" i="3" s="1"/>
  <c r="K1122" i="3"/>
  <c r="J1122" i="3"/>
  <c r="E1122" i="3"/>
  <c r="D1122" i="3"/>
  <c r="T1121" i="3"/>
  <c r="S1121" i="3"/>
  <c r="R1121" i="3"/>
  <c r="Q1121" i="3"/>
  <c r="P1121" i="3"/>
  <c r="O1121" i="3"/>
  <c r="M1121" i="3"/>
  <c r="L1121" i="3"/>
  <c r="N1121" i="3" s="1"/>
  <c r="K1121" i="3"/>
  <c r="J1121" i="3"/>
  <c r="E1121" i="3"/>
  <c r="D1121" i="3"/>
  <c r="T1120" i="3"/>
  <c r="S1120" i="3"/>
  <c r="R1120" i="3"/>
  <c r="Q1120" i="3"/>
  <c r="P1120" i="3"/>
  <c r="O1120" i="3"/>
  <c r="M1120" i="3"/>
  <c r="L1120" i="3"/>
  <c r="N1120" i="3" s="1"/>
  <c r="K1120" i="3"/>
  <c r="J1120" i="3"/>
  <c r="E1120" i="3"/>
  <c r="D1120" i="3"/>
  <c r="T1119" i="3"/>
  <c r="S1119" i="3"/>
  <c r="R1119" i="3"/>
  <c r="Q1119" i="3"/>
  <c r="P1119" i="3"/>
  <c r="O1119" i="3"/>
  <c r="M1119" i="3"/>
  <c r="L1119" i="3"/>
  <c r="N1119" i="3" s="1"/>
  <c r="K1119" i="3"/>
  <c r="J1119" i="3"/>
  <c r="E1119" i="3"/>
  <c r="D1119" i="3"/>
  <c r="T1118" i="3"/>
  <c r="S1118" i="3"/>
  <c r="R1118" i="3"/>
  <c r="Q1118" i="3"/>
  <c r="P1118" i="3"/>
  <c r="O1118" i="3"/>
  <c r="M1118" i="3"/>
  <c r="L1118" i="3"/>
  <c r="N1118" i="3" s="1"/>
  <c r="K1118" i="3"/>
  <c r="J1118" i="3"/>
  <c r="E1118" i="3"/>
  <c r="D1118" i="3"/>
  <c r="T1117" i="3"/>
  <c r="S1117" i="3"/>
  <c r="R1117" i="3"/>
  <c r="Q1117" i="3"/>
  <c r="P1117" i="3"/>
  <c r="O1117" i="3"/>
  <c r="M1117" i="3"/>
  <c r="L1117" i="3"/>
  <c r="N1117" i="3" s="1"/>
  <c r="K1117" i="3"/>
  <c r="J1117" i="3"/>
  <c r="E1117" i="3"/>
  <c r="D1117" i="3"/>
  <c r="T1116" i="3"/>
  <c r="S1116" i="3"/>
  <c r="R1116" i="3"/>
  <c r="Q1116" i="3"/>
  <c r="P1116" i="3"/>
  <c r="O1116" i="3"/>
  <c r="M1116" i="3"/>
  <c r="L1116" i="3"/>
  <c r="N1116" i="3" s="1"/>
  <c r="K1116" i="3"/>
  <c r="J1116" i="3"/>
  <c r="E1116" i="3"/>
  <c r="D1116" i="3"/>
  <c r="T1115" i="3"/>
  <c r="S1115" i="3"/>
  <c r="R1115" i="3"/>
  <c r="Q1115" i="3"/>
  <c r="P1115" i="3"/>
  <c r="O1115" i="3"/>
  <c r="M1115" i="3"/>
  <c r="L1115" i="3"/>
  <c r="N1115" i="3" s="1"/>
  <c r="K1115" i="3"/>
  <c r="J1115" i="3"/>
  <c r="E1115" i="3"/>
  <c r="D1115" i="3"/>
  <c r="T1114" i="3"/>
  <c r="S1114" i="3"/>
  <c r="R1114" i="3"/>
  <c r="Q1114" i="3"/>
  <c r="P1114" i="3"/>
  <c r="O1114" i="3"/>
  <c r="M1114" i="3"/>
  <c r="L1114" i="3"/>
  <c r="N1114" i="3" s="1"/>
  <c r="K1114" i="3"/>
  <c r="J1114" i="3"/>
  <c r="E1114" i="3"/>
  <c r="D1114" i="3"/>
  <c r="T1113" i="3"/>
  <c r="S1113" i="3"/>
  <c r="R1113" i="3"/>
  <c r="Q1113" i="3"/>
  <c r="P1113" i="3"/>
  <c r="O1113" i="3"/>
  <c r="M1113" i="3"/>
  <c r="L1113" i="3"/>
  <c r="N1113" i="3" s="1"/>
  <c r="K1113" i="3"/>
  <c r="J1113" i="3"/>
  <c r="E1113" i="3"/>
  <c r="D1113" i="3"/>
  <c r="T1112" i="3"/>
  <c r="S1112" i="3"/>
  <c r="R1112" i="3"/>
  <c r="Q1112" i="3"/>
  <c r="P1112" i="3"/>
  <c r="O1112" i="3"/>
  <c r="M1112" i="3"/>
  <c r="L1112" i="3"/>
  <c r="N1112" i="3" s="1"/>
  <c r="K1112" i="3"/>
  <c r="J1112" i="3"/>
  <c r="E1112" i="3"/>
  <c r="D1112" i="3"/>
  <c r="T1111" i="3"/>
  <c r="S1111" i="3"/>
  <c r="R1111" i="3"/>
  <c r="Q1111" i="3"/>
  <c r="P1111" i="3"/>
  <c r="O1111" i="3"/>
  <c r="M1111" i="3"/>
  <c r="L1111" i="3"/>
  <c r="N1111" i="3" s="1"/>
  <c r="K1111" i="3"/>
  <c r="J1111" i="3"/>
  <c r="E1111" i="3"/>
  <c r="D1111" i="3"/>
  <c r="T1110" i="3"/>
  <c r="S1110" i="3"/>
  <c r="R1110" i="3"/>
  <c r="Q1110" i="3"/>
  <c r="P1110" i="3"/>
  <c r="O1110" i="3"/>
  <c r="M1110" i="3"/>
  <c r="L1110" i="3"/>
  <c r="N1110" i="3" s="1"/>
  <c r="K1110" i="3"/>
  <c r="J1110" i="3"/>
  <c r="E1110" i="3"/>
  <c r="D1110" i="3"/>
  <c r="T1109" i="3"/>
  <c r="S1109" i="3"/>
  <c r="R1109" i="3"/>
  <c r="Q1109" i="3"/>
  <c r="P1109" i="3"/>
  <c r="O1109" i="3"/>
  <c r="M1109" i="3"/>
  <c r="L1109" i="3"/>
  <c r="N1109" i="3" s="1"/>
  <c r="K1109" i="3"/>
  <c r="J1109" i="3"/>
  <c r="E1109" i="3"/>
  <c r="D1109" i="3"/>
  <c r="T1108" i="3"/>
  <c r="S1108" i="3"/>
  <c r="R1108" i="3"/>
  <c r="Q1108" i="3"/>
  <c r="P1108" i="3"/>
  <c r="O1108" i="3"/>
  <c r="M1108" i="3"/>
  <c r="L1108" i="3"/>
  <c r="N1108" i="3" s="1"/>
  <c r="K1108" i="3"/>
  <c r="J1108" i="3"/>
  <c r="E1108" i="3"/>
  <c r="D1108" i="3"/>
  <c r="T1107" i="3"/>
  <c r="S1107" i="3"/>
  <c r="R1107" i="3"/>
  <c r="Q1107" i="3"/>
  <c r="P1107" i="3"/>
  <c r="O1107" i="3"/>
  <c r="M1107" i="3"/>
  <c r="L1107" i="3"/>
  <c r="N1107" i="3" s="1"/>
  <c r="K1107" i="3"/>
  <c r="J1107" i="3"/>
  <c r="E1107" i="3"/>
  <c r="D1107" i="3"/>
  <c r="T1106" i="3"/>
  <c r="S1106" i="3"/>
  <c r="R1106" i="3"/>
  <c r="Q1106" i="3"/>
  <c r="P1106" i="3"/>
  <c r="O1106" i="3"/>
  <c r="M1106" i="3"/>
  <c r="L1106" i="3"/>
  <c r="N1106" i="3" s="1"/>
  <c r="K1106" i="3"/>
  <c r="J1106" i="3"/>
  <c r="E1106" i="3"/>
  <c r="D1106" i="3"/>
  <c r="T1105" i="3"/>
  <c r="S1105" i="3"/>
  <c r="R1105" i="3"/>
  <c r="Q1105" i="3"/>
  <c r="P1105" i="3"/>
  <c r="O1105" i="3"/>
  <c r="M1105" i="3"/>
  <c r="L1105" i="3"/>
  <c r="N1105" i="3" s="1"/>
  <c r="K1105" i="3"/>
  <c r="J1105" i="3"/>
  <c r="E1105" i="3"/>
  <c r="D1105" i="3"/>
  <c r="T1104" i="3"/>
  <c r="S1104" i="3"/>
  <c r="R1104" i="3"/>
  <c r="Q1104" i="3"/>
  <c r="P1104" i="3"/>
  <c r="O1104" i="3"/>
  <c r="M1104" i="3"/>
  <c r="L1104" i="3"/>
  <c r="N1104" i="3" s="1"/>
  <c r="K1104" i="3"/>
  <c r="J1104" i="3"/>
  <c r="E1104" i="3"/>
  <c r="D1104" i="3"/>
  <c r="T1103" i="3"/>
  <c r="S1103" i="3"/>
  <c r="R1103" i="3"/>
  <c r="Q1103" i="3"/>
  <c r="P1103" i="3"/>
  <c r="O1103" i="3"/>
  <c r="M1103" i="3"/>
  <c r="L1103" i="3"/>
  <c r="N1103" i="3" s="1"/>
  <c r="K1103" i="3"/>
  <c r="J1103" i="3"/>
  <c r="E1103" i="3"/>
  <c r="D1103" i="3"/>
  <c r="T1102" i="3"/>
  <c r="S1102" i="3"/>
  <c r="R1102" i="3"/>
  <c r="Q1102" i="3"/>
  <c r="P1102" i="3"/>
  <c r="O1102" i="3"/>
  <c r="M1102" i="3"/>
  <c r="L1102" i="3"/>
  <c r="N1102" i="3" s="1"/>
  <c r="K1102" i="3"/>
  <c r="J1102" i="3"/>
  <c r="E1102" i="3"/>
  <c r="D1102" i="3"/>
  <c r="T1101" i="3"/>
  <c r="S1101" i="3"/>
  <c r="R1101" i="3"/>
  <c r="Q1101" i="3"/>
  <c r="P1101" i="3"/>
  <c r="O1101" i="3"/>
  <c r="M1101" i="3"/>
  <c r="L1101" i="3"/>
  <c r="N1101" i="3" s="1"/>
  <c r="K1101" i="3"/>
  <c r="J1101" i="3"/>
  <c r="E1101" i="3"/>
  <c r="D1101" i="3"/>
  <c r="T1100" i="3"/>
  <c r="S1100" i="3"/>
  <c r="R1100" i="3"/>
  <c r="Q1100" i="3"/>
  <c r="P1100" i="3"/>
  <c r="O1100" i="3"/>
  <c r="M1100" i="3"/>
  <c r="L1100" i="3"/>
  <c r="N1100" i="3" s="1"/>
  <c r="K1100" i="3"/>
  <c r="J1100" i="3"/>
  <c r="E1100" i="3"/>
  <c r="D1100" i="3"/>
  <c r="T1099" i="3"/>
  <c r="S1099" i="3"/>
  <c r="R1099" i="3"/>
  <c r="Q1099" i="3"/>
  <c r="P1099" i="3"/>
  <c r="O1099" i="3"/>
  <c r="M1099" i="3"/>
  <c r="L1099" i="3"/>
  <c r="N1099" i="3" s="1"/>
  <c r="K1099" i="3"/>
  <c r="J1099" i="3"/>
  <c r="E1099" i="3"/>
  <c r="D1099" i="3"/>
  <c r="T1098" i="3"/>
  <c r="S1098" i="3"/>
  <c r="R1098" i="3"/>
  <c r="Q1098" i="3"/>
  <c r="P1098" i="3"/>
  <c r="O1098" i="3"/>
  <c r="M1098" i="3"/>
  <c r="L1098" i="3"/>
  <c r="N1098" i="3" s="1"/>
  <c r="K1098" i="3"/>
  <c r="J1098" i="3"/>
  <c r="E1098" i="3"/>
  <c r="D1098" i="3"/>
  <c r="T1097" i="3"/>
  <c r="S1097" i="3"/>
  <c r="R1097" i="3"/>
  <c r="Q1097" i="3"/>
  <c r="P1097" i="3"/>
  <c r="O1097" i="3"/>
  <c r="M1097" i="3"/>
  <c r="L1097" i="3"/>
  <c r="N1097" i="3" s="1"/>
  <c r="K1097" i="3"/>
  <c r="J1097" i="3"/>
  <c r="E1097" i="3"/>
  <c r="D1097" i="3"/>
  <c r="T1096" i="3"/>
  <c r="S1096" i="3"/>
  <c r="R1096" i="3"/>
  <c r="Q1096" i="3"/>
  <c r="P1096" i="3"/>
  <c r="O1096" i="3"/>
  <c r="M1096" i="3"/>
  <c r="L1096" i="3"/>
  <c r="N1096" i="3" s="1"/>
  <c r="K1096" i="3"/>
  <c r="J1096" i="3"/>
  <c r="E1096" i="3"/>
  <c r="D1096" i="3"/>
  <c r="T1095" i="3"/>
  <c r="S1095" i="3"/>
  <c r="R1095" i="3"/>
  <c r="Q1095" i="3"/>
  <c r="P1095" i="3"/>
  <c r="O1095" i="3"/>
  <c r="M1095" i="3"/>
  <c r="L1095" i="3"/>
  <c r="N1095" i="3" s="1"/>
  <c r="K1095" i="3"/>
  <c r="J1095" i="3"/>
  <c r="E1095" i="3"/>
  <c r="D1095" i="3"/>
  <c r="T1094" i="3"/>
  <c r="S1094" i="3"/>
  <c r="R1094" i="3"/>
  <c r="Q1094" i="3"/>
  <c r="P1094" i="3"/>
  <c r="O1094" i="3"/>
  <c r="M1094" i="3"/>
  <c r="L1094" i="3"/>
  <c r="N1094" i="3" s="1"/>
  <c r="K1094" i="3"/>
  <c r="J1094" i="3"/>
  <c r="E1094" i="3"/>
  <c r="D1094" i="3"/>
  <c r="T1093" i="3"/>
  <c r="S1093" i="3"/>
  <c r="R1093" i="3"/>
  <c r="Q1093" i="3"/>
  <c r="P1093" i="3"/>
  <c r="O1093" i="3"/>
  <c r="M1093" i="3"/>
  <c r="L1093" i="3"/>
  <c r="N1093" i="3" s="1"/>
  <c r="K1093" i="3"/>
  <c r="J1093" i="3"/>
  <c r="E1093" i="3"/>
  <c r="D1093" i="3"/>
  <c r="T1092" i="3"/>
  <c r="S1092" i="3"/>
  <c r="R1092" i="3"/>
  <c r="Q1092" i="3"/>
  <c r="P1092" i="3"/>
  <c r="O1092" i="3"/>
  <c r="M1092" i="3"/>
  <c r="L1092" i="3"/>
  <c r="N1092" i="3" s="1"/>
  <c r="K1092" i="3"/>
  <c r="J1092" i="3"/>
  <c r="E1092" i="3"/>
  <c r="D1092" i="3"/>
  <c r="T1091" i="3"/>
  <c r="S1091" i="3"/>
  <c r="R1091" i="3"/>
  <c r="Q1091" i="3"/>
  <c r="P1091" i="3"/>
  <c r="O1091" i="3"/>
  <c r="M1091" i="3"/>
  <c r="L1091" i="3"/>
  <c r="N1091" i="3" s="1"/>
  <c r="K1091" i="3"/>
  <c r="J1091" i="3"/>
  <c r="E1091" i="3"/>
  <c r="D1091" i="3"/>
  <c r="T1090" i="3"/>
  <c r="S1090" i="3"/>
  <c r="R1090" i="3"/>
  <c r="Q1090" i="3"/>
  <c r="P1090" i="3"/>
  <c r="O1090" i="3"/>
  <c r="M1090" i="3"/>
  <c r="L1090" i="3"/>
  <c r="N1090" i="3" s="1"/>
  <c r="K1090" i="3"/>
  <c r="J1090" i="3"/>
  <c r="E1090" i="3"/>
  <c r="D1090" i="3"/>
  <c r="T1089" i="3"/>
  <c r="S1089" i="3"/>
  <c r="R1089" i="3"/>
  <c r="Q1089" i="3"/>
  <c r="P1089" i="3"/>
  <c r="O1089" i="3"/>
  <c r="M1089" i="3"/>
  <c r="L1089" i="3"/>
  <c r="N1089" i="3" s="1"/>
  <c r="K1089" i="3"/>
  <c r="J1089" i="3"/>
  <c r="E1089" i="3"/>
  <c r="D1089" i="3"/>
  <c r="T1088" i="3"/>
  <c r="S1088" i="3"/>
  <c r="R1088" i="3"/>
  <c r="Q1088" i="3"/>
  <c r="P1088" i="3"/>
  <c r="O1088" i="3"/>
  <c r="M1088" i="3"/>
  <c r="L1088" i="3"/>
  <c r="N1088" i="3" s="1"/>
  <c r="K1088" i="3"/>
  <c r="J1088" i="3"/>
  <c r="E1088" i="3"/>
  <c r="D1088" i="3"/>
  <c r="T1087" i="3"/>
  <c r="S1087" i="3"/>
  <c r="R1087" i="3"/>
  <c r="Q1087" i="3"/>
  <c r="P1087" i="3"/>
  <c r="O1087" i="3"/>
  <c r="M1087" i="3"/>
  <c r="L1087" i="3"/>
  <c r="N1087" i="3" s="1"/>
  <c r="K1087" i="3"/>
  <c r="J1087" i="3"/>
  <c r="E1087" i="3"/>
  <c r="D1087" i="3"/>
  <c r="T1086" i="3"/>
  <c r="S1086" i="3"/>
  <c r="R1086" i="3"/>
  <c r="Q1086" i="3"/>
  <c r="P1086" i="3"/>
  <c r="O1086" i="3"/>
  <c r="M1086" i="3"/>
  <c r="L1086" i="3"/>
  <c r="N1086" i="3" s="1"/>
  <c r="K1086" i="3"/>
  <c r="J1086" i="3"/>
  <c r="E1086" i="3"/>
  <c r="D1086" i="3"/>
  <c r="T1085" i="3"/>
  <c r="S1085" i="3"/>
  <c r="R1085" i="3"/>
  <c r="Q1085" i="3"/>
  <c r="P1085" i="3"/>
  <c r="O1085" i="3"/>
  <c r="M1085" i="3"/>
  <c r="L1085" i="3"/>
  <c r="N1085" i="3" s="1"/>
  <c r="K1085" i="3"/>
  <c r="J1085" i="3"/>
  <c r="E1085" i="3"/>
  <c r="D1085" i="3"/>
  <c r="T1084" i="3"/>
  <c r="S1084" i="3"/>
  <c r="R1084" i="3"/>
  <c r="Q1084" i="3"/>
  <c r="P1084" i="3"/>
  <c r="O1084" i="3"/>
  <c r="M1084" i="3"/>
  <c r="L1084" i="3"/>
  <c r="N1084" i="3" s="1"/>
  <c r="K1084" i="3"/>
  <c r="J1084" i="3"/>
  <c r="E1084" i="3"/>
  <c r="D1084" i="3"/>
  <c r="T1083" i="3"/>
  <c r="S1083" i="3"/>
  <c r="R1083" i="3"/>
  <c r="Q1083" i="3"/>
  <c r="P1083" i="3"/>
  <c r="O1083" i="3"/>
  <c r="M1083" i="3"/>
  <c r="L1083" i="3"/>
  <c r="N1083" i="3" s="1"/>
  <c r="K1083" i="3"/>
  <c r="J1083" i="3"/>
  <c r="E1083" i="3"/>
  <c r="D1083" i="3"/>
  <c r="T1082" i="3"/>
  <c r="S1082" i="3"/>
  <c r="R1082" i="3"/>
  <c r="Q1082" i="3"/>
  <c r="P1082" i="3"/>
  <c r="O1082" i="3"/>
  <c r="M1082" i="3"/>
  <c r="L1082" i="3"/>
  <c r="N1082" i="3" s="1"/>
  <c r="K1082" i="3"/>
  <c r="J1082" i="3"/>
  <c r="E1082" i="3"/>
  <c r="D1082" i="3"/>
  <c r="T1081" i="3"/>
  <c r="S1081" i="3"/>
  <c r="R1081" i="3"/>
  <c r="Q1081" i="3"/>
  <c r="P1081" i="3"/>
  <c r="O1081" i="3"/>
  <c r="M1081" i="3"/>
  <c r="L1081" i="3"/>
  <c r="N1081" i="3" s="1"/>
  <c r="K1081" i="3"/>
  <c r="J1081" i="3"/>
  <c r="E1081" i="3"/>
  <c r="D1081" i="3"/>
  <c r="T1080" i="3"/>
  <c r="S1080" i="3"/>
  <c r="R1080" i="3"/>
  <c r="Q1080" i="3"/>
  <c r="P1080" i="3"/>
  <c r="O1080" i="3"/>
  <c r="M1080" i="3"/>
  <c r="L1080" i="3"/>
  <c r="N1080" i="3" s="1"/>
  <c r="K1080" i="3"/>
  <c r="J1080" i="3"/>
  <c r="E1080" i="3"/>
  <c r="D1080" i="3"/>
  <c r="T1079" i="3"/>
  <c r="S1079" i="3"/>
  <c r="R1079" i="3"/>
  <c r="Q1079" i="3"/>
  <c r="P1079" i="3"/>
  <c r="O1079" i="3"/>
  <c r="M1079" i="3"/>
  <c r="L1079" i="3"/>
  <c r="N1079" i="3" s="1"/>
  <c r="K1079" i="3"/>
  <c r="J1079" i="3"/>
  <c r="E1079" i="3"/>
  <c r="D1079" i="3"/>
  <c r="T1078" i="3"/>
  <c r="S1078" i="3"/>
  <c r="R1078" i="3"/>
  <c r="Q1078" i="3"/>
  <c r="P1078" i="3"/>
  <c r="O1078" i="3"/>
  <c r="M1078" i="3"/>
  <c r="L1078" i="3"/>
  <c r="N1078" i="3" s="1"/>
  <c r="K1078" i="3"/>
  <c r="J1078" i="3"/>
  <c r="E1078" i="3"/>
  <c r="D1078" i="3"/>
  <c r="T1077" i="3"/>
  <c r="S1077" i="3"/>
  <c r="R1077" i="3"/>
  <c r="Q1077" i="3"/>
  <c r="P1077" i="3"/>
  <c r="O1077" i="3"/>
  <c r="M1077" i="3"/>
  <c r="L1077" i="3"/>
  <c r="N1077" i="3" s="1"/>
  <c r="K1077" i="3"/>
  <c r="J1077" i="3"/>
  <c r="E1077" i="3"/>
  <c r="D1077" i="3"/>
  <c r="T1076" i="3"/>
  <c r="S1076" i="3"/>
  <c r="R1076" i="3"/>
  <c r="Q1076" i="3"/>
  <c r="P1076" i="3"/>
  <c r="O1076" i="3"/>
  <c r="M1076" i="3"/>
  <c r="L1076" i="3"/>
  <c r="N1076" i="3" s="1"/>
  <c r="K1076" i="3"/>
  <c r="J1076" i="3"/>
  <c r="E1076" i="3"/>
  <c r="D1076" i="3"/>
  <c r="T1075" i="3"/>
  <c r="S1075" i="3"/>
  <c r="R1075" i="3"/>
  <c r="Q1075" i="3"/>
  <c r="P1075" i="3"/>
  <c r="O1075" i="3"/>
  <c r="M1075" i="3"/>
  <c r="L1075" i="3"/>
  <c r="N1075" i="3" s="1"/>
  <c r="K1075" i="3"/>
  <c r="J1075" i="3"/>
  <c r="E1075" i="3"/>
  <c r="D1075" i="3"/>
  <c r="T1074" i="3"/>
  <c r="S1074" i="3"/>
  <c r="R1074" i="3"/>
  <c r="Q1074" i="3"/>
  <c r="P1074" i="3"/>
  <c r="O1074" i="3"/>
  <c r="M1074" i="3"/>
  <c r="L1074" i="3"/>
  <c r="N1074" i="3" s="1"/>
  <c r="K1074" i="3"/>
  <c r="J1074" i="3"/>
  <c r="E1074" i="3"/>
  <c r="D1074" i="3"/>
  <c r="T1073" i="3"/>
  <c r="S1073" i="3"/>
  <c r="R1073" i="3"/>
  <c r="Q1073" i="3"/>
  <c r="P1073" i="3"/>
  <c r="O1073" i="3"/>
  <c r="M1073" i="3"/>
  <c r="L1073" i="3"/>
  <c r="N1073" i="3" s="1"/>
  <c r="K1073" i="3"/>
  <c r="J1073" i="3"/>
  <c r="E1073" i="3"/>
  <c r="D1073" i="3"/>
  <c r="T1072" i="3"/>
  <c r="S1072" i="3"/>
  <c r="R1072" i="3"/>
  <c r="Q1072" i="3"/>
  <c r="P1072" i="3"/>
  <c r="O1072" i="3"/>
  <c r="M1072" i="3"/>
  <c r="L1072" i="3"/>
  <c r="N1072" i="3" s="1"/>
  <c r="K1072" i="3"/>
  <c r="J1072" i="3"/>
  <c r="E1072" i="3"/>
  <c r="D1072" i="3"/>
  <c r="T1071" i="3"/>
  <c r="S1071" i="3"/>
  <c r="R1071" i="3"/>
  <c r="Q1071" i="3"/>
  <c r="P1071" i="3"/>
  <c r="O1071" i="3"/>
  <c r="M1071" i="3"/>
  <c r="L1071" i="3"/>
  <c r="N1071" i="3" s="1"/>
  <c r="K1071" i="3"/>
  <c r="J1071" i="3"/>
  <c r="E1071" i="3"/>
  <c r="D1071" i="3"/>
  <c r="T1070" i="3"/>
  <c r="S1070" i="3"/>
  <c r="R1070" i="3"/>
  <c r="Q1070" i="3"/>
  <c r="P1070" i="3"/>
  <c r="O1070" i="3"/>
  <c r="M1070" i="3"/>
  <c r="L1070" i="3"/>
  <c r="N1070" i="3" s="1"/>
  <c r="K1070" i="3"/>
  <c r="J1070" i="3"/>
  <c r="E1070" i="3"/>
  <c r="D1070" i="3"/>
  <c r="T1069" i="3"/>
  <c r="S1069" i="3"/>
  <c r="R1069" i="3"/>
  <c r="Q1069" i="3"/>
  <c r="P1069" i="3"/>
  <c r="O1069" i="3"/>
  <c r="M1069" i="3"/>
  <c r="L1069" i="3"/>
  <c r="N1069" i="3" s="1"/>
  <c r="K1069" i="3"/>
  <c r="J1069" i="3"/>
  <c r="E1069" i="3"/>
  <c r="D1069" i="3"/>
  <c r="T1068" i="3"/>
  <c r="S1068" i="3"/>
  <c r="R1068" i="3"/>
  <c r="Q1068" i="3"/>
  <c r="P1068" i="3"/>
  <c r="O1068" i="3"/>
  <c r="M1068" i="3"/>
  <c r="L1068" i="3"/>
  <c r="N1068" i="3" s="1"/>
  <c r="K1068" i="3"/>
  <c r="J1068" i="3"/>
  <c r="E1068" i="3"/>
  <c r="D1068" i="3"/>
  <c r="T1067" i="3"/>
  <c r="S1067" i="3"/>
  <c r="R1067" i="3"/>
  <c r="Q1067" i="3"/>
  <c r="P1067" i="3"/>
  <c r="O1067" i="3"/>
  <c r="M1067" i="3"/>
  <c r="L1067" i="3"/>
  <c r="N1067" i="3" s="1"/>
  <c r="K1067" i="3"/>
  <c r="J1067" i="3"/>
  <c r="E1067" i="3"/>
  <c r="D1067" i="3"/>
  <c r="T1066" i="3"/>
  <c r="S1066" i="3"/>
  <c r="R1066" i="3"/>
  <c r="Q1066" i="3"/>
  <c r="P1066" i="3"/>
  <c r="O1066" i="3"/>
  <c r="M1066" i="3"/>
  <c r="L1066" i="3"/>
  <c r="N1066" i="3" s="1"/>
  <c r="K1066" i="3"/>
  <c r="J1066" i="3"/>
  <c r="E1066" i="3"/>
  <c r="D1066" i="3"/>
  <c r="T1065" i="3"/>
  <c r="S1065" i="3"/>
  <c r="R1065" i="3"/>
  <c r="Q1065" i="3"/>
  <c r="P1065" i="3"/>
  <c r="O1065" i="3"/>
  <c r="M1065" i="3"/>
  <c r="L1065" i="3"/>
  <c r="N1065" i="3" s="1"/>
  <c r="K1065" i="3"/>
  <c r="J1065" i="3"/>
  <c r="E1065" i="3"/>
  <c r="D1065" i="3"/>
  <c r="T1064" i="3"/>
  <c r="S1064" i="3"/>
  <c r="R1064" i="3"/>
  <c r="Q1064" i="3"/>
  <c r="P1064" i="3"/>
  <c r="O1064" i="3"/>
  <c r="M1064" i="3"/>
  <c r="L1064" i="3"/>
  <c r="N1064" i="3" s="1"/>
  <c r="K1064" i="3"/>
  <c r="J1064" i="3"/>
  <c r="E1064" i="3"/>
  <c r="D1064" i="3"/>
  <c r="T1063" i="3"/>
  <c r="S1063" i="3"/>
  <c r="R1063" i="3"/>
  <c r="Q1063" i="3"/>
  <c r="P1063" i="3"/>
  <c r="O1063" i="3"/>
  <c r="M1063" i="3"/>
  <c r="L1063" i="3"/>
  <c r="N1063" i="3" s="1"/>
  <c r="K1063" i="3"/>
  <c r="J1063" i="3"/>
  <c r="E1063" i="3"/>
  <c r="D1063" i="3"/>
  <c r="T1062" i="3"/>
  <c r="S1062" i="3"/>
  <c r="R1062" i="3"/>
  <c r="Q1062" i="3"/>
  <c r="P1062" i="3"/>
  <c r="O1062" i="3"/>
  <c r="M1062" i="3"/>
  <c r="L1062" i="3"/>
  <c r="N1062" i="3" s="1"/>
  <c r="K1062" i="3"/>
  <c r="J1062" i="3"/>
  <c r="E1062" i="3"/>
  <c r="D1062" i="3"/>
  <c r="T1061" i="3"/>
  <c r="S1061" i="3"/>
  <c r="R1061" i="3"/>
  <c r="Q1061" i="3"/>
  <c r="P1061" i="3"/>
  <c r="O1061" i="3"/>
  <c r="M1061" i="3"/>
  <c r="L1061" i="3"/>
  <c r="N1061" i="3" s="1"/>
  <c r="K1061" i="3"/>
  <c r="J1061" i="3"/>
  <c r="E1061" i="3"/>
  <c r="D1061" i="3"/>
  <c r="T1060" i="3"/>
  <c r="S1060" i="3"/>
  <c r="R1060" i="3"/>
  <c r="Q1060" i="3"/>
  <c r="P1060" i="3"/>
  <c r="O1060" i="3"/>
  <c r="M1060" i="3"/>
  <c r="L1060" i="3"/>
  <c r="N1060" i="3" s="1"/>
  <c r="K1060" i="3"/>
  <c r="J1060" i="3"/>
  <c r="E1060" i="3"/>
  <c r="D1060" i="3"/>
  <c r="T1059" i="3"/>
  <c r="S1059" i="3"/>
  <c r="R1059" i="3"/>
  <c r="Q1059" i="3"/>
  <c r="P1059" i="3"/>
  <c r="O1059" i="3"/>
  <c r="M1059" i="3"/>
  <c r="L1059" i="3"/>
  <c r="N1059" i="3" s="1"/>
  <c r="K1059" i="3"/>
  <c r="J1059" i="3"/>
  <c r="E1059" i="3"/>
  <c r="D1059" i="3"/>
  <c r="T1058" i="3"/>
  <c r="S1058" i="3"/>
  <c r="R1058" i="3"/>
  <c r="Q1058" i="3"/>
  <c r="P1058" i="3"/>
  <c r="O1058" i="3"/>
  <c r="M1058" i="3"/>
  <c r="L1058" i="3"/>
  <c r="N1058" i="3" s="1"/>
  <c r="K1058" i="3"/>
  <c r="J1058" i="3"/>
  <c r="E1058" i="3"/>
  <c r="D1058" i="3"/>
  <c r="T1057" i="3"/>
  <c r="S1057" i="3"/>
  <c r="R1057" i="3"/>
  <c r="Q1057" i="3"/>
  <c r="P1057" i="3"/>
  <c r="O1057" i="3"/>
  <c r="M1057" i="3"/>
  <c r="L1057" i="3"/>
  <c r="N1057" i="3" s="1"/>
  <c r="K1057" i="3"/>
  <c r="J1057" i="3"/>
  <c r="E1057" i="3"/>
  <c r="D1057" i="3"/>
  <c r="T1056" i="3"/>
  <c r="S1056" i="3"/>
  <c r="R1056" i="3"/>
  <c r="Q1056" i="3"/>
  <c r="P1056" i="3"/>
  <c r="O1056" i="3"/>
  <c r="M1056" i="3"/>
  <c r="L1056" i="3"/>
  <c r="N1056" i="3" s="1"/>
  <c r="K1056" i="3"/>
  <c r="J1056" i="3"/>
  <c r="E1056" i="3"/>
  <c r="D1056" i="3"/>
  <c r="T1055" i="3"/>
  <c r="S1055" i="3"/>
  <c r="R1055" i="3"/>
  <c r="Q1055" i="3"/>
  <c r="P1055" i="3"/>
  <c r="O1055" i="3"/>
  <c r="M1055" i="3"/>
  <c r="L1055" i="3"/>
  <c r="N1055" i="3" s="1"/>
  <c r="K1055" i="3"/>
  <c r="J1055" i="3"/>
  <c r="E1055" i="3"/>
  <c r="D1055" i="3"/>
  <c r="T1054" i="3"/>
  <c r="S1054" i="3"/>
  <c r="R1054" i="3"/>
  <c r="Q1054" i="3"/>
  <c r="P1054" i="3"/>
  <c r="O1054" i="3"/>
  <c r="M1054" i="3"/>
  <c r="L1054" i="3"/>
  <c r="N1054" i="3" s="1"/>
  <c r="K1054" i="3"/>
  <c r="J1054" i="3"/>
  <c r="E1054" i="3"/>
  <c r="D1054" i="3"/>
  <c r="T1053" i="3"/>
  <c r="S1053" i="3"/>
  <c r="R1053" i="3"/>
  <c r="Q1053" i="3"/>
  <c r="P1053" i="3"/>
  <c r="O1053" i="3"/>
  <c r="M1053" i="3"/>
  <c r="L1053" i="3"/>
  <c r="N1053" i="3" s="1"/>
  <c r="K1053" i="3"/>
  <c r="J1053" i="3"/>
  <c r="E1053" i="3"/>
  <c r="D1053" i="3"/>
  <c r="T1052" i="3"/>
  <c r="S1052" i="3"/>
  <c r="R1052" i="3"/>
  <c r="Q1052" i="3"/>
  <c r="P1052" i="3"/>
  <c r="O1052" i="3"/>
  <c r="M1052" i="3"/>
  <c r="L1052" i="3"/>
  <c r="N1052" i="3" s="1"/>
  <c r="K1052" i="3"/>
  <c r="J1052" i="3"/>
  <c r="E1052" i="3"/>
  <c r="D1052" i="3"/>
  <c r="T1051" i="3"/>
  <c r="S1051" i="3"/>
  <c r="R1051" i="3"/>
  <c r="Q1051" i="3"/>
  <c r="P1051" i="3"/>
  <c r="O1051" i="3"/>
  <c r="M1051" i="3"/>
  <c r="L1051" i="3"/>
  <c r="N1051" i="3" s="1"/>
  <c r="K1051" i="3"/>
  <c r="J1051" i="3"/>
  <c r="E1051" i="3"/>
  <c r="D1051" i="3"/>
  <c r="T1050" i="3"/>
  <c r="S1050" i="3"/>
  <c r="R1050" i="3"/>
  <c r="Q1050" i="3"/>
  <c r="P1050" i="3"/>
  <c r="O1050" i="3"/>
  <c r="M1050" i="3"/>
  <c r="L1050" i="3"/>
  <c r="N1050" i="3" s="1"/>
  <c r="K1050" i="3"/>
  <c r="J1050" i="3"/>
  <c r="E1050" i="3"/>
  <c r="D1050" i="3"/>
  <c r="T1049" i="3"/>
  <c r="S1049" i="3"/>
  <c r="R1049" i="3"/>
  <c r="Q1049" i="3"/>
  <c r="P1049" i="3"/>
  <c r="O1049" i="3"/>
  <c r="M1049" i="3"/>
  <c r="L1049" i="3"/>
  <c r="N1049" i="3" s="1"/>
  <c r="K1049" i="3"/>
  <c r="J1049" i="3"/>
  <c r="E1049" i="3"/>
  <c r="D1049" i="3"/>
  <c r="T1048" i="3"/>
  <c r="S1048" i="3"/>
  <c r="R1048" i="3"/>
  <c r="Q1048" i="3"/>
  <c r="P1048" i="3"/>
  <c r="O1048" i="3"/>
  <c r="M1048" i="3"/>
  <c r="L1048" i="3"/>
  <c r="N1048" i="3" s="1"/>
  <c r="K1048" i="3"/>
  <c r="J1048" i="3"/>
  <c r="E1048" i="3"/>
  <c r="D1048" i="3"/>
  <c r="T1047" i="3"/>
  <c r="S1047" i="3"/>
  <c r="R1047" i="3"/>
  <c r="Q1047" i="3"/>
  <c r="P1047" i="3"/>
  <c r="O1047" i="3"/>
  <c r="M1047" i="3"/>
  <c r="L1047" i="3"/>
  <c r="N1047" i="3" s="1"/>
  <c r="K1047" i="3"/>
  <c r="J1047" i="3"/>
  <c r="E1047" i="3"/>
  <c r="D1047" i="3"/>
  <c r="T1046" i="3"/>
  <c r="S1046" i="3"/>
  <c r="R1046" i="3"/>
  <c r="Q1046" i="3"/>
  <c r="P1046" i="3"/>
  <c r="O1046" i="3"/>
  <c r="M1046" i="3"/>
  <c r="L1046" i="3"/>
  <c r="N1046" i="3" s="1"/>
  <c r="K1046" i="3"/>
  <c r="J1046" i="3"/>
  <c r="E1046" i="3"/>
  <c r="D1046" i="3"/>
  <c r="T1045" i="3"/>
  <c r="S1045" i="3"/>
  <c r="R1045" i="3"/>
  <c r="Q1045" i="3"/>
  <c r="P1045" i="3"/>
  <c r="O1045" i="3"/>
  <c r="M1045" i="3"/>
  <c r="L1045" i="3"/>
  <c r="N1045" i="3" s="1"/>
  <c r="K1045" i="3"/>
  <c r="J1045" i="3"/>
  <c r="E1045" i="3"/>
  <c r="D1045" i="3"/>
  <c r="T1044" i="3"/>
  <c r="S1044" i="3"/>
  <c r="R1044" i="3"/>
  <c r="Q1044" i="3"/>
  <c r="P1044" i="3"/>
  <c r="O1044" i="3"/>
  <c r="M1044" i="3"/>
  <c r="L1044" i="3"/>
  <c r="N1044" i="3" s="1"/>
  <c r="K1044" i="3"/>
  <c r="J1044" i="3"/>
  <c r="E1044" i="3"/>
  <c r="D1044" i="3"/>
  <c r="T1043" i="3"/>
  <c r="S1043" i="3"/>
  <c r="R1043" i="3"/>
  <c r="Q1043" i="3"/>
  <c r="P1043" i="3"/>
  <c r="O1043" i="3"/>
  <c r="M1043" i="3"/>
  <c r="L1043" i="3"/>
  <c r="N1043" i="3" s="1"/>
  <c r="K1043" i="3"/>
  <c r="J1043" i="3"/>
  <c r="E1043" i="3"/>
  <c r="D1043" i="3"/>
  <c r="T1042" i="3"/>
  <c r="S1042" i="3"/>
  <c r="R1042" i="3"/>
  <c r="Q1042" i="3"/>
  <c r="P1042" i="3"/>
  <c r="O1042" i="3"/>
  <c r="M1042" i="3"/>
  <c r="L1042" i="3"/>
  <c r="N1042" i="3" s="1"/>
  <c r="K1042" i="3"/>
  <c r="J1042" i="3"/>
  <c r="E1042" i="3"/>
  <c r="D1042" i="3"/>
  <c r="T1041" i="3"/>
  <c r="S1041" i="3"/>
  <c r="R1041" i="3"/>
  <c r="Q1041" i="3"/>
  <c r="P1041" i="3"/>
  <c r="O1041" i="3"/>
  <c r="M1041" i="3"/>
  <c r="L1041" i="3"/>
  <c r="N1041" i="3" s="1"/>
  <c r="K1041" i="3"/>
  <c r="J1041" i="3"/>
  <c r="E1041" i="3"/>
  <c r="D1041" i="3"/>
  <c r="T1040" i="3"/>
  <c r="S1040" i="3"/>
  <c r="R1040" i="3"/>
  <c r="Q1040" i="3"/>
  <c r="P1040" i="3"/>
  <c r="O1040" i="3"/>
  <c r="M1040" i="3"/>
  <c r="L1040" i="3"/>
  <c r="N1040" i="3" s="1"/>
  <c r="K1040" i="3"/>
  <c r="J1040" i="3"/>
  <c r="E1040" i="3"/>
  <c r="D1040" i="3"/>
  <c r="T1039" i="3"/>
  <c r="S1039" i="3"/>
  <c r="R1039" i="3"/>
  <c r="Q1039" i="3"/>
  <c r="P1039" i="3"/>
  <c r="O1039" i="3"/>
  <c r="M1039" i="3"/>
  <c r="L1039" i="3"/>
  <c r="N1039" i="3" s="1"/>
  <c r="K1039" i="3"/>
  <c r="J1039" i="3"/>
  <c r="E1039" i="3"/>
  <c r="D1039" i="3"/>
  <c r="T1038" i="3"/>
  <c r="S1038" i="3"/>
  <c r="R1038" i="3"/>
  <c r="Q1038" i="3"/>
  <c r="P1038" i="3"/>
  <c r="O1038" i="3"/>
  <c r="M1038" i="3"/>
  <c r="L1038" i="3"/>
  <c r="N1038" i="3" s="1"/>
  <c r="K1038" i="3"/>
  <c r="J1038" i="3"/>
  <c r="E1038" i="3"/>
  <c r="D1038" i="3"/>
  <c r="T1037" i="3"/>
  <c r="S1037" i="3"/>
  <c r="R1037" i="3"/>
  <c r="Q1037" i="3"/>
  <c r="P1037" i="3"/>
  <c r="O1037" i="3"/>
  <c r="M1037" i="3"/>
  <c r="L1037" i="3"/>
  <c r="N1037" i="3" s="1"/>
  <c r="K1037" i="3"/>
  <c r="J1037" i="3"/>
  <c r="E1037" i="3"/>
  <c r="D1037" i="3"/>
  <c r="T1036" i="3"/>
  <c r="S1036" i="3"/>
  <c r="R1036" i="3"/>
  <c r="Q1036" i="3"/>
  <c r="P1036" i="3"/>
  <c r="O1036" i="3"/>
  <c r="M1036" i="3"/>
  <c r="L1036" i="3"/>
  <c r="N1036" i="3" s="1"/>
  <c r="K1036" i="3"/>
  <c r="J1036" i="3"/>
  <c r="E1036" i="3"/>
  <c r="D1036" i="3"/>
  <c r="T1035" i="3"/>
  <c r="S1035" i="3"/>
  <c r="R1035" i="3"/>
  <c r="Q1035" i="3"/>
  <c r="P1035" i="3"/>
  <c r="O1035" i="3"/>
  <c r="M1035" i="3"/>
  <c r="L1035" i="3"/>
  <c r="N1035" i="3" s="1"/>
  <c r="K1035" i="3"/>
  <c r="J1035" i="3"/>
  <c r="E1035" i="3"/>
  <c r="D1035" i="3"/>
  <c r="T1034" i="3"/>
  <c r="S1034" i="3"/>
  <c r="R1034" i="3"/>
  <c r="Q1034" i="3"/>
  <c r="P1034" i="3"/>
  <c r="O1034" i="3"/>
  <c r="M1034" i="3"/>
  <c r="L1034" i="3"/>
  <c r="N1034" i="3" s="1"/>
  <c r="K1034" i="3"/>
  <c r="J1034" i="3"/>
  <c r="E1034" i="3"/>
  <c r="D1034" i="3"/>
  <c r="T1033" i="3"/>
  <c r="S1033" i="3"/>
  <c r="R1033" i="3"/>
  <c r="Q1033" i="3"/>
  <c r="P1033" i="3"/>
  <c r="O1033" i="3"/>
  <c r="M1033" i="3"/>
  <c r="L1033" i="3"/>
  <c r="N1033" i="3" s="1"/>
  <c r="K1033" i="3"/>
  <c r="J1033" i="3"/>
  <c r="E1033" i="3"/>
  <c r="D1033" i="3"/>
  <c r="T1032" i="3"/>
  <c r="S1032" i="3"/>
  <c r="R1032" i="3"/>
  <c r="Q1032" i="3"/>
  <c r="P1032" i="3"/>
  <c r="O1032" i="3"/>
  <c r="M1032" i="3"/>
  <c r="L1032" i="3"/>
  <c r="N1032" i="3" s="1"/>
  <c r="K1032" i="3"/>
  <c r="J1032" i="3"/>
  <c r="E1032" i="3"/>
  <c r="D1032" i="3"/>
  <c r="T1031" i="3"/>
  <c r="S1031" i="3"/>
  <c r="R1031" i="3"/>
  <c r="Q1031" i="3"/>
  <c r="P1031" i="3"/>
  <c r="O1031" i="3"/>
  <c r="M1031" i="3"/>
  <c r="L1031" i="3"/>
  <c r="N1031" i="3" s="1"/>
  <c r="K1031" i="3"/>
  <c r="J1031" i="3"/>
  <c r="E1031" i="3"/>
  <c r="D1031" i="3"/>
  <c r="T1030" i="3"/>
  <c r="S1030" i="3"/>
  <c r="R1030" i="3"/>
  <c r="Q1030" i="3"/>
  <c r="P1030" i="3"/>
  <c r="O1030" i="3"/>
  <c r="M1030" i="3"/>
  <c r="L1030" i="3"/>
  <c r="N1030" i="3" s="1"/>
  <c r="K1030" i="3"/>
  <c r="J1030" i="3"/>
  <c r="E1030" i="3"/>
  <c r="D1030" i="3"/>
  <c r="T1029" i="3"/>
  <c r="S1029" i="3"/>
  <c r="R1029" i="3"/>
  <c r="Q1029" i="3"/>
  <c r="P1029" i="3"/>
  <c r="O1029" i="3"/>
  <c r="M1029" i="3"/>
  <c r="L1029" i="3"/>
  <c r="N1029" i="3" s="1"/>
  <c r="K1029" i="3"/>
  <c r="J1029" i="3"/>
  <c r="E1029" i="3"/>
  <c r="D1029" i="3"/>
  <c r="T1028" i="3"/>
  <c r="S1028" i="3"/>
  <c r="R1028" i="3"/>
  <c r="Q1028" i="3"/>
  <c r="P1028" i="3"/>
  <c r="O1028" i="3"/>
  <c r="M1028" i="3"/>
  <c r="L1028" i="3"/>
  <c r="N1028" i="3" s="1"/>
  <c r="K1028" i="3"/>
  <c r="J1028" i="3"/>
  <c r="E1028" i="3"/>
  <c r="D1028" i="3"/>
  <c r="T1027" i="3"/>
  <c r="S1027" i="3"/>
  <c r="R1027" i="3"/>
  <c r="Q1027" i="3"/>
  <c r="P1027" i="3"/>
  <c r="O1027" i="3"/>
  <c r="M1027" i="3"/>
  <c r="L1027" i="3"/>
  <c r="N1027" i="3" s="1"/>
  <c r="K1027" i="3"/>
  <c r="J1027" i="3"/>
  <c r="E1027" i="3"/>
  <c r="D1027" i="3"/>
  <c r="T1026" i="3"/>
  <c r="S1026" i="3"/>
  <c r="R1026" i="3"/>
  <c r="Q1026" i="3"/>
  <c r="P1026" i="3"/>
  <c r="O1026" i="3"/>
  <c r="M1026" i="3"/>
  <c r="L1026" i="3"/>
  <c r="N1026" i="3" s="1"/>
  <c r="K1026" i="3"/>
  <c r="J1026" i="3"/>
  <c r="E1026" i="3"/>
  <c r="D1026" i="3"/>
  <c r="T1025" i="3"/>
  <c r="S1025" i="3"/>
  <c r="R1025" i="3"/>
  <c r="Q1025" i="3"/>
  <c r="P1025" i="3"/>
  <c r="O1025" i="3"/>
  <c r="M1025" i="3"/>
  <c r="L1025" i="3"/>
  <c r="N1025" i="3" s="1"/>
  <c r="K1025" i="3"/>
  <c r="J1025" i="3"/>
  <c r="E1025" i="3"/>
  <c r="D1025" i="3"/>
  <c r="T1024" i="3"/>
  <c r="S1024" i="3"/>
  <c r="R1024" i="3"/>
  <c r="Q1024" i="3"/>
  <c r="P1024" i="3"/>
  <c r="O1024" i="3"/>
  <c r="M1024" i="3"/>
  <c r="L1024" i="3"/>
  <c r="N1024" i="3" s="1"/>
  <c r="K1024" i="3"/>
  <c r="J1024" i="3"/>
  <c r="E1024" i="3"/>
  <c r="D1024" i="3"/>
  <c r="T1023" i="3"/>
  <c r="S1023" i="3"/>
  <c r="R1023" i="3"/>
  <c r="Q1023" i="3"/>
  <c r="P1023" i="3"/>
  <c r="O1023" i="3"/>
  <c r="M1023" i="3"/>
  <c r="L1023" i="3"/>
  <c r="N1023" i="3" s="1"/>
  <c r="K1023" i="3"/>
  <c r="J1023" i="3"/>
  <c r="E1023" i="3"/>
  <c r="D1023" i="3"/>
  <c r="T1022" i="3"/>
  <c r="S1022" i="3"/>
  <c r="R1022" i="3"/>
  <c r="Q1022" i="3"/>
  <c r="P1022" i="3"/>
  <c r="O1022" i="3"/>
  <c r="M1022" i="3"/>
  <c r="L1022" i="3"/>
  <c r="N1022" i="3" s="1"/>
  <c r="K1022" i="3"/>
  <c r="J1022" i="3"/>
  <c r="E1022" i="3"/>
  <c r="D1022" i="3"/>
  <c r="T1021" i="3"/>
  <c r="S1021" i="3"/>
  <c r="R1021" i="3"/>
  <c r="Q1021" i="3"/>
  <c r="P1021" i="3"/>
  <c r="O1021" i="3"/>
  <c r="M1021" i="3"/>
  <c r="L1021" i="3"/>
  <c r="N1021" i="3" s="1"/>
  <c r="K1021" i="3"/>
  <c r="J1021" i="3"/>
  <c r="E1021" i="3"/>
  <c r="D1021" i="3"/>
  <c r="T1020" i="3"/>
  <c r="S1020" i="3"/>
  <c r="R1020" i="3"/>
  <c r="Q1020" i="3"/>
  <c r="P1020" i="3"/>
  <c r="O1020" i="3"/>
  <c r="M1020" i="3"/>
  <c r="L1020" i="3"/>
  <c r="N1020" i="3" s="1"/>
  <c r="K1020" i="3"/>
  <c r="J1020" i="3"/>
  <c r="E1020" i="3"/>
  <c r="D1020" i="3"/>
  <c r="T1019" i="3"/>
  <c r="S1019" i="3"/>
  <c r="R1019" i="3"/>
  <c r="Q1019" i="3"/>
  <c r="P1019" i="3"/>
  <c r="O1019" i="3"/>
  <c r="M1019" i="3"/>
  <c r="L1019" i="3"/>
  <c r="N1019" i="3" s="1"/>
  <c r="K1019" i="3"/>
  <c r="J1019" i="3"/>
  <c r="E1019" i="3"/>
  <c r="D1019" i="3"/>
  <c r="T1018" i="3"/>
  <c r="S1018" i="3"/>
  <c r="R1018" i="3"/>
  <c r="Q1018" i="3"/>
  <c r="P1018" i="3"/>
  <c r="O1018" i="3"/>
  <c r="M1018" i="3"/>
  <c r="L1018" i="3"/>
  <c r="N1018" i="3" s="1"/>
  <c r="K1018" i="3"/>
  <c r="J1018" i="3"/>
  <c r="E1018" i="3"/>
  <c r="D1018" i="3"/>
  <c r="T1017" i="3"/>
  <c r="S1017" i="3"/>
  <c r="R1017" i="3"/>
  <c r="Q1017" i="3"/>
  <c r="P1017" i="3"/>
  <c r="O1017" i="3"/>
  <c r="M1017" i="3"/>
  <c r="L1017" i="3"/>
  <c r="N1017" i="3" s="1"/>
  <c r="K1017" i="3"/>
  <c r="J1017" i="3"/>
  <c r="E1017" i="3"/>
  <c r="D1017" i="3"/>
  <c r="T1016" i="3"/>
  <c r="S1016" i="3"/>
  <c r="R1016" i="3"/>
  <c r="Q1016" i="3"/>
  <c r="P1016" i="3"/>
  <c r="O1016" i="3"/>
  <c r="M1016" i="3"/>
  <c r="L1016" i="3"/>
  <c r="N1016" i="3" s="1"/>
  <c r="K1016" i="3"/>
  <c r="J1016" i="3"/>
  <c r="E1016" i="3"/>
  <c r="D1016" i="3"/>
  <c r="T1015" i="3"/>
  <c r="S1015" i="3"/>
  <c r="R1015" i="3"/>
  <c r="Q1015" i="3"/>
  <c r="P1015" i="3"/>
  <c r="O1015" i="3"/>
  <c r="M1015" i="3"/>
  <c r="L1015" i="3"/>
  <c r="N1015" i="3" s="1"/>
  <c r="K1015" i="3"/>
  <c r="J1015" i="3"/>
  <c r="E1015" i="3"/>
  <c r="D1015" i="3"/>
  <c r="T1014" i="3"/>
  <c r="S1014" i="3"/>
  <c r="R1014" i="3"/>
  <c r="Q1014" i="3"/>
  <c r="P1014" i="3"/>
  <c r="O1014" i="3"/>
  <c r="M1014" i="3"/>
  <c r="L1014" i="3"/>
  <c r="N1014" i="3" s="1"/>
  <c r="K1014" i="3"/>
  <c r="J1014" i="3"/>
  <c r="E1014" i="3"/>
  <c r="D1014" i="3"/>
  <c r="T1013" i="3"/>
  <c r="S1013" i="3"/>
  <c r="R1013" i="3"/>
  <c r="Q1013" i="3"/>
  <c r="P1013" i="3"/>
  <c r="O1013" i="3"/>
  <c r="M1013" i="3"/>
  <c r="L1013" i="3"/>
  <c r="N1013" i="3" s="1"/>
  <c r="K1013" i="3"/>
  <c r="J1013" i="3"/>
  <c r="E1013" i="3"/>
  <c r="D1013" i="3"/>
  <c r="T1012" i="3"/>
  <c r="S1012" i="3"/>
  <c r="R1012" i="3"/>
  <c r="Q1012" i="3"/>
  <c r="P1012" i="3"/>
  <c r="O1012" i="3"/>
  <c r="M1012" i="3"/>
  <c r="L1012" i="3"/>
  <c r="N1012" i="3" s="1"/>
  <c r="K1012" i="3"/>
  <c r="J1012" i="3"/>
  <c r="E1012" i="3"/>
  <c r="D1012" i="3"/>
  <c r="T1011" i="3"/>
  <c r="S1011" i="3"/>
  <c r="R1011" i="3"/>
  <c r="Q1011" i="3"/>
  <c r="P1011" i="3"/>
  <c r="O1011" i="3"/>
  <c r="M1011" i="3"/>
  <c r="L1011" i="3"/>
  <c r="N1011" i="3" s="1"/>
  <c r="K1011" i="3"/>
  <c r="J1011" i="3"/>
  <c r="E1011" i="3"/>
  <c r="D1011" i="3"/>
  <c r="T1010" i="3"/>
  <c r="S1010" i="3"/>
  <c r="R1010" i="3"/>
  <c r="Q1010" i="3"/>
  <c r="P1010" i="3"/>
  <c r="O1010" i="3"/>
  <c r="M1010" i="3"/>
  <c r="L1010" i="3"/>
  <c r="N1010" i="3" s="1"/>
  <c r="K1010" i="3"/>
  <c r="J1010" i="3"/>
  <c r="E1010" i="3"/>
  <c r="D1010" i="3"/>
  <c r="T1009" i="3"/>
  <c r="S1009" i="3"/>
  <c r="R1009" i="3"/>
  <c r="Q1009" i="3"/>
  <c r="P1009" i="3"/>
  <c r="O1009" i="3"/>
  <c r="M1009" i="3"/>
  <c r="L1009" i="3"/>
  <c r="N1009" i="3" s="1"/>
  <c r="K1009" i="3"/>
  <c r="J1009" i="3"/>
  <c r="E1009" i="3"/>
  <c r="D1009" i="3"/>
  <c r="T1008" i="3"/>
  <c r="S1008" i="3"/>
  <c r="R1008" i="3"/>
  <c r="Q1008" i="3"/>
  <c r="P1008" i="3"/>
  <c r="O1008" i="3"/>
  <c r="M1008" i="3"/>
  <c r="L1008" i="3"/>
  <c r="N1008" i="3" s="1"/>
  <c r="K1008" i="3"/>
  <c r="J1008" i="3"/>
  <c r="E1008" i="3"/>
  <c r="D1008" i="3"/>
  <c r="T1007" i="3"/>
  <c r="S1007" i="3"/>
  <c r="R1007" i="3"/>
  <c r="Q1007" i="3"/>
  <c r="P1007" i="3"/>
  <c r="O1007" i="3"/>
  <c r="M1007" i="3"/>
  <c r="L1007" i="3"/>
  <c r="N1007" i="3" s="1"/>
  <c r="K1007" i="3"/>
  <c r="J1007" i="3"/>
  <c r="E1007" i="3"/>
  <c r="D1007" i="3"/>
  <c r="T1006" i="3"/>
  <c r="S1006" i="3"/>
  <c r="R1006" i="3"/>
  <c r="Q1006" i="3"/>
  <c r="P1006" i="3"/>
  <c r="O1006" i="3"/>
  <c r="M1006" i="3"/>
  <c r="L1006" i="3"/>
  <c r="N1006" i="3" s="1"/>
  <c r="K1006" i="3"/>
  <c r="J1006" i="3"/>
  <c r="E1006" i="3"/>
  <c r="D1006" i="3"/>
  <c r="T1005" i="3"/>
  <c r="S1005" i="3"/>
  <c r="R1005" i="3"/>
  <c r="Q1005" i="3"/>
  <c r="P1005" i="3"/>
  <c r="O1005" i="3"/>
  <c r="M1005" i="3"/>
  <c r="L1005" i="3"/>
  <c r="N1005" i="3" s="1"/>
  <c r="K1005" i="3"/>
  <c r="J1005" i="3"/>
  <c r="E1005" i="3"/>
  <c r="D1005" i="3"/>
  <c r="T1004" i="3"/>
  <c r="S1004" i="3"/>
  <c r="R1004" i="3"/>
  <c r="Q1004" i="3"/>
  <c r="P1004" i="3"/>
  <c r="O1004" i="3"/>
  <c r="M1004" i="3"/>
  <c r="L1004" i="3"/>
  <c r="N1004" i="3" s="1"/>
  <c r="K1004" i="3"/>
  <c r="J1004" i="3"/>
  <c r="E1004" i="3"/>
  <c r="D1004" i="3"/>
  <c r="T1003" i="3"/>
  <c r="S1003" i="3"/>
  <c r="R1003" i="3"/>
  <c r="Q1003" i="3"/>
  <c r="P1003" i="3"/>
  <c r="O1003" i="3"/>
  <c r="M1003" i="3"/>
  <c r="L1003" i="3"/>
  <c r="N1003" i="3" s="1"/>
  <c r="K1003" i="3"/>
  <c r="J1003" i="3"/>
  <c r="E1003" i="3"/>
  <c r="D1003" i="3"/>
  <c r="T1002" i="3"/>
  <c r="S1002" i="3"/>
  <c r="R1002" i="3"/>
  <c r="Q1002" i="3"/>
  <c r="P1002" i="3"/>
  <c r="O1002" i="3"/>
  <c r="M1002" i="3"/>
  <c r="L1002" i="3"/>
  <c r="N1002" i="3" s="1"/>
  <c r="K1002" i="3"/>
  <c r="J1002" i="3"/>
  <c r="E1002" i="3"/>
  <c r="D1002" i="3"/>
  <c r="T1001" i="3"/>
  <c r="S1001" i="3"/>
  <c r="R1001" i="3"/>
  <c r="Q1001" i="3"/>
  <c r="P1001" i="3"/>
  <c r="O1001" i="3"/>
  <c r="M1001" i="3"/>
  <c r="L1001" i="3"/>
  <c r="N1001" i="3" s="1"/>
  <c r="K1001" i="3"/>
  <c r="J1001" i="3"/>
  <c r="E1001" i="3"/>
  <c r="D1001" i="3"/>
  <c r="T1000" i="3"/>
  <c r="S1000" i="3"/>
  <c r="R1000" i="3"/>
  <c r="Q1000" i="3"/>
  <c r="P1000" i="3"/>
  <c r="O1000" i="3"/>
  <c r="M1000" i="3"/>
  <c r="L1000" i="3"/>
  <c r="N1000" i="3" s="1"/>
  <c r="K1000" i="3"/>
  <c r="J1000" i="3"/>
  <c r="E1000" i="3"/>
  <c r="D1000" i="3"/>
  <c r="T999" i="3"/>
  <c r="S999" i="3"/>
  <c r="R999" i="3"/>
  <c r="Q999" i="3"/>
  <c r="P999" i="3"/>
  <c r="O999" i="3"/>
  <c r="M999" i="3"/>
  <c r="L999" i="3"/>
  <c r="N999" i="3" s="1"/>
  <c r="K999" i="3"/>
  <c r="J999" i="3"/>
  <c r="E999" i="3"/>
  <c r="D999" i="3"/>
  <c r="T998" i="3"/>
  <c r="S998" i="3"/>
  <c r="R998" i="3"/>
  <c r="Q998" i="3"/>
  <c r="P998" i="3"/>
  <c r="O998" i="3"/>
  <c r="M998" i="3"/>
  <c r="L998" i="3"/>
  <c r="N998" i="3" s="1"/>
  <c r="K998" i="3"/>
  <c r="J998" i="3"/>
  <c r="E998" i="3"/>
  <c r="D998" i="3"/>
  <c r="T997" i="3"/>
  <c r="S997" i="3"/>
  <c r="R997" i="3"/>
  <c r="Q997" i="3"/>
  <c r="P997" i="3"/>
  <c r="O997" i="3"/>
  <c r="M997" i="3"/>
  <c r="L997" i="3"/>
  <c r="N997" i="3" s="1"/>
  <c r="K997" i="3"/>
  <c r="J997" i="3"/>
  <c r="E997" i="3"/>
  <c r="D997" i="3"/>
  <c r="T996" i="3"/>
  <c r="S996" i="3"/>
  <c r="R996" i="3"/>
  <c r="Q996" i="3"/>
  <c r="P996" i="3"/>
  <c r="O996" i="3"/>
  <c r="M996" i="3"/>
  <c r="L996" i="3"/>
  <c r="N996" i="3" s="1"/>
  <c r="K996" i="3"/>
  <c r="J996" i="3"/>
  <c r="E996" i="3"/>
  <c r="D996" i="3"/>
  <c r="T995" i="3"/>
  <c r="S995" i="3"/>
  <c r="R995" i="3"/>
  <c r="Q995" i="3"/>
  <c r="P995" i="3"/>
  <c r="O995" i="3"/>
  <c r="M995" i="3"/>
  <c r="L995" i="3"/>
  <c r="N995" i="3" s="1"/>
  <c r="K995" i="3"/>
  <c r="J995" i="3"/>
  <c r="E995" i="3"/>
  <c r="D995" i="3"/>
  <c r="T994" i="3"/>
  <c r="S994" i="3"/>
  <c r="R994" i="3"/>
  <c r="Q994" i="3"/>
  <c r="P994" i="3"/>
  <c r="O994" i="3"/>
  <c r="M994" i="3"/>
  <c r="L994" i="3"/>
  <c r="N994" i="3" s="1"/>
  <c r="K994" i="3"/>
  <c r="J994" i="3"/>
  <c r="E994" i="3"/>
  <c r="D994" i="3"/>
  <c r="T993" i="3"/>
  <c r="S993" i="3"/>
  <c r="R993" i="3"/>
  <c r="Q993" i="3"/>
  <c r="P993" i="3"/>
  <c r="O993" i="3"/>
  <c r="M993" i="3"/>
  <c r="L993" i="3"/>
  <c r="N993" i="3" s="1"/>
  <c r="K993" i="3"/>
  <c r="J993" i="3"/>
  <c r="E993" i="3"/>
  <c r="D993" i="3"/>
  <c r="T992" i="3"/>
  <c r="S992" i="3"/>
  <c r="R992" i="3"/>
  <c r="Q992" i="3"/>
  <c r="P992" i="3"/>
  <c r="O992" i="3"/>
  <c r="M992" i="3"/>
  <c r="L992" i="3"/>
  <c r="N992" i="3" s="1"/>
  <c r="K992" i="3"/>
  <c r="J992" i="3"/>
  <c r="E992" i="3"/>
  <c r="D992" i="3"/>
  <c r="T991" i="3"/>
  <c r="S991" i="3"/>
  <c r="R991" i="3"/>
  <c r="Q991" i="3"/>
  <c r="P991" i="3"/>
  <c r="O991" i="3"/>
  <c r="M991" i="3"/>
  <c r="L991" i="3"/>
  <c r="N991" i="3" s="1"/>
  <c r="K991" i="3"/>
  <c r="J991" i="3"/>
  <c r="E991" i="3"/>
  <c r="D991" i="3"/>
  <c r="T990" i="3"/>
  <c r="S990" i="3"/>
  <c r="R990" i="3"/>
  <c r="Q990" i="3"/>
  <c r="P990" i="3"/>
  <c r="O990" i="3"/>
  <c r="M990" i="3"/>
  <c r="L990" i="3"/>
  <c r="N990" i="3" s="1"/>
  <c r="K990" i="3"/>
  <c r="J990" i="3"/>
  <c r="E990" i="3"/>
  <c r="D990" i="3"/>
  <c r="T989" i="3"/>
  <c r="S989" i="3"/>
  <c r="R989" i="3"/>
  <c r="Q989" i="3"/>
  <c r="P989" i="3"/>
  <c r="O989" i="3"/>
  <c r="M989" i="3"/>
  <c r="L989" i="3"/>
  <c r="N989" i="3" s="1"/>
  <c r="K989" i="3"/>
  <c r="J989" i="3"/>
  <c r="E989" i="3"/>
  <c r="D989" i="3"/>
  <c r="T988" i="3"/>
  <c r="S988" i="3"/>
  <c r="R988" i="3"/>
  <c r="Q988" i="3"/>
  <c r="P988" i="3"/>
  <c r="O988" i="3"/>
  <c r="M988" i="3"/>
  <c r="L988" i="3"/>
  <c r="N988" i="3" s="1"/>
  <c r="K988" i="3"/>
  <c r="J988" i="3"/>
  <c r="E988" i="3"/>
  <c r="D988" i="3"/>
  <c r="T987" i="3"/>
  <c r="S987" i="3"/>
  <c r="R987" i="3"/>
  <c r="Q987" i="3"/>
  <c r="P987" i="3"/>
  <c r="O987" i="3"/>
  <c r="M987" i="3"/>
  <c r="L987" i="3"/>
  <c r="N987" i="3" s="1"/>
  <c r="K987" i="3"/>
  <c r="J987" i="3"/>
  <c r="E987" i="3"/>
  <c r="D987" i="3"/>
  <c r="T986" i="3"/>
  <c r="S986" i="3"/>
  <c r="R986" i="3"/>
  <c r="Q986" i="3"/>
  <c r="P986" i="3"/>
  <c r="O986" i="3"/>
  <c r="M986" i="3"/>
  <c r="L986" i="3"/>
  <c r="N986" i="3" s="1"/>
  <c r="K986" i="3"/>
  <c r="J986" i="3"/>
  <c r="E986" i="3"/>
  <c r="D986" i="3"/>
  <c r="T985" i="3"/>
  <c r="S985" i="3"/>
  <c r="R985" i="3"/>
  <c r="Q985" i="3"/>
  <c r="P985" i="3"/>
  <c r="O985" i="3"/>
  <c r="M985" i="3"/>
  <c r="L985" i="3"/>
  <c r="N985" i="3" s="1"/>
  <c r="K985" i="3"/>
  <c r="J985" i="3"/>
  <c r="E985" i="3"/>
  <c r="D985" i="3"/>
  <c r="T984" i="3"/>
  <c r="S984" i="3"/>
  <c r="R984" i="3"/>
  <c r="Q984" i="3"/>
  <c r="P984" i="3"/>
  <c r="O984" i="3"/>
  <c r="M984" i="3"/>
  <c r="L984" i="3"/>
  <c r="N984" i="3" s="1"/>
  <c r="K984" i="3"/>
  <c r="J984" i="3"/>
  <c r="E984" i="3"/>
  <c r="D984" i="3"/>
  <c r="T983" i="3"/>
  <c r="S983" i="3"/>
  <c r="R983" i="3"/>
  <c r="Q983" i="3"/>
  <c r="P983" i="3"/>
  <c r="O983" i="3"/>
  <c r="M983" i="3"/>
  <c r="L983" i="3"/>
  <c r="N983" i="3" s="1"/>
  <c r="K983" i="3"/>
  <c r="J983" i="3"/>
  <c r="E983" i="3"/>
  <c r="D983" i="3"/>
  <c r="T982" i="3"/>
  <c r="S982" i="3"/>
  <c r="R982" i="3"/>
  <c r="Q982" i="3"/>
  <c r="P982" i="3"/>
  <c r="O982" i="3"/>
  <c r="M982" i="3"/>
  <c r="L982" i="3"/>
  <c r="N982" i="3" s="1"/>
  <c r="K982" i="3"/>
  <c r="J982" i="3"/>
  <c r="E982" i="3"/>
  <c r="D982" i="3"/>
  <c r="T981" i="3"/>
  <c r="S981" i="3"/>
  <c r="R981" i="3"/>
  <c r="Q981" i="3"/>
  <c r="P981" i="3"/>
  <c r="O981" i="3"/>
  <c r="M981" i="3"/>
  <c r="L981" i="3"/>
  <c r="N981" i="3" s="1"/>
  <c r="K981" i="3"/>
  <c r="J981" i="3"/>
  <c r="E981" i="3"/>
  <c r="D981" i="3"/>
  <c r="T980" i="3"/>
  <c r="S980" i="3"/>
  <c r="R980" i="3"/>
  <c r="Q980" i="3"/>
  <c r="P980" i="3"/>
  <c r="O980" i="3"/>
  <c r="M980" i="3"/>
  <c r="L980" i="3"/>
  <c r="N980" i="3" s="1"/>
  <c r="K980" i="3"/>
  <c r="J980" i="3"/>
  <c r="E980" i="3"/>
  <c r="D980" i="3"/>
  <c r="T979" i="3"/>
  <c r="S979" i="3"/>
  <c r="R979" i="3"/>
  <c r="Q979" i="3"/>
  <c r="P979" i="3"/>
  <c r="O979" i="3"/>
  <c r="M979" i="3"/>
  <c r="L979" i="3"/>
  <c r="N979" i="3" s="1"/>
  <c r="K979" i="3"/>
  <c r="J979" i="3"/>
  <c r="E979" i="3"/>
  <c r="D979" i="3"/>
  <c r="T978" i="3"/>
  <c r="S978" i="3"/>
  <c r="R978" i="3"/>
  <c r="Q978" i="3"/>
  <c r="P978" i="3"/>
  <c r="O978" i="3"/>
  <c r="M978" i="3"/>
  <c r="L978" i="3"/>
  <c r="N978" i="3" s="1"/>
  <c r="K978" i="3"/>
  <c r="J978" i="3"/>
  <c r="E978" i="3"/>
  <c r="D978" i="3"/>
  <c r="T977" i="3"/>
  <c r="S977" i="3"/>
  <c r="R977" i="3"/>
  <c r="Q977" i="3"/>
  <c r="P977" i="3"/>
  <c r="O977" i="3"/>
  <c r="M977" i="3"/>
  <c r="L977" i="3"/>
  <c r="N977" i="3" s="1"/>
  <c r="K977" i="3"/>
  <c r="J977" i="3"/>
  <c r="E977" i="3"/>
  <c r="D977" i="3"/>
  <c r="T976" i="3"/>
  <c r="S976" i="3"/>
  <c r="R976" i="3"/>
  <c r="Q976" i="3"/>
  <c r="P976" i="3"/>
  <c r="O976" i="3"/>
  <c r="M976" i="3"/>
  <c r="L976" i="3"/>
  <c r="N976" i="3" s="1"/>
  <c r="K976" i="3"/>
  <c r="J976" i="3"/>
  <c r="E976" i="3"/>
  <c r="D976" i="3"/>
  <c r="T975" i="3"/>
  <c r="S975" i="3"/>
  <c r="R975" i="3"/>
  <c r="Q975" i="3"/>
  <c r="P975" i="3"/>
  <c r="O975" i="3"/>
  <c r="M975" i="3"/>
  <c r="L975" i="3"/>
  <c r="N975" i="3" s="1"/>
  <c r="K975" i="3"/>
  <c r="J975" i="3"/>
  <c r="E975" i="3"/>
  <c r="D975" i="3"/>
  <c r="T974" i="3"/>
  <c r="S974" i="3"/>
  <c r="R974" i="3"/>
  <c r="Q974" i="3"/>
  <c r="P974" i="3"/>
  <c r="O974" i="3"/>
  <c r="M974" i="3"/>
  <c r="L974" i="3"/>
  <c r="N974" i="3" s="1"/>
  <c r="K974" i="3"/>
  <c r="J974" i="3"/>
  <c r="E974" i="3"/>
  <c r="D974" i="3"/>
  <c r="T973" i="3"/>
  <c r="S973" i="3"/>
  <c r="R973" i="3"/>
  <c r="Q973" i="3"/>
  <c r="P973" i="3"/>
  <c r="O973" i="3"/>
  <c r="M973" i="3"/>
  <c r="L973" i="3"/>
  <c r="N973" i="3" s="1"/>
  <c r="K973" i="3"/>
  <c r="J973" i="3"/>
  <c r="E973" i="3"/>
  <c r="D973" i="3"/>
  <c r="T972" i="3"/>
  <c r="S972" i="3"/>
  <c r="R972" i="3"/>
  <c r="Q972" i="3"/>
  <c r="P972" i="3"/>
  <c r="O972" i="3"/>
  <c r="M972" i="3"/>
  <c r="L972" i="3"/>
  <c r="N972" i="3" s="1"/>
  <c r="K972" i="3"/>
  <c r="J972" i="3"/>
  <c r="E972" i="3"/>
  <c r="D972" i="3"/>
  <c r="T971" i="3"/>
  <c r="S971" i="3"/>
  <c r="R971" i="3"/>
  <c r="Q971" i="3"/>
  <c r="P971" i="3"/>
  <c r="O971" i="3"/>
  <c r="M971" i="3"/>
  <c r="L971" i="3"/>
  <c r="N971" i="3" s="1"/>
  <c r="K971" i="3"/>
  <c r="J971" i="3"/>
  <c r="E971" i="3"/>
  <c r="D971" i="3"/>
  <c r="T970" i="3"/>
  <c r="S970" i="3"/>
  <c r="R970" i="3"/>
  <c r="Q970" i="3"/>
  <c r="P970" i="3"/>
  <c r="O970" i="3"/>
  <c r="M970" i="3"/>
  <c r="L970" i="3"/>
  <c r="N970" i="3" s="1"/>
  <c r="K970" i="3"/>
  <c r="J970" i="3"/>
  <c r="E970" i="3"/>
  <c r="D970" i="3"/>
  <c r="T969" i="3"/>
  <c r="S969" i="3"/>
  <c r="R969" i="3"/>
  <c r="Q969" i="3"/>
  <c r="P969" i="3"/>
  <c r="O969" i="3"/>
  <c r="M969" i="3"/>
  <c r="L969" i="3"/>
  <c r="N969" i="3" s="1"/>
  <c r="K969" i="3"/>
  <c r="J969" i="3"/>
  <c r="E969" i="3"/>
  <c r="D969" i="3"/>
  <c r="T968" i="3"/>
  <c r="S968" i="3"/>
  <c r="R968" i="3"/>
  <c r="Q968" i="3"/>
  <c r="P968" i="3"/>
  <c r="O968" i="3"/>
  <c r="M968" i="3"/>
  <c r="L968" i="3"/>
  <c r="N968" i="3" s="1"/>
  <c r="K968" i="3"/>
  <c r="J968" i="3"/>
  <c r="E968" i="3"/>
  <c r="D968" i="3"/>
  <c r="T967" i="3"/>
  <c r="S967" i="3"/>
  <c r="R967" i="3"/>
  <c r="Q967" i="3"/>
  <c r="P967" i="3"/>
  <c r="O967" i="3"/>
  <c r="M967" i="3"/>
  <c r="L967" i="3"/>
  <c r="N967" i="3" s="1"/>
  <c r="K967" i="3"/>
  <c r="J967" i="3"/>
  <c r="E967" i="3"/>
  <c r="D967" i="3"/>
  <c r="T966" i="3"/>
  <c r="S966" i="3"/>
  <c r="R966" i="3"/>
  <c r="Q966" i="3"/>
  <c r="P966" i="3"/>
  <c r="O966" i="3"/>
  <c r="M966" i="3"/>
  <c r="L966" i="3"/>
  <c r="N966" i="3" s="1"/>
  <c r="K966" i="3"/>
  <c r="J966" i="3"/>
  <c r="E966" i="3"/>
  <c r="D966" i="3"/>
  <c r="T965" i="3"/>
  <c r="S965" i="3"/>
  <c r="R965" i="3"/>
  <c r="Q965" i="3"/>
  <c r="P965" i="3"/>
  <c r="O965" i="3"/>
  <c r="M965" i="3"/>
  <c r="L965" i="3"/>
  <c r="N965" i="3" s="1"/>
  <c r="K965" i="3"/>
  <c r="J965" i="3"/>
  <c r="E965" i="3"/>
  <c r="D965" i="3"/>
  <c r="T964" i="3"/>
  <c r="S964" i="3"/>
  <c r="R964" i="3"/>
  <c r="Q964" i="3"/>
  <c r="P964" i="3"/>
  <c r="O964" i="3"/>
  <c r="M964" i="3"/>
  <c r="L964" i="3"/>
  <c r="N964" i="3" s="1"/>
  <c r="K964" i="3"/>
  <c r="J964" i="3"/>
  <c r="E964" i="3"/>
  <c r="D964" i="3"/>
  <c r="T963" i="3"/>
  <c r="S963" i="3"/>
  <c r="R963" i="3"/>
  <c r="Q963" i="3"/>
  <c r="P963" i="3"/>
  <c r="O963" i="3"/>
  <c r="M963" i="3"/>
  <c r="L963" i="3"/>
  <c r="N963" i="3" s="1"/>
  <c r="K963" i="3"/>
  <c r="J963" i="3"/>
  <c r="E963" i="3"/>
  <c r="D963" i="3"/>
  <c r="T962" i="3"/>
  <c r="S962" i="3"/>
  <c r="R962" i="3"/>
  <c r="Q962" i="3"/>
  <c r="P962" i="3"/>
  <c r="O962" i="3"/>
  <c r="M962" i="3"/>
  <c r="L962" i="3"/>
  <c r="N962" i="3" s="1"/>
  <c r="K962" i="3"/>
  <c r="J962" i="3"/>
  <c r="E962" i="3"/>
  <c r="D962" i="3"/>
  <c r="T961" i="3"/>
  <c r="S961" i="3"/>
  <c r="R961" i="3"/>
  <c r="Q961" i="3"/>
  <c r="P961" i="3"/>
  <c r="O961" i="3"/>
  <c r="M961" i="3"/>
  <c r="L961" i="3"/>
  <c r="N961" i="3" s="1"/>
  <c r="K961" i="3"/>
  <c r="J961" i="3"/>
  <c r="E961" i="3"/>
  <c r="D961" i="3"/>
  <c r="T960" i="3"/>
  <c r="S960" i="3"/>
  <c r="R960" i="3"/>
  <c r="Q960" i="3"/>
  <c r="P960" i="3"/>
  <c r="O960" i="3"/>
  <c r="M960" i="3"/>
  <c r="L960" i="3"/>
  <c r="N960" i="3" s="1"/>
  <c r="K960" i="3"/>
  <c r="J960" i="3"/>
  <c r="E960" i="3"/>
  <c r="D960" i="3"/>
  <c r="T959" i="3"/>
  <c r="S959" i="3"/>
  <c r="R959" i="3"/>
  <c r="Q959" i="3"/>
  <c r="P959" i="3"/>
  <c r="O959" i="3"/>
  <c r="M959" i="3"/>
  <c r="L959" i="3"/>
  <c r="N959" i="3" s="1"/>
  <c r="K959" i="3"/>
  <c r="J959" i="3"/>
  <c r="E959" i="3"/>
  <c r="D959" i="3"/>
  <c r="T958" i="3"/>
  <c r="S958" i="3"/>
  <c r="R958" i="3"/>
  <c r="Q958" i="3"/>
  <c r="P958" i="3"/>
  <c r="O958" i="3"/>
  <c r="M958" i="3"/>
  <c r="L958" i="3"/>
  <c r="N958" i="3" s="1"/>
  <c r="K958" i="3"/>
  <c r="J958" i="3"/>
  <c r="E958" i="3"/>
  <c r="D958" i="3"/>
  <c r="T957" i="3"/>
  <c r="S957" i="3"/>
  <c r="R957" i="3"/>
  <c r="Q957" i="3"/>
  <c r="P957" i="3"/>
  <c r="O957" i="3"/>
  <c r="M957" i="3"/>
  <c r="L957" i="3"/>
  <c r="N957" i="3" s="1"/>
  <c r="K957" i="3"/>
  <c r="J957" i="3"/>
  <c r="E957" i="3"/>
  <c r="D957" i="3"/>
  <c r="T956" i="3"/>
  <c r="S956" i="3"/>
  <c r="R956" i="3"/>
  <c r="Q956" i="3"/>
  <c r="P956" i="3"/>
  <c r="O956" i="3"/>
  <c r="M956" i="3"/>
  <c r="L956" i="3"/>
  <c r="N956" i="3" s="1"/>
  <c r="K956" i="3"/>
  <c r="J956" i="3"/>
  <c r="E956" i="3"/>
  <c r="D956" i="3"/>
  <c r="T955" i="3"/>
  <c r="S955" i="3"/>
  <c r="R955" i="3"/>
  <c r="Q955" i="3"/>
  <c r="P955" i="3"/>
  <c r="O955" i="3"/>
  <c r="M955" i="3"/>
  <c r="L955" i="3"/>
  <c r="N955" i="3" s="1"/>
  <c r="K955" i="3"/>
  <c r="J955" i="3"/>
  <c r="E955" i="3"/>
  <c r="D955" i="3"/>
  <c r="T954" i="3"/>
  <c r="S954" i="3"/>
  <c r="R954" i="3"/>
  <c r="Q954" i="3"/>
  <c r="P954" i="3"/>
  <c r="O954" i="3"/>
  <c r="M954" i="3"/>
  <c r="L954" i="3"/>
  <c r="N954" i="3" s="1"/>
  <c r="K954" i="3"/>
  <c r="J954" i="3"/>
  <c r="E954" i="3"/>
  <c r="D954" i="3"/>
  <c r="T953" i="3"/>
  <c r="S953" i="3"/>
  <c r="R953" i="3"/>
  <c r="Q953" i="3"/>
  <c r="P953" i="3"/>
  <c r="O953" i="3"/>
  <c r="M953" i="3"/>
  <c r="L953" i="3"/>
  <c r="N953" i="3" s="1"/>
  <c r="K953" i="3"/>
  <c r="J953" i="3"/>
  <c r="E953" i="3"/>
  <c r="D953" i="3"/>
  <c r="T952" i="3"/>
  <c r="S952" i="3"/>
  <c r="R952" i="3"/>
  <c r="Q952" i="3"/>
  <c r="P952" i="3"/>
  <c r="O952" i="3"/>
  <c r="M952" i="3"/>
  <c r="L952" i="3"/>
  <c r="N952" i="3" s="1"/>
  <c r="K952" i="3"/>
  <c r="J952" i="3"/>
  <c r="E952" i="3"/>
  <c r="D952" i="3"/>
  <c r="T951" i="3"/>
  <c r="S951" i="3"/>
  <c r="R951" i="3"/>
  <c r="Q951" i="3"/>
  <c r="P951" i="3"/>
  <c r="O951" i="3"/>
  <c r="M951" i="3"/>
  <c r="L951" i="3"/>
  <c r="N951" i="3" s="1"/>
  <c r="K951" i="3"/>
  <c r="J951" i="3"/>
  <c r="E951" i="3"/>
  <c r="D951" i="3"/>
  <c r="T950" i="3"/>
  <c r="S950" i="3"/>
  <c r="R950" i="3"/>
  <c r="Q950" i="3"/>
  <c r="P950" i="3"/>
  <c r="O950" i="3"/>
  <c r="M950" i="3"/>
  <c r="L950" i="3"/>
  <c r="N950" i="3" s="1"/>
  <c r="K950" i="3"/>
  <c r="J950" i="3"/>
  <c r="E950" i="3"/>
  <c r="D950" i="3"/>
  <c r="T949" i="3"/>
  <c r="S949" i="3"/>
  <c r="R949" i="3"/>
  <c r="Q949" i="3"/>
  <c r="P949" i="3"/>
  <c r="O949" i="3"/>
  <c r="M949" i="3"/>
  <c r="L949" i="3"/>
  <c r="N949" i="3" s="1"/>
  <c r="K949" i="3"/>
  <c r="J949" i="3"/>
  <c r="E949" i="3"/>
  <c r="D949" i="3"/>
  <c r="T948" i="3"/>
  <c r="S948" i="3"/>
  <c r="R948" i="3"/>
  <c r="Q948" i="3"/>
  <c r="P948" i="3"/>
  <c r="O948" i="3"/>
  <c r="M948" i="3"/>
  <c r="L948" i="3"/>
  <c r="N948" i="3" s="1"/>
  <c r="K948" i="3"/>
  <c r="J948" i="3"/>
  <c r="E948" i="3"/>
  <c r="D948" i="3"/>
  <c r="T947" i="3"/>
  <c r="S947" i="3"/>
  <c r="R947" i="3"/>
  <c r="Q947" i="3"/>
  <c r="P947" i="3"/>
  <c r="O947" i="3"/>
  <c r="M947" i="3"/>
  <c r="L947" i="3"/>
  <c r="N947" i="3" s="1"/>
  <c r="K947" i="3"/>
  <c r="J947" i="3"/>
  <c r="E947" i="3"/>
  <c r="D947" i="3"/>
  <c r="T946" i="3"/>
  <c r="S946" i="3"/>
  <c r="R946" i="3"/>
  <c r="Q946" i="3"/>
  <c r="P946" i="3"/>
  <c r="O946" i="3"/>
  <c r="M946" i="3"/>
  <c r="L946" i="3"/>
  <c r="N946" i="3" s="1"/>
  <c r="K946" i="3"/>
  <c r="J946" i="3"/>
  <c r="E946" i="3"/>
  <c r="D946" i="3"/>
  <c r="T945" i="3"/>
  <c r="S945" i="3"/>
  <c r="R945" i="3"/>
  <c r="Q945" i="3"/>
  <c r="P945" i="3"/>
  <c r="O945" i="3"/>
  <c r="M945" i="3"/>
  <c r="L945" i="3"/>
  <c r="N945" i="3" s="1"/>
  <c r="K945" i="3"/>
  <c r="J945" i="3"/>
  <c r="E945" i="3"/>
  <c r="D945" i="3"/>
  <c r="T944" i="3"/>
  <c r="S944" i="3"/>
  <c r="R944" i="3"/>
  <c r="Q944" i="3"/>
  <c r="P944" i="3"/>
  <c r="O944" i="3"/>
  <c r="M944" i="3"/>
  <c r="L944" i="3"/>
  <c r="N944" i="3" s="1"/>
  <c r="K944" i="3"/>
  <c r="J944" i="3"/>
  <c r="E944" i="3"/>
  <c r="D944" i="3"/>
  <c r="T943" i="3"/>
  <c r="S943" i="3"/>
  <c r="R943" i="3"/>
  <c r="Q943" i="3"/>
  <c r="P943" i="3"/>
  <c r="O943" i="3"/>
  <c r="M943" i="3"/>
  <c r="L943" i="3"/>
  <c r="N943" i="3" s="1"/>
  <c r="K943" i="3"/>
  <c r="J943" i="3"/>
  <c r="E943" i="3"/>
  <c r="D943" i="3"/>
  <c r="T942" i="3"/>
  <c r="S942" i="3"/>
  <c r="R942" i="3"/>
  <c r="Q942" i="3"/>
  <c r="P942" i="3"/>
  <c r="O942" i="3"/>
  <c r="M942" i="3"/>
  <c r="L942" i="3"/>
  <c r="N942" i="3" s="1"/>
  <c r="K942" i="3"/>
  <c r="J942" i="3"/>
  <c r="E942" i="3"/>
  <c r="D942" i="3"/>
  <c r="T941" i="3"/>
  <c r="S941" i="3"/>
  <c r="R941" i="3"/>
  <c r="Q941" i="3"/>
  <c r="P941" i="3"/>
  <c r="O941" i="3"/>
  <c r="M941" i="3"/>
  <c r="L941" i="3"/>
  <c r="N941" i="3" s="1"/>
  <c r="K941" i="3"/>
  <c r="J941" i="3"/>
  <c r="E941" i="3"/>
  <c r="D941" i="3"/>
  <c r="T940" i="3"/>
  <c r="S940" i="3"/>
  <c r="R940" i="3"/>
  <c r="Q940" i="3"/>
  <c r="P940" i="3"/>
  <c r="O940" i="3"/>
  <c r="M940" i="3"/>
  <c r="L940" i="3"/>
  <c r="N940" i="3" s="1"/>
  <c r="K940" i="3"/>
  <c r="J940" i="3"/>
  <c r="E940" i="3"/>
  <c r="D940" i="3"/>
  <c r="T939" i="3"/>
  <c r="S939" i="3"/>
  <c r="R939" i="3"/>
  <c r="Q939" i="3"/>
  <c r="P939" i="3"/>
  <c r="O939" i="3"/>
  <c r="M939" i="3"/>
  <c r="L939" i="3"/>
  <c r="N939" i="3" s="1"/>
  <c r="K939" i="3"/>
  <c r="J939" i="3"/>
  <c r="E939" i="3"/>
  <c r="D939" i="3"/>
  <c r="T938" i="3"/>
  <c r="S938" i="3"/>
  <c r="R938" i="3"/>
  <c r="Q938" i="3"/>
  <c r="P938" i="3"/>
  <c r="O938" i="3"/>
  <c r="M938" i="3"/>
  <c r="L938" i="3"/>
  <c r="N938" i="3" s="1"/>
  <c r="K938" i="3"/>
  <c r="J938" i="3"/>
  <c r="E938" i="3"/>
  <c r="D938" i="3"/>
  <c r="T937" i="3"/>
  <c r="S937" i="3"/>
  <c r="R937" i="3"/>
  <c r="Q937" i="3"/>
  <c r="P937" i="3"/>
  <c r="O937" i="3"/>
  <c r="M937" i="3"/>
  <c r="L937" i="3"/>
  <c r="N937" i="3" s="1"/>
  <c r="K937" i="3"/>
  <c r="J937" i="3"/>
  <c r="E937" i="3"/>
  <c r="D937" i="3"/>
  <c r="T936" i="3"/>
  <c r="S936" i="3"/>
  <c r="R936" i="3"/>
  <c r="Q936" i="3"/>
  <c r="P936" i="3"/>
  <c r="O936" i="3"/>
  <c r="M936" i="3"/>
  <c r="L936" i="3"/>
  <c r="N936" i="3" s="1"/>
  <c r="K936" i="3"/>
  <c r="J936" i="3"/>
  <c r="E936" i="3"/>
  <c r="D936" i="3"/>
  <c r="T935" i="3"/>
  <c r="S935" i="3"/>
  <c r="R935" i="3"/>
  <c r="Q935" i="3"/>
  <c r="P935" i="3"/>
  <c r="O935" i="3"/>
  <c r="M935" i="3"/>
  <c r="L935" i="3"/>
  <c r="N935" i="3" s="1"/>
  <c r="K935" i="3"/>
  <c r="J935" i="3"/>
  <c r="E935" i="3"/>
  <c r="D935" i="3"/>
  <c r="T934" i="3"/>
  <c r="S934" i="3"/>
  <c r="R934" i="3"/>
  <c r="Q934" i="3"/>
  <c r="P934" i="3"/>
  <c r="O934" i="3"/>
  <c r="M934" i="3"/>
  <c r="L934" i="3"/>
  <c r="N934" i="3" s="1"/>
  <c r="K934" i="3"/>
  <c r="J934" i="3"/>
  <c r="E934" i="3"/>
  <c r="D934" i="3"/>
  <c r="T933" i="3"/>
  <c r="S933" i="3"/>
  <c r="R933" i="3"/>
  <c r="Q933" i="3"/>
  <c r="P933" i="3"/>
  <c r="O933" i="3"/>
  <c r="M933" i="3"/>
  <c r="L933" i="3"/>
  <c r="N933" i="3" s="1"/>
  <c r="K933" i="3"/>
  <c r="J933" i="3"/>
  <c r="E933" i="3"/>
  <c r="D933" i="3"/>
  <c r="T932" i="3"/>
  <c r="S932" i="3"/>
  <c r="R932" i="3"/>
  <c r="Q932" i="3"/>
  <c r="P932" i="3"/>
  <c r="O932" i="3"/>
  <c r="M932" i="3"/>
  <c r="L932" i="3"/>
  <c r="N932" i="3" s="1"/>
  <c r="K932" i="3"/>
  <c r="J932" i="3"/>
  <c r="E932" i="3"/>
  <c r="D932" i="3"/>
  <c r="T931" i="3"/>
  <c r="S931" i="3"/>
  <c r="R931" i="3"/>
  <c r="Q931" i="3"/>
  <c r="P931" i="3"/>
  <c r="O931" i="3"/>
  <c r="M931" i="3"/>
  <c r="L931" i="3"/>
  <c r="N931" i="3" s="1"/>
  <c r="K931" i="3"/>
  <c r="J931" i="3"/>
  <c r="E931" i="3"/>
  <c r="D931" i="3"/>
  <c r="T930" i="3"/>
  <c r="S930" i="3"/>
  <c r="R930" i="3"/>
  <c r="Q930" i="3"/>
  <c r="P930" i="3"/>
  <c r="O930" i="3"/>
  <c r="M930" i="3"/>
  <c r="L930" i="3"/>
  <c r="N930" i="3" s="1"/>
  <c r="K930" i="3"/>
  <c r="J930" i="3"/>
  <c r="E930" i="3"/>
  <c r="D930" i="3"/>
  <c r="T929" i="3"/>
  <c r="S929" i="3"/>
  <c r="R929" i="3"/>
  <c r="Q929" i="3"/>
  <c r="P929" i="3"/>
  <c r="O929" i="3"/>
  <c r="M929" i="3"/>
  <c r="L929" i="3"/>
  <c r="N929" i="3" s="1"/>
  <c r="K929" i="3"/>
  <c r="J929" i="3"/>
  <c r="E929" i="3"/>
  <c r="D929" i="3"/>
  <c r="T928" i="3"/>
  <c r="S928" i="3"/>
  <c r="R928" i="3"/>
  <c r="Q928" i="3"/>
  <c r="P928" i="3"/>
  <c r="O928" i="3"/>
  <c r="M928" i="3"/>
  <c r="L928" i="3"/>
  <c r="N928" i="3" s="1"/>
  <c r="K928" i="3"/>
  <c r="J928" i="3"/>
  <c r="E928" i="3"/>
  <c r="D928" i="3"/>
  <c r="T927" i="3"/>
  <c r="S927" i="3"/>
  <c r="R927" i="3"/>
  <c r="Q927" i="3"/>
  <c r="P927" i="3"/>
  <c r="O927" i="3"/>
  <c r="M927" i="3"/>
  <c r="L927" i="3"/>
  <c r="N927" i="3" s="1"/>
  <c r="K927" i="3"/>
  <c r="J927" i="3"/>
  <c r="E927" i="3"/>
  <c r="D927" i="3"/>
  <c r="T926" i="3"/>
  <c r="S926" i="3"/>
  <c r="R926" i="3"/>
  <c r="Q926" i="3"/>
  <c r="P926" i="3"/>
  <c r="O926" i="3"/>
  <c r="M926" i="3"/>
  <c r="L926" i="3"/>
  <c r="N926" i="3" s="1"/>
  <c r="K926" i="3"/>
  <c r="J926" i="3"/>
  <c r="E926" i="3"/>
  <c r="D926" i="3"/>
  <c r="T925" i="3"/>
  <c r="S925" i="3"/>
  <c r="R925" i="3"/>
  <c r="Q925" i="3"/>
  <c r="P925" i="3"/>
  <c r="O925" i="3"/>
  <c r="M925" i="3"/>
  <c r="L925" i="3"/>
  <c r="N925" i="3" s="1"/>
  <c r="K925" i="3"/>
  <c r="J925" i="3"/>
  <c r="E925" i="3"/>
  <c r="D925" i="3"/>
  <c r="T924" i="3"/>
  <c r="S924" i="3"/>
  <c r="R924" i="3"/>
  <c r="Q924" i="3"/>
  <c r="P924" i="3"/>
  <c r="O924" i="3"/>
  <c r="M924" i="3"/>
  <c r="L924" i="3"/>
  <c r="N924" i="3" s="1"/>
  <c r="K924" i="3"/>
  <c r="J924" i="3"/>
  <c r="E924" i="3"/>
  <c r="D924" i="3"/>
  <c r="T923" i="3"/>
  <c r="S923" i="3"/>
  <c r="R923" i="3"/>
  <c r="Q923" i="3"/>
  <c r="P923" i="3"/>
  <c r="O923" i="3"/>
  <c r="M923" i="3"/>
  <c r="L923" i="3"/>
  <c r="N923" i="3" s="1"/>
  <c r="K923" i="3"/>
  <c r="J923" i="3"/>
  <c r="E923" i="3"/>
  <c r="D923" i="3"/>
  <c r="T922" i="3"/>
  <c r="S922" i="3"/>
  <c r="R922" i="3"/>
  <c r="Q922" i="3"/>
  <c r="P922" i="3"/>
  <c r="O922" i="3"/>
  <c r="M922" i="3"/>
  <c r="L922" i="3"/>
  <c r="N922" i="3" s="1"/>
  <c r="K922" i="3"/>
  <c r="J922" i="3"/>
  <c r="E922" i="3"/>
  <c r="D922" i="3"/>
  <c r="T921" i="3"/>
  <c r="S921" i="3"/>
  <c r="R921" i="3"/>
  <c r="Q921" i="3"/>
  <c r="P921" i="3"/>
  <c r="O921" i="3"/>
  <c r="M921" i="3"/>
  <c r="L921" i="3"/>
  <c r="N921" i="3" s="1"/>
  <c r="K921" i="3"/>
  <c r="J921" i="3"/>
  <c r="E921" i="3"/>
  <c r="D921" i="3"/>
  <c r="T920" i="3"/>
  <c r="S920" i="3"/>
  <c r="R920" i="3"/>
  <c r="Q920" i="3"/>
  <c r="P920" i="3"/>
  <c r="O920" i="3"/>
  <c r="M920" i="3"/>
  <c r="L920" i="3"/>
  <c r="N920" i="3" s="1"/>
  <c r="K920" i="3"/>
  <c r="J920" i="3"/>
  <c r="E920" i="3"/>
  <c r="D920" i="3"/>
  <c r="T919" i="3"/>
  <c r="S919" i="3"/>
  <c r="R919" i="3"/>
  <c r="Q919" i="3"/>
  <c r="P919" i="3"/>
  <c r="O919" i="3"/>
  <c r="M919" i="3"/>
  <c r="L919" i="3"/>
  <c r="N919" i="3" s="1"/>
  <c r="K919" i="3"/>
  <c r="J919" i="3"/>
  <c r="E919" i="3"/>
  <c r="D919" i="3"/>
  <c r="T918" i="3"/>
  <c r="S918" i="3"/>
  <c r="R918" i="3"/>
  <c r="Q918" i="3"/>
  <c r="P918" i="3"/>
  <c r="O918" i="3"/>
  <c r="M918" i="3"/>
  <c r="L918" i="3"/>
  <c r="N918" i="3" s="1"/>
  <c r="K918" i="3"/>
  <c r="J918" i="3"/>
  <c r="E918" i="3"/>
  <c r="D918" i="3"/>
  <c r="T917" i="3"/>
  <c r="S917" i="3"/>
  <c r="R917" i="3"/>
  <c r="Q917" i="3"/>
  <c r="P917" i="3"/>
  <c r="O917" i="3"/>
  <c r="M917" i="3"/>
  <c r="L917" i="3"/>
  <c r="N917" i="3" s="1"/>
  <c r="K917" i="3"/>
  <c r="J917" i="3"/>
  <c r="E917" i="3"/>
  <c r="D917" i="3"/>
  <c r="T916" i="3"/>
  <c r="S916" i="3"/>
  <c r="R916" i="3"/>
  <c r="Q916" i="3"/>
  <c r="P916" i="3"/>
  <c r="O916" i="3"/>
  <c r="M916" i="3"/>
  <c r="L916" i="3"/>
  <c r="N916" i="3" s="1"/>
  <c r="K916" i="3"/>
  <c r="J916" i="3"/>
  <c r="E916" i="3"/>
  <c r="D916" i="3"/>
  <c r="T915" i="3"/>
  <c r="S915" i="3"/>
  <c r="R915" i="3"/>
  <c r="Q915" i="3"/>
  <c r="P915" i="3"/>
  <c r="O915" i="3"/>
  <c r="M915" i="3"/>
  <c r="L915" i="3"/>
  <c r="N915" i="3" s="1"/>
  <c r="K915" i="3"/>
  <c r="J915" i="3"/>
  <c r="E915" i="3"/>
  <c r="D915" i="3"/>
  <c r="T914" i="3"/>
  <c r="S914" i="3"/>
  <c r="R914" i="3"/>
  <c r="Q914" i="3"/>
  <c r="P914" i="3"/>
  <c r="O914" i="3"/>
  <c r="M914" i="3"/>
  <c r="L914" i="3"/>
  <c r="N914" i="3" s="1"/>
  <c r="K914" i="3"/>
  <c r="J914" i="3"/>
  <c r="E914" i="3"/>
  <c r="D914" i="3"/>
  <c r="T913" i="3"/>
  <c r="S913" i="3"/>
  <c r="R913" i="3"/>
  <c r="Q913" i="3"/>
  <c r="P913" i="3"/>
  <c r="O913" i="3"/>
  <c r="M913" i="3"/>
  <c r="L913" i="3"/>
  <c r="N913" i="3" s="1"/>
  <c r="K913" i="3"/>
  <c r="J913" i="3"/>
  <c r="E913" i="3"/>
  <c r="D913" i="3"/>
  <c r="T912" i="3"/>
  <c r="S912" i="3"/>
  <c r="R912" i="3"/>
  <c r="Q912" i="3"/>
  <c r="P912" i="3"/>
  <c r="O912" i="3"/>
  <c r="M912" i="3"/>
  <c r="L912" i="3"/>
  <c r="N912" i="3" s="1"/>
  <c r="K912" i="3"/>
  <c r="J912" i="3"/>
  <c r="E912" i="3"/>
  <c r="D912" i="3"/>
  <c r="T911" i="3"/>
  <c r="S911" i="3"/>
  <c r="R911" i="3"/>
  <c r="Q911" i="3"/>
  <c r="P911" i="3"/>
  <c r="O911" i="3"/>
  <c r="M911" i="3"/>
  <c r="L911" i="3"/>
  <c r="N911" i="3" s="1"/>
  <c r="K911" i="3"/>
  <c r="J911" i="3"/>
  <c r="E911" i="3"/>
  <c r="D911" i="3"/>
  <c r="T910" i="3"/>
  <c r="S910" i="3"/>
  <c r="R910" i="3"/>
  <c r="Q910" i="3"/>
  <c r="P910" i="3"/>
  <c r="O910" i="3"/>
  <c r="M910" i="3"/>
  <c r="L910" i="3"/>
  <c r="N910" i="3" s="1"/>
  <c r="K910" i="3"/>
  <c r="J910" i="3"/>
  <c r="E910" i="3"/>
  <c r="D910" i="3"/>
  <c r="P517" i="3"/>
  <c r="M517" i="3"/>
  <c r="J517" i="3"/>
  <c r="P516" i="3"/>
  <c r="M516" i="3"/>
  <c r="L516" i="3"/>
  <c r="N516" i="3" s="1"/>
  <c r="K516" i="3"/>
  <c r="J516" i="3"/>
  <c r="R515" i="3"/>
  <c r="O515" i="3"/>
  <c r="M515" i="3"/>
  <c r="L515" i="3"/>
  <c r="N515" i="3" s="1"/>
  <c r="K515" i="3"/>
  <c r="J515" i="3"/>
  <c r="R514" i="3"/>
  <c r="P514" i="3"/>
  <c r="E514" i="3"/>
  <c r="D514" i="3"/>
  <c r="T513" i="3"/>
  <c r="S513" i="3"/>
  <c r="Q513" i="3"/>
  <c r="P513" i="3"/>
  <c r="M513" i="3"/>
  <c r="L513" i="3"/>
  <c r="N513" i="3" s="1"/>
  <c r="K513" i="3"/>
  <c r="E513" i="3"/>
  <c r="D513" i="3"/>
  <c r="T512" i="3"/>
  <c r="R512" i="3"/>
  <c r="P512" i="3"/>
  <c r="K512" i="3"/>
  <c r="E512" i="3"/>
  <c r="D512" i="3"/>
  <c r="T511" i="3"/>
  <c r="S511" i="3"/>
  <c r="R511" i="3"/>
  <c r="Q511" i="3"/>
  <c r="O511" i="3"/>
  <c r="M511" i="3"/>
  <c r="K511" i="3"/>
  <c r="T510" i="3"/>
  <c r="S510" i="3"/>
  <c r="R510" i="3"/>
  <c r="P510" i="3"/>
  <c r="O510" i="3"/>
  <c r="M510" i="3"/>
  <c r="K510" i="3"/>
  <c r="E510" i="3"/>
  <c r="D510" i="3"/>
  <c r="T509" i="3"/>
  <c r="S509" i="3"/>
  <c r="R509" i="3"/>
  <c r="P509" i="3"/>
  <c r="M509" i="3"/>
  <c r="K509" i="3"/>
  <c r="E509" i="3"/>
  <c r="D509" i="3"/>
  <c r="T508" i="3"/>
  <c r="R508" i="3"/>
  <c r="Q508" i="3"/>
  <c r="O508" i="3"/>
  <c r="M508" i="3"/>
  <c r="K508" i="3"/>
  <c r="D508" i="3"/>
  <c r="T507" i="3"/>
  <c r="S507" i="3"/>
  <c r="Q507" i="3"/>
  <c r="P507" i="3"/>
  <c r="E507" i="3"/>
  <c r="D507" i="3"/>
  <c r="R506" i="3"/>
  <c r="P506" i="3"/>
  <c r="M506" i="3"/>
  <c r="J506" i="3"/>
  <c r="T505" i="3"/>
  <c r="Q505" i="3"/>
  <c r="E505" i="3"/>
  <c r="T504" i="3"/>
  <c r="S504" i="3"/>
  <c r="P504" i="3"/>
  <c r="M504" i="3"/>
  <c r="K504" i="3"/>
  <c r="E504" i="3"/>
  <c r="T503" i="3"/>
  <c r="R503" i="3"/>
  <c r="P503" i="3"/>
  <c r="M503" i="3"/>
  <c r="K503" i="3"/>
  <c r="R502" i="3"/>
  <c r="L502" i="3"/>
  <c r="N502" i="3" s="1"/>
  <c r="S501" i="3"/>
  <c r="P501" i="3"/>
  <c r="M501" i="3"/>
  <c r="J501" i="3"/>
  <c r="D501" i="3"/>
  <c r="B501" i="3"/>
  <c r="T500" i="3"/>
  <c r="R500" i="3"/>
  <c r="P500" i="3"/>
  <c r="K500" i="3"/>
  <c r="E500" i="3"/>
  <c r="T499" i="3"/>
  <c r="S499" i="3"/>
  <c r="P499" i="3"/>
  <c r="K499" i="3"/>
  <c r="E499" i="3"/>
  <c r="B499" i="3"/>
  <c r="P498" i="3"/>
  <c r="L498" i="3"/>
  <c r="N498" i="3" s="1"/>
  <c r="J498" i="3"/>
  <c r="E498" i="3"/>
  <c r="T497" i="3"/>
  <c r="S497" i="3"/>
  <c r="Q497" i="3"/>
  <c r="L497" i="3"/>
  <c r="N497" i="3" s="1"/>
  <c r="D497" i="3"/>
  <c r="B497" i="3"/>
  <c r="S496" i="3"/>
  <c r="P496" i="3"/>
  <c r="M496" i="3"/>
  <c r="J496" i="3"/>
  <c r="D496" i="3"/>
  <c r="B496" i="3"/>
  <c r="R495" i="3"/>
  <c r="O495" i="3"/>
  <c r="L495" i="3"/>
  <c r="N495" i="3" s="1"/>
  <c r="J495" i="3"/>
  <c r="D495" i="3"/>
  <c r="B495" i="3"/>
  <c r="R494" i="3"/>
  <c r="Q494" i="3"/>
  <c r="K494" i="3"/>
  <c r="E494" i="3"/>
  <c r="S493" i="3"/>
  <c r="Q493" i="3"/>
  <c r="K493" i="3"/>
  <c r="D493" i="3"/>
  <c r="B493" i="3"/>
  <c r="P492" i="3"/>
  <c r="M492" i="3"/>
  <c r="K492" i="3"/>
  <c r="D492" i="3"/>
  <c r="B492" i="3"/>
  <c r="Q491" i="3"/>
  <c r="L491" i="3"/>
  <c r="N491" i="3" s="1"/>
  <c r="J491" i="3"/>
  <c r="T490" i="3"/>
  <c r="S490" i="3"/>
  <c r="P490" i="3"/>
  <c r="L490" i="3"/>
  <c r="N490" i="3" s="1"/>
  <c r="S489" i="3"/>
  <c r="P489" i="3"/>
  <c r="K489" i="3"/>
  <c r="E489" i="3"/>
  <c r="R488" i="3"/>
  <c r="O488" i="3"/>
  <c r="L488" i="3"/>
  <c r="N488" i="3" s="1"/>
  <c r="S487" i="3"/>
  <c r="P487" i="3"/>
  <c r="M487" i="3"/>
  <c r="L487" i="3"/>
  <c r="N487" i="3" s="1"/>
  <c r="S486" i="3"/>
  <c r="Q486" i="3"/>
  <c r="L486" i="3"/>
  <c r="N486" i="3" s="1"/>
  <c r="S485" i="3"/>
  <c r="Q485" i="3"/>
  <c r="K485" i="3"/>
  <c r="S484" i="3"/>
  <c r="O484" i="3"/>
  <c r="L484" i="3"/>
  <c r="N484" i="3" s="1"/>
  <c r="J484" i="3"/>
  <c r="D484" i="3"/>
  <c r="B484" i="3"/>
  <c r="S483" i="3"/>
  <c r="O483" i="3"/>
  <c r="L483" i="3"/>
  <c r="N483" i="3" s="1"/>
  <c r="S482" i="3"/>
  <c r="Q482" i="3"/>
  <c r="J482" i="3"/>
  <c r="O481" i="3"/>
  <c r="L481" i="3"/>
  <c r="N481" i="3" s="1"/>
  <c r="E481" i="3"/>
  <c r="S480" i="3"/>
  <c r="Q480" i="3"/>
  <c r="M480" i="3"/>
  <c r="K480" i="3"/>
  <c r="S479" i="3"/>
  <c r="P479" i="3"/>
  <c r="M479" i="3"/>
  <c r="K479" i="3"/>
  <c r="D479" i="3"/>
  <c r="T478" i="3"/>
  <c r="S478" i="3"/>
  <c r="P478" i="3"/>
  <c r="O478" i="3"/>
  <c r="M478" i="3"/>
  <c r="J478" i="3"/>
  <c r="E478" i="3"/>
  <c r="T477" i="3"/>
  <c r="S477" i="3"/>
  <c r="R477" i="3"/>
  <c r="O477" i="3"/>
  <c r="M477" i="3"/>
  <c r="K477" i="3"/>
  <c r="E477" i="3"/>
  <c r="S476" i="3"/>
  <c r="Q476" i="3"/>
  <c r="M476" i="3"/>
  <c r="J476" i="3"/>
  <c r="E476" i="3"/>
  <c r="T475" i="3"/>
  <c r="R475" i="3"/>
  <c r="P475" i="3"/>
  <c r="L475" i="3"/>
  <c r="N475" i="3" s="1"/>
  <c r="R474" i="3"/>
  <c r="O474" i="3"/>
  <c r="L474" i="3"/>
  <c r="N474" i="3" s="1"/>
  <c r="J474" i="3"/>
  <c r="D474" i="3"/>
  <c r="M473" i="3"/>
  <c r="K473" i="3"/>
  <c r="E473" i="3"/>
  <c r="T472" i="3"/>
  <c r="S472" i="3"/>
  <c r="P472" i="3"/>
  <c r="M472" i="3"/>
  <c r="J472" i="3"/>
  <c r="E472" i="3"/>
  <c r="T471" i="3"/>
  <c r="R471" i="3"/>
  <c r="P471" i="3"/>
  <c r="M471" i="3"/>
  <c r="J471" i="3"/>
  <c r="E471" i="3"/>
  <c r="D471" i="3"/>
  <c r="B471" i="3"/>
  <c r="Q470" i="3"/>
  <c r="L470" i="3"/>
  <c r="N470" i="3" s="1"/>
  <c r="J470" i="3"/>
  <c r="E470" i="3"/>
  <c r="D470" i="3"/>
  <c r="B470" i="3"/>
  <c r="T469" i="3"/>
  <c r="S469" i="3"/>
  <c r="R469" i="3"/>
  <c r="L469" i="3"/>
  <c r="N469" i="3" s="1"/>
  <c r="D469" i="3"/>
  <c r="B469" i="3"/>
  <c r="R468" i="3"/>
  <c r="O468" i="3"/>
  <c r="L468" i="3"/>
  <c r="N468" i="3" s="1"/>
  <c r="K468" i="3"/>
  <c r="E468" i="3"/>
  <c r="T467" i="3"/>
  <c r="R467" i="3"/>
  <c r="O467" i="3"/>
  <c r="J467" i="3"/>
  <c r="Q466" i="3"/>
  <c r="K466" i="3"/>
  <c r="E466" i="3"/>
  <c r="S465" i="3"/>
  <c r="Q465" i="3"/>
  <c r="K465" i="3"/>
  <c r="D465" i="3"/>
  <c r="K464" i="3"/>
  <c r="E464" i="3"/>
  <c r="T463" i="3"/>
  <c r="R463" i="3"/>
  <c r="K463" i="3"/>
  <c r="D463" i="3"/>
  <c r="B463" i="3"/>
  <c r="Q462" i="3"/>
  <c r="L462" i="3"/>
  <c r="N462" i="3" s="1"/>
  <c r="Q461" i="3"/>
  <c r="M461" i="3"/>
  <c r="K461" i="3"/>
  <c r="E461" i="3"/>
  <c r="S460" i="3"/>
  <c r="Q460" i="3"/>
  <c r="L460" i="3"/>
  <c r="N460" i="3" s="1"/>
  <c r="S459" i="3"/>
  <c r="Q459" i="3"/>
  <c r="O459" i="3"/>
  <c r="K459" i="3"/>
  <c r="T458" i="3"/>
  <c r="S458" i="3"/>
  <c r="R458" i="3"/>
  <c r="P458" i="3"/>
  <c r="L458" i="3"/>
  <c r="N458" i="3" s="1"/>
  <c r="J458" i="3"/>
  <c r="B458" i="3"/>
  <c r="J457" i="3"/>
  <c r="D457" i="3"/>
  <c r="B457" i="3"/>
  <c r="Q456" i="3"/>
  <c r="O456" i="3"/>
  <c r="M456" i="3"/>
  <c r="K456" i="3"/>
  <c r="E456" i="3"/>
  <c r="K12" i="3"/>
  <c r="R11" i="3"/>
  <c r="O11" i="3"/>
  <c r="L11" i="3"/>
  <c r="N11" i="3" s="1"/>
  <c r="E11" i="3"/>
  <c r="P10" i="3"/>
  <c r="L10" i="3"/>
  <c r="N10" i="3" s="1"/>
  <c r="P8" i="3"/>
  <c r="B8" i="3"/>
  <c r="T6" i="3"/>
  <c r="Q6" i="3"/>
  <c r="J6" i="3"/>
  <c r="B5" i="3"/>
  <c r="T4" i="3"/>
  <c r="P4" i="3"/>
  <c r="B4" i="3"/>
  <c r="M909" i="3"/>
  <c r="L909" i="3"/>
  <c r="N909" i="3" s="1"/>
  <c r="K909" i="3"/>
  <c r="J909" i="3"/>
  <c r="E909" i="3"/>
  <c r="D909" i="3"/>
  <c r="T908" i="3"/>
  <c r="S908" i="3"/>
  <c r="R908" i="3"/>
  <c r="Q908" i="3"/>
  <c r="P908" i="3"/>
  <c r="O908" i="3"/>
  <c r="M908" i="3"/>
  <c r="L908" i="3"/>
  <c r="N908" i="3" s="1"/>
  <c r="K908" i="3"/>
  <c r="J908" i="3"/>
  <c r="E908" i="3"/>
  <c r="D908" i="3"/>
  <c r="T907" i="3"/>
  <c r="S907" i="3"/>
  <c r="R907" i="3"/>
  <c r="Q907" i="3"/>
  <c r="P907" i="3"/>
  <c r="O907" i="3"/>
  <c r="M907" i="3"/>
  <c r="L907" i="3"/>
  <c r="N907" i="3" s="1"/>
  <c r="K907" i="3"/>
  <c r="J907" i="3"/>
  <c r="E907" i="3"/>
  <c r="D907" i="3"/>
  <c r="T906" i="3"/>
  <c r="S906" i="3"/>
  <c r="R906" i="3"/>
  <c r="Q906" i="3"/>
  <c r="P906" i="3"/>
  <c r="O906" i="3"/>
  <c r="M906" i="3"/>
  <c r="L906" i="3"/>
  <c r="N906" i="3" s="1"/>
  <c r="K906" i="3"/>
  <c r="J906" i="3"/>
  <c r="E906" i="3"/>
  <c r="D906" i="3"/>
  <c r="T905" i="3"/>
  <c r="S905" i="3"/>
  <c r="R905" i="3"/>
  <c r="Q905" i="3"/>
  <c r="P905" i="3"/>
  <c r="O905" i="3"/>
  <c r="M905" i="3"/>
  <c r="L905" i="3"/>
  <c r="N905" i="3" s="1"/>
  <c r="K905" i="3"/>
  <c r="J905" i="3"/>
  <c r="E905" i="3"/>
  <c r="D905" i="3"/>
  <c r="T904" i="3"/>
  <c r="S904" i="3"/>
  <c r="R904" i="3"/>
  <c r="Q904" i="3"/>
  <c r="P904" i="3"/>
  <c r="O904" i="3"/>
  <c r="M904" i="3"/>
  <c r="L904" i="3"/>
  <c r="N904" i="3" s="1"/>
  <c r="K904" i="3"/>
  <c r="J904" i="3"/>
  <c r="E904" i="3"/>
  <c r="D904" i="3"/>
  <c r="T903" i="3"/>
  <c r="S903" i="3"/>
  <c r="R903" i="3"/>
  <c r="Q903" i="3"/>
  <c r="P903" i="3"/>
  <c r="O903" i="3"/>
  <c r="M903" i="3"/>
  <c r="L903" i="3"/>
  <c r="N903" i="3" s="1"/>
  <c r="K903" i="3"/>
  <c r="J903" i="3"/>
  <c r="E903" i="3"/>
  <c r="D903" i="3"/>
  <c r="T902" i="3"/>
  <c r="S902" i="3"/>
  <c r="R902" i="3"/>
  <c r="Q902" i="3"/>
  <c r="P902" i="3"/>
  <c r="O902" i="3"/>
  <c r="M902" i="3"/>
  <c r="L902" i="3"/>
  <c r="N902" i="3" s="1"/>
  <c r="K902" i="3"/>
  <c r="J902" i="3"/>
  <c r="E902" i="3"/>
  <c r="D902" i="3"/>
  <c r="T901" i="3"/>
  <c r="S901" i="3"/>
  <c r="R901" i="3"/>
  <c r="Q901" i="3"/>
  <c r="P901" i="3"/>
  <c r="O901" i="3"/>
  <c r="M901" i="3"/>
  <c r="L901" i="3"/>
  <c r="N901" i="3" s="1"/>
  <c r="K901" i="3"/>
  <c r="J901" i="3"/>
  <c r="E901" i="3"/>
  <c r="D901" i="3"/>
  <c r="T900" i="3"/>
  <c r="S900" i="3"/>
  <c r="R900" i="3"/>
  <c r="Q900" i="3"/>
  <c r="P900" i="3"/>
  <c r="O900" i="3"/>
  <c r="M900" i="3"/>
  <c r="L900" i="3"/>
  <c r="N900" i="3" s="1"/>
  <c r="K900" i="3"/>
  <c r="J900" i="3"/>
  <c r="E900" i="3"/>
  <c r="D900" i="3"/>
  <c r="T899" i="3"/>
  <c r="S899" i="3"/>
  <c r="R899" i="3"/>
  <c r="Q899" i="3"/>
  <c r="P899" i="3"/>
  <c r="O899" i="3"/>
  <c r="M899" i="3"/>
  <c r="L899" i="3"/>
  <c r="N899" i="3" s="1"/>
  <c r="K899" i="3"/>
  <c r="J899" i="3"/>
  <c r="E899" i="3"/>
  <c r="D899" i="3"/>
  <c r="T898" i="3"/>
  <c r="S898" i="3"/>
  <c r="R898" i="3"/>
  <c r="Q898" i="3"/>
  <c r="P898" i="3"/>
  <c r="O898" i="3"/>
  <c r="M898" i="3"/>
  <c r="L898" i="3"/>
  <c r="N898" i="3" s="1"/>
  <c r="K898" i="3"/>
  <c r="J898" i="3"/>
  <c r="E898" i="3"/>
  <c r="D898" i="3"/>
  <c r="T897" i="3"/>
  <c r="S897" i="3"/>
  <c r="R897" i="3"/>
  <c r="Q897" i="3"/>
  <c r="P897" i="3"/>
  <c r="O897" i="3"/>
  <c r="M897" i="3"/>
  <c r="L897" i="3"/>
  <c r="N897" i="3" s="1"/>
  <c r="K897" i="3"/>
  <c r="J897" i="3"/>
  <c r="E897" i="3"/>
  <c r="D897" i="3"/>
  <c r="T896" i="3"/>
  <c r="S896" i="3"/>
  <c r="R896" i="3"/>
  <c r="Q896" i="3"/>
  <c r="P896" i="3"/>
  <c r="O896" i="3"/>
  <c r="M896" i="3"/>
  <c r="L896" i="3"/>
  <c r="N896" i="3" s="1"/>
  <c r="K896" i="3"/>
  <c r="J896" i="3"/>
  <c r="E896" i="3"/>
  <c r="D896" i="3"/>
  <c r="T895" i="3"/>
  <c r="S895" i="3"/>
  <c r="R895" i="3"/>
  <c r="Q895" i="3"/>
  <c r="P895" i="3"/>
  <c r="O895" i="3"/>
  <c r="M895" i="3"/>
  <c r="L895" i="3"/>
  <c r="N895" i="3" s="1"/>
  <c r="K895" i="3"/>
  <c r="J895" i="3"/>
  <c r="E895" i="3"/>
  <c r="D895" i="3"/>
  <c r="T894" i="3"/>
  <c r="S894" i="3"/>
  <c r="R894" i="3"/>
  <c r="Q894" i="3"/>
  <c r="P894" i="3"/>
  <c r="O894" i="3"/>
  <c r="M894" i="3"/>
  <c r="L894" i="3"/>
  <c r="N894" i="3" s="1"/>
  <c r="K894" i="3"/>
  <c r="J894" i="3"/>
  <c r="E894" i="3"/>
  <c r="D894" i="3"/>
  <c r="T893" i="3"/>
  <c r="S893" i="3"/>
  <c r="R893" i="3"/>
  <c r="Q893" i="3"/>
  <c r="P893" i="3"/>
  <c r="O893" i="3"/>
  <c r="M893" i="3"/>
  <c r="L893" i="3"/>
  <c r="N893" i="3" s="1"/>
  <c r="K893" i="3"/>
  <c r="J893" i="3"/>
  <c r="E893" i="3"/>
  <c r="D893" i="3"/>
  <c r="T892" i="3"/>
  <c r="S892" i="3"/>
  <c r="R892" i="3"/>
  <c r="Q892" i="3"/>
  <c r="P892" i="3"/>
  <c r="O892" i="3"/>
  <c r="M892" i="3"/>
  <c r="L892" i="3"/>
  <c r="N892" i="3" s="1"/>
  <c r="K892" i="3"/>
  <c r="J892" i="3"/>
  <c r="E892" i="3"/>
  <c r="D892" i="3"/>
  <c r="T891" i="3"/>
  <c r="S891" i="3"/>
  <c r="R891" i="3"/>
  <c r="Q891" i="3"/>
  <c r="P891" i="3"/>
  <c r="O891" i="3"/>
  <c r="M891" i="3"/>
  <c r="L891" i="3"/>
  <c r="N891" i="3" s="1"/>
  <c r="K891" i="3"/>
  <c r="J891" i="3"/>
  <c r="E891" i="3"/>
  <c r="D891" i="3"/>
  <c r="T890" i="3"/>
  <c r="S890" i="3"/>
  <c r="R890" i="3"/>
  <c r="Q890" i="3"/>
  <c r="P890" i="3"/>
  <c r="O890" i="3"/>
  <c r="M890" i="3"/>
  <c r="L890" i="3"/>
  <c r="N890" i="3" s="1"/>
  <c r="K890" i="3"/>
  <c r="J890" i="3"/>
  <c r="E890" i="3"/>
  <c r="D890" i="3"/>
  <c r="T889" i="3"/>
  <c r="S889" i="3"/>
  <c r="R889" i="3"/>
  <c r="Q889" i="3"/>
  <c r="P889" i="3"/>
  <c r="O889" i="3"/>
  <c r="M889" i="3"/>
  <c r="L889" i="3"/>
  <c r="N889" i="3" s="1"/>
  <c r="K889" i="3"/>
  <c r="J889" i="3"/>
  <c r="E889" i="3"/>
  <c r="D889" i="3"/>
  <c r="T888" i="3"/>
  <c r="S888" i="3"/>
  <c r="R888" i="3"/>
  <c r="Q888" i="3"/>
  <c r="P888" i="3"/>
  <c r="O888" i="3"/>
  <c r="M888" i="3"/>
  <c r="L888" i="3"/>
  <c r="N888" i="3" s="1"/>
  <c r="K888" i="3"/>
  <c r="J888" i="3"/>
  <c r="E888" i="3"/>
  <c r="D888" i="3"/>
  <c r="T887" i="3"/>
  <c r="S887" i="3"/>
  <c r="R887" i="3"/>
  <c r="Q887" i="3"/>
  <c r="P887" i="3"/>
  <c r="O887" i="3"/>
  <c r="M887" i="3"/>
  <c r="L887" i="3"/>
  <c r="N887" i="3" s="1"/>
  <c r="K887" i="3"/>
  <c r="J887" i="3"/>
  <c r="E887" i="3"/>
  <c r="D887" i="3"/>
  <c r="T886" i="3"/>
  <c r="S886" i="3"/>
  <c r="R886" i="3"/>
  <c r="Q886" i="3"/>
  <c r="P886" i="3"/>
  <c r="O886" i="3"/>
  <c r="M886" i="3"/>
  <c r="L886" i="3"/>
  <c r="N886" i="3" s="1"/>
  <c r="K886" i="3"/>
  <c r="J886" i="3"/>
  <c r="E886" i="3"/>
  <c r="D886" i="3"/>
  <c r="T885" i="3"/>
  <c r="S885" i="3"/>
  <c r="R885" i="3"/>
  <c r="Q885" i="3"/>
  <c r="P885" i="3"/>
  <c r="O885" i="3"/>
  <c r="M885" i="3"/>
  <c r="L885" i="3"/>
  <c r="N885" i="3" s="1"/>
  <c r="K885" i="3"/>
  <c r="J885" i="3"/>
  <c r="E885" i="3"/>
  <c r="D885" i="3"/>
  <c r="T884" i="3"/>
  <c r="S884" i="3"/>
  <c r="R884" i="3"/>
  <c r="Q884" i="3"/>
  <c r="P884" i="3"/>
  <c r="O884" i="3"/>
  <c r="M884" i="3"/>
  <c r="L884" i="3"/>
  <c r="N884" i="3" s="1"/>
  <c r="K884" i="3"/>
  <c r="J884" i="3"/>
  <c r="E884" i="3"/>
  <c r="D884" i="3"/>
  <c r="T883" i="3"/>
  <c r="S883" i="3"/>
  <c r="R883" i="3"/>
  <c r="Q883" i="3"/>
  <c r="P883" i="3"/>
  <c r="O883" i="3"/>
  <c r="M883" i="3"/>
  <c r="L883" i="3"/>
  <c r="N883" i="3" s="1"/>
  <c r="K883" i="3"/>
  <c r="J883" i="3"/>
  <c r="E883" i="3"/>
  <c r="D883" i="3"/>
  <c r="T882" i="3"/>
  <c r="S882" i="3"/>
  <c r="R882" i="3"/>
  <c r="Q882" i="3"/>
  <c r="P882" i="3"/>
  <c r="O882" i="3"/>
  <c r="M882" i="3"/>
  <c r="L882" i="3"/>
  <c r="N882" i="3" s="1"/>
  <c r="K882" i="3"/>
  <c r="J882" i="3"/>
  <c r="E882" i="3"/>
  <c r="D882" i="3"/>
  <c r="T881" i="3"/>
  <c r="S881" i="3"/>
  <c r="R881" i="3"/>
  <c r="Q881" i="3"/>
  <c r="P881" i="3"/>
  <c r="O881" i="3"/>
  <c r="M881" i="3"/>
  <c r="L881" i="3"/>
  <c r="N881" i="3" s="1"/>
  <c r="K881" i="3"/>
  <c r="J881" i="3"/>
  <c r="E881" i="3"/>
  <c r="D881" i="3"/>
  <c r="T880" i="3"/>
  <c r="S880" i="3"/>
  <c r="R880" i="3"/>
  <c r="Q880" i="3"/>
  <c r="P880" i="3"/>
  <c r="O880" i="3"/>
  <c r="M880" i="3"/>
  <c r="L880" i="3"/>
  <c r="N880" i="3" s="1"/>
  <c r="K880" i="3"/>
  <c r="J880" i="3"/>
  <c r="E880" i="3"/>
  <c r="D880" i="3"/>
  <c r="T879" i="3"/>
  <c r="S879" i="3"/>
  <c r="R879" i="3"/>
  <c r="Q879" i="3"/>
  <c r="P879" i="3"/>
  <c r="O879" i="3"/>
  <c r="M879" i="3"/>
  <c r="L879" i="3"/>
  <c r="N879" i="3" s="1"/>
  <c r="K879" i="3"/>
  <c r="J879" i="3"/>
  <c r="E879" i="3"/>
  <c r="D879" i="3"/>
  <c r="T878" i="3"/>
  <c r="S878" i="3"/>
  <c r="R878" i="3"/>
  <c r="Q878" i="3"/>
  <c r="P878" i="3"/>
  <c r="O878" i="3"/>
  <c r="M878" i="3"/>
  <c r="L878" i="3"/>
  <c r="N878" i="3" s="1"/>
  <c r="K878" i="3"/>
  <c r="J878" i="3"/>
  <c r="E878" i="3"/>
  <c r="D878" i="3"/>
  <c r="T877" i="3"/>
  <c r="S877" i="3"/>
  <c r="R877" i="3"/>
  <c r="Q877" i="3"/>
  <c r="P877" i="3"/>
  <c r="O877" i="3"/>
  <c r="M877" i="3"/>
  <c r="L877" i="3"/>
  <c r="N877" i="3" s="1"/>
  <c r="K877" i="3"/>
  <c r="J877" i="3"/>
  <c r="E877" i="3"/>
  <c r="D877" i="3"/>
  <c r="T876" i="3"/>
  <c r="S876" i="3"/>
  <c r="R876" i="3"/>
  <c r="Q876" i="3"/>
  <c r="P876" i="3"/>
  <c r="O876" i="3"/>
  <c r="M876" i="3"/>
  <c r="L876" i="3"/>
  <c r="N876" i="3" s="1"/>
  <c r="K876" i="3"/>
  <c r="J876" i="3"/>
  <c r="E876" i="3"/>
  <c r="D876" i="3"/>
  <c r="T875" i="3"/>
  <c r="S875" i="3"/>
  <c r="R875" i="3"/>
  <c r="Q875" i="3"/>
  <c r="P875" i="3"/>
  <c r="O875" i="3"/>
  <c r="M875" i="3"/>
  <c r="L875" i="3"/>
  <c r="N875" i="3" s="1"/>
  <c r="K875" i="3"/>
  <c r="J875" i="3"/>
  <c r="E875" i="3"/>
  <c r="D875" i="3"/>
  <c r="T874" i="3"/>
  <c r="S874" i="3"/>
  <c r="R874" i="3"/>
  <c r="Q874" i="3"/>
  <c r="P874" i="3"/>
  <c r="O874" i="3"/>
  <c r="M874" i="3"/>
  <c r="L874" i="3"/>
  <c r="N874" i="3" s="1"/>
  <c r="K874" i="3"/>
  <c r="J874" i="3"/>
  <c r="E874" i="3"/>
  <c r="D874" i="3"/>
  <c r="T873" i="3"/>
  <c r="S873" i="3"/>
  <c r="R873" i="3"/>
  <c r="Q873" i="3"/>
  <c r="P873" i="3"/>
  <c r="O873" i="3"/>
  <c r="M873" i="3"/>
  <c r="L873" i="3"/>
  <c r="N873" i="3" s="1"/>
  <c r="K873" i="3"/>
  <c r="J873" i="3"/>
  <c r="E873" i="3"/>
  <c r="D873" i="3"/>
  <c r="T872" i="3"/>
  <c r="S872" i="3"/>
  <c r="R872" i="3"/>
  <c r="Q872" i="3"/>
  <c r="P872" i="3"/>
  <c r="O872" i="3"/>
  <c r="M872" i="3"/>
  <c r="L872" i="3"/>
  <c r="N872" i="3" s="1"/>
  <c r="K872" i="3"/>
  <c r="J872" i="3"/>
  <c r="E872" i="3"/>
  <c r="D872" i="3"/>
  <c r="T871" i="3"/>
  <c r="S871" i="3"/>
  <c r="R871" i="3"/>
  <c r="Q871" i="3"/>
  <c r="P871" i="3"/>
  <c r="O871" i="3"/>
  <c r="M871" i="3"/>
  <c r="L871" i="3"/>
  <c r="N871" i="3" s="1"/>
  <c r="K871" i="3"/>
  <c r="J871" i="3"/>
  <c r="E871" i="3"/>
  <c r="D871" i="3"/>
  <c r="T870" i="3"/>
  <c r="S870" i="3"/>
  <c r="R870" i="3"/>
  <c r="Q870" i="3"/>
  <c r="P870" i="3"/>
  <c r="O870" i="3"/>
  <c r="M870" i="3"/>
  <c r="L870" i="3"/>
  <c r="N870" i="3" s="1"/>
  <c r="K870" i="3"/>
  <c r="J870" i="3"/>
  <c r="E870" i="3"/>
  <c r="D870" i="3"/>
  <c r="T869" i="3"/>
  <c r="S869" i="3"/>
  <c r="R869" i="3"/>
  <c r="Q869" i="3"/>
  <c r="P869" i="3"/>
  <c r="O869" i="3"/>
  <c r="M869" i="3"/>
  <c r="L869" i="3"/>
  <c r="N869" i="3" s="1"/>
  <c r="K869" i="3"/>
  <c r="J869" i="3"/>
  <c r="E869" i="3"/>
  <c r="D869" i="3"/>
  <c r="T868" i="3"/>
  <c r="S868" i="3"/>
  <c r="R868" i="3"/>
  <c r="Q868" i="3"/>
  <c r="P868" i="3"/>
  <c r="O868" i="3"/>
  <c r="M868" i="3"/>
  <c r="L868" i="3"/>
  <c r="N868" i="3" s="1"/>
  <c r="K868" i="3"/>
  <c r="J868" i="3"/>
  <c r="E868" i="3"/>
  <c r="D868" i="3"/>
  <c r="T867" i="3"/>
  <c r="S867" i="3"/>
  <c r="R867" i="3"/>
  <c r="Q867" i="3"/>
  <c r="P867" i="3"/>
  <c r="O867" i="3"/>
  <c r="M867" i="3"/>
  <c r="L867" i="3"/>
  <c r="N867" i="3" s="1"/>
  <c r="K867" i="3"/>
  <c r="J867" i="3"/>
  <c r="E867" i="3"/>
  <c r="D867" i="3"/>
  <c r="T866" i="3"/>
  <c r="S866" i="3"/>
  <c r="R866" i="3"/>
  <c r="Q866" i="3"/>
  <c r="P866" i="3"/>
  <c r="O866" i="3"/>
  <c r="M866" i="3"/>
  <c r="L866" i="3"/>
  <c r="N866" i="3" s="1"/>
  <c r="K866" i="3"/>
  <c r="J866" i="3"/>
  <c r="E866" i="3"/>
  <c r="D866" i="3"/>
  <c r="T865" i="3"/>
  <c r="S865" i="3"/>
  <c r="R865" i="3"/>
  <c r="Q865" i="3"/>
  <c r="P865" i="3"/>
  <c r="O865" i="3"/>
  <c r="M865" i="3"/>
  <c r="L865" i="3"/>
  <c r="N865" i="3" s="1"/>
  <c r="K865" i="3"/>
  <c r="J865" i="3"/>
  <c r="E865" i="3"/>
  <c r="D865" i="3"/>
  <c r="T864" i="3"/>
  <c r="S864" i="3"/>
  <c r="R864" i="3"/>
  <c r="Q864" i="3"/>
  <c r="P864" i="3"/>
  <c r="O864" i="3"/>
  <c r="M864" i="3"/>
  <c r="L864" i="3"/>
  <c r="N864" i="3" s="1"/>
  <c r="K864" i="3"/>
  <c r="J864" i="3"/>
  <c r="E864" i="3"/>
  <c r="D864" i="3"/>
  <c r="T863" i="3"/>
  <c r="S863" i="3"/>
  <c r="R863" i="3"/>
  <c r="Q863" i="3"/>
  <c r="P863" i="3"/>
  <c r="O863" i="3"/>
  <c r="M863" i="3"/>
  <c r="L863" i="3"/>
  <c r="N863" i="3" s="1"/>
  <c r="K863" i="3"/>
  <c r="J863" i="3"/>
  <c r="E863" i="3"/>
  <c r="D863" i="3"/>
  <c r="T862" i="3"/>
  <c r="S862" i="3"/>
  <c r="R862" i="3"/>
  <c r="Q862" i="3"/>
  <c r="P862" i="3"/>
  <c r="O862" i="3"/>
  <c r="M862" i="3"/>
  <c r="L862" i="3"/>
  <c r="N862" i="3" s="1"/>
  <c r="K862" i="3"/>
  <c r="J862" i="3"/>
  <c r="E862" i="3"/>
  <c r="D862" i="3"/>
  <c r="T861" i="3"/>
  <c r="S861" i="3"/>
  <c r="R861" i="3"/>
  <c r="Q861" i="3"/>
  <c r="P861" i="3"/>
  <c r="O861" i="3"/>
  <c r="M861" i="3"/>
  <c r="L861" i="3"/>
  <c r="N861" i="3" s="1"/>
  <c r="K861" i="3"/>
  <c r="J861" i="3"/>
  <c r="E861" i="3"/>
  <c r="D861" i="3"/>
  <c r="T860" i="3"/>
  <c r="S860" i="3"/>
  <c r="R860" i="3"/>
  <c r="Q860" i="3"/>
  <c r="P860" i="3"/>
  <c r="O860" i="3"/>
  <c r="M860" i="3"/>
  <c r="L860" i="3"/>
  <c r="N860" i="3" s="1"/>
  <c r="K860" i="3"/>
  <c r="J860" i="3"/>
  <c r="E860" i="3"/>
  <c r="D860" i="3"/>
  <c r="T859" i="3"/>
  <c r="S859" i="3"/>
  <c r="R859" i="3"/>
  <c r="Q859" i="3"/>
  <c r="P859" i="3"/>
  <c r="O859" i="3"/>
  <c r="M859" i="3"/>
  <c r="L859" i="3"/>
  <c r="N859" i="3" s="1"/>
  <c r="K859" i="3"/>
  <c r="J859" i="3"/>
  <c r="E859" i="3"/>
  <c r="D859" i="3"/>
  <c r="T858" i="3"/>
  <c r="S858" i="3"/>
  <c r="R858" i="3"/>
  <c r="Q858" i="3"/>
  <c r="P858" i="3"/>
  <c r="O858" i="3"/>
  <c r="M858" i="3"/>
  <c r="L858" i="3"/>
  <c r="N858" i="3" s="1"/>
  <c r="K858" i="3"/>
  <c r="J858" i="3"/>
  <c r="E858" i="3"/>
  <c r="D858" i="3"/>
  <c r="T857" i="3"/>
  <c r="S857" i="3"/>
  <c r="R857" i="3"/>
  <c r="Q857" i="3"/>
  <c r="P857" i="3"/>
  <c r="O857" i="3"/>
  <c r="M857" i="3"/>
  <c r="L857" i="3"/>
  <c r="N857" i="3" s="1"/>
  <c r="K857" i="3"/>
  <c r="J857" i="3"/>
  <c r="E857" i="3"/>
  <c r="D857" i="3"/>
  <c r="T856" i="3"/>
  <c r="S856" i="3"/>
  <c r="R856" i="3"/>
  <c r="Q856" i="3"/>
  <c r="P856" i="3"/>
  <c r="O856" i="3"/>
  <c r="M856" i="3"/>
  <c r="L856" i="3"/>
  <c r="N856" i="3" s="1"/>
  <c r="K856" i="3"/>
  <c r="J856" i="3"/>
  <c r="E856" i="3"/>
  <c r="D856" i="3"/>
  <c r="T855" i="3"/>
  <c r="S855" i="3"/>
  <c r="R855" i="3"/>
  <c r="Q855" i="3"/>
  <c r="P855" i="3"/>
  <c r="O855" i="3"/>
  <c r="M855" i="3"/>
  <c r="L855" i="3"/>
  <c r="N855" i="3" s="1"/>
  <c r="K855" i="3"/>
  <c r="J855" i="3"/>
  <c r="E855" i="3"/>
  <c r="D855" i="3"/>
  <c r="T854" i="3"/>
  <c r="S854" i="3"/>
  <c r="R854" i="3"/>
  <c r="Q854" i="3"/>
  <c r="P854" i="3"/>
  <c r="O854" i="3"/>
  <c r="M854" i="3"/>
  <c r="L854" i="3"/>
  <c r="N854" i="3" s="1"/>
  <c r="K854" i="3"/>
  <c r="J854" i="3"/>
  <c r="E854" i="3"/>
  <c r="D854" i="3"/>
  <c r="T853" i="3"/>
  <c r="S853" i="3"/>
  <c r="R853" i="3"/>
  <c r="Q853" i="3"/>
  <c r="P853" i="3"/>
  <c r="O853" i="3"/>
  <c r="M853" i="3"/>
  <c r="L853" i="3"/>
  <c r="N853" i="3" s="1"/>
  <c r="K853" i="3"/>
  <c r="J853" i="3"/>
  <c r="E853" i="3"/>
  <c r="D853" i="3"/>
  <c r="T852" i="3"/>
  <c r="S852" i="3"/>
  <c r="R852" i="3"/>
  <c r="Q852" i="3"/>
  <c r="P852" i="3"/>
  <c r="O852" i="3"/>
  <c r="M852" i="3"/>
  <c r="L852" i="3"/>
  <c r="N852" i="3" s="1"/>
  <c r="K852" i="3"/>
  <c r="J852" i="3"/>
  <c r="E852" i="3"/>
  <c r="D852" i="3"/>
  <c r="T851" i="3"/>
  <c r="S851" i="3"/>
  <c r="R851" i="3"/>
  <c r="Q851" i="3"/>
  <c r="P851" i="3"/>
  <c r="O851" i="3"/>
  <c r="M851" i="3"/>
  <c r="L851" i="3"/>
  <c r="N851" i="3" s="1"/>
  <c r="K851" i="3"/>
  <c r="J851" i="3"/>
  <c r="E851" i="3"/>
  <c r="D851" i="3"/>
  <c r="T850" i="3"/>
  <c r="S850" i="3"/>
  <c r="R850" i="3"/>
  <c r="Q850" i="3"/>
  <c r="P850" i="3"/>
  <c r="O850" i="3"/>
  <c r="M850" i="3"/>
  <c r="L850" i="3"/>
  <c r="N850" i="3" s="1"/>
  <c r="K850" i="3"/>
  <c r="J850" i="3"/>
  <c r="E850" i="3"/>
  <c r="D850" i="3"/>
  <c r="T849" i="3"/>
  <c r="S849" i="3"/>
  <c r="R849" i="3"/>
  <c r="Q849" i="3"/>
  <c r="P849" i="3"/>
  <c r="O849" i="3"/>
  <c r="M849" i="3"/>
  <c r="L849" i="3"/>
  <c r="N849" i="3" s="1"/>
  <c r="K849" i="3"/>
  <c r="J849" i="3"/>
  <c r="E849" i="3"/>
  <c r="D849" i="3"/>
  <c r="T848" i="3"/>
  <c r="S848" i="3"/>
  <c r="R848" i="3"/>
  <c r="Q848" i="3"/>
  <c r="P848" i="3"/>
  <c r="O848" i="3"/>
  <c r="M848" i="3"/>
  <c r="L848" i="3"/>
  <c r="N848" i="3" s="1"/>
  <c r="K848" i="3"/>
  <c r="J848" i="3"/>
  <c r="E848" i="3"/>
  <c r="D848" i="3"/>
  <c r="T847" i="3"/>
  <c r="S847" i="3"/>
  <c r="R847" i="3"/>
  <c r="Q847" i="3"/>
  <c r="P847" i="3"/>
  <c r="O847" i="3"/>
  <c r="M847" i="3"/>
  <c r="L847" i="3"/>
  <c r="N847" i="3" s="1"/>
  <c r="K847" i="3"/>
  <c r="J847" i="3"/>
  <c r="E847" i="3"/>
  <c r="D847" i="3"/>
  <c r="T846" i="3"/>
  <c r="S846" i="3"/>
  <c r="R846" i="3"/>
  <c r="Q846" i="3"/>
  <c r="P846" i="3"/>
  <c r="O846" i="3"/>
  <c r="M846" i="3"/>
  <c r="L846" i="3"/>
  <c r="N846" i="3" s="1"/>
  <c r="K846" i="3"/>
  <c r="J846" i="3"/>
  <c r="E846" i="3"/>
  <c r="D846" i="3"/>
  <c r="T845" i="3"/>
  <c r="S845" i="3"/>
  <c r="R845" i="3"/>
  <c r="Q845" i="3"/>
  <c r="P845" i="3"/>
  <c r="O845" i="3"/>
  <c r="M845" i="3"/>
  <c r="L845" i="3"/>
  <c r="N845" i="3" s="1"/>
  <c r="K845" i="3"/>
  <c r="J845" i="3"/>
  <c r="E845" i="3"/>
  <c r="D845" i="3"/>
  <c r="T844" i="3"/>
  <c r="S844" i="3"/>
  <c r="R844" i="3"/>
  <c r="Q844" i="3"/>
  <c r="P844" i="3"/>
  <c r="O844" i="3"/>
  <c r="M844" i="3"/>
  <c r="L844" i="3"/>
  <c r="N844" i="3" s="1"/>
  <c r="K844" i="3"/>
  <c r="J844" i="3"/>
  <c r="E844" i="3"/>
  <c r="D844" i="3"/>
  <c r="T843" i="3"/>
  <c r="S843" i="3"/>
  <c r="R843" i="3"/>
  <c r="Q843" i="3"/>
  <c r="P843" i="3"/>
  <c r="O843" i="3"/>
  <c r="M843" i="3"/>
  <c r="L843" i="3"/>
  <c r="N843" i="3" s="1"/>
  <c r="K843" i="3"/>
  <c r="J843" i="3"/>
  <c r="E843" i="3"/>
  <c r="D843" i="3"/>
  <c r="T842" i="3"/>
  <c r="S842" i="3"/>
  <c r="R842" i="3"/>
  <c r="Q842" i="3"/>
  <c r="P842" i="3"/>
  <c r="O842" i="3"/>
  <c r="M842" i="3"/>
  <c r="L842" i="3"/>
  <c r="N842" i="3" s="1"/>
  <c r="K842" i="3"/>
  <c r="J842" i="3"/>
  <c r="E842" i="3"/>
  <c r="D842" i="3"/>
  <c r="T841" i="3"/>
  <c r="S841" i="3"/>
  <c r="R841" i="3"/>
  <c r="Q841" i="3"/>
  <c r="P841" i="3"/>
  <c r="O841" i="3"/>
  <c r="M841" i="3"/>
  <c r="L841" i="3"/>
  <c r="N841" i="3" s="1"/>
  <c r="K841" i="3"/>
  <c r="J841" i="3"/>
  <c r="E841" i="3"/>
  <c r="D841" i="3"/>
  <c r="T840" i="3"/>
  <c r="S840" i="3"/>
  <c r="R840" i="3"/>
  <c r="Q840" i="3"/>
  <c r="P840" i="3"/>
  <c r="O840" i="3"/>
  <c r="M840" i="3"/>
  <c r="L840" i="3"/>
  <c r="N840" i="3" s="1"/>
  <c r="K840" i="3"/>
  <c r="J840" i="3"/>
  <c r="E840" i="3"/>
  <c r="D840" i="3"/>
  <c r="T839" i="3"/>
  <c r="S839" i="3"/>
  <c r="R839" i="3"/>
  <c r="Q839" i="3"/>
  <c r="P839" i="3"/>
  <c r="O839" i="3"/>
  <c r="M839" i="3"/>
  <c r="L839" i="3"/>
  <c r="N839" i="3" s="1"/>
  <c r="K839" i="3"/>
  <c r="J839" i="3"/>
  <c r="E839" i="3"/>
  <c r="D839" i="3"/>
  <c r="T838" i="3"/>
  <c r="S838" i="3"/>
  <c r="R838" i="3"/>
  <c r="Q838" i="3"/>
  <c r="P838" i="3"/>
  <c r="O838" i="3"/>
  <c r="M838" i="3"/>
  <c r="L838" i="3"/>
  <c r="N838" i="3" s="1"/>
  <c r="K838" i="3"/>
  <c r="J838" i="3"/>
  <c r="E838" i="3"/>
  <c r="D838" i="3"/>
  <c r="T837" i="3"/>
  <c r="S837" i="3"/>
  <c r="R837" i="3"/>
  <c r="Q837" i="3"/>
  <c r="P837" i="3"/>
  <c r="O837" i="3"/>
  <c r="M837" i="3"/>
  <c r="L837" i="3"/>
  <c r="N837" i="3" s="1"/>
  <c r="K837" i="3"/>
  <c r="J837" i="3"/>
  <c r="E837" i="3"/>
  <c r="D837" i="3"/>
  <c r="T836" i="3"/>
  <c r="S836" i="3"/>
  <c r="R836" i="3"/>
  <c r="Q836" i="3"/>
  <c r="P836" i="3"/>
  <c r="O836" i="3"/>
  <c r="M836" i="3"/>
  <c r="L836" i="3"/>
  <c r="N836" i="3" s="1"/>
  <c r="K836" i="3"/>
  <c r="J836" i="3"/>
  <c r="E836" i="3"/>
  <c r="D836" i="3"/>
  <c r="T835" i="3"/>
  <c r="S835" i="3"/>
  <c r="R835" i="3"/>
  <c r="Q835" i="3"/>
  <c r="P835" i="3"/>
  <c r="O835" i="3"/>
  <c r="M835" i="3"/>
  <c r="L835" i="3"/>
  <c r="N835" i="3" s="1"/>
  <c r="K835" i="3"/>
  <c r="J835" i="3"/>
  <c r="E835" i="3"/>
  <c r="D835" i="3"/>
  <c r="T834" i="3"/>
  <c r="S834" i="3"/>
  <c r="R834" i="3"/>
  <c r="Q834" i="3"/>
  <c r="P834" i="3"/>
  <c r="O834" i="3"/>
  <c r="M834" i="3"/>
  <c r="L834" i="3"/>
  <c r="N834" i="3" s="1"/>
  <c r="K834" i="3"/>
  <c r="J834" i="3"/>
  <c r="E834" i="3"/>
  <c r="D834" i="3"/>
  <c r="T833" i="3"/>
  <c r="S833" i="3"/>
  <c r="R833" i="3"/>
  <c r="Q833" i="3"/>
  <c r="P833" i="3"/>
  <c r="O833" i="3"/>
  <c r="M833" i="3"/>
  <c r="L833" i="3"/>
  <c r="N833" i="3" s="1"/>
  <c r="K833" i="3"/>
  <c r="J833" i="3"/>
  <c r="E833" i="3"/>
  <c r="D833" i="3"/>
  <c r="T832" i="3"/>
  <c r="S832" i="3"/>
  <c r="R832" i="3"/>
  <c r="Q832" i="3"/>
  <c r="P832" i="3"/>
  <c r="O832" i="3"/>
  <c r="M832" i="3"/>
  <c r="L832" i="3"/>
  <c r="N832" i="3" s="1"/>
  <c r="K832" i="3"/>
  <c r="J832" i="3"/>
  <c r="E832" i="3"/>
  <c r="D832" i="3"/>
  <c r="T831" i="3"/>
  <c r="S831" i="3"/>
  <c r="R831" i="3"/>
  <c r="Q831" i="3"/>
  <c r="P831" i="3"/>
  <c r="O831" i="3"/>
  <c r="M831" i="3"/>
  <c r="L831" i="3"/>
  <c r="N831" i="3" s="1"/>
  <c r="K831" i="3"/>
  <c r="J831" i="3"/>
  <c r="E831" i="3"/>
  <c r="D831" i="3"/>
  <c r="T830" i="3"/>
  <c r="S830" i="3"/>
  <c r="R830" i="3"/>
  <c r="Q830" i="3"/>
  <c r="P830" i="3"/>
  <c r="O830" i="3"/>
  <c r="M830" i="3"/>
  <c r="L830" i="3"/>
  <c r="N830" i="3" s="1"/>
  <c r="K830" i="3"/>
  <c r="J830" i="3"/>
  <c r="E830" i="3"/>
  <c r="D830" i="3"/>
  <c r="T829" i="3"/>
  <c r="S829" i="3"/>
  <c r="R829" i="3"/>
  <c r="Q829" i="3"/>
  <c r="P829" i="3"/>
  <c r="O829" i="3"/>
  <c r="M829" i="3"/>
  <c r="L829" i="3"/>
  <c r="N829" i="3" s="1"/>
  <c r="K829" i="3"/>
  <c r="J829" i="3"/>
  <c r="E829" i="3"/>
  <c r="D829" i="3"/>
  <c r="T828" i="3"/>
  <c r="S828" i="3"/>
  <c r="R828" i="3"/>
  <c r="Q828" i="3"/>
  <c r="P828" i="3"/>
  <c r="O828" i="3"/>
  <c r="M828" i="3"/>
  <c r="L828" i="3"/>
  <c r="N828" i="3" s="1"/>
  <c r="K828" i="3"/>
  <c r="J828" i="3"/>
  <c r="E828" i="3"/>
  <c r="D828" i="3"/>
  <c r="T827" i="3"/>
  <c r="S827" i="3"/>
  <c r="R827" i="3"/>
  <c r="Q827" i="3"/>
  <c r="P827" i="3"/>
  <c r="O827" i="3"/>
  <c r="M827" i="3"/>
  <c r="L827" i="3"/>
  <c r="N827" i="3" s="1"/>
  <c r="K827" i="3"/>
  <c r="J827" i="3"/>
  <c r="E827" i="3"/>
  <c r="D827" i="3"/>
  <c r="T826" i="3"/>
  <c r="S826" i="3"/>
  <c r="R826" i="3"/>
  <c r="Q826" i="3"/>
  <c r="P826" i="3"/>
  <c r="O826" i="3"/>
  <c r="M826" i="3"/>
  <c r="L826" i="3"/>
  <c r="N826" i="3" s="1"/>
  <c r="K826" i="3"/>
  <c r="J826" i="3"/>
  <c r="E826" i="3"/>
  <c r="D826" i="3"/>
  <c r="T825" i="3"/>
  <c r="S825" i="3"/>
  <c r="R825" i="3"/>
  <c r="Q825" i="3"/>
  <c r="P825" i="3"/>
  <c r="O825" i="3"/>
  <c r="M825" i="3"/>
  <c r="L825" i="3"/>
  <c r="N825" i="3" s="1"/>
  <c r="K825" i="3"/>
  <c r="J825" i="3"/>
  <c r="E825" i="3"/>
  <c r="D825" i="3"/>
  <c r="T824" i="3"/>
  <c r="S824" i="3"/>
  <c r="R824" i="3"/>
  <c r="Q824" i="3"/>
  <c r="P824" i="3"/>
  <c r="O824" i="3"/>
  <c r="M824" i="3"/>
  <c r="L824" i="3"/>
  <c r="N824" i="3" s="1"/>
  <c r="K824" i="3"/>
  <c r="J824" i="3"/>
  <c r="E824" i="3"/>
  <c r="D824" i="3"/>
  <c r="T823" i="3"/>
  <c r="S823" i="3"/>
  <c r="R823" i="3"/>
  <c r="Q823" i="3"/>
  <c r="P823" i="3"/>
  <c r="O823" i="3"/>
  <c r="M823" i="3"/>
  <c r="L823" i="3"/>
  <c r="N823" i="3" s="1"/>
  <c r="K823" i="3"/>
  <c r="J823" i="3"/>
  <c r="E823" i="3"/>
  <c r="D823" i="3"/>
  <c r="T822" i="3"/>
  <c r="S822" i="3"/>
  <c r="R822" i="3"/>
  <c r="Q822" i="3"/>
  <c r="P822" i="3"/>
  <c r="O822" i="3"/>
  <c r="M822" i="3"/>
  <c r="L822" i="3"/>
  <c r="N822" i="3" s="1"/>
  <c r="K822" i="3"/>
  <c r="J822" i="3"/>
  <c r="E822" i="3"/>
  <c r="D822" i="3"/>
  <c r="T821" i="3"/>
  <c r="S821" i="3"/>
  <c r="R821" i="3"/>
  <c r="Q821" i="3"/>
  <c r="P821" i="3"/>
  <c r="O821" i="3"/>
  <c r="M821" i="3"/>
  <c r="L821" i="3"/>
  <c r="N821" i="3" s="1"/>
  <c r="K821" i="3"/>
  <c r="J821" i="3"/>
  <c r="E821" i="3"/>
  <c r="D821" i="3"/>
  <c r="T820" i="3"/>
  <c r="S820" i="3"/>
  <c r="R820" i="3"/>
  <c r="Q820" i="3"/>
  <c r="P820" i="3"/>
  <c r="O820" i="3"/>
  <c r="M820" i="3"/>
  <c r="L820" i="3"/>
  <c r="N820" i="3" s="1"/>
  <c r="K820" i="3"/>
  <c r="J820" i="3"/>
  <c r="E820" i="3"/>
  <c r="D820" i="3"/>
  <c r="T819" i="3"/>
  <c r="S819" i="3"/>
  <c r="R819" i="3"/>
  <c r="Q819" i="3"/>
  <c r="P819" i="3"/>
  <c r="O819" i="3"/>
  <c r="M819" i="3"/>
  <c r="L819" i="3"/>
  <c r="N819" i="3" s="1"/>
  <c r="K819" i="3"/>
  <c r="J819" i="3"/>
  <c r="E819" i="3"/>
  <c r="D819" i="3"/>
  <c r="T818" i="3"/>
  <c r="S818" i="3"/>
  <c r="R818" i="3"/>
  <c r="Q818" i="3"/>
  <c r="P818" i="3"/>
  <c r="O818" i="3"/>
  <c r="M818" i="3"/>
  <c r="L818" i="3"/>
  <c r="N818" i="3" s="1"/>
  <c r="K818" i="3"/>
  <c r="J818" i="3"/>
  <c r="E818" i="3"/>
  <c r="D818" i="3"/>
  <c r="T817" i="3"/>
  <c r="S817" i="3"/>
  <c r="R817" i="3"/>
  <c r="Q817" i="3"/>
  <c r="P817" i="3"/>
  <c r="O817" i="3"/>
  <c r="M817" i="3"/>
  <c r="L817" i="3"/>
  <c r="N817" i="3" s="1"/>
  <c r="K817" i="3"/>
  <c r="J817" i="3"/>
  <c r="E817" i="3"/>
  <c r="D817" i="3"/>
  <c r="T816" i="3"/>
  <c r="S816" i="3"/>
  <c r="R816" i="3"/>
  <c r="Q816" i="3"/>
  <c r="P816" i="3"/>
  <c r="O816" i="3"/>
  <c r="M816" i="3"/>
  <c r="L816" i="3"/>
  <c r="N816" i="3" s="1"/>
  <c r="K816" i="3"/>
  <c r="J816" i="3"/>
  <c r="E816" i="3"/>
  <c r="D816" i="3"/>
  <c r="T815" i="3"/>
  <c r="S815" i="3"/>
  <c r="R815" i="3"/>
  <c r="Q815" i="3"/>
  <c r="P815" i="3"/>
  <c r="O815" i="3"/>
  <c r="M815" i="3"/>
  <c r="L815" i="3"/>
  <c r="N815" i="3" s="1"/>
  <c r="K815" i="3"/>
  <c r="J815" i="3"/>
  <c r="E815" i="3"/>
  <c r="D815" i="3"/>
  <c r="T814" i="3"/>
  <c r="S814" i="3"/>
  <c r="R814" i="3"/>
  <c r="Q814" i="3"/>
  <c r="P814" i="3"/>
  <c r="O814" i="3"/>
  <c r="M814" i="3"/>
  <c r="L814" i="3"/>
  <c r="N814" i="3" s="1"/>
  <c r="K814" i="3"/>
  <c r="J814" i="3"/>
  <c r="E814" i="3"/>
  <c r="D814" i="3"/>
  <c r="T813" i="3"/>
  <c r="S813" i="3"/>
  <c r="R813" i="3"/>
  <c r="Q813" i="3"/>
  <c r="P813" i="3"/>
  <c r="O813" i="3"/>
  <c r="M813" i="3"/>
  <c r="L813" i="3"/>
  <c r="N813" i="3" s="1"/>
  <c r="K813" i="3"/>
  <c r="J813" i="3"/>
  <c r="E813" i="3"/>
  <c r="D813" i="3"/>
  <c r="T812" i="3"/>
  <c r="S812" i="3"/>
  <c r="R812" i="3"/>
  <c r="Q812" i="3"/>
  <c r="P812" i="3"/>
  <c r="O812" i="3"/>
  <c r="M812" i="3"/>
  <c r="L812" i="3"/>
  <c r="N812" i="3" s="1"/>
  <c r="K812" i="3"/>
  <c r="J812" i="3"/>
  <c r="E812" i="3"/>
  <c r="D812" i="3"/>
  <c r="T811" i="3"/>
  <c r="S811" i="3"/>
  <c r="R811" i="3"/>
  <c r="Q811" i="3"/>
  <c r="P811" i="3"/>
  <c r="O811" i="3"/>
  <c r="M811" i="3"/>
  <c r="L811" i="3"/>
  <c r="N811" i="3" s="1"/>
  <c r="K811" i="3"/>
  <c r="J811" i="3"/>
  <c r="E811" i="3"/>
  <c r="D811" i="3"/>
  <c r="T810" i="3"/>
  <c r="S810" i="3"/>
  <c r="R810" i="3"/>
  <c r="Q810" i="3"/>
  <c r="P810" i="3"/>
  <c r="O810" i="3"/>
  <c r="M810" i="3"/>
  <c r="L810" i="3"/>
  <c r="N810" i="3" s="1"/>
  <c r="K810" i="3"/>
  <c r="J810" i="3"/>
  <c r="E810" i="3"/>
  <c r="D810" i="3"/>
  <c r="T809" i="3"/>
  <c r="S809" i="3"/>
  <c r="R809" i="3"/>
  <c r="Q809" i="3"/>
  <c r="P809" i="3"/>
  <c r="O809" i="3"/>
  <c r="M809" i="3"/>
  <c r="L809" i="3"/>
  <c r="N809" i="3" s="1"/>
  <c r="K809" i="3"/>
  <c r="J809" i="3"/>
  <c r="E809" i="3"/>
  <c r="D809" i="3"/>
  <c r="T808" i="3"/>
  <c r="S808" i="3"/>
  <c r="R808" i="3"/>
  <c r="Q808" i="3"/>
  <c r="P808" i="3"/>
  <c r="O808" i="3"/>
  <c r="M808" i="3"/>
  <c r="L808" i="3"/>
  <c r="N808" i="3" s="1"/>
  <c r="K808" i="3"/>
  <c r="J808" i="3"/>
  <c r="E808" i="3"/>
  <c r="D808" i="3"/>
  <c r="T807" i="3"/>
  <c r="S807" i="3"/>
  <c r="R807" i="3"/>
  <c r="Q807" i="3"/>
  <c r="P807" i="3"/>
  <c r="O807" i="3"/>
  <c r="M807" i="3"/>
  <c r="L807" i="3"/>
  <c r="N807" i="3" s="1"/>
  <c r="K807" i="3"/>
  <c r="J807" i="3"/>
  <c r="E807" i="3"/>
  <c r="D807" i="3"/>
  <c r="T806" i="3"/>
  <c r="S806" i="3"/>
  <c r="R806" i="3"/>
  <c r="Q806" i="3"/>
  <c r="P806" i="3"/>
  <c r="O806" i="3"/>
  <c r="M806" i="3"/>
  <c r="L806" i="3"/>
  <c r="N806" i="3" s="1"/>
  <c r="K806" i="3"/>
  <c r="J806" i="3"/>
  <c r="E806" i="3"/>
  <c r="D806" i="3"/>
  <c r="T805" i="3"/>
  <c r="S805" i="3"/>
  <c r="R805" i="3"/>
  <c r="Q805" i="3"/>
  <c r="P805" i="3"/>
  <c r="O805" i="3"/>
  <c r="M805" i="3"/>
  <c r="L805" i="3"/>
  <c r="N805" i="3" s="1"/>
  <c r="K805" i="3"/>
  <c r="J805" i="3"/>
  <c r="E805" i="3"/>
  <c r="D805" i="3"/>
  <c r="T804" i="3"/>
  <c r="S804" i="3"/>
  <c r="R804" i="3"/>
  <c r="Q804" i="3"/>
  <c r="P804" i="3"/>
  <c r="O804" i="3"/>
  <c r="M804" i="3"/>
  <c r="L804" i="3"/>
  <c r="N804" i="3" s="1"/>
  <c r="K804" i="3"/>
  <c r="J804" i="3"/>
  <c r="E804" i="3"/>
  <c r="D804" i="3"/>
  <c r="T803" i="3"/>
  <c r="S803" i="3"/>
  <c r="R803" i="3"/>
  <c r="Q803" i="3"/>
  <c r="P803" i="3"/>
  <c r="O803" i="3"/>
  <c r="M803" i="3"/>
  <c r="L803" i="3"/>
  <c r="N803" i="3" s="1"/>
  <c r="K803" i="3"/>
  <c r="J803" i="3"/>
  <c r="E803" i="3"/>
  <c r="D803" i="3"/>
  <c r="T802" i="3"/>
  <c r="S802" i="3"/>
  <c r="R802" i="3"/>
  <c r="Q802" i="3"/>
  <c r="P802" i="3"/>
  <c r="O802" i="3"/>
  <c r="M802" i="3"/>
  <c r="L802" i="3"/>
  <c r="N802" i="3" s="1"/>
  <c r="K802" i="3"/>
  <c r="J802" i="3"/>
  <c r="E802" i="3"/>
  <c r="D802" i="3"/>
  <c r="T801" i="3"/>
  <c r="S801" i="3"/>
  <c r="R801" i="3"/>
  <c r="Q801" i="3"/>
  <c r="P801" i="3"/>
  <c r="O801" i="3"/>
  <c r="M801" i="3"/>
  <c r="L801" i="3"/>
  <c r="N801" i="3" s="1"/>
  <c r="K801" i="3"/>
  <c r="J801" i="3"/>
  <c r="E801" i="3"/>
  <c r="D801" i="3"/>
  <c r="T800" i="3"/>
  <c r="S800" i="3"/>
  <c r="R800" i="3"/>
  <c r="Q800" i="3"/>
  <c r="P800" i="3"/>
  <c r="O800" i="3"/>
  <c r="M800" i="3"/>
  <c r="L800" i="3"/>
  <c r="N800" i="3" s="1"/>
  <c r="K800" i="3"/>
  <c r="J800" i="3"/>
  <c r="E800" i="3"/>
  <c r="D800" i="3"/>
  <c r="T799" i="3"/>
  <c r="S799" i="3"/>
  <c r="R799" i="3"/>
  <c r="Q799" i="3"/>
  <c r="P799" i="3"/>
  <c r="O799" i="3"/>
  <c r="M799" i="3"/>
  <c r="L799" i="3"/>
  <c r="N799" i="3" s="1"/>
  <c r="K799" i="3"/>
  <c r="J799" i="3"/>
  <c r="E799" i="3"/>
  <c r="D799" i="3"/>
  <c r="T798" i="3"/>
  <c r="S798" i="3"/>
  <c r="R798" i="3"/>
  <c r="Q798" i="3"/>
  <c r="P798" i="3"/>
  <c r="O798" i="3"/>
  <c r="M798" i="3"/>
  <c r="L798" i="3"/>
  <c r="N798" i="3" s="1"/>
  <c r="K798" i="3"/>
  <c r="J798" i="3"/>
  <c r="E798" i="3"/>
  <c r="D798" i="3"/>
  <c r="T797" i="3"/>
  <c r="S797" i="3"/>
  <c r="R797" i="3"/>
  <c r="Q797" i="3"/>
  <c r="P797" i="3"/>
  <c r="O797" i="3"/>
  <c r="M797" i="3"/>
  <c r="L797" i="3"/>
  <c r="N797" i="3" s="1"/>
  <c r="K797" i="3"/>
  <c r="J797" i="3"/>
  <c r="E797" i="3"/>
  <c r="D797" i="3"/>
  <c r="T796" i="3"/>
  <c r="S796" i="3"/>
  <c r="R796" i="3"/>
  <c r="Q796" i="3"/>
  <c r="P796" i="3"/>
  <c r="O796" i="3"/>
  <c r="M796" i="3"/>
  <c r="L796" i="3"/>
  <c r="N796" i="3" s="1"/>
  <c r="K796" i="3"/>
  <c r="J796" i="3"/>
  <c r="E796" i="3"/>
  <c r="D796" i="3"/>
  <c r="T795" i="3"/>
  <c r="S795" i="3"/>
  <c r="R795" i="3"/>
  <c r="Q795" i="3"/>
  <c r="P795" i="3"/>
  <c r="O795" i="3"/>
  <c r="M795" i="3"/>
  <c r="L795" i="3"/>
  <c r="N795" i="3" s="1"/>
  <c r="K795" i="3"/>
  <c r="J795" i="3"/>
  <c r="E795" i="3"/>
  <c r="D795" i="3"/>
  <c r="T794" i="3"/>
  <c r="S794" i="3"/>
  <c r="R794" i="3"/>
  <c r="Q794" i="3"/>
  <c r="P794" i="3"/>
  <c r="O794" i="3"/>
  <c r="M794" i="3"/>
  <c r="L794" i="3"/>
  <c r="N794" i="3" s="1"/>
  <c r="K794" i="3"/>
  <c r="J794" i="3"/>
  <c r="E794" i="3"/>
  <c r="D794" i="3"/>
  <c r="T793" i="3"/>
  <c r="S793" i="3"/>
  <c r="R793" i="3"/>
  <c r="Q793" i="3"/>
  <c r="P793" i="3"/>
  <c r="O793" i="3"/>
  <c r="M793" i="3"/>
  <c r="L793" i="3"/>
  <c r="N793" i="3" s="1"/>
  <c r="K793" i="3"/>
  <c r="J793" i="3"/>
  <c r="E793" i="3"/>
  <c r="D793" i="3"/>
  <c r="T792" i="3"/>
  <c r="S792" i="3"/>
  <c r="R792" i="3"/>
  <c r="Q792" i="3"/>
  <c r="P792" i="3"/>
  <c r="O792" i="3"/>
  <c r="M792" i="3"/>
  <c r="L792" i="3"/>
  <c r="N792" i="3" s="1"/>
  <c r="K792" i="3"/>
  <c r="J792" i="3"/>
  <c r="E792" i="3"/>
  <c r="D792" i="3"/>
  <c r="T791" i="3"/>
  <c r="S791" i="3"/>
  <c r="R791" i="3"/>
  <c r="Q791" i="3"/>
  <c r="P791" i="3"/>
  <c r="O791" i="3"/>
  <c r="M791" i="3"/>
  <c r="L791" i="3"/>
  <c r="N791" i="3" s="1"/>
  <c r="K791" i="3"/>
  <c r="J791" i="3"/>
  <c r="E791" i="3"/>
  <c r="D791" i="3"/>
  <c r="T790" i="3"/>
  <c r="S790" i="3"/>
  <c r="R790" i="3"/>
  <c r="Q790" i="3"/>
  <c r="P790" i="3"/>
  <c r="O790" i="3"/>
  <c r="M790" i="3"/>
  <c r="L790" i="3"/>
  <c r="N790" i="3" s="1"/>
  <c r="K790" i="3"/>
  <c r="J790" i="3"/>
  <c r="E790" i="3"/>
  <c r="D790" i="3"/>
  <c r="T789" i="3"/>
  <c r="S789" i="3"/>
  <c r="R789" i="3"/>
  <c r="Q789" i="3"/>
  <c r="P789" i="3"/>
  <c r="O789" i="3"/>
  <c r="M789" i="3"/>
  <c r="L789" i="3"/>
  <c r="N789" i="3" s="1"/>
  <c r="K789" i="3"/>
  <c r="J789" i="3"/>
  <c r="E789" i="3"/>
  <c r="D789" i="3"/>
  <c r="T788" i="3"/>
  <c r="S788" i="3"/>
  <c r="R788" i="3"/>
  <c r="Q788" i="3"/>
  <c r="P788" i="3"/>
  <c r="O788" i="3"/>
  <c r="M788" i="3"/>
  <c r="L788" i="3"/>
  <c r="N788" i="3" s="1"/>
  <c r="K788" i="3"/>
  <c r="J788" i="3"/>
  <c r="E788" i="3"/>
  <c r="D788" i="3"/>
  <c r="T787" i="3"/>
  <c r="S787" i="3"/>
  <c r="R787" i="3"/>
  <c r="Q787" i="3"/>
  <c r="P787" i="3"/>
  <c r="O787" i="3"/>
  <c r="M787" i="3"/>
  <c r="L787" i="3"/>
  <c r="N787" i="3" s="1"/>
  <c r="K787" i="3"/>
  <c r="J787" i="3"/>
  <c r="E787" i="3"/>
  <c r="D787" i="3"/>
  <c r="T786" i="3"/>
  <c r="S786" i="3"/>
  <c r="R786" i="3"/>
  <c r="Q786" i="3"/>
  <c r="P786" i="3"/>
  <c r="O786" i="3"/>
  <c r="M786" i="3"/>
  <c r="L786" i="3"/>
  <c r="N786" i="3" s="1"/>
  <c r="K786" i="3"/>
  <c r="J786" i="3"/>
  <c r="E786" i="3"/>
  <c r="D786" i="3"/>
  <c r="T785" i="3"/>
  <c r="S785" i="3"/>
  <c r="R785" i="3"/>
  <c r="Q785" i="3"/>
  <c r="P785" i="3"/>
  <c r="O785" i="3"/>
  <c r="M785" i="3"/>
  <c r="L785" i="3"/>
  <c r="N785" i="3" s="1"/>
  <c r="K785" i="3"/>
  <c r="J785" i="3"/>
  <c r="E785" i="3"/>
  <c r="D785" i="3"/>
  <c r="T784" i="3"/>
  <c r="S784" i="3"/>
  <c r="R784" i="3"/>
  <c r="Q784" i="3"/>
  <c r="P784" i="3"/>
  <c r="O784" i="3"/>
  <c r="M784" i="3"/>
  <c r="L784" i="3"/>
  <c r="N784" i="3" s="1"/>
  <c r="K784" i="3"/>
  <c r="J784" i="3"/>
  <c r="E784" i="3"/>
  <c r="D784" i="3"/>
  <c r="T783" i="3"/>
  <c r="S783" i="3"/>
  <c r="R783" i="3"/>
  <c r="Q783" i="3"/>
  <c r="P783" i="3"/>
  <c r="O783" i="3"/>
  <c r="M783" i="3"/>
  <c r="L783" i="3"/>
  <c r="N783" i="3" s="1"/>
  <c r="K783" i="3"/>
  <c r="J783" i="3"/>
  <c r="E783" i="3"/>
  <c r="D783" i="3"/>
  <c r="T782" i="3"/>
  <c r="S782" i="3"/>
  <c r="R782" i="3"/>
  <c r="Q782" i="3"/>
  <c r="P782" i="3"/>
  <c r="O782" i="3"/>
  <c r="M782" i="3"/>
  <c r="L782" i="3"/>
  <c r="N782" i="3" s="1"/>
  <c r="K782" i="3"/>
  <c r="J782" i="3"/>
  <c r="E782" i="3"/>
  <c r="D782" i="3"/>
  <c r="T781" i="3"/>
  <c r="S781" i="3"/>
  <c r="R781" i="3"/>
  <c r="Q781" i="3"/>
  <c r="P781" i="3"/>
  <c r="O781" i="3"/>
  <c r="M781" i="3"/>
  <c r="L781" i="3"/>
  <c r="N781" i="3" s="1"/>
  <c r="K781" i="3"/>
  <c r="J781" i="3"/>
  <c r="E781" i="3"/>
  <c r="D781" i="3"/>
  <c r="T780" i="3"/>
  <c r="S780" i="3"/>
  <c r="R780" i="3"/>
  <c r="Q780" i="3"/>
  <c r="P780" i="3"/>
  <c r="O780" i="3"/>
  <c r="M780" i="3"/>
  <c r="L780" i="3"/>
  <c r="N780" i="3" s="1"/>
  <c r="K780" i="3"/>
  <c r="J780" i="3"/>
  <c r="E780" i="3"/>
  <c r="D780" i="3"/>
  <c r="T779" i="3"/>
  <c r="S779" i="3"/>
  <c r="R779" i="3"/>
  <c r="Q779" i="3"/>
  <c r="P779" i="3"/>
  <c r="O779" i="3"/>
  <c r="M779" i="3"/>
  <c r="L779" i="3"/>
  <c r="N779" i="3" s="1"/>
  <c r="K779" i="3"/>
  <c r="J779" i="3"/>
  <c r="E779" i="3"/>
  <c r="D779" i="3"/>
  <c r="T778" i="3"/>
  <c r="S778" i="3"/>
  <c r="R778" i="3"/>
  <c r="Q778" i="3"/>
  <c r="P778" i="3"/>
  <c r="O778" i="3"/>
  <c r="M778" i="3"/>
  <c r="L778" i="3"/>
  <c r="N778" i="3" s="1"/>
  <c r="K778" i="3"/>
  <c r="J778" i="3"/>
  <c r="E778" i="3"/>
  <c r="D778" i="3"/>
  <c r="T777" i="3"/>
  <c r="S777" i="3"/>
  <c r="R777" i="3"/>
  <c r="Q777" i="3"/>
  <c r="P777" i="3"/>
  <c r="O777" i="3"/>
  <c r="M777" i="3"/>
  <c r="L777" i="3"/>
  <c r="N777" i="3" s="1"/>
  <c r="K777" i="3"/>
  <c r="J777" i="3"/>
  <c r="E777" i="3"/>
  <c r="D777" i="3"/>
  <c r="T776" i="3"/>
  <c r="S776" i="3"/>
  <c r="R776" i="3"/>
  <c r="Q776" i="3"/>
  <c r="P776" i="3"/>
  <c r="O776" i="3"/>
  <c r="M776" i="3"/>
  <c r="L776" i="3"/>
  <c r="N776" i="3" s="1"/>
  <c r="K776" i="3"/>
  <c r="J776" i="3"/>
  <c r="E776" i="3"/>
  <c r="D776" i="3"/>
  <c r="T775" i="3"/>
  <c r="S775" i="3"/>
  <c r="R775" i="3"/>
  <c r="Q775" i="3"/>
  <c r="P775" i="3"/>
  <c r="O775" i="3"/>
  <c r="M775" i="3"/>
  <c r="L775" i="3"/>
  <c r="N775" i="3" s="1"/>
  <c r="K775" i="3"/>
  <c r="J775" i="3"/>
  <c r="E775" i="3"/>
  <c r="D775" i="3"/>
  <c r="T774" i="3"/>
  <c r="S774" i="3"/>
  <c r="R774" i="3"/>
  <c r="Q774" i="3"/>
  <c r="P774" i="3"/>
  <c r="O774" i="3"/>
  <c r="M774" i="3"/>
  <c r="L774" i="3"/>
  <c r="N774" i="3" s="1"/>
  <c r="K774" i="3"/>
  <c r="J774" i="3"/>
  <c r="E774" i="3"/>
  <c r="D774" i="3"/>
  <c r="T773" i="3"/>
  <c r="S773" i="3"/>
  <c r="R773" i="3"/>
  <c r="Q773" i="3"/>
  <c r="P773" i="3"/>
  <c r="O773" i="3"/>
  <c r="M773" i="3"/>
  <c r="L773" i="3"/>
  <c r="N773" i="3" s="1"/>
  <c r="K773" i="3"/>
  <c r="J773" i="3"/>
  <c r="E773" i="3"/>
  <c r="D773" i="3"/>
  <c r="T772" i="3"/>
  <c r="S772" i="3"/>
  <c r="R772" i="3"/>
  <c r="Q772" i="3"/>
  <c r="P772" i="3"/>
  <c r="O772" i="3"/>
  <c r="M772" i="3"/>
  <c r="L772" i="3"/>
  <c r="N772" i="3" s="1"/>
  <c r="K772" i="3"/>
  <c r="J772" i="3"/>
  <c r="E772" i="3"/>
  <c r="D772" i="3"/>
  <c r="T771" i="3"/>
  <c r="S771" i="3"/>
  <c r="R771" i="3"/>
  <c r="Q771" i="3"/>
  <c r="P771" i="3"/>
  <c r="O771" i="3"/>
  <c r="M771" i="3"/>
  <c r="L771" i="3"/>
  <c r="N771" i="3" s="1"/>
  <c r="K771" i="3"/>
  <c r="J771" i="3"/>
  <c r="E771" i="3"/>
  <c r="D771" i="3"/>
  <c r="T770" i="3"/>
  <c r="S770" i="3"/>
  <c r="R770" i="3"/>
  <c r="Q770" i="3"/>
  <c r="P770" i="3"/>
  <c r="O770" i="3"/>
  <c r="M770" i="3"/>
  <c r="L770" i="3"/>
  <c r="N770" i="3" s="1"/>
  <c r="K770" i="3"/>
  <c r="J770" i="3"/>
  <c r="E770" i="3"/>
  <c r="D770" i="3"/>
  <c r="T769" i="3"/>
  <c r="S769" i="3"/>
  <c r="R769" i="3"/>
  <c r="Q769" i="3"/>
  <c r="P769" i="3"/>
  <c r="O769" i="3"/>
  <c r="M769" i="3"/>
  <c r="L769" i="3"/>
  <c r="N769" i="3" s="1"/>
  <c r="K769" i="3"/>
  <c r="J769" i="3"/>
  <c r="E769" i="3"/>
  <c r="D769" i="3"/>
  <c r="T768" i="3"/>
  <c r="S768" i="3"/>
  <c r="R768" i="3"/>
  <c r="Q768" i="3"/>
  <c r="P768" i="3"/>
  <c r="O768" i="3"/>
  <c r="M768" i="3"/>
  <c r="L768" i="3"/>
  <c r="N768" i="3" s="1"/>
  <c r="K768" i="3"/>
  <c r="J768" i="3"/>
  <c r="E768" i="3"/>
  <c r="D768" i="3"/>
  <c r="T767" i="3"/>
  <c r="S767" i="3"/>
  <c r="R767" i="3"/>
  <c r="Q767" i="3"/>
  <c r="P767" i="3"/>
  <c r="O767" i="3"/>
  <c r="M767" i="3"/>
  <c r="L767" i="3"/>
  <c r="N767" i="3" s="1"/>
  <c r="K767" i="3"/>
  <c r="J767" i="3"/>
  <c r="E767" i="3"/>
  <c r="D767" i="3"/>
  <c r="T766" i="3"/>
  <c r="S766" i="3"/>
  <c r="R766" i="3"/>
  <c r="Q766" i="3"/>
  <c r="P766" i="3"/>
  <c r="O766" i="3"/>
  <c r="M766" i="3"/>
  <c r="L766" i="3"/>
  <c r="N766" i="3" s="1"/>
  <c r="K766" i="3"/>
  <c r="J766" i="3"/>
  <c r="E766" i="3"/>
  <c r="D766" i="3"/>
  <c r="T765" i="3"/>
  <c r="S765" i="3"/>
  <c r="R765" i="3"/>
  <c r="Q765" i="3"/>
  <c r="P765" i="3"/>
  <c r="O765" i="3"/>
  <c r="M765" i="3"/>
  <c r="L765" i="3"/>
  <c r="N765" i="3" s="1"/>
  <c r="K765" i="3"/>
  <c r="J765" i="3"/>
  <c r="E765" i="3"/>
  <c r="D765" i="3"/>
  <c r="T764" i="3"/>
  <c r="S764" i="3"/>
  <c r="R764" i="3"/>
  <c r="Q764" i="3"/>
  <c r="P764" i="3"/>
  <c r="O764" i="3"/>
  <c r="M764" i="3"/>
  <c r="L764" i="3"/>
  <c r="N764" i="3" s="1"/>
  <c r="K764" i="3"/>
  <c r="J764" i="3"/>
  <c r="E764" i="3"/>
  <c r="D764" i="3"/>
  <c r="T763" i="3"/>
  <c r="S763" i="3"/>
  <c r="R763" i="3"/>
  <c r="Q763" i="3"/>
  <c r="P763" i="3"/>
  <c r="O763" i="3"/>
  <c r="M763" i="3"/>
  <c r="L763" i="3"/>
  <c r="N763" i="3" s="1"/>
  <c r="K763" i="3"/>
  <c r="J763" i="3"/>
  <c r="E763" i="3"/>
  <c r="D763" i="3"/>
  <c r="T762" i="3"/>
  <c r="S762" i="3"/>
  <c r="R762" i="3"/>
  <c r="Q762" i="3"/>
  <c r="P762" i="3"/>
  <c r="O762" i="3"/>
  <c r="M762" i="3"/>
  <c r="L762" i="3"/>
  <c r="N762" i="3" s="1"/>
  <c r="K762" i="3"/>
  <c r="J762" i="3"/>
  <c r="E762" i="3"/>
  <c r="D762" i="3"/>
  <c r="T761" i="3"/>
  <c r="S761" i="3"/>
  <c r="R761" i="3"/>
  <c r="Q761" i="3"/>
  <c r="P761" i="3"/>
  <c r="O761" i="3"/>
  <c r="M761" i="3"/>
  <c r="L761" i="3"/>
  <c r="N761" i="3" s="1"/>
  <c r="K761" i="3"/>
  <c r="J761" i="3"/>
  <c r="E761" i="3"/>
  <c r="D761" i="3"/>
  <c r="T760" i="3"/>
  <c r="S760" i="3"/>
  <c r="R760" i="3"/>
  <c r="Q760" i="3"/>
  <c r="P760" i="3"/>
  <c r="O760" i="3"/>
  <c r="M760" i="3"/>
  <c r="L760" i="3"/>
  <c r="N760" i="3" s="1"/>
  <c r="K760" i="3"/>
  <c r="J760" i="3"/>
  <c r="E760" i="3"/>
  <c r="D760" i="3"/>
  <c r="T759" i="3"/>
  <c r="S759" i="3"/>
  <c r="R759" i="3"/>
  <c r="Q759" i="3"/>
  <c r="P759" i="3"/>
  <c r="O759" i="3"/>
  <c r="M759" i="3"/>
  <c r="L759" i="3"/>
  <c r="N759" i="3" s="1"/>
  <c r="K759" i="3"/>
  <c r="J759" i="3"/>
  <c r="E759" i="3"/>
  <c r="D759" i="3"/>
  <c r="T758" i="3"/>
  <c r="S758" i="3"/>
  <c r="R758" i="3"/>
  <c r="Q758" i="3"/>
  <c r="P758" i="3"/>
  <c r="O758" i="3"/>
  <c r="M758" i="3"/>
  <c r="L758" i="3"/>
  <c r="N758" i="3" s="1"/>
  <c r="K758" i="3"/>
  <c r="J758" i="3"/>
  <c r="E758" i="3"/>
  <c r="D758" i="3"/>
  <c r="T757" i="3"/>
  <c r="S757" i="3"/>
  <c r="R757" i="3"/>
  <c r="Q757" i="3"/>
  <c r="P757" i="3"/>
  <c r="O757" i="3"/>
  <c r="M757" i="3"/>
  <c r="L757" i="3"/>
  <c r="N757" i="3" s="1"/>
  <c r="K757" i="3"/>
  <c r="J757" i="3"/>
  <c r="E757" i="3"/>
  <c r="D757" i="3"/>
  <c r="T756" i="3"/>
  <c r="S756" i="3"/>
  <c r="R756" i="3"/>
  <c r="Q756" i="3"/>
  <c r="P756" i="3"/>
  <c r="O756" i="3"/>
  <c r="M756" i="3"/>
  <c r="L756" i="3"/>
  <c r="N756" i="3" s="1"/>
  <c r="K756" i="3"/>
  <c r="J756" i="3"/>
  <c r="E756" i="3"/>
  <c r="D756" i="3"/>
  <c r="T755" i="3"/>
  <c r="S755" i="3"/>
  <c r="R755" i="3"/>
  <c r="Q755" i="3"/>
  <c r="P755" i="3"/>
  <c r="O755" i="3"/>
  <c r="M755" i="3"/>
  <c r="L755" i="3"/>
  <c r="N755" i="3" s="1"/>
  <c r="K755" i="3"/>
  <c r="J755" i="3"/>
  <c r="E755" i="3"/>
  <c r="D755" i="3"/>
  <c r="T754" i="3"/>
  <c r="S754" i="3"/>
  <c r="R754" i="3"/>
  <c r="Q754" i="3"/>
  <c r="P754" i="3"/>
  <c r="O754" i="3"/>
  <c r="M754" i="3"/>
  <c r="L754" i="3"/>
  <c r="N754" i="3" s="1"/>
  <c r="K754" i="3"/>
  <c r="J754" i="3"/>
  <c r="E754" i="3"/>
  <c r="D754" i="3"/>
  <c r="T753" i="3"/>
  <c r="S753" i="3"/>
  <c r="R753" i="3"/>
  <c r="Q753" i="3"/>
  <c r="P753" i="3"/>
  <c r="O753" i="3"/>
  <c r="M753" i="3"/>
  <c r="L753" i="3"/>
  <c r="N753" i="3" s="1"/>
  <c r="K753" i="3"/>
  <c r="J753" i="3"/>
  <c r="E753" i="3"/>
  <c r="D753" i="3"/>
  <c r="T752" i="3"/>
  <c r="S752" i="3"/>
  <c r="R752" i="3"/>
  <c r="Q752" i="3"/>
  <c r="P752" i="3"/>
  <c r="O752" i="3"/>
  <c r="M752" i="3"/>
  <c r="L752" i="3"/>
  <c r="N752" i="3" s="1"/>
  <c r="K752" i="3"/>
  <c r="J752" i="3"/>
  <c r="E752" i="3"/>
  <c r="D752" i="3"/>
  <c r="T751" i="3"/>
  <c r="S751" i="3"/>
  <c r="R751" i="3"/>
  <c r="Q751" i="3"/>
  <c r="P751" i="3"/>
  <c r="O751" i="3"/>
  <c r="M751" i="3"/>
  <c r="L751" i="3"/>
  <c r="N751" i="3" s="1"/>
  <c r="K751" i="3"/>
  <c r="J751" i="3"/>
  <c r="E751" i="3"/>
  <c r="D751" i="3"/>
  <c r="T750" i="3"/>
  <c r="S750" i="3"/>
  <c r="R750" i="3"/>
  <c r="Q750" i="3"/>
  <c r="P750" i="3"/>
  <c r="O750" i="3"/>
  <c r="M750" i="3"/>
  <c r="L750" i="3"/>
  <c r="N750" i="3" s="1"/>
  <c r="K750" i="3"/>
  <c r="J750" i="3"/>
  <c r="E750" i="3"/>
  <c r="D750" i="3"/>
  <c r="T749" i="3"/>
  <c r="S749" i="3"/>
  <c r="R749" i="3"/>
  <c r="Q749" i="3"/>
  <c r="P749" i="3"/>
  <c r="O749" i="3"/>
  <c r="M749" i="3"/>
  <c r="L749" i="3"/>
  <c r="N749" i="3" s="1"/>
  <c r="K749" i="3"/>
  <c r="J749" i="3"/>
  <c r="E749" i="3"/>
  <c r="D749" i="3"/>
  <c r="T748" i="3"/>
  <c r="S748" i="3"/>
  <c r="R748" i="3"/>
  <c r="Q748" i="3"/>
  <c r="P748" i="3"/>
  <c r="O748" i="3"/>
  <c r="M748" i="3"/>
  <c r="L748" i="3"/>
  <c r="N748" i="3" s="1"/>
  <c r="K748" i="3"/>
  <c r="J748" i="3"/>
  <c r="E748" i="3"/>
  <c r="D748" i="3"/>
  <c r="T747" i="3"/>
  <c r="S747" i="3"/>
  <c r="R747" i="3"/>
  <c r="Q747" i="3"/>
  <c r="P747" i="3"/>
  <c r="O747" i="3"/>
  <c r="M747" i="3"/>
  <c r="L747" i="3"/>
  <c r="N747" i="3" s="1"/>
  <c r="K747" i="3"/>
  <c r="J747" i="3"/>
  <c r="E747" i="3"/>
  <c r="D747" i="3"/>
  <c r="T746" i="3"/>
  <c r="S746" i="3"/>
  <c r="R746" i="3"/>
  <c r="Q746" i="3"/>
  <c r="P746" i="3"/>
  <c r="O746" i="3"/>
  <c r="M746" i="3"/>
  <c r="L746" i="3"/>
  <c r="N746" i="3" s="1"/>
  <c r="K746" i="3"/>
  <c r="J746" i="3"/>
  <c r="E746" i="3"/>
  <c r="D746" i="3"/>
  <c r="T745" i="3"/>
  <c r="S745" i="3"/>
  <c r="R745" i="3"/>
  <c r="Q745" i="3"/>
  <c r="P745" i="3"/>
  <c r="O745" i="3"/>
  <c r="M745" i="3"/>
  <c r="L745" i="3"/>
  <c r="N745" i="3" s="1"/>
  <c r="K745" i="3"/>
  <c r="J745" i="3"/>
  <c r="E745" i="3"/>
  <c r="D745" i="3"/>
  <c r="T744" i="3"/>
  <c r="S744" i="3"/>
  <c r="R744" i="3"/>
  <c r="Q744" i="3"/>
  <c r="P744" i="3"/>
  <c r="O744" i="3"/>
  <c r="M744" i="3"/>
  <c r="L744" i="3"/>
  <c r="N744" i="3" s="1"/>
  <c r="K744" i="3"/>
  <c r="J744" i="3"/>
  <c r="E744" i="3"/>
  <c r="D744" i="3"/>
  <c r="T743" i="3"/>
  <c r="S743" i="3"/>
  <c r="R743" i="3"/>
  <c r="Q743" i="3"/>
  <c r="P743" i="3"/>
  <c r="O743" i="3"/>
  <c r="M743" i="3"/>
  <c r="L743" i="3"/>
  <c r="N743" i="3" s="1"/>
  <c r="K743" i="3"/>
  <c r="J743" i="3"/>
  <c r="E743" i="3"/>
  <c r="D743" i="3"/>
  <c r="T742" i="3"/>
  <c r="S742" i="3"/>
  <c r="R742" i="3"/>
  <c r="Q742" i="3"/>
  <c r="P742" i="3"/>
  <c r="O742" i="3"/>
  <c r="M742" i="3"/>
  <c r="L742" i="3"/>
  <c r="N742" i="3" s="1"/>
  <c r="K742" i="3"/>
  <c r="J742" i="3"/>
  <c r="E742" i="3"/>
  <c r="D742" i="3"/>
  <c r="T741" i="3"/>
  <c r="S741" i="3"/>
  <c r="R741" i="3"/>
  <c r="Q741" i="3"/>
  <c r="P741" i="3"/>
  <c r="O741" i="3"/>
  <c r="M741" i="3"/>
  <c r="L741" i="3"/>
  <c r="N741" i="3" s="1"/>
  <c r="K741" i="3"/>
  <c r="J741" i="3"/>
  <c r="E741" i="3"/>
  <c r="D741" i="3"/>
  <c r="T740" i="3"/>
  <c r="S740" i="3"/>
  <c r="R740" i="3"/>
  <c r="Q740" i="3"/>
  <c r="P740" i="3"/>
  <c r="O740" i="3"/>
  <c r="M740" i="3"/>
  <c r="L740" i="3"/>
  <c r="N740" i="3" s="1"/>
  <c r="K740" i="3"/>
  <c r="J740" i="3"/>
  <c r="E740" i="3"/>
  <c r="D740" i="3"/>
  <c r="T739" i="3"/>
  <c r="S739" i="3"/>
  <c r="R739" i="3"/>
  <c r="Q739" i="3"/>
  <c r="P739" i="3"/>
  <c r="O739" i="3"/>
  <c r="M739" i="3"/>
  <c r="L739" i="3"/>
  <c r="N739" i="3" s="1"/>
  <c r="K739" i="3"/>
  <c r="J739" i="3"/>
  <c r="E739" i="3"/>
  <c r="D739" i="3"/>
  <c r="T738" i="3"/>
  <c r="S738" i="3"/>
  <c r="R738" i="3"/>
  <c r="Q738" i="3"/>
  <c r="P738" i="3"/>
  <c r="O738" i="3"/>
  <c r="M738" i="3"/>
  <c r="L738" i="3"/>
  <c r="N738" i="3" s="1"/>
  <c r="K738" i="3"/>
  <c r="J738" i="3"/>
  <c r="E738" i="3"/>
  <c r="D738" i="3"/>
  <c r="T737" i="3"/>
  <c r="S737" i="3"/>
  <c r="R737" i="3"/>
  <c r="Q737" i="3"/>
  <c r="P737" i="3"/>
  <c r="O737" i="3"/>
  <c r="M737" i="3"/>
  <c r="L737" i="3"/>
  <c r="N737" i="3" s="1"/>
  <c r="K737" i="3"/>
  <c r="J737" i="3"/>
  <c r="E737" i="3"/>
  <c r="D737" i="3"/>
  <c r="T736" i="3"/>
  <c r="S736" i="3"/>
  <c r="R736" i="3"/>
  <c r="Q736" i="3"/>
  <c r="P736" i="3"/>
  <c r="O736" i="3"/>
  <c r="M736" i="3"/>
  <c r="L736" i="3"/>
  <c r="N736" i="3" s="1"/>
  <c r="K736" i="3"/>
  <c r="J736" i="3"/>
  <c r="E736" i="3"/>
  <c r="D736" i="3"/>
  <c r="T735" i="3"/>
  <c r="S735" i="3"/>
  <c r="R735" i="3"/>
  <c r="Q735" i="3"/>
  <c r="P735" i="3"/>
  <c r="O735" i="3"/>
  <c r="M735" i="3"/>
  <c r="L735" i="3"/>
  <c r="N735" i="3" s="1"/>
  <c r="K735" i="3"/>
  <c r="J735" i="3"/>
  <c r="E735" i="3"/>
  <c r="D735" i="3"/>
  <c r="T734" i="3"/>
  <c r="S734" i="3"/>
  <c r="R734" i="3"/>
  <c r="Q734" i="3"/>
  <c r="P734" i="3"/>
  <c r="O734" i="3"/>
  <c r="M734" i="3"/>
  <c r="L734" i="3"/>
  <c r="N734" i="3" s="1"/>
  <c r="K734" i="3"/>
  <c r="J734" i="3"/>
  <c r="E734" i="3"/>
  <c r="D734" i="3"/>
  <c r="T733" i="3"/>
  <c r="S733" i="3"/>
  <c r="R733" i="3"/>
  <c r="Q733" i="3"/>
  <c r="P733" i="3"/>
  <c r="O733" i="3"/>
  <c r="M733" i="3"/>
  <c r="L733" i="3"/>
  <c r="N733" i="3" s="1"/>
  <c r="K733" i="3"/>
  <c r="J733" i="3"/>
  <c r="E733" i="3"/>
  <c r="D733" i="3"/>
  <c r="T732" i="3"/>
  <c r="S732" i="3"/>
  <c r="R732" i="3"/>
  <c r="Q732" i="3"/>
  <c r="P732" i="3"/>
  <c r="O732" i="3"/>
  <c r="M732" i="3"/>
  <c r="L732" i="3"/>
  <c r="N732" i="3" s="1"/>
  <c r="K732" i="3"/>
  <c r="J732" i="3"/>
  <c r="E732" i="3"/>
  <c r="D732" i="3"/>
  <c r="T731" i="3"/>
  <c r="S731" i="3"/>
  <c r="R731" i="3"/>
  <c r="Q731" i="3"/>
  <c r="P731" i="3"/>
  <c r="O731" i="3"/>
  <c r="M731" i="3"/>
  <c r="L731" i="3"/>
  <c r="N731" i="3" s="1"/>
  <c r="K731" i="3"/>
  <c r="J731" i="3"/>
  <c r="E731" i="3"/>
  <c r="D731" i="3"/>
  <c r="T730" i="3"/>
  <c r="S730" i="3"/>
  <c r="R730" i="3"/>
  <c r="Q730" i="3"/>
  <c r="P730" i="3"/>
  <c r="O730" i="3"/>
  <c r="M730" i="3"/>
  <c r="L730" i="3"/>
  <c r="N730" i="3" s="1"/>
  <c r="K730" i="3"/>
  <c r="J730" i="3"/>
  <c r="E730" i="3"/>
  <c r="D730" i="3"/>
  <c r="T729" i="3"/>
  <c r="S729" i="3"/>
  <c r="R729" i="3"/>
  <c r="Q729" i="3"/>
  <c r="P729" i="3"/>
  <c r="O729" i="3"/>
  <c r="M729" i="3"/>
  <c r="L729" i="3"/>
  <c r="N729" i="3" s="1"/>
  <c r="K729" i="3"/>
  <c r="J729" i="3"/>
  <c r="E729" i="3"/>
  <c r="D729" i="3"/>
  <c r="T728" i="3"/>
  <c r="S728" i="3"/>
  <c r="R728" i="3"/>
  <c r="Q728" i="3"/>
  <c r="P728" i="3"/>
  <c r="O728" i="3"/>
  <c r="M728" i="3"/>
  <c r="L728" i="3"/>
  <c r="N728" i="3" s="1"/>
  <c r="K728" i="3"/>
  <c r="J728" i="3"/>
  <c r="E728" i="3"/>
  <c r="D728" i="3"/>
  <c r="T727" i="3"/>
  <c r="S727" i="3"/>
  <c r="R727" i="3"/>
  <c r="Q727" i="3"/>
  <c r="P727" i="3"/>
  <c r="O727" i="3"/>
  <c r="M727" i="3"/>
  <c r="L727" i="3"/>
  <c r="N727" i="3" s="1"/>
  <c r="K727" i="3"/>
  <c r="J727" i="3"/>
  <c r="E727" i="3"/>
  <c r="D727" i="3"/>
  <c r="T726" i="3"/>
  <c r="S726" i="3"/>
  <c r="R726" i="3"/>
  <c r="Q726" i="3"/>
  <c r="P726" i="3"/>
  <c r="O726" i="3"/>
  <c r="M726" i="3"/>
  <c r="L726" i="3"/>
  <c r="N726" i="3" s="1"/>
  <c r="K726" i="3"/>
  <c r="J726" i="3"/>
  <c r="E726" i="3"/>
  <c r="D726" i="3"/>
  <c r="T725" i="3"/>
  <c r="S725" i="3"/>
  <c r="R725" i="3"/>
  <c r="Q725" i="3"/>
  <c r="P725" i="3"/>
  <c r="O725" i="3"/>
  <c r="M725" i="3"/>
  <c r="L725" i="3"/>
  <c r="N725" i="3" s="1"/>
  <c r="K725" i="3"/>
  <c r="J725" i="3"/>
  <c r="E725" i="3"/>
  <c r="D725" i="3"/>
  <c r="T724" i="3"/>
  <c r="S724" i="3"/>
  <c r="R724" i="3"/>
  <c r="Q724" i="3"/>
  <c r="P724" i="3"/>
  <c r="O724" i="3"/>
  <c r="M724" i="3"/>
  <c r="L724" i="3"/>
  <c r="N724" i="3" s="1"/>
  <c r="K724" i="3"/>
  <c r="J724" i="3"/>
  <c r="E724" i="3"/>
  <c r="D724" i="3"/>
  <c r="T723" i="3"/>
  <c r="S723" i="3"/>
  <c r="R723" i="3"/>
  <c r="Q723" i="3"/>
  <c r="P723" i="3"/>
  <c r="O723" i="3"/>
  <c r="M723" i="3"/>
  <c r="L723" i="3"/>
  <c r="N723" i="3" s="1"/>
  <c r="K723" i="3"/>
  <c r="J723" i="3"/>
  <c r="E723" i="3"/>
  <c r="D723" i="3"/>
  <c r="T722" i="3"/>
  <c r="S722" i="3"/>
  <c r="R722" i="3"/>
  <c r="Q722" i="3"/>
  <c r="P722" i="3"/>
  <c r="O722" i="3"/>
  <c r="M722" i="3"/>
  <c r="L722" i="3"/>
  <c r="N722" i="3" s="1"/>
  <c r="K722" i="3"/>
  <c r="J722" i="3"/>
  <c r="E722" i="3"/>
  <c r="D722" i="3"/>
  <c r="T721" i="3"/>
  <c r="S721" i="3"/>
  <c r="R721" i="3"/>
  <c r="Q721" i="3"/>
  <c r="P721" i="3"/>
  <c r="O721" i="3"/>
  <c r="M721" i="3"/>
  <c r="L721" i="3"/>
  <c r="N721" i="3" s="1"/>
  <c r="K721" i="3"/>
  <c r="J721" i="3"/>
  <c r="E721" i="3"/>
  <c r="D721" i="3"/>
  <c r="T720" i="3"/>
  <c r="S720" i="3"/>
  <c r="R720" i="3"/>
  <c r="Q720" i="3"/>
  <c r="P720" i="3"/>
  <c r="O720" i="3"/>
  <c r="M720" i="3"/>
  <c r="L720" i="3"/>
  <c r="N720" i="3" s="1"/>
  <c r="K720" i="3"/>
  <c r="J720" i="3"/>
  <c r="E720" i="3"/>
  <c r="D720" i="3"/>
  <c r="T719" i="3"/>
  <c r="S719" i="3"/>
  <c r="R719" i="3"/>
  <c r="Q719" i="3"/>
  <c r="P719" i="3"/>
  <c r="O719" i="3"/>
  <c r="M719" i="3"/>
  <c r="L719" i="3"/>
  <c r="N719" i="3" s="1"/>
  <c r="K719" i="3"/>
  <c r="J719" i="3"/>
  <c r="E719" i="3"/>
  <c r="D719" i="3"/>
  <c r="T718" i="3"/>
  <c r="S718" i="3"/>
  <c r="R718" i="3"/>
  <c r="Q718" i="3"/>
  <c r="P718" i="3"/>
  <c r="O718" i="3"/>
  <c r="M718" i="3"/>
  <c r="L718" i="3"/>
  <c r="N718" i="3" s="1"/>
  <c r="K718" i="3"/>
  <c r="J718" i="3"/>
  <c r="E718" i="3"/>
  <c r="D718" i="3"/>
  <c r="T717" i="3"/>
  <c r="S717" i="3"/>
  <c r="R717" i="3"/>
  <c r="Q717" i="3"/>
  <c r="P717" i="3"/>
  <c r="O717" i="3"/>
  <c r="M717" i="3"/>
  <c r="L717" i="3"/>
  <c r="N717" i="3" s="1"/>
  <c r="K717" i="3"/>
  <c r="J717" i="3"/>
  <c r="E717" i="3"/>
  <c r="D717" i="3"/>
  <c r="T716" i="3"/>
  <c r="S716" i="3"/>
  <c r="R716" i="3"/>
  <c r="Q716" i="3"/>
  <c r="P716" i="3"/>
  <c r="O716" i="3"/>
  <c r="M716" i="3"/>
  <c r="L716" i="3"/>
  <c r="N716" i="3" s="1"/>
  <c r="K716" i="3"/>
  <c r="J716" i="3"/>
  <c r="E716" i="3"/>
  <c r="D716" i="3"/>
  <c r="T715" i="3"/>
  <c r="S715" i="3"/>
  <c r="R715" i="3"/>
  <c r="Q715" i="3"/>
  <c r="P715" i="3"/>
  <c r="O715" i="3"/>
  <c r="M715" i="3"/>
  <c r="L715" i="3"/>
  <c r="N715" i="3" s="1"/>
  <c r="K715" i="3"/>
  <c r="J715" i="3"/>
  <c r="E715" i="3"/>
  <c r="D715" i="3"/>
  <c r="T714" i="3"/>
  <c r="S714" i="3"/>
  <c r="R714" i="3"/>
  <c r="Q714" i="3"/>
  <c r="P714" i="3"/>
  <c r="O714" i="3"/>
  <c r="M714" i="3"/>
  <c r="L714" i="3"/>
  <c r="N714" i="3" s="1"/>
  <c r="K714" i="3"/>
  <c r="J714" i="3"/>
  <c r="E714" i="3"/>
  <c r="D714" i="3"/>
  <c r="T713" i="3"/>
  <c r="S713" i="3"/>
  <c r="R713" i="3"/>
  <c r="Q713" i="3"/>
  <c r="P713" i="3"/>
  <c r="O713" i="3"/>
  <c r="M713" i="3"/>
  <c r="L713" i="3"/>
  <c r="N713" i="3" s="1"/>
  <c r="K713" i="3"/>
  <c r="J713" i="3"/>
  <c r="E713" i="3"/>
  <c r="D713" i="3"/>
  <c r="T712" i="3"/>
  <c r="S712" i="3"/>
  <c r="R712" i="3"/>
  <c r="Q712" i="3"/>
  <c r="P712" i="3"/>
  <c r="O712" i="3"/>
  <c r="M712" i="3"/>
  <c r="L712" i="3"/>
  <c r="N712" i="3" s="1"/>
  <c r="K712" i="3"/>
  <c r="J712" i="3"/>
  <c r="E712" i="3"/>
  <c r="D712" i="3"/>
  <c r="T711" i="3"/>
  <c r="S711" i="3"/>
  <c r="R711" i="3"/>
  <c r="Q711" i="3"/>
  <c r="P711" i="3"/>
  <c r="O711" i="3"/>
  <c r="M711" i="3"/>
  <c r="L711" i="3"/>
  <c r="N711" i="3" s="1"/>
  <c r="K711" i="3"/>
  <c r="J711" i="3"/>
  <c r="E711" i="3"/>
  <c r="D711" i="3"/>
  <c r="T710" i="3"/>
  <c r="S710" i="3"/>
  <c r="R710" i="3"/>
  <c r="Q710" i="3"/>
  <c r="P710" i="3"/>
  <c r="O710" i="3"/>
  <c r="M710" i="3"/>
  <c r="L710" i="3"/>
  <c r="N710" i="3" s="1"/>
  <c r="K710" i="3"/>
  <c r="J710" i="3"/>
  <c r="E710" i="3"/>
  <c r="D710" i="3"/>
  <c r="T709" i="3"/>
  <c r="S709" i="3"/>
  <c r="R709" i="3"/>
  <c r="Q709" i="3"/>
  <c r="P709" i="3"/>
  <c r="O709" i="3"/>
  <c r="M709" i="3"/>
  <c r="L709" i="3"/>
  <c r="N709" i="3" s="1"/>
  <c r="K709" i="3"/>
  <c r="J709" i="3"/>
  <c r="E709" i="3"/>
  <c r="D709" i="3"/>
  <c r="T708" i="3"/>
  <c r="S708" i="3"/>
  <c r="R708" i="3"/>
  <c r="Q708" i="3"/>
  <c r="P708" i="3"/>
  <c r="O708" i="3"/>
  <c r="M708" i="3"/>
  <c r="L708" i="3"/>
  <c r="N708" i="3" s="1"/>
  <c r="K708" i="3"/>
  <c r="J708" i="3"/>
  <c r="E708" i="3"/>
  <c r="D708" i="3"/>
  <c r="T707" i="3"/>
  <c r="S707" i="3"/>
  <c r="R707" i="3"/>
  <c r="Q707" i="3"/>
  <c r="P707" i="3"/>
  <c r="O707" i="3"/>
  <c r="M707" i="3"/>
  <c r="L707" i="3"/>
  <c r="N707" i="3" s="1"/>
  <c r="K707" i="3"/>
  <c r="J707" i="3"/>
  <c r="E707" i="3"/>
  <c r="D707" i="3"/>
  <c r="T706" i="3"/>
  <c r="S706" i="3"/>
  <c r="R706" i="3"/>
  <c r="Q706" i="3"/>
  <c r="P706" i="3"/>
  <c r="O706" i="3"/>
  <c r="M706" i="3"/>
  <c r="L706" i="3"/>
  <c r="N706" i="3" s="1"/>
  <c r="K706" i="3"/>
  <c r="J706" i="3"/>
  <c r="E706" i="3"/>
  <c r="D706" i="3"/>
  <c r="T705" i="3"/>
  <c r="S705" i="3"/>
  <c r="R705" i="3"/>
  <c r="Q705" i="3"/>
  <c r="P705" i="3"/>
  <c r="O705" i="3"/>
  <c r="M705" i="3"/>
  <c r="L705" i="3"/>
  <c r="N705" i="3" s="1"/>
  <c r="K705" i="3"/>
  <c r="J705" i="3"/>
  <c r="E705" i="3"/>
  <c r="D705" i="3"/>
  <c r="T704" i="3"/>
  <c r="S704" i="3"/>
  <c r="R704" i="3"/>
  <c r="Q704" i="3"/>
  <c r="P704" i="3"/>
  <c r="O704" i="3"/>
  <c r="M704" i="3"/>
  <c r="L704" i="3"/>
  <c r="N704" i="3" s="1"/>
  <c r="K704" i="3"/>
  <c r="J704" i="3"/>
  <c r="E704" i="3"/>
  <c r="D704" i="3"/>
  <c r="T703" i="3"/>
  <c r="S703" i="3"/>
  <c r="R703" i="3"/>
  <c r="Q703" i="3"/>
  <c r="P703" i="3"/>
  <c r="O703" i="3"/>
  <c r="M703" i="3"/>
  <c r="L703" i="3"/>
  <c r="N703" i="3" s="1"/>
  <c r="K703" i="3"/>
  <c r="J703" i="3"/>
  <c r="E703" i="3"/>
  <c r="D703" i="3"/>
  <c r="T702" i="3"/>
  <c r="S702" i="3"/>
  <c r="R702" i="3"/>
  <c r="Q702" i="3"/>
  <c r="P702" i="3"/>
  <c r="O702" i="3"/>
  <c r="M702" i="3"/>
  <c r="L702" i="3"/>
  <c r="N702" i="3" s="1"/>
  <c r="K702" i="3"/>
  <c r="J702" i="3"/>
  <c r="E702" i="3"/>
  <c r="D702" i="3"/>
  <c r="T701" i="3"/>
  <c r="S701" i="3"/>
  <c r="R701" i="3"/>
  <c r="Q701" i="3"/>
  <c r="P701" i="3"/>
  <c r="O701" i="3"/>
  <c r="M701" i="3"/>
  <c r="L701" i="3"/>
  <c r="N701" i="3" s="1"/>
  <c r="K701" i="3"/>
  <c r="J701" i="3"/>
  <c r="E701" i="3"/>
  <c r="D701" i="3"/>
  <c r="T700" i="3"/>
  <c r="S700" i="3"/>
  <c r="R700" i="3"/>
  <c r="Q700" i="3"/>
  <c r="P700" i="3"/>
  <c r="O700" i="3"/>
  <c r="M700" i="3"/>
  <c r="L700" i="3"/>
  <c r="N700" i="3" s="1"/>
  <c r="K700" i="3"/>
  <c r="J700" i="3"/>
  <c r="E700" i="3"/>
  <c r="D700" i="3"/>
  <c r="T699" i="3"/>
  <c r="S699" i="3"/>
  <c r="R699" i="3"/>
  <c r="Q699" i="3"/>
  <c r="P699" i="3"/>
  <c r="O699" i="3"/>
  <c r="M699" i="3"/>
  <c r="L699" i="3"/>
  <c r="N699" i="3" s="1"/>
  <c r="K699" i="3"/>
  <c r="J699" i="3"/>
  <c r="E699" i="3"/>
  <c r="D699" i="3"/>
  <c r="T698" i="3"/>
  <c r="S698" i="3"/>
  <c r="R698" i="3"/>
  <c r="Q698" i="3"/>
  <c r="P698" i="3"/>
  <c r="O698" i="3"/>
  <c r="M698" i="3"/>
  <c r="L698" i="3"/>
  <c r="N698" i="3" s="1"/>
  <c r="K698" i="3"/>
  <c r="J698" i="3"/>
  <c r="E698" i="3"/>
  <c r="D698" i="3"/>
  <c r="T697" i="3"/>
  <c r="S697" i="3"/>
  <c r="R697" i="3"/>
  <c r="Q697" i="3"/>
  <c r="P697" i="3"/>
  <c r="O697" i="3"/>
  <c r="M697" i="3"/>
  <c r="L697" i="3"/>
  <c r="N697" i="3" s="1"/>
  <c r="K697" i="3"/>
  <c r="J697" i="3"/>
  <c r="E697" i="3"/>
  <c r="D697" i="3"/>
  <c r="T696" i="3"/>
  <c r="S696" i="3"/>
  <c r="R696" i="3"/>
  <c r="Q696" i="3"/>
  <c r="P696" i="3"/>
  <c r="O696" i="3"/>
  <c r="M696" i="3"/>
  <c r="L696" i="3"/>
  <c r="N696" i="3" s="1"/>
  <c r="K696" i="3"/>
  <c r="J696" i="3"/>
  <c r="E696" i="3"/>
  <c r="D696" i="3"/>
  <c r="T695" i="3"/>
  <c r="S695" i="3"/>
  <c r="R695" i="3"/>
  <c r="Q695" i="3"/>
  <c r="P695" i="3"/>
  <c r="O695" i="3"/>
  <c r="M695" i="3"/>
  <c r="L695" i="3"/>
  <c r="N695" i="3" s="1"/>
  <c r="K695" i="3"/>
  <c r="J695" i="3"/>
  <c r="E695" i="3"/>
  <c r="D695" i="3"/>
  <c r="T694" i="3"/>
  <c r="S694" i="3"/>
  <c r="R694" i="3"/>
  <c r="Q694" i="3"/>
  <c r="P694" i="3"/>
  <c r="O694" i="3"/>
  <c r="M694" i="3"/>
  <c r="L694" i="3"/>
  <c r="N694" i="3" s="1"/>
  <c r="K694" i="3"/>
  <c r="J694" i="3"/>
  <c r="E694" i="3"/>
  <c r="D694" i="3"/>
  <c r="T693" i="3"/>
  <c r="S693" i="3"/>
  <c r="R693" i="3"/>
  <c r="Q693" i="3"/>
  <c r="P693" i="3"/>
  <c r="O693" i="3"/>
  <c r="M693" i="3"/>
  <c r="L693" i="3"/>
  <c r="N693" i="3" s="1"/>
  <c r="K693" i="3"/>
  <c r="J693" i="3"/>
  <c r="E693" i="3"/>
  <c r="D693" i="3"/>
  <c r="T692" i="3"/>
  <c r="S692" i="3"/>
  <c r="R692" i="3"/>
  <c r="Q692" i="3"/>
  <c r="P692" i="3"/>
  <c r="O692" i="3"/>
  <c r="M692" i="3"/>
  <c r="L692" i="3"/>
  <c r="N692" i="3" s="1"/>
  <c r="K692" i="3"/>
  <c r="J692" i="3"/>
  <c r="E692" i="3"/>
  <c r="D692" i="3"/>
  <c r="T691" i="3"/>
  <c r="S691" i="3"/>
  <c r="R691" i="3"/>
  <c r="Q691" i="3"/>
  <c r="P691" i="3"/>
  <c r="O691" i="3"/>
  <c r="M691" i="3"/>
  <c r="L691" i="3"/>
  <c r="N691" i="3" s="1"/>
  <c r="K691" i="3"/>
  <c r="J691" i="3"/>
  <c r="E691" i="3"/>
  <c r="D691" i="3"/>
  <c r="T690" i="3"/>
  <c r="S690" i="3"/>
  <c r="R690" i="3"/>
  <c r="Q690" i="3"/>
  <c r="P690" i="3"/>
  <c r="O690" i="3"/>
  <c r="M690" i="3"/>
  <c r="L690" i="3"/>
  <c r="N690" i="3" s="1"/>
  <c r="K690" i="3"/>
  <c r="J690" i="3"/>
  <c r="E690" i="3"/>
  <c r="D690" i="3"/>
  <c r="T689" i="3"/>
  <c r="S689" i="3"/>
  <c r="R689" i="3"/>
  <c r="Q689" i="3"/>
  <c r="P689" i="3"/>
  <c r="O689" i="3"/>
  <c r="M689" i="3"/>
  <c r="L689" i="3"/>
  <c r="N689" i="3" s="1"/>
  <c r="K689" i="3"/>
  <c r="J689" i="3"/>
  <c r="E689" i="3"/>
  <c r="D689" i="3"/>
  <c r="T688" i="3"/>
  <c r="S688" i="3"/>
  <c r="R688" i="3"/>
  <c r="Q688" i="3"/>
  <c r="P688" i="3"/>
  <c r="O688" i="3"/>
  <c r="M688" i="3"/>
  <c r="L688" i="3"/>
  <c r="N688" i="3" s="1"/>
  <c r="K688" i="3"/>
  <c r="J688" i="3"/>
  <c r="E688" i="3"/>
  <c r="D688" i="3"/>
  <c r="T687" i="3"/>
  <c r="S687" i="3"/>
  <c r="R687" i="3"/>
  <c r="Q687" i="3"/>
  <c r="P687" i="3"/>
  <c r="O687" i="3"/>
  <c r="M687" i="3"/>
  <c r="L687" i="3"/>
  <c r="N687" i="3" s="1"/>
  <c r="K687" i="3"/>
  <c r="J687" i="3"/>
  <c r="E687" i="3"/>
  <c r="D687" i="3"/>
  <c r="T686" i="3"/>
  <c r="S686" i="3"/>
  <c r="R686" i="3"/>
  <c r="Q686" i="3"/>
  <c r="P686" i="3"/>
  <c r="O686" i="3"/>
  <c r="M686" i="3"/>
  <c r="L686" i="3"/>
  <c r="N686" i="3" s="1"/>
  <c r="K686" i="3"/>
  <c r="J686" i="3"/>
  <c r="E686" i="3"/>
  <c r="D686" i="3"/>
  <c r="T685" i="3"/>
  <c r="S685" i="3"/>
  <c r="R685" i="3"/>
  <c r="Q685" i="3"/>
  <c r="P685" i="3"/>
  <c r="O685" i="3"/>
  <c r="M685" i="3"/>
  <c r="L685" i="3"/>
  <c r="N685" i="3" s="1"/>
  <c r="K685" i="3"/>
  <c r="J685" i="3"/>
  <c r="E685" i="3"/>
  <c r="D685" i="3"/>
  <c r="T684" i="3"/>
  <c r="S684" i="3"/>
  <c r="R684" i="3"/>
  <c r="Q684" i="3"/>
  <c r="P684" i="3"/>
  <c r="O684" i="3"/>
  <c r="M684" i="3"/>
  <c r="L684" i="3"/>
  <c r="N684" i="3" s="1"/>
  <c r="K684" i="3"/>
  <c r="J684" i="3"/>
  <c r="E684" i="3"/>
  <c r="D684" i="3"/>
  <c r="T683" i="3"/>
  <c r="S683" i="3"/>
  <c r="R683" i="3"/>
  <c r="Q683" i="3"/>
  <c r="P683" i="3"/>
  <c r="O683" i="3"/>
  <c r="M683" i="3"/>
  <c r="L683" i="3"/>
  <c r="N683" i="3" s="1"/>
  <c r="K683" i="3"/>
  <c r="J683" i="3"/>
  <c r="E683" i="3"/>
  <c r="D683" i="3"/>
  <c r="T682" i="3"/>
  <c r="S682" i="3"/>
  <c r="R682" i="3"/>
  <c r="Q682" i="3"/>
  <c r="P682" i="3"/>
  <c r="O682" i="3"/>
  <c r="M682" i="3"/>
  <c r="L682" i="3"/>
  <c r="N682" i="3" s="1"/>
  <c r="K682" i="3"/>
  <c r="J682" i="3"/>
  <c r="E682" i="3"/>
  <c r="D682" i="3"/>
  <c r="T681" i="3"/>
  <c r="S681" i="3"/>
  <c r="R681" i="3"/>
  <c r="Q681" i="3"/>
  <c r="P681" i="3"/>
  <c r="O681" i="3"/>
  <c r="M681" i="3"/>
  <c r="L681" i="3"/>
  <c r="N681" i="3" s="1"/>
  <c r="K681" i="3"/>
  <c r="J681" i="3"/>
  <c r="E681" i="3"/>
  <c r="D681" i="3"/>
  <c r="T680" i="3"/>
  <c r="S680" i="3"/>
  <c r="R680" i="3"/>
  <c r="Q680" i="3"/>
  <c r="P680" i="3"/>
  <c r="O680" i="3"/>
  <c r="M680" i="3"/>
  <c r="L680" i="3"/>
  <c r="N680" i="3" s="1"/>
  <c r="K680" i="3"/>
  <c r="J680" i="3"/>
  <c r="E680" i="3"/>
  <c r="D680" i="3"/>
  <c r="T679" i="3"/>
  <c r="S679" i="3"/>
  <c r="R679" i="3"/>
  <c r="Q679" i="3"/>
  <c r="P679" i="3"/>
  <c r="O679" i="3"/>
  <c r="M679" i="3"/>
  <c r="L679" i="3"/>
  <c r="N679" i="3" s="1"/>
  <c r="K679" i="3"/>
  <c r="J679" i="3"/>
  <c r="E679" i="3"/>
  <c r="D679" i="3"/>
  <c r="T678" i="3"/>
  <c r="S678" i="3"/>
  <c r="R678" i="3"/>
  <c r="Q678" i="3"/>
  <c r="P678" i="3"/>
  <c r="O678" i="3"/>
  <c r="M678" i="3"/>
  <c r="L678" i="3"/>
  <c r="N678" i="3" s="1"/>
  <c r="K678" i="3"/>
  <c r="J678" i="3"/>
  <c r="E678" i="3"/>
  <c r="D678" i="3"/>
  <c r="T677" i="3"/>
  <c r="S677" i="3"/>
  <c r="R677" i="3"/>
  <c r="Q677" i="3"/>
  <c r="P677" i="3"/>
  <c r="O677" i="3"/>
  <c r="M677" i="3"/>
  <c r="L677" i="3"/>
  <c r="N677" i="3" s="1"/>
  <c r="K677" i="3"/>
  <c r="J677" i="3"/>
  <c r="E677" i="3"/>
  <c r="D677" i="3"/>
  <c r="T676" i="3"/>
  <c r="S676" i="3"/>
  <c r="R676" i="3"/>
  <c r="Q676" i="3"/>
  <c r="P676" i="3"/>
  <c r="O676" i="3"/>
  <c r="M676" i="3"/>
  <c r="L676" i="3"/>
  <c r="N676" i="3" s="1"/>
  <c r="K676" i="3"/>
  <c r="J676" i="3"/>
  <c r="E676" i="3"/>
  <c r="D676" i="3"/>
  <c r="T675" i="3"/>
  <c r="S675" i="3"/>
  <c r="R675" i="3"/>
  <c r="Q675" i="3"/>
  <c r="P675" i="3"/>
  <c r="O675" i="3"/>
  <c r="M675" i="3"/>
  <c r="L675" i="3"/>
  <c r="N675" i="3" s="1"/>
  <c r="K675" i="3"/>
  <c r="J675" i="3"/>
  <c r="E675" i="3"/>
  <c r="D675" i="3"/>
  <c r="T674" i="3"/>
  <c r="S674" i="3"/>
  <c r="R674" i="3"/>
  <c r="Q674" i="3"/>
  <c r="P674" i="3"/>
  <c r="O674" i="3"/>
  <c r="M674" i="3"/>
  <c r="L674" i="3"/>
  <c r="N674" i="3" s="1"/>
  <c r="K674" i="3"/>
  <c r="J674" i="3"/>
  <c r="E674" i="3"/>
  <c r="D674" i="3"/>
  <c r="T673" i="3"/>
  <c r="S673" i="3"/>
  <c r="R673" i="3"/>
  <c r="Q673" i="3"/>
  <c r="P673" i="3"/>
  <c r="O673" i="3"/>
  <c r="M673" i="3"/>
  <c r="L673" i="3"/>
  <c r="N673" i="3" s="1"/>
  <c r="K673" i="3"/>
  <c r="J673" i="3"/>
  <c r="E673" i="3"/>
  <c r="D673" i="3"/>
  <c r="T672" i="3"/>
  <c r="S672" i="3"/>
  <c r="R672" i="3"/>
  <c r="Q672" i="3"/>
  <c r="P672" i="3"/>
  <c r="O672" i="3"/>
  <c r="M672" i="3"/>
  <c r="L672" i="3"/>
  <c r="N672" i="3" s="1"/>
  <c r="K672" i="3"/>
  <c r="J672" i="3"/>
  <c r="E672" i="3"/>
  <c r="D672" i="3"/>
  <c r="T671" i="3"/>
  <c r="S671" i="3"/>
  <c r="R671" i="3"/>
  <c r="Q671" i="3"/>
  <c r="P671" i="3"/>
  <c r="O671" i="3"/>
  <c r="M671" i="3"/>
  <c r="L671" i="3"/>
  <c r="N671" i="3" s="1"/>
  <c r="K671" i="3"/>
  <c r="J671" i="3"/>
  <c r="E671" i="3"/>
  <c r="D671" i="3"/>
  <c r="T670" i="3"/>
  <c r="S670" i="3"/>
  <c r="R670" i="3"/>
  <c r="Q670" i="3"/>
  <c r="P670" i="3"/>
  <c r="O670" i="3"/>
  <c r="M670" i="3"/>
  <c r="L670" i="3"/>
  <c r="N670" i="3" s="1"/>
  <c r="K670" i="3"/>
  <c r="J670" i="3"/>
  <c r="E670" i="3"/>
  <c r="D670" i="3"/>
  <c r="T669" i="3"/>
  <c r="S669" i="3"/>
  <c r="R669" i="3"/>
  <c r="Q669" i="3"/>
  <c r="P669" i="3"/>
  <c r="O669" i="3"/>
  <c r="M669" i="3"/>
  <c r="L669" i="3"/>
  <c r="N669" i="3" s="1"/>
  <c r="K669" i="3"/>
  <c r="J669" i="3"/>
  <c r="E669" i="3"/>
  <c r="D669" i="3"/>
  <c r="T668" i="3"/>
  <c r="S668" i="3"/>
  <c r="R668" i="3"/>
  <c r="Q668" i="3"/>
  <c r="P668" i="3"/>
  <c r="O668" i="3"/>
  <c r="M668" i="3"/>
  <c r="L668" i="3"/>
  <c r="N668" i="3" s="1"/>
  <c r="K668" i="3"/>
  <c r="J668" i="3"/>
  <c r="E668" i="3"/>
  <c r="D668" i="3"/>
  <c r="T667" i="3"/>
  <c r="S667" i="3"/>
  <c r="R667" i="3"/>
  <c r="Q667" i="3"/>
  <c r="P667" i="3"/>
  <c r="O667" i="3"/>
  <c r="M667" i="3"/>
  <c r="L667" i="3"/>
  <c r="N667" i="3" s="1"/>
  <c r="K667" i="3"/>
  <c r="J667" i="3"/>
  <c r="E667" i="3"/>
  <c r="D667" i="3"/>
  <c r="T666" i="3"/>
  <c r="S666" i="3"/>
  <c r="R666" i="3"/>
  <c r="Q666" i="3"/>
  <c r="P666" i="3"/>
  <c r="O666" i="3"/>
  <c r="M666" i="3"/>
  <c r="L666" i="3"/>
  <c r="N666" i="3" s="1"/>
  <c r="K666" i="3"/>
  <c r="J666" i="3"/>
  <c r="E666" i="3"/>
  <c r="D666" i="3"/>
  <c r="T665" i="3"/>
  <c r="S665" i="3"/>
  <c r="R665" i="3"/>
  <c r="Q665" i="3"/>
  <c r="P665" i="3"/>
  <c r="O665" i="3"/>
  <c r="M665" i="3"/>
  <c r="L665" i="3"/>
  <c r="N665" i="3" s="1"/>
  <c r="K665" i="3"/>
  <c r="J665" i="3"/>
  <c r="E665" i="3"/>
  <c r="D665" i="3"/>
  <c r="T664" i="3"/>
  <c r="S664" i="3"/>
  <c r="R664" i="3"/>
  <c r="Q664" i="3"/>
  <c r="P664" i="3"/>
  <c r="O664" i="3"/>
  <c r="M664" i="3"/>
  <c r="L664" i="3"/>
  <c r="N664" i="3" s="1"/>
  <c r="K664" i="3"/>
  <c r="J664" i="3"/>
  <c r="E664" i="3"/>
  <c r="D664" i="3"/>
  <c r="T663" i="3"/>
  <c r="S663" i="3"/>
  <c r="R663" i="3"/>
  <c r="Q663" i="3"/>
  <c r="P663" i="3"/>
  <c r="O663" i="3"/>
  <c r="M663" i="3"/>
  <c r="L663" i="3"/>
  <c r="N663" i="3" s="1"/>
  <c r="K663" i="3"/>
  <c r="J663" i="3"/>
  <c r="E663" i="3"/>
  <c r="D663" i="3"/>
  <c r="T662" i="3"/>
  <c r="S662" i="3"/>
  <c r="R662" i="3"/>
  <c r="Q662" i="3"/>
  <c r="P662" i="3"/>
  <c r="O662" i="3"/>
  <c r="M662" i="3"/>
  <c r="L662" i="3"/>
  <c r="N662" i="3" s="1"/>
  <c r="K662" i="3"/>
  <c r="J662" i="3"/>
  <c r="E662" i="3"/>
  <c r="D662" i="3"/>
  <c r="T661" i="3"/>
  <c r="S661" i="3"/>
  <c r="R661" i="3"/>
  <c r="Q661" i="3"/>
  <c r="P661" i="3"/>
  <c r="O661" i="3"/>
  <c r="M661" i="3"/>
  <c r="L661" i="3"/>
  <c r="N661" i="3" s="1"/>
  <c r="K661" i="3"/>
  <c r="J661" i="3"/>
  <c r="E661" i="3"/>
  <c r="D661" i="3"/>
  <c r="T660" i="3"/>
  <c r="S660" i="3"/>
  <c r="R660" i="3"/>
  <c r="Q660" i="3"/>
  <c r="P660" i="3"/>
  <c r="O660" i="3"/>
  <c r="M660" i="3"/>
  <c r="L660" i="3"/>
  <c r="N660" i="3" s="1"/>
  <c r="K660" i="3"/>
  <c r="J660" i="3"/>
  <c r="E660" i="3"/>
  <c r="D660" i="3"/>
  <c r="T659" i="3"/>
  <c r="S659" i="3"/>
  <c r="R659" i="3"/>
  <c r="Q659" i="3"/>
  <c r="P659" i="3"/>
  <c r="O659" i="3"/>
  <c r="M659" i="3"/>
  <c r="L659" i="3"/>
  <c r="N659" i="3" s="1"/>
  <c r="K659" i="3"/>
  <c r="J659" i="3"/>
  <c r="E659" i="3"/>
  <c r="D659" i="3"/>
  <c r="T658" i="3"/>
  <c r="S658" i="3"/>
  <c r="R658" i="3"/>
  <c r="Q658" i="3"/>
  <c r="P658" i="3"/>
  <c r="O658" i="3"/>
  <c r="M658" i="3"/>
  <c r="L658" i="3"/>
  <c r="N658" i="3" s="1"/>
  <c r="K658" i="3"/>
  <c r="J658" i="3"/>
  <c r="E658" i="3"/>
  <c r="D658" i="3"/>
  <c r="T657" i="3"/>
  <c r="S657" i="3"/>
  <c r="R657" i="3"/>
  <c r="Q657" i="3"/>
  <c r="P657" i="3"/>
  <c r="O657" i="3"/>
  <c r="M657" i="3"/>
  <c r="L657" i="3"/>
  <c r="N657" i="3" s="1"/>
  <c r="K657" i="3"/>
  <c r="J657" i="3"/>
  <c r="E657" i="3"/>
  <c r="D657" i="3"/>
  <c r="T656" i="3"/>
  <c r="S656" i="3"/>
  <c r="R656" i="3"/>
  <c r="Q656" i="3"/>
  <c r="P656" i="3"/>
  <c r="O656" i="3"/>
  <c r="M656" i="3"/>
  <c r="L656" i="3"/>
  <c r="N656" i="3" s="1"/>
  <c r="K656" i="3"/>
  <c r="J656" i="3"/>
  <c r="E656" i="3"/>
  <c r="D656" i="3"/>
  <c r="T655" i="3"/>
  <c r="S655" i="3"/>
  <c r="R655" i="3"/>
  <c r="Q655" i="3"/>
  <c r="P655" i="3"/>
  <c r="O655" i="3"/>
  <c r="M655" i="3"/>
  <c r="L655" i="3"/>
  <c r="N655" i="3" s="1"/>
  <c r="K655" i="3"/>
  <c r="J655" i="3"/>
  <c r="E655" i="3"/>
  <c r="D655" i="3"/>
  <c r="T654" i="3"/>
  <c r="S654" i="3"/>
  <c r="R654" i="3"/>
  <c r="Q654" i="3"/>
  <c r="P654" i="3"/>
  <c r="O654" i="3"/>
  <c r="M654" i="3"/>
  <c r="L654" i="3"/>
  <c r="N654" i="3" s="1"/>
  <c r="K654" i="3"/>
  <c r="J654" i="3"/>
  <c r="E654" i="3"/>
  <c r="D654" i="3"/>
  <c r="T653" i="3"/>
  <c r="S653" i="3"/>
  <c r="R653" i="3"/>
  <c r="Q653" i="3"/>
  <c r="P653" i="3"/>
  <c r="O653" i="3"/>
  <c r="M653" i="3"/>
  <c r="L653" i="3"/>
  <c r="N653" i="3" s="1"/>
  <c r="K653" i="3"/>
  <c r="J653" i="3"/>
  <c r="E653" i="3"/>
  <c r="D653" i="3"/>
  <c r="T652" i="3"/>
  <c r="S652" i="3"/>
  <c r="R652" i="3"/>
  <c r="Q652" i="3"/>
  <c r="P652" i="3"/>
  <c r="O652" i="3"/>
  <c r="M652" i="3"/>
  <c r="L652" i="3"/>
  <c r="N652" i="3" s="1"/>
  <c r="K652" i="3"/>
  <c r="J652" i="3"/>
  <c r="E652" i="3"/>
  <c r="D652" i="3"/>
  <c r="T651" i="3"/>
  <c r="S651" i="3"/>
  <c r="R651" i="3"/>
  <c r="Q651" i="3"/>
  <c r="P651" i="3"/>
  <c r="O651" i="3"/>
  <c r="M651" i="3"/>
  <c r="L651" i="3"/>
  <c r="N651" i="3" s="1"/>
  <c r="K651" i="3"/>
  <c r="J651" i="3"/>
  <c r="E651" i="3"/>
  <c r="D651" i="3"/>
  <c r="T650" i="3"/>
  <c r="S650" i="3"/>
  <c r="R650" i="3"/>
  <c r="Q650" i="3"/>
  <c r="P650" i="3"/>
  <c r="O650" i="3"/>
  <c r="M650" i="3"/>
  <c r="L650" i="3"/>
  <c r="N650" i="3" s="1"/>
  <c r="K650" i="3"/>
  <c r="J650" i="3"/>
  <c r="E650" i="3"/>
  <c r="D650" i="3"/>
  <c r="T649" i="3"/>
  <c r="S649" i="3"/>
  <c r="R649" i="3"/>
  <c r="Q649" i="3"/>
  <c r="P649" i="3"/>
  <c r="O649" i="3"/>
  <c r="M649" i="3"/>
  <c r="L649" i="3"/>
  <c r="N649" i="3" s="1"/>
  <c r="K649" i="3"/>
  <c r="J649" i="3"/>
  <c r="E649" i="3"/>
  <c r="D649" i="3"/>
  <c r="T648" i="3"/>
  <c r="S648" i="3"/>
  <c r="R648" i="3"/>
  <c r="Q648" i="3"/>
  <c r="P648" i="3"/>
  <c r="O648" i="3"/>
  <c r="M648" i="3"/>
  <c r="L648" i="3"/>
  <c r="N648" i="3" s="1"/>
  <c r="K648" i="3"/>
  <c r="J648" i="3"/>
  <c r="E648" i="3"/>
  <c r="D648" i="3"/>
  <c r="T647" i="3"/>
  <c r="S647" i="3"/>
  <c r="R647" i="3"/>
  <c r="Q647" i="3"/>
  <c r="P647" i="3"/>
  <c r="O647" i="3"/>
  <c r="M647" i="3"/>
  <c r="L647" i="3"/>
  <c r="N647" i="3" s="1"/>
  <c r="K647" i="3"/>
  <c r="J647" i="3"/>
  <c r="E647" i="3"/>
  <c r="D647" i="3"/>
  <c r="T646" i="3"/>
  <c r="S646" i="3"/>
  <c r="R646" i="3"/>
  <c r="Q646" i="3"/>
  <c r="P646" i="3"/>
  <c r="O646" i="3"/>
  <c r="M646" i="3"/>
  <c r="L646" i="3"/>
  <c r="N646" i="3" s="1"/>
  <c r="K646" i="3"/>
  <c r="J646" i="3"/>
  <c r="E646" i="3"/>
  <c r="D646" i="3"/>
  <c r="T645" i="3"/>
  <c r="S645" i="3"/>
  <c r="R645" i="3"/>
  <c r="Q645" i="3"/>
  <c r="P645" i="3"/>
  <c r="O645" i="3"/>
  <c r="M645" i="3"/>
  <c r="L645" i="3"/>
  <c r="N645" i="3" s="1"/>
  <c r="K645" i="3"/>
  <c r="J645" i="3"/>
  <c r="E645" i="3"/>
  <c r="D645" i="3"/>
  <c r="T644" i="3"/>
  <c r="S644" i="3"/>
  <c r="R644" i="3"/>
  <c r="Q644" i="3"/>
  <c r="P644" i="3"/>
  <c r="O644" i="3"/>
  <c r="M644" i="3"/>
  <c r="L644" i="3"/>
  <c r="N644" i="3" s="1"/>
  <c r="K644" i="3"/>
  <c r="J644" i="3"/>
  <c r="E644" i="3"/>
  <c r="D644" i="3"/>
  <c r="T643" i="3"/>
  <c r="S643" i="3"/>
  <c r="R643" i="3"/>
  <c r="Q643" i="3"/>
  <c r="P643" i="3"/>
  <c r="O643" i="3"/>
  <c r="M643" i="3"/>
  <c r="L643" i="3"/>
  <c r="N643" i="3" s="1"/>
  <c r="K643" i="3"/>
  <c r="J643" i="3"/>
  <c r="E643" i="3"/>
  <c r="D643" i="3"/>
  <c r="T642" i="3"/>
  <c r="S642" i="3"/>
  <c r="R642" i="3"/>
  <c r="Q642" i="3"/>
  <c r="P642" i="3"/>
  <c r="O642" i="3"/>
  <c r="M642" i="3"/>
  <c r="L642" i="3"/>
  <c r="N642" i="3" s="1"/>
  <c r="K642" i="3"/>
  <c r="J642" i="3"/>
  <c r="E642" i="3"/>
  <c r="D642" i="3"/>
  <c r="T641" i="3"/>
  <c r="S641" i="3"/>
  <c r="R641" i="3"/>
  <c r="Q641" i="3"/>
  <c r="P641" i="3"/>
  <c r="O641" i="3"/>
  <c r="M641" i="3"/>
  <c r="L641" i="3"/>
  <c r="N641" i="3" s="1"/>
  <c r="K641" i="3"/>
  <c r="J641" i="3"/>
  <c r="E641" i="3"/>
  <c r="D641" i="3"/>
  <c r="T640" i="3"/>
  <c r="S640" i="3"/>
  <c r="R640" i="3"/>
  <c r="Q640" i="3"/>
  <c r="P640" i="3"/>
  <c r="O640" i="3"/>
  <c r="M640" i="3"/>
  <c r="L640" i="3"/>
  <c r="N640" i="3" s="1"/>
  <c r="K640" i="3"/>
  <c r="J640" i="3"/>
  <c r="E640" i="3"/>
  <c r="D640" i="3"/>
  <c r="T639" i="3"/>
  <c r="S639" i="3"/>
  <c r="R639" i="3"/>
  <c r="Q639" i="3"/>
  <c r="P639" i="3"/>
  <c r="O639" i="3"/>
  <c r="M639" i="3"/>
  <c r="L639" i="3"/>
  <c r="N639" i="3" s="1"/>
  <c r="K639" i="3"/>
  <c r="J639" i="3"/>
  <c r="E639" i="3"/>
  <c r="D639" i="3"/>
  <c r="T638" i="3"/>
  <c r="S638" i="3"/>
  <c r="R638" i="3"/>
  <c r="Q638" i="3"/>
  <c r="P638" i="3"/>
  <c r="O638" i="3"/>
  <c r="M638" i="3"/>
  <c r="L638" i="3"/>
  <c r="N638" i="3" s="1"/>
  <c r="K638" i="3"/>
  <c r="J638" i="3"/>
  <c r="E638" i="3"/>
  <c r="D638" i="3"/>
  <c r="T637" i="3"/>
  <c r="S637" i="3"/>
  <c r="R637" i="3"/>
  <c r="Q637" i="3"/>
  <c r="P637" i="3"/>
  <c r="O637" i="3"/>
  <c r="M637" i="3"/>
  <c r="L637" i="3"/>
  <c r="N637" i="3" s="1"/>
  <c r="K637" i="3"/>
  <c r="J637" i="3"/>
  <c r="E637" i="3"/>
  <c r="D637" i="3"/>
  <c r="T636" i="3"/>
  <c r="S636" i="3"/>
  <c r="R636" i="3"/>
  <c r="Q636" i="3"/>
  <c r="P636" i="3"/>
  <c r="O636" i="3"/>
  <c r="M636" i="3"/>
  <c r="L636" i="3"/>
  <c r="N636" i="3" s="1"/>
  <c r="K636" i="3"/>
  <c r="J636" i="3"/>
  <c r="E636" i="3"/>
  <c r="D636" i="3"/>
  <c r="T635" i="3"/>
  <c r="S635" i="3"/>
  <c r="R635" i="3"/>
  <c r="Q635" i="3"/>
  <c r="P635" i="3"/>
  <c r="O635" i="3"/>
  <c r="M635" i="3"/>
  <c r="L635" i="3"/>
  <c r="N635" i="3" s="1"/>
  <c r="K635" i="3"/>
  <c r="J635" i="3"/>
  <c r="E635" i="3"/>
  <c r="D635" i="3"/>
  <c r="T634" i="3"/>
  <c r="S634" i="3"/>
  <c r="R634" i="3"/>
  <c r="Q634" i="3"/>
  <c r="P634" i="3"/>
  <c r="O634" i="3"/>
  <c r="M634" i="3"/>
  <c r="L634" i="3"/>
  <c r="N634" i="3" s="1"/>
  <c r="K634" i="3"/>
  <c r="J634" i="3"/>
  <c r="E634" i="3"/>
  <c r="D634" i="3"/>
  <c r="T633" i="3"/>
  <c r="S633" i="3"/>
  <c r="R633" i="3"/>
  <c r="Q633" i="3"/>
  <c r="P633" i="3"/>
  <c r="O633" i="3"/>
  <c r="M633" i="3"/>
  <c r="L633" i="3"/>
  <c r="N633" i="3" s="1"/>
  <c r="K633" i="3"/>
  <c r="J633" i="3"/>
  <c r="E633" i="3"/>
  <c r="D633" i="3"/>
  <c r="T632" i="3"/>
  <c r="S632" i="3"/>
  <c r="R632" i="3"/>
  <c r="Q632" i="3"/>
  <c r="P632" i="3"/>
  <c r="O632" i="3"/>
  <c r="M632" i="3"/>
  <c r="L632" i="3"/>
  <c r="N632" i="3" s="1"/>
  <c r="K632" i="3"/>
  <c r="J632" i="3"/>
  <c r="E632" i="3"/>
  <c r="D632" i="3"/>
  <c r="T631" i="3"/>
  <c r="S631" i="3"/>
  <c r="R631" i="3"/>
  <c r="Q631" i="3"/>
  <c r="P631" i="3"/>
  <c r="O631" i="3"/>
  <c r="M631" i="3"/>
  <c r="L631" i="3"/>
  <c r="N631" i="3" s="1"/>
  <c r="K631" i="3"/>
  <c r="J631" i="3"/>
  <c r="E631" i="3"/>
  <c r="D631" i="3"/>
  <c r="T630" i="3"/>
  <c r="S630" i="3"/>
  <c r="R630" i="3"/>
  <c r="Q630" i="3"/>
  <c r="P630" i="3"/>
  <c r="O630" i="3"/>
  <c r="M630" i="3"/>
  <c r="L630" i="3"/>
  <c r="N630" i="3" s="1"/>
  <c r="K630" i="3"/>
  <c r="J630" i="3"/>
  <c r="E630" i="3"/>
  <c r="D630" i="3"/>
  <c r="T629" i="3"/>
  <c r="S629" i="3"/>
  <c r="R629" i="3"/>
  <c r="Q629" i="3"/>
  <c r="P629" i="3"/>
  <c r="O629" i="3"/>
  <c r="M629" i="3"/>
  <c r="L629" i="3"/>
  <c r="N629" i="3" s="1"/>
  <c r="K629" i="3"/>
  <c r="J629" i="3"/>
  <c r="E629" i="3"/>
  <c r="D629" i="3"/>
  <c r="T628" i="3"/>
  <c r="S628" i="3"/>
  <c r="R628" i="3"/>
  <c r="Q628" i="3"/>
  <c r="P628" i="3"/>
  <c r="O628" i="3"/>
  <c r="M628" i="3"/>
  <c r="L628" i="3"/>
  <c r="N628" i="3" s="1"/>
  <c r="K628" i="3"/>
  <c r="J628" i="3"/>
  <c r="E628" i="3"/>
  <c r="D628" i="3"/>
  <c r="T627" i="3"/>
  <c r="S627" i="3"/>
  <c r="R627" i="3"/>
  <c r="Q627" i="3"/>
  <c r="P627" i="3"/>
  <c r="O627" i="3"/>
  <c r="M627" i="3"/>
  <c r="L627" i="3"/>
  <c r="N627" i="3" s="1"/>
  <c r="K627" i="3"/>
  <c r="J627" i="3"/>
  <c r="E627" i="3"/>
  <c r="D627" i="3"/>
  <c r="T626" i="3"/>
  <c r="S626" i="3"/>
  <c r="R626" i="3"/>
  <c r="Q626" i="3"/>
  <c r="P626" i="3"/>
  <c r="O626" i="3"/>
  <c r="M626" i="3"/>
  <c r="L626" i="3"/>
  <c r="N626" i="3" s="1"/>
  <c r="K626" i="3"/>
  <c r="J626" i="3"/>
  <c r="E626" i="3"/>
  <c r="D626" i="3"/>
  <c r="T625" i="3"/>
  <c r="S625" i="3"/>
  <c r="R625" i="3"/>
  <c r="Q625" i="3"/>
  <c r="P625" i="3"/>
  <c r="O625" i="3"/>
  <c r="M625" i="3"/>
  <c r="L625" i="3"/>
  <c r="N625" i="3" s="1"/>
  <c r="K625" i="3"/>
  <c r="J625" i="3"/>
  <c r="E625" i="3"/>
  <c r="D625" i="3"/>
  <c r="T624" i="3"/>
  <c r="S624" i="3"/>
  <c r="R624" i="3"/>
  <c r="Q624" i="3"/>
  <c r="P624" i="3"/>
  <c r="O624" i="3"/>
  <c r="M624" i="3"/>
  <c r="L624" i="3"/>
  <c r="N624" i="3" s="1"/>
  <c r="K624" i="3"/>
  <c r="J624" i="3"/>
  <c r="E624" i="3"/>
  <c r="D624" i="3"/>
  <c r="T623" i="3"/>
  <c r="S623" i="3"/>
  <c r="R623" i="3"/>
  <c r="Q623" i="3"/>
  <c r="P623" i="3"/>
  <c r="O623" i="3"/>
  <c r="M623" i="3"/>
  <c r="L623" i="3"/>
  <c r="N623" i="3" s="1"/>
  <c r="K623" i="3"/>
  <c r="J623" i="3"/>
  <c r="E623" i="3"/>
  <c r="D623" i="3"/>
  <c r="T622" i="3"/>
  <c r="S622" i="3"/>
  <c r="R622" i="3"/>
  <c r="Q622" i="3"/>
  <c r="P622" i="3"/>
  <c r="O622" i="3"/>
  <c r="M622" i="3"/>
  <c r="L622" i="3"/>
  <c r="N622" i="3" s="1"/>
  <c r="K622" i="3"/>
  <c r="J622" i="3"/>
  <c r="E622" i="3"/>
  <c r="D622" i="3"/>
  <c r="T621" i="3"/>
  <c r="S621" i="3"/>
  <c r="R621" i="3"/>
  <c r="Q621" i="3"/>
  <c r="P621" i="3"/>
  <c r="O621" i="3"/>
  <c r="M621" i="3"/>
  <c r="L621" i="3"/>
  <c r="N621" i="3" s="1"/>
  <c r="K621" i="3"/>
  <c r="J621" i="3"/>
  <c r="E621" i="3"/>
  <c r="D621" i="3"/>
  <c r="T620" i="3"/>
  <c r="S620" i="3"/>
  <c r="R620" i="3"/>
  <c r="Q620" i="3"/>
  <c r="P620" i="3"/>
  <c r="O620" i="3"/>
  <c r="M620" i="3"/>
  <c r="L620" i="3"/>
  <c r="N620" i="3" s="1"/>
  <c r="K620" i="3"/>
  <c r="J620" i="3"/>
  <c r="E620" i="3"/>
  <c r="D620" i="3"/>
  <c r="T619" i="3"/>
  <c r="S619" i="3"/>
  <c r="R619" i="3"/>
  <c r="Q619" i="3"/>
  <c r="P619" i="3"/>
  <c r="O619" i="3"/>
  <c r="M619" i="3"/>
  <c r="L619" i="3"/>
  <c r="N619" i="3" s="1"/>
  <c r="K619" i="3"/>
  <c r="J619" i="3"/>
  <c r="E619" i="3"/>
  <c r="D619" i="3"/>
  <c r="T618" i="3"/>
  <c r="S618" i="3"/>
  <c r="R618" i="3"/>
  <c r="Q618" i="3"/>
  <c r="P618" i="3"/>
  <c r="O618" i="3"/>
  <c r="M618" i="3"/>
  <c r="L618" i="3"/>
  <c r="N618" i="3" s="1"/>
  <c r="K618" i="3"/>
  <c r="J618" i="3"/>
  <c r="E618" i="3"/>
  <c r="D618" i="3"/>
  <c r="T617" i="3"/>
  <c r="S617" i="3"/>
  <c r="R617" i="3"/>
  <c r="Q617" i="3"/>
  <c r="P617" i="3"/>
  <c r="O617" i="3"/>
  <c r="M617" i="3"/>
  <c r="L617" i="3"/>
  <c r="N617" i="3" s="1"/>
  <c r="K617" i="3"/>
  <c r="J617" i="3"/>
  <c r="E617" i="3"/>
  <c r="D617" i="3"/>
  <c r="T616" i="3"/>
  <c r="S616" i="3"/>
  <c r="R616" i="3"/>
  <c r="Q616" i="3"/>
  <c r="P616" i="3"/>
  <c r="O616" i="3"/>
  <c r="M616" i="3"/>
  <c r="L616" i="3"/>
  <c r="N616" i="3" s="1"/>
  <c r="K616" i="3"/>
  <c r="J616" i="3"/>
  <c r="E616" i="3"/>
  <c r="D616" i="3"/>
  <c r="T615" i="3"/>
  <c r="S615" i="3"/>
  <c r="R615" i="3"/>
  <c r="Q615" i="3"/>
  <c r="P615" i="3"/>
  <c r="O615" i="3"/>
  <c r="M615" i="3"/>
  <c r="L615" i="3"/>
  <c r="N615" i="3" s="1"/>
  <c r="K615" i="3"/>
  <c r="J615" i="3"/>
  <c r="E615" i="3"/>
  <c r="D615" i="3"/>
  <c r="T614" i="3"/>
  <c r="S614" i="3"/>
  <c r="R614" i="3"/>
  <c r="Q614" i="3"/>
  <c r="P614" i="3"/>
  <c r="O614" i="3"/>
  <c r="M614" i="3"/>
  <c r="L614" i="3"/>
  <c r="N614" i="3" s="1"/>
  <c r="K614" i="3"/>
  <c r="J614" i="3"/>
  <c r="E614" i="3"/>
  <c r="D614" i="3"/>
  <c r="T613" i="3"/>
  <c r="S613" i="3"/>
  <c r="R613" i="3"/>
  <c r="Q613" i="3"/>
  <c r="P613" i="3"/>
  <c r="O613" i="3"/>
  <c r="M613" i="3"/>
  <c r="L613" i="3"/>
  <c r="N613" i="3" s="1"/>
  <c r="K613" i="3"/>
  <c r="J613" i="3"/>
  <c r="E613" i="3"/>
  <c r="D613" i="3"/>
  <c r="T612" i="3"/>
  <c r="S612" i="3"/>
  <c r="R612" i="3"/>
  <c r="Q612" i="3"/>
  <c r="P612" i="3"/>
  <c r="O612" i="3"/>
  <c r="M612" i="3"/>
  <c r="L612" i="3"/>
  <c r="N612" i="3" s="1"/>
  <c r="K612" i="3"/>
  <c r="J612" i="3"/>
  <c r="E612" i="3"/>
  <c r="D612" i="3"/>
  <c r="T611" i="3"/>
  <c r="S611" i="3"/>
  <c r="R611" i="3"/>
  <c r="Q611" i="3"/>
  <c r="P611" i="3"/>
  <c r="O611" i="3"/>
  <c r="M611" i="3"/>
  <c r="L611" i="3"/>
  <c r="N611" i="3" s="1"/>
  <c r="K611" i="3"/>
  <c r="J611" i="3"/>
  <c r="E611" i="3"/>
  <c r="D611" i="3"/>
  <c r="T610" i="3"/>
  <c r="S610" i="3"/>
  <c r="R610" i="3"/>
  <c r="Q610" i="3"/>
  <c r="P610" i="3"/>
  <c r="O610" i="3"/>
  <c r="M610" i="3"/>
  <c r="L610" i="3"/>
  <c r="N610" i="3" s="1"/>
  <c r="K610" i="3"/>
  <c r="J610" i="3"/>
  <c r="E610" i="3"/>
  <c r="D610" i="3"/>
  <c r="T609" i="3"/>
  <c r="S609" i="3"/>
  <c r="R609" i="3"/>
  <c r="Q609" i="3"/>
  <c r="P609" i="3"/>
  <c r="O609" i="3"/>
  <c r="M609" i="3"/>
  <c r="L609" i="3"/>
  <c r="N609" i="3" s="1"/>
  <c r="K609" i="3"/>
  <c r="J609" i="3"/>
  <c r="E609" i="3"/>
  <c r="D609" i="3"/>
  <c r="T608" i="3"/>
  <c r="S608" i="3"/>
  <c r="R608" i="3"/>
  <c r="Q608" i="3"/>
  <c r="P608" i="3"/>
  <c r="O608" i="3"/>
  <c r="M608" i="3"/>
  <c r="L608" i="3"/>
  <c r="N608" i="3" s="1"/>
  <c r="K608" i="3"/>
  <c r="J608" i="3"/>
  <c r="E608" i="3"/>
  <c r="D608" i="3"/>
  <c r="T607" i="3"/>
  <c r="S607" i="3"/>
  <c r="R607" i="3"/>
  <c r="Q607" i="3"/>
  <c r="P607" i="3"/>
  <c r="O607" i="3"/>
  <c r="M607" i="3"/>
  <c r="L607" i="3"/>
  <c r="N607" i="3" s="1"/>
  <c r="K607" i="3"/>
  <c r="J607" i="3"/>
  <c r="E607" i="3"/>
  <c r="D607" i="3"/>
  <c r="T606" i="3"/>
  <c r="S606" i="3"/>
  <c r="R606" i="3"/>
  <c r="Q606" i="3"/>
  <c r="P606" i="3"/>
  <c r="O606" i="3"/>
  <c r="M606" i="3"/>
  <c r="L606" i="3"/>
  <c r="N606" i="3" s="1"/>
  <c r="K606" i="3"/>
  <c r="J606" i="3"/>
  <c r="E606" i="3"/>
  <c r="D606" i="3"/>
  <c r="T605" i="3"/>
  <c r="S605" i="3"/>
  <c r="R605" i="3"/>
  <c r="Q605" i="3"/>
  <c r="P605" i="3"/>
  <c r="O605" i="3"/>
  <c r="M605" i="3"/>
  <c r="L605" i="3"/>
  <c r="N605" i="3" s="1"/>
  <c r="K605" i="3"/>
  <c r="J605" i="3"/>
  <c r="E605" i="3"/>
  <c r="D605" i="3"/>
  <c r="T604" i="3"/>
  <c r="S604" i="3"/>
  <c r="R604" i="3"/>
  <c r="Q604" i="3"/>
  <c r="P604" i="3"/>
  <c r="O604" i="3"/>
  <c r="M604" i="3"/>
  <c r="L604" i="3"/>
  <c r="N604" i="3" s="1"/>
  <c r="K604" i="3"/>
  <c r="J604" i="3"/>
  <c r="E604" i="3"/>
  <c r="D604" i="3"/>
  <c r="T603" i="3"/>
  <c r="S603" i="3"/>
  <c r="R603" i="3"/>
  <c r="Q603" i="3"/>
  <c r="P603" i="3"/>
  <c r="O603" i="3"/>
  <c r="M603" i="3"/>
  <c r="L603" i="3"/>
  <c r="N603" i="3" s="1"/>
  <c r="K603" i="3"/>
  <c r="J603" i="3"/>
  <c r="E603" i="3"/>
  <c r="D603" i="3"/>
  <c r="T602" i="3"/>
  <c r="S602" i="3"/>
  <c r="R602" i="3"/>
  <c r="Q602" i="3"/>
  <c r="P602" i="3"/>
  <c r="O602" i="3"/>
  <c r="M602" i="3"/>
  <c r="L602" i="3"/>
  <c r="N602" i="3" s="1"/>
  <c r="K602" i="3"/>
  <c r="J602" i="3"/>
  <c r="E602" i="3"/>
  <c r="D602" i="3"/>
  <c r="T601" i="3"/>
  <c r="S601" i="3"/>
  <c r="R601" i="3"/>
  <c r="Q601" i="3"/>
  <c r="P601" i="3"/>
  <c r="O601" i="3"/>
  <c r="M601" i="3"/>
  <c r="L601" i="3"/>
  <c r="N601" i="3" s="1"/>
  <c r="K601" i="3"/>
  <c r="J601" i="3"/>
  <c r="E601" i="3"/>
  <c r="D601" i="3"/>
  <c r="T600" i="3"/>
  <c r="S600" i="3"/>
  <c r="R600" i="3"/>
  <c r="Q600" i="3"/>
  <c r="P600" i="3"/>
  <c r="O600" i="3"/>
  <c r="M600" i="3"/>
  <c r="L600" i="3"/>
  <c r="N600" i="3" s="1"/>
  <c r="K600" i="3"/>
  <c r="J600" i="3"/>
  <c r="E600" i="3"/>
  <c r="D600" i="3"/>
  <c r="T599" i="3"/>
  <c r="S599" i="3"/>
  <c r="R599" i="3"/>
  <c r="Q599" i="3"/>
  <c r="P599" i="3"/>
  <c r="O599" i="3"/>
  <c r="M599" i="3"/>
  <c r="L599" i="3"/>
  <c r="N599" i="3" s="1"/>
  <c r="K599" i="3"/>
  <c r="J599" i="3"/>
  <c r="E599" i="3"/>
  <c r="D599" i="3"/>
  <c r="T598" i="3"/>
  <c r="S598" i="3"/>
  <c r="R598" i="3"/>
  <c r="Q598" i="3"/>
  <c r="P598" i="3"/>
  <c r="O598" i="3"/>
  <c r="M598" i="3"/>
  <c r="L598" i="3"/>
  <c r="N598" i="3" s="1"/>
  <c r="K598" i="3"/>
  <c r="J598" i="3"/>
  <c r="E598" i="3"/>
  <c r="D598" i="3"/>
  <c r="T597" i="3"/>
  <c r="S597" i="3"/>
  <c r="R597" i="3"/>
  <c r="Q597" i="3"/>
  <c r="P597" i="3"/>
  <c r="O597" i="3"/>
  <c r="M597" i="3"/>
  <c r="L597" i="3"/>
  <c r="N597" i="3" s="1"/>
  <c r="K597" i="3"/>
  <c r="J597" i="3"/>
  <c r="E597" i="3"/>
  <c r="D597" i="3"/>
  <c r="T596" i="3"/>
  <c r="S596" i="3"/>
  <c r="R596" i="3"/>
  <c r="Q596" i="3"/>
  <c r="P596" i="3"/>
  <c r="O596" i="3"/>
  <c r="M596" i="3"/>
  <c r="L596" i="3"/>
  <c r="N596" i="3" s="1"/>
  <c r="K596" i="3"/>
  <c r="J596" i="3"/>
  <c r="E596" i="3"/>
  <c r="D596" i="3"/>
  <c r="T595" i="3"/>
  <c r="S595" i="3"/>
  <c r="R595" i="3"/>
  <c r="Q595" i="3"/>
  <c r="P595" i="3"/>
  <c r="O595" i="3"/>
  <c r="M595" i="3"/>
  <c r="L595" i="3"/>
  <c r="N595" i="3" s="1"/>
  <c r="K595" i="3"/>
  <c r="J595" i="3"/>
  <c r="E595" i="3"/>
  <c r="D595" i="3"/>
  <c r="T594" i="3"/>
  <c r="S594" i="3"/>
  <c r="R594" i="3"/>
  <c r="Q594" i="3"/>
  <c r="P594" i="3"/>
  <c r="O594" i="3"/>
  <c r="M594" i="3"/>
  <c r="L594" i="3"/>
  <c r="N594" i="3" s="1"/>
  <c r="K594" i="3"/>
  <c r="J594" i="3"/>
  <c r="E594" i="3"/>
  <c r="D594" i="3"/>
  <c r="T593" i="3"/>
  <c r="S593" i="3"/>
  <c r="R593" i="3"/>
  <c r="Q593" i="3"/>
  <c r="P593" i="3"/>
  <c r="O593" i="3"/>
  <c r="M593" i="3"/>
  <c r="L593" i="3"/>
  <c r="N593" i="3" s="1"/>
  <c r="K593" i="3"/>
  <c r="J593" i="3"/>
  <c r="E593" i="3"/>
  <c r="D593" i="3"/>
  <c r="T592" i="3"/>
  <c r="S592" i="3"/>
  <c r="R592" i="3"/>
  <c r="Q592" i="3"/>
  <c r="P592" i="3"/>
  <c r="O592" i="3"/>
  <c r="M592" i="3"/>
  <c r="L592" i="3"/>
  <c r="N592" i="3" s="1"/>
  <c r="K592" i="3"/>
  <c r="J592" i="3"/>
  <c r="E592" i="3"/>
  <c r="D592" i="3"/>
  <c r="T591" i="3"/>
  <c r="S591" i="3"/>
  <c r="R591" i="3"/>
  <c r="Q591" i="3"/>
  <c r="P591" i="3"/>
  <c r="O591" i="3"/>
  <c r="M591" i="3"/>
  <c r="L591" i="3"/>
  <c r="N591" i="3" s="1"/>
  <c r="K591" i="3"/>
  <c r="J591" i="3"/>
  <c r="E591" i="3"/>
  <c r="D591" i="3"/>
  <c r="T590" i="3"/>
  <c r="S590" i="3"/>
  <c r="R590" i="3"/>
  <c r="Q590" i="3"/>
  <c r="P590" i="3"/>
  <c r="O590" i="3"/>
  <c r="M590" i="3"/>
  <c r="L590" i="3"/>
  <c r="N590" i="3" s="1"/>
  <c r="K590" i="3"/>
  <c r="J590" i="3"/>
  <c r="E590" i="3"/>
  <c r="D590" i="3"/>
  <c r="T589" i="3"/>
  <c r="S589" i="3"/>
  <c r="R589" i="3"/>
  <c r="Q589" i="3"/>
  <c r="P589" i="3"/>
  <c r="O589" i="3"/>
  <c r="M589" i="3"/>
  <c r="L589" i="3"/>
  <c r="N589" i="3" s="1"/>
  <c r="K589" i="3"/>
  <c r="J589" i="3"/>
  <c r="E589" i="3"/>
  <c r="D589" i="3"/>
  <c r="T588" i="3"/>
  <c r="S588" i="3"/>
  <c r="R588" i="3"/>
  <c r="Q588" i="3"/>
  <c r="P588" i="3"/>
  <c r="O588" i="3"/>
  <c r="M588" i="3"/>
  <c r="L588" i="3"/>
  <c r="N588" i="3" s="1"/>
  <c r="K588" i="3"/>
  <c r="J588" i="3"/>
  <c r="E588" i="3"/>
  <c r="D588" i="3"/>
  <c r="T587" i="3"/>
  <c r="S587" i="3"/>
  <c r="R587" i="3"/>
  <c r="Q587" i="3"/>
  <c r="P587" i="3"/>
  <c r="O587" i="3"/>
  <c r="M587" i="3"/>
  <c r="L587" i="3"/>
  <c r="N587" i="3" s="1"/>
  <c r="K587" i="3"/>
  <c r="J587" i="3"/>
  <c r="E587" i="3"/>
  <c r="D587" i="3"/>
  <c r="T586" i="3"/>
  <c r="S586" i="3"/>
  <c r="R586" i="3"/>
  <c r="Q586" i="3"/>
  <c r="P586" i="3"/>
  <c r="O586" i="3"/>
  <c r="M586" i="3"/>
  <c r="L586" i="3"/>
  <c r="N586" i="3" s="1"/>
  <c r="K586" i="3"/>
  <c r="J586" i="3"/>
  <c r="E586" i="3"/>
  <c r="D586" i="3"/>
  <c r="T585" i="3"/>
  <c r="S585" i="3"/>
  <c r="R585" i="3"/>
  <c r="Q585" i="3"/>
  <c r="P585" i="3"/>
  <c r="O585" i="3"/>
  <c r="M585" i="3"/>
  <c r="L585" i="3"/>
  <c r="N585" i="3" s="1"/>
  <c r="K585" i="3"/>
  <c r="J585" i="3"/>
  <c r="E585" i="3"/>
  <c r="D585" i="3"/>
  <c r="T584" i="3"/>
  <c r="S584" i="3"/>
  <c r="R584" i="3"/>
  <c r="Q584" i="3"/>
  <c r="P584" i="3"/>
  <c r="O584" i="3"/>
  <c r="M584" i="3"/>
  <c r="L584" i="3"/>
  <c r="N584" i="3" s="1"/>
  <c r="K584" i="3"/>
  <c r="J584" i="3"/>
  <c r="E584" i="3"/>
  <c r="D584" i="3"/>
  <c r="T583" i="3"/>
  <c r="S583" i="3"/>
  <c r="R583" i="3"/>
  <c r="Q583" i="3"/>
  <c r="P583" i="3"/>
  <c r="O583" i="3"/>
  <c r="M583" i="3"/>
  <c r="L583" i="3"/>
  <c r="N583" i="3" s="1"/>
  <c r="K583" i="3"/>
  <c r="J583" i="3"/>
  <c r="E583" i="3"/>
  <c r="D583" i="3"/>
  <c r="T582" i="3"/>
  <c r="S582" i="3"/>
  <c r="R582" i="3"/>
  <c r="Q582" i="3"/>
  <c r="P582" i="3"/>
  <c r="O582" i="3"/>
  <c r="M582" i="3"/>
  <c r="L582" i="3"/>
  <c r="N582" i="3" s="1"/>
  <c r="K582" i="3"/>
  <c r="J582" i="3"/>
  <c r="E582" i="3"/>
  <c r="D582" i="3"/>
  <c r="T581" i="3"/>
  <c r="S581" i="3"/>
  <c r="R581" i="3"/>
  <c r="Q581" i="3"/>
  <c r="P581" i="3"/>
  <c r="O581" i="3"/>
  <c r="M581" i="3"/>
  <c r="L581" i="3"/>
  <c r="N581" i="3" s="1"/>
  <c r="K581" i="3"/>
  <c r="J581" i="3"/>
  <c r="E581" i="3"/>
  <c r="D581" i="3"/>
  <c r="T580" i="3"/>
  <c r="S580" i="3"/>
  <c r="R580" i="3"/>
  <c r="Q580" i="3"/>
  <c r="P580" i="3"/>
  <c r="O580" i="3"/>
  <c r="M580" i="3"/>
  <c r="L580" i="3"/>
  <c r="N580" i="3" s="1"/>
  <c r="K580" i="3"/>
  <c r="J580" i="3"/>
  <c r="E580" i="3"/>
  <c r="D580" i="3"/>
  <c r="T579" i="3"/>
  <c r="S579" i="3"/>
  <c r="R579" i="3"/>
  <c r="Q579" i="3"/>
  <c r="P579" i="3"/>
  <c r="O579" i="3"/>
  <c r="M579" i="3"/>
  <c r="L579" i="3"/>
  <c r="N579" i="3" s="1"/>
  <c r="K579" i="3"/>
  <c r="J579" i="3"/>
  <c r="E579" i="3"/>
  <c r="D579" i="3"/>
  <c r="T578" i="3"/>
  <c r="S578" i="3"/>
  <c r="R578" i="3"/>
  <c r="Q578" i="3"/>
  <c r="P578" i="3"/>
  <c r="O578" i="3"/>
  <c r="M578" i="3"/>
  <c r="L578" i="3"/>
  <c r="N578" i="3" s="1"/>
  <c r="K578" i="3"/>
  <c r="J578" i="3"/>
  <c r="E578" i="3"/>
  <c r="D578" i="3"/>
  <c r="T577" i="3"/>
  <c r="S577" i="3"/>
  <c r="R577" i="3"/>
  <c r="Q577" i="3"/>
  <c r="P577" i="3"/>
  <c r="O577" i="3"/>
  <c r="M577" i="3"/>
  <c r="L577" i="3"/>
  <c r="N577" i="3" s="1"/>
  <c r="K577" i="3"/>
  <c r="J577" i="3"/>
  <c r="E577" i="3"/>
  <c r="D577" i="3"/>
  <c r="T576" i="3"/>
  <c r="S576" i="3"/>
  <c r="R576" i="3"/>
  <c r="Q576" i="3"/>
  <c r="P576" i="3"/>
  <c r="O576" i="3"/>
  <c r="M576" i="3"/>
  <c r="L576" i="3"/>
  <c r="N576" i="3" s="1"/>
  <c r="K576" i="3"/>
  <c r="J576" i="3"/>
  <c r="E576" i="3"/>
  <c r="D576" i="3"/>
  <c r="T575" i="3"/>
  <c r="S575" i="3"/>
  <c r="R575" i="3"/>
  <c r="Q575" i="3"/>
  <c r="P575" i="3"/>
  <c r="O575" i="3"/>
  <c r="M575" i="3"/>
  <c r="L575" i="3"/>
  <c r="N575" i="3" s="1"/>
  <c r="K575" i="3"/>
  <c r="J575" i="3"/>
  <c r="E575" i="3"/>
  <c r="D575" i="3"/>
  <c r="T574" i="3"/>
  <c r="S574" i="3"/>
  <c r="R574" i="3"/>
  <c r="Q574" i="3"/>
  <c r="P574" i="3"/>
  <c r="O574" i="3"/>
  <c r="M574" i="3"/>
  <c r="L574" i="3"/>
  <c r="N574" i="3" s="1"/>
  <c r="K574" i="3"/>
  <c r="J574" i="3"/>
  <c r="E574" i="3"/>
  <c r="D574" i="3"/>
  <c r="T573" i="3"/>
  <c r="S573" i="3"/>
  <c r="R573" i="3"/>
  <c r="Q573" i="3"/>
  <c r="P573" i="3"/>
  <c r="O573" i="3"/>
  <c r="M573" i="3"/>
  <c r="L573" i="3"/>
  <c r="N573" i="3" s="1"/>
  <c r="K573" i="3"/>
  <c r="J573" i="3"/>
  <c r="E573" i="3"/>
  <c r="D573" i="3"/>
  <c r="T572" i="3"/>
  <c r="S572" i="3"/>
  <c r="R572" i="3"/>
  <c r="Q572" i="3"/>
  <c r="P572" i="3"/>
  <c r="O572" i="3"/>
  <c r="M572" i="3"/>
  <c r="L572" i="3"/>
  <c r="N572" i="3" s="1"/>
  <c r="K572" i="3"/>
  <c r="J572" i="3"/>
  <c r="E572" i="3"/>
  <c r="D572" i="3"/>
  <c r="T571" i="3"/>
  <c r="S571" i="3"/>
  <c r="R571" i="3"/>
  <c r="Q571" i="3"/>
  <c r="P571" i="3"/>
  <c r="O571" i="3"/>
  <c r="M571" i="3"/>
  <c r="L571" i="3"/>
  <c r="N571" i="3" s="1"/>
  <c r="K571" i="3"/>
  <c r="J571" i="3"/>
  <c r="E571" i="3"/>
  <c r="D571" i="3"/>
  <c r="T570" i="3"/>
  <c r="S570" i="3"/>
  <c r="R570" i="3"/>
  <c r="Q570" i="3"/>
  <c r="P570" i="3"/>
  <c r="O570" i="3"/>
  <c r="M570" i="3"/>
  <c r="L570" i="3"/>
  <c r="N570" i="3" s="1"/>
  <c r="K570" i="3"/>
  <c r="J570" i="3"/>
  <c r="E570" i="3"/>
  <c r="D570" i="3"/>
  <c r="T569" i="3"/>
  <c r="S569" i="3"/>
  <c r="R569" i="3"/>
  <c r="Q569" i="3"/>
  <c r="P569" i="3"/>
  <c r="O569" i="3"/>
  <c r="M569" i="3"/>
  <c r="L569" i="3"/>
  <c r="N569" i="3" s="1"/>
  <c r="K569" i="3"/>
  <c r="J569" i="3"/>
  <c r="E569" i="3"/>
  <c r="D569" i="3"/>
  <c r="T568" i="3"/>
  <c r="S568" i="3"/>
  <c r="R568" i="3"/>
  <c r="Q568" i="3"/>
  <c r="P568" i="3"/>
  <c r="O568" i="3"/>
  <c r="M568" i="3"/>
  <c r="L568" i="3"/>
  <c r="N568" i="3" s="1"/>
  <c r="K568" i="3"/>
  <c r="J568" i="3"/>
  <c r="E568" i="3"/>
  <c r="D568" i="3"/>
  <c r="T567" i="3"/>
  <c r="S567" i="3"/>
  <c r="R567" i="3"/>
  <c r="Q567" i="3"/>
  <c r="P567" i="3"/>
  <c r="O567" i="3"/>
  <c r="M567" i="3"/>
  <c r="L567" i="3"/>
  <c r="N567" i="3" s="1"/>
  <c r="K567" i="3"/>
  <c r="J567" i="3"/>
  <c r="E567" i="3"/>
  <c r="D567" i="3"/>
  <c r="T566" i="3"/>
  <c r="S566" i="3"/>
  <c r="R566" i="3"/>
  <c r="Q566" i="3"/>
  <c r="P566" i="3"/>
  <c r="O566" i="3"/>
  <c r="M566" i="3"/>
  <c r="L566" i="3"/>
  <c r="N566" i="3" s="1"/>
  <c r="K566" i="3"/>
  <c r="J566" i="3"/>
  <c r="E566" i="3"/>
  <c r="D566" i="3"/>
  <c r="T565" i="3"/>
  <c r="S565" i="3"/>
  <c r="R565" i="3"/>
  <c r="Q565" i="3"/>
  <c r="P565" i="3"/>
  <c r="O565" i="3"/>
  <c r="M565" i="3"/>
  <c r="L565" i="3"/>
  <c r="N565" i="3" s="1"/>
  <c r="K565" i="3"/>
  <c r="J565" i="3"/>
  <c r="E565" i="3"/>
  <c r="D565" i="3"/>
  <c r="T564" i="3"/>
  <c r="S564" i="3"/>
  <c r="R564" i="3"/>
  <c r="Q564" i="3"/>
  <c r="P564" i="3"/>
  <c r="O564" i="3"/>
  <c r="M564" i="3"/>
  <c r="L564" i="3"/>
  <c r="N564" i="3" s="1"/>
  <c r="K564" i="3"/>
  <c r="J564" i="3"/>
  <c r="E564" i="3"/>
  <c r="D564" i="3"/>
  <c r="T563" i="3"/>
  <c r="S563" i="3"/>
  <c r="R563" i="3"/>
  <c r="Q563" i="3"/>
  <c r="P563" i="3"/>
  <c r="O563" i="3"/>
  <c r="M563" i="3"/>
  <c r="L563" i="3"/>
  <c r="N563" i="3" s="1"/>
  <c r="K563" i="3"/>
  <c r="J563" i="3"/>
  <c r="E563" i="3"/>
  <c r="D563" i="3"/>
  <c r="T562" i="3"/>
  <c r="S562" i="3"/>
  <c r="R562" i="3"/>
  <c r="Q562" i="3"/>
  <c r="P562" i="3"/>
  <c r="O562" i="3"/>
  <c r="M562" i="3"/>
  <c r="L562" i="3"/>
  <c r="N562" i="3" s="1"/>
  <c r="K562" i="3"/>
  <c r="J562" i="3"/>
  <c r="E562" i="3"/>
  <c r="D562" i="3"/>
  <c r="T561" i="3"/>
  <c r="S561" i="3"/>
  <c r="R561" i="3"/>
  <c r="Q561" i="3"/>
  <c r="P561" i="3"/>
  <c r="O561" i="3"/>
  <c r="M561" i="3"/>
  <c r="L561" i="3"/>
  <c r="N561" i="3" s="1"/>
  <c r="K561" i="3"/>
  <c r="J561" i="3"/>
  <c r="E561" i="3"/>
  <c r="D561" i="3"/>
  <c r="T560" i="3"/>
  <c r="S560" i="3"/>
  <c r="R560" i="3"/>
  <c r="Q560" i="3"/>
  <c r="P560" i="3"/>
  <c r="O560" i="3"/>
  <c r="M560" i="3"/>
  <c r="L560" i="3"/>
  <c r="N560" i="3" s="1"/>
  <c r="K560" i="3"/>
  <c r="J560" i="3"/>
  <c r="E560" i="3"/>
  <c r="D560" i="3"/>
  <c r="T559" i="3"/>
  <c r="S559" i="3"/>
  <c r="R559" i="3"/>
  <c r="Q559" i="3"/>
  <c r="P559" i="3"/>
  <c r="O559" i="3"/>
  <c r="M559" i="3"/>
  <c r="L559" i="3"/>
  <c r="N559" i="3" s="1"/>
  <c r="K559" i="3"/>
  <c r="J559" i="3"/>
  <c r="E559" i="3"/>
  <c r="D559" i="3"/>
  <c r="T558" i="3"/>
  <c r="S558" i="3"/>
  <c r="R558" i="3"/>
  <c r="Q558" i="3"/>
  <c r="P558" i="3"/>
  <c r="O558" i="3"/>
  <c r="M558" i="3"/>
  <c r="L558" i="3"/>
  <c r="N558" i="3" s="1"/>
  <c r="K558" i="3"/>
  <c r="J558" i="3"/>
  <c r="E558" i="3"/>
  <c r="D558" i="3"/>
  <c r="T557" i="3"/>
  <c r="S557" i="3"/>
  <c r="R557" i="3"/>
  <c r="Q557" i="3"/>
  <c r="P557" i="3"/>
  <c r="O557" i="3"/>
  <c r="M557" i="3"/>
  <c r="L557" i="3"/>
  <c r="N557" i="3" s="1"/>
  <c r="K557" i="3"/>
  <c r="J557" i="3"/>
  <c r="E557" i="3"/>
  <c r="D557" i="3"/>
  <c r="T556" i="3"/>
  <c r="S556" i="3"/>
  <c r="R556" i="3"/>
  <c r="Q556" i="3"/>
  <c r="P556" i="3"/>
  <c r="O556" i="3"/>
  <c r="M556" i="3"/>
  <c r="L556" i="3"/>
  <c r="N556" i="3" s="1"/>
  <c r="K556" i="3"/>
  <c r="J556" i="3"/>
  <c r="E556" i="3"/>
  <c r="D556" i="3"/>
  <c r="T555" i="3"/>
  <c r="S555" i="3"/>
  <c r="R555" i="3"/>
  <c r="Q555" i="3"/>
  <c r="P555" i="3"/>
  <c r="O555" i="3"/>
  <c r="M555" i="3"/>
  <c r="L555" i="3"/>
  <c r="N555" i="3" s="1"/>
  <c r="K555" i="3"/>
  <c r="J555" i="3"/>
  <c r="E555" i="3"/>
  <c r="D555" i="3"/>
  <c r="T554" i="3"/>
  <c r="S554" i="3"/>
  <c r="R554" i="3"/>
  <c r="Q554" i="3"/>
  <c r="P554" i="3"/>
  <c r="O554" i="3"/>
  <c r="M554" i="3"/>
  <c r="L554" i="3"/>
  <c r="N554" i="3" s="1"/>
  <c r="K554" i="3"/>
  <c r="J554" i="3"/>
  <c r="E554" i="3"/>
  <c r="D554" i="3"/>
  <c r="T553" i="3"/>
  <c r="S553" i="3"/>
  <c r="R553" i="3"/>
  <c r="Q553" i="3"/>
  <c r="P553" i="3"/>
  <c r="O553" i="3"/>
  <c r="M553" i="3"/>
  <c r="L553" i="3"/>
  <c r="N553" i="3" s="1"/>
  <c r="K553" i="3"/>
  <c r="J553" i="3"/>
  <c r="E553" i="3"/>
  <c r="D553" i="3"/>
  <c r="T552" i="3"/>
  <c r="S552" i="3"/>
  <c r="R552" i="3"/>
  <c r="Q552" i="3"/>
  <c r="P552" i="3"/>
  <c r="O552" i="3"/>
  <c r="M552" i="3"/>
  <c r="L552" i="3"/>
  <c r="N552" i="3" s="1"/>
  <c r="K552" i="3"/>
  <c r="J552" i="3"/>
  <c r="E552" i="3"/>
  <c r="D552" i="3"/>
  <c r="T551" i="3"/>
  <c r="S551" i="3"/>
  <c r="R551" i="3"/>
  <c r="Q551" i="3"/>
  <c r="P551" i="3"/>
  <c r="O551" i="3"/>
  <c r="M551" i="3"/>
  <c r="L551" i="3"/>
  <c r="N551" i="3" s="1"/>
  <c r="K551" i="3"/>
  <c r="J551" i="3"/>
  <c r="E551" i="3"/>
  <c r="D551" i="3"/>
  <c r="T550" i="3"/>
  <c r="S550" i="3"/>
  <c r="R550" i="3"/>
  <c r="Q550" i="3"/>
  <c r="P550" i="3"/>
  <c r="O550" i="3"/>
  <c r="M550" i="3"/>
  <c r="L550" i="3"/>
  <c r="N550" i="3" s="1"/>
  <c r="K550" i="3"/>
  <c r="J550" i="3"/>
  <c r="E550" i="3"/>
  <c r="D550" i="3"/>
  <c r="T549" i="3"/>
  <c r="S549" i="3"/>
  <c r="R549" i="3"/>
  <c r="Q549" i="3"/>
  <c r="P549" i="3"/>
  <c r="O549" i="3"/>
  <c r="M549" i="3"/>
  <c r="L549" i="3"/>
  <c r="N549" i="3" s="1"/>
  <c r="K549" i="3"/>
  <c r="J549" i="3"/>
  <c r="E549" i="3"/>
  <c r="D549" i="3"/>
  <c r="T548" i="3"/>
  <c r="S548" i="3"/>
  <c r="R548" i="3"/>
  <c r="Q548" i="3"/>
  <c r="P548" i="3"/>
  <c r="O548" i="3"/>
  <c r="M548" i="3"/>
  <c r="L548" i="3"/>
  <c r="N548" i="3" s="1"/>
  <c r="K548" i="3"/>
  <c r="J548" i="3"/>
  <c r="E548" i="3"/>
  <c r="D548" i="3"/>
  <c r="T547" i="3"/>
  <c r="S547" i="3"/>
  <c r="R547" i="3"/>
  <c r="Q547" i="3"/>
  <c r="P547" i="3"/>
  <c r="O547" i="3"/>
  <c r="M547" i="3"/>
  <c r="L547" i="3"/>
  <c r="N547" i="3" s="1"/>
  <c r="K547" i="3"/>
  <c r="J547" i="3"/>
  <c r="E547" i="3"/>
  <c r="D547" i="3"/>
  <c r="T546" i="3"/>
  <c r="S546" i="3"/>
  <c r="R546" i="3"/>
  <c r="Q546" i="3"/>
  <c r="P546" i="3"/>
  <c r="O546" i="3"/>
  <c r="M546" i="3"/>
  <c r="L546" i="3"/>
  <c r="N546" i="3" s="1"/>
  <c r="K546" i="3"/>
  <c r="J546" i="3"/>
  <c r="E546" i="3"/>
  <c r="D546" i="3"/>
  <c r="T545" i="3"/>
  <c r="S545" i="3"/>
  <c r="R545" i="3"/>
  <c r="Q545" i="3"/>
  <c r="P545" i="3"/>
  <c r="O545" i="3"/>
  <c r="M545" i="3"/>
  <c r="L545" i="3"/>
  <c r="N545" i="3" s="1"/>
  <c r="K545" i="3"/>
  <c r="J545" i="3"/>
  <c r="E545" i="3"/>
  <c r="D545" i="3"/>
  <c r="T544" i="3"/>
  <c r="S544" i="3"/>
  <c r="R544" i="3"/>
  <c r="Q544" i="3"/>
  <c r="P544" i="3"/>
  <c r="O544" i="3"/>
  <c r="M544" i="3"/>
  <c r="L544" i="3"/>
  <c r="N544" i="3" s="1"/>
  <c r="K544" i="3"/>
  <c r="J544" i="3"/>
  <c r="E544" i="3"/>
  <c r="D544" i="3"/>
  <c r="T543" i="3"/>
  <c r="S543" i="3"/>
  <c r="R543" i="3"/>
  <c r="Q543" i="3"/>
  <c r="P543" i="3"/>
  <c r="O543" i="3"/>
  <c r="M543" i="3"/>
  <c r="L543" i="3"/>
  <c r="N543" i="3" s="1"/>
  <c r="K543" i="3"/>
  <c r="J543" i="3"/>
  <c r="E543" i="3"/>
  <c r="D543" i="3"/>
  <c r="T542" i="3"/>
  <c r="S542" i="3"/>
  <c r="R542" i="3"/>
  <c r="Q542" i="3"/>
  <c r="P542" i="3"/>
  <c r="O542" i="3"/>
  <c r="M542" i="3"/>
  <c r="L542" i="3"/>
  <c r="N542" i="3" s="1"/>
  <c r="K542" i="3"/>
  <c r="J542" i="3"/>
  <c r="E542" i="3"/>
  <c r="D542" i="3"/>
  <c r="T541" i="3"/>
  <c r="S541" i="3"/>
  <c r="R541" i="3"/>
  <c r="Q541" i="3"/>
  <c r="P541" i="3"/>
  <c r="O541" i="3"/>
  <c r="M541" i="3"/>
  <c r="L541" i="3"/>
  <c r="N541" i="3" s="1"/>
  <c r="K541" i="3"/>
  <c r="J541" i="3"/>
  <c r="E541" i="3"/>
  <c r="D541" i="3"/>
  <c r="T540" i="3"/>
  <c r="S540" i="3"/>
  <c r="R540" i="3"/>
  <c r="Q540" i="3"/>
  <c r="P540" i="3"/>
  <c r="O540" i="3"/>
  <c r="M540" i="3"/>
  <c r="L540" i="3"/>
  <c r="N540" i="3" s="1"/>
  <c r="K540" i="3"/>
  <c r="J540" i="3"/>
  <c r="E540" i="3"/>
  <c r="D540" i="3"/>
  <c r="T539" i="3"/>
  <c r="S539" i="3"/>
  <c r="R539" i="3"/>
  <c r="Q539" i="3"/>
  <c r="P539" i="3"/>
  <c r="O539" i="3"/>
  <c r="M539" i="3"/>
  <c r="L539" i="3"/>
  <c r="N539" i="3" s="1"/>
  <c r="K539" i="3"/>
  <c r="J539" i="3"/>
  <c r="E539" i="3"/>
  <c r="D539" i="3"/>
  <c r="T538" i="3"/>
  <c r="S538" i="3"/>
  <c r="R538" i="3"/>
  <c r="Q538" i="3"/>
  <c r="P538" i="3"/>
  <c r="O538" i="3"/>
  <c r="M538" i="3"/>
  <c r="L538" i="3"/>
  <c r="N538" i="3" s="1"/>
  <c r="K538" i="3"/>
  <c r="J538" i="3"/>
  <c r="E538" i="3"/>
  <c r="D538" i="3"/>
  <c r="T537" i="3"/>
  <c r="S537" i="3"/>
  <c r="R537" i="3"/>
  <c r="Q537" i="3"/>
  <c r="P537" i="3"/>
  <c r="O537" i="3"/>
  <c r="M537" i="3"/>
  <c r="L537" i="3"/>
  <c r="N537" i="3" s="1"/>
  <c r="K537" i="3"/>
  <c r="J537" i="3"/>
  <c r="E537" i="3"/>
  <c r="D537" i="3"/>
  <c r="T536" i="3"/>
  <c r="S536" i="3"/>
  <c r="R536" i="3"/>
  <c r="Q536" i="3"/>
  <c r="P536" i="3"/>
  <c r="O536" i="3"/>
  <c r="M536" i="3"/>
  <c r="L536" i="3"/>
  <c r="N536" i="3" s="1"/>
  <c r="K536" i="3"/>
  <c r="J536" i="3"/>
  <c r="E536" i="3"/>
  <c r="D536" i="3"/>
  <c r="T535" i="3"/>
  <c r="S535" i="3"/>
  <c r="R535" i="3"/>
  <c r="Q535" i="3"/>
  <c r="P535" i="3"/>
  <c r="O535" i="3"/>
  <c r="M535" i="3"/>
  <c r="L535" i="3"/>
  <c r="N535" i="3" s="1"/>
  <c r="K535" i="3"/>
  <c r="J535" i="3"/>
  <c r="E535" i="3"/>
  <c r="D535" i="3"/>
  <c r="T534" i="3"/>
  <c r="S534" i="3"/>
  <c r="R534" i="3"/>
  <c r="Q534" i="3"/>
  <c r="P534" i="3"/>
  <c r="O534" i="3"/>
  <c r="M534" i="3"/>
  <c r="L534" i="3"/>
  <c r="N534" i="3" s="1"/>
  <c r="K534" i="3"/>
  <c r="J534" i="3"/>
  <c r="E534" i="3"/>
  <c r="D534" i="3"/>
  <c r="T533" i="3"/>
  <c r="S533" i="3"/>
  <c r="R533" i="3"/>
  <c r="Q533" i="3"/>
  <c r="P533" i="3"/>
  <c r="O533" i="3"/>
  <c r="M533" i="3"/>
  <c r="L533" i="3"/>
  <c r="N533" i="3" s="1"/>
  <c r="K533" i="3"/>
  <c r="J533" i="3"/>
  <c r="E533" i="3"/>
  <c r="D533" i="3"/>
  <c r="T532" i="3"/>
  <c r="S532" i="3"/>
  <c r="R532" i="3"/>
  <c r="Q532" i="3"/>
  <c r="P532" i="3"/>
  <c r="O532" i="3"/>
  <c r="M532" i="3"/>
  <c r="L532" i="3"/>
  <c r="N532" i="3" s="1"/>
  <c r="K532" i="3"/>
  <c r="J532" i="3"/>
  <c r="E532" i="3"/>
  <c r="D532" i="3"/>
  <c r="T531" i="3"/>
  <c r="S531" i="3"/>
  <c r="R531" i="3"/>
  <c r="Q531" i="3"/>
  <c r="P531" i="3"/>
  <c r="O531" i="3"/>
  <c r="M531" i="3"/>
  <c r="L531" i="3"/>
  <c r="N531" i="3" s="1"/>
  <c r="K531" i="3"/>
  <c r="J531" i="3"/>
  <c r="E531" i="3"/>
  <c r="D531" i="3"/>
  <c r="T530" i="3"/>
  <c r="S530" i="3"/>
  <c r="R530" i="3"/>
  <c r="Q530" i="3"/>
  <c r="P530" i="3"/>
  <c r="O530" i="3"/>
  <c r="M530" i="3"/>
  <c r="L530" i="3"/>
  <c r="N530" i="3" s="1"/>
  <c r="K530" i="3"/>
  <c r="J530" i="3"/>
  <c r="E530" i="3"/>
  <c r="D530" i="3"/>
  <c r="T529" i="3"/>
  <c r="S529" i="3"/>
  <c r="R529" i="3"/>
  <c r="Q529" i="3"/>
  <c r="P529" i="3"/>
  <c r="O529" i="3"/>
  <c r="M529" i="3"/>
  <c r="L529" i="3"/>
  <c r="N529" i="3" s="1"/>
  <c r="K529" i="3"/>
  <c r="J529" i="3"/>
  <c r="E529" i="3"/>
  <c r="D529" i="3"/>
  <c r="T528" i="3"/>
  <c r="S528" i="3"/>
  <c r="R528" i="3"/>
  <c r="Q528" i="3"/>
  <c r="P528" i="3"/>
  <c r="O528" i="3"/>
  <c r="M528" i="3"/>
  <c r="L528" i="3"/>
  <c r="N528" i="3" s="1"/>
  <c r="K528" i="3"/>
  <c r="J528" i="3"/>
  <c r="E528" i="3"/>
  <c r="D528" i="3"/>
  <c r="T527" i="3"/>
  <c r="S527" i="3"/>
  <c r="R527" i="3"/>
  <c r="Q527" i="3"/>
  <c r="P527" i="3"/>
  <c r="O527" i="3"/>
  <c r="M527" i="3"/>
  <c r="L527" i="3"/>
  <c r="N527" i="3" s="1"/>
  <c r="K527" i="3"/>
  <c r="J527" i="3"/>
  <c r="E527" i="3"/>
  <c r="D527" i="3"/>
  <c r="T526" i="3"/>
  <c r="S526" i="3"/>
  <c r="R526" i="3"/>
  <c r="Q526" i="3"/>
  <c r="P526" i="3"/>
  <c r="O526" i="3"/>
  <c r="M526" i="3"/>
  <c r="L526" i="3"/>
  <c r="N526" i="3" s="1"/>
  <c r="K526" i="3"/>
  <c r="J526" i="3"/>
  <c r="E526" i="3"/>
  <c r="D526" i="3"/>
  <c r="T525" i="3"/>
  <c r="S525" i="3"/>
  <c r="R525" i="3"/>
  <c r="Q525" i="3"/>
  <c r="P525" i="3"/>
  <c r="O525" i="3"/>
  <c r="M525" i="3"/>
  <c r="L525" i="3"/>
  <c r="N525" i="3" s="1"/>
  <c r="K525" i="3"/>
  <c r="J525" i="3"/>
  <c r="E525" i="3"/>
  <c r="D525" i="3"/>
  <c r="T524" i="3"/>
  <c r="S524" i="3"/>
  <c r="R524" i="3"/>
  <c r="Q524" i="3"/>
  <c r="P524" i="3"/>
  <c r="O524" i="3"/>
  <c r="M524" i="3"/>
  <c r="L524" i="3"/>
  <c r="N524" i="3" s="1"/>
  <c r="K524" i="3"/>
  <c r="J524" i="3"/>
  <c r="E524" i="3"/>
  <c r="D524" i="3"/>
  <c r="T523" i="3"/>
  <c r="S523" i="3"/>
  <c r="R523" i="3"/>
  <c r="Q523" i="3"/>
  <c r="P523" i="3"/>
  <c r="O523" i="3"/>
  <c r="M523" i="3"/>
  <c r="L523" i="3"/>
  <c r="N523" i="3" s="1"/>
  <c r="K523" i="3"/>
  <c r="J523" i="3"/>
  <c r="E523" i="3"/>
  <c r="D523" i="3"/>
  <c r="T522" i="3"/>
  <c r="S522" i="3"/>
  <c r="R522" i="3"/>
  <c r="Q522" i="3"/>
  <c r="P522" i="3"/>
  <c r="O522" i="3"/>
  <c r="M522" i="3"/>
  <c r="L522" i="3"/>
  <c r="N522" i="3" s="1"/>
  <c r="K522" i="3"/>
  <c r="J522" i="3"/>
  <c r="E522" i="3"/>
  <c r="D522" i="3"/>
  <c r="T521" i="3"/>
  <c r="S521" i="3"/>
  <c r="R521" i="3"/>
  <c r="Q521" i="3"/>
  <c r="P521" i="3"/>
  <c r="O521" i="3"/>
  <c r="M521" i="3"/>
  <c r="L521" i="3"/>
  <c r="N521" i="3" s="1"/>
  <c r="K521" i="3"/>
  <c r="J521" i="3"/>
  <c r="E521" i="3"/>
  <c r="D521" i="3"/>
  <c r="T520" i="3"/>
  <c r="S520" i="3"/>
  <c r="R520" i="3"/>
  <c r="Q520" i="3"/>
  <c r="P520" i="3"/>
  <c r="O520" i="3"/>
  <c r="M520" i="3"/>
  <c r="L520" i="3"/>
  <c r="N520" i="3" s="1"/>
  <c r="K520" i="3"/>
  <c r="J520" i="3"/>
  <c r="E520" i="3"/>
  <c r="D520" i="3"/>
  <c r="T519" i="3"/>
  <c r="S519" i="3"/>
  <c r="R519" i="3"/>
  <c r="Q519" i="3"/>
  <c r="P519" i="3"/>
  <c r="O519" i="3"/>
  <c r="M519" i="3"/>
  <c r="L519" i="3"/>
  <c r="N519" i="3" s="1"/>
  <c r="K519" i="3"/>
  <c r="J519" i="3"/>
  <c r="E519" i="3"/>
  <c r="D519" i="3"/>
  <c r="T518" i="3"/>
  <c r="S518" i="3"/>
  <c r="R518" i="3"/>
  <c r="Q518" i="3"/>
  <c r="P518" i="3"/>
  <c r="O518" i="3"/>
  <c r="M518" i="3"/>
  <c r="L518" i="3"/>
  <c r="N518" i="3" s="1"/>
  <c r="K518" i="3"/>
  <c r="J518" i="3"/>
  <c r="E518" i="3"/>
  <c r="D518" i="3"/>
  <c r="T517" i="3"/>
  <c r="S517" i="3"/>
  <c r="R517" i="3"/>
  <c r="Q517" i="3"/>
  <c r="O517" i="3"/>
  <c r="L517" i="3"/>
  <c r="N517" i="3" s="1"/>
  <c r="K517" i="3"/>
  <c r="E517" i="3"/>
  <c r="D517" i="3"/>
  <c r="T516" i="3"/>
  <c r="S516" i="3"/>
  <c r="R516" i="3"/>
  <c r="Q516" i="3"/>
  <c r="O516" i="3"/>
  <c r="E516" i="3"/>
  <c r="D516" i="3"/>
  <c r="T515" i="3"/>
  <c r="S515" i="3"/>
  <c r="Q515" i="3"/>
  <c r="P515" i="3"/>
  <c r="E515" i="3"/>
  <c r="D515" i="3"/>
  <c r="T514" i="3"/>
  <c r="S514" i="3"/>
  <c r="Q514" i="3"/>
  <c r="O514" i="3"/>
  <c r="M514" i="3"/>
  <c r="L514" i="3"/>
  <c r="N514" i="3" s="1"/>
  <c r="K514" i="3"/>
  <c r="J514" i="3"/>
  <c r="R513" i="3"/>
  <c r="O513" i="3"/>
  <c r="J513" i="3"/>
  <c r="S512" i="3"/>
  <c r="Q512" i="3"/>
  <c r="O512" i="3"/>
  <c r="M512" i="3"/>
  <c r="L512" i="3"/>
  <c r="N512" i="3" s="1"/>
  <c r="J512" i="3"/>
  <c r="B512" i="3"/>
  <c r="P511" i="3"/>
  <c r="L511" i="3"/>
  <c r="N511" i="3" s="1"/>
  <c r="J511" i="3"/>
  <c r="E511" i="3"/>
  <c r="D511" i="3"/>
  <c r="B511" i="3"/>
  <c r="Q510" i="3"/>
  <c r="L510" i="3"/>
  <c r="N510" i="3" s="1"/>
  <c r="J510" i="3"/>
  <c r="B510" i="3"/>
  <c r="Q509" i="3"/>
  <c r="O509" i="3"/>
  <c r="L509" i="3"/>
  <c r="N509" i="3" s="1"/>
  <c r="J509" i="3"/>
  <c r="B509" i="3"/>
  <c r="S508" i="3"/>
  <c r="P508" i="3"/>
  <c r="L508" i="3"/>
  <c r="N508" i="3" s="1"/>
  <c r="J508" i="3"/>
  <c r="E508" i="3"/>
  <c r="R507" i="3"/>
  <c r="O507" i="3"/>
  <c r="M507" i="3"/>
  <c r="L507" i="3"/>
  <c r="N507" i="3" s="1"/>
  <c r="K507" i="3"/>
  <c r="J507" i="3"/>
  <c r="T506" i="3"/>
  <c r="Q506" i="3"/>
  <c r="K506" i="3"/>
  <c r="E506" i="3"/>
  <c r="D506" i="3"/>
  <c r="B506" i="3"/>
  <c r="R505" i="3"/>
  <c r="O505" i="3"/>
  <c r="M505" i="3"/>
  <c r="K505" i="3"/>
  <c r="R504" i="3"/>
  <c r="O504" i="3"/>
  <c r="L504" i="3"/>
  <c r="N504" i="3" s="1"/>
  <c r="Q503" i="3"/>
  <c r="E503" i="3"/>
  <c r="D503" i="3"/>
  <c r="B503" i="3"/>
  <c r="P502" i="3"/>
  <c r="M502" i="3"/>
  <c r="J502" i="3"/>
  <c r="D502" i="3"/>
  <c r="B502" i="3"/>
  <c r="R501" i="3"/>
  <c r="L501" i="3"/>
  <c r="N501" i="3" s="1"/>
  <c r="E501" i="3"/>
  <c r="S500" i="3"/>
  <c r="Q500" i="3"/>
  <c r="L500" i="3"/>
  <c r="N500" i="3" s="1"/>
  <c r="J500" i="3"/>
  <c r="D500" i="3"/>
  <c r="B500" i="3"/>
  <c r="Q499" i="3"/>
  <c r="M499" i="3"/>
  <c r="J499" i="3"/>
  <c r="D499" i="3"/>
  <c r="T498" i="3"/>
  <c r="S498" i="3"/>
  <c r="Q498" i="3"/>
  <c r="K498" i="3"/>
  <c r="D498" i="3"/>
  <c r="B498" i="3"/>
  <c r="R497" i="3"/>
  <c r="O497" i="3"/>
  <c r="J497" i="3"/>
  <c r="E497" i="3"/>
  <c r="T496" i="3"/>
  <c r="Q496" i="3"/>
  <c r="K496" i="3"/>
  <c r="E496" i="3"/>
  <c r="T495" i="3"/>
  <c r="Q495" i="3"/>
  <c r="M495" i="3"/>
  <c r="K495" i="3"/>
  <c r="E495" i="3"/>
  <c r="T494" i="3"/>
  <c r="S494" i="3"/>
  <c r="P494" i="3"/>
  <c r="L494" i="3"/>
  <c r="N494" i="3" s="1"/>
  <c r="P493" i="3"/>
  <c r="L493" i="3"/>
  <c r="N493" i="3" s="1"/>
  <c r="T492" i="3"/>
  <c r="R492" i="3"/>
  <c r="O492" i="3"/>
  <c r="L492" i="3"/>
  <c r="N492" i="3" s="1"/>
  <c r="T491" i="3"/>
  <c r="R491" i="3"/>
  <c r="O491" i="3"/>
  <c r="K491" i="3"/>
  <c r="R490" i="3"/>
  <c r="J490" i="3"/>
  <c r="D490" i="3"/>
  <c r="B490" i="3"/>
  <c r="R489" i="3"/>
  <c r="M489" i="3"/>
  <c r="J489" i="3"/>
  <c r="D489" i="3"/>
  <c r="B489" i="3"/>
  <c r="S488" i="3"/>
  <c r="P488" i="3"/>
  <c r="M488" i="3"/>
  <c r="K488" i="3"/>
  <c r="D488" i="3"/>
  <c r="B488" i="3"/>
  <c r="R487" i="3"/>
  <c r="J487" i="3"/>
  <c r="E487" i="3"/>
  <c r="T486" i="3"/>
  <c r="R486" i="3"/>
  <c r="O486" i="3"/>
  <c r="M486" i="3"/>
  <c r="J486" i="3"/>
  <c r="D486" i="3"/>
  <c r="B486" i="3"/>
  <c r="O485" i="3"/>
  <c r="L485" i="3"/>
  <c r="N485" i="3" s="1"/>
  <c r="E485" i="3"/>
  <c r="T484" i="3"/>
  <c r="Q484" i="3"/>
  <c r="P483" i="3"/>
  <c r="M483" i="3"/>
  <c r="K483" i="3"/>
  <c r="E483" i="3"/>
  <c r="T482" i="3"/>
  <c r="R482" i="3"/>
  <c r="P482" i="3"/>
  <c r="M482" i="3"/>
  <c r="K482" i="3"/>
  <c r="E482" i="3"/>
  <c r="D482" i="3"/>
  <c r="R481" i="3"/>
  <c r="P481" i="3"/>
  <c r="M481" i="3"/>
  <c r="K481" i="3"/>
  <c r="D481" i="3"/>
  <c r="B481" i="3"/>
  <c r="R480" i="3"/>
  <c r="O480" i="3"/>
  <c r="L480" i="3"/>
  <c r="N480" i="3" s="1"/>
  <c r="D480" i="3"/>
  <c r="B480" i="3"/>
  <c r="Q479" i="3"/>
  <c r="O479" i="3"/>
  <c r="L479" i="3"/>
  <c r="N479" i="3" s="1"/>
  <c r="R478" i="3"/>
  <c r="L478" i="3"/>
  <c r="N478" i="3" s="1"/>
  <c r="K478" i="3"/>
  <c r="D478" i="3"/>
  <c r="B478" i="3"/>
  <c r="Q477" i="3"/>
  <c r="L477" i="3"/>
  <c r="N477" i="3" s="1"/>
  <c r="D477" i="3"/>
  <c r="B477" i="3"/>
  <c r="O476" i="3"/>
  <c r="L476" i="3"/>
  <c r="N476" i="3" s="1"/>
  <c r="S475" i="3"/>
  <c r="Q475" i="3"/>
  <c r="M475" i="3"/>
  <c r="K475" i="3"/>
  <c r="E475" i="3"/>
  <c r="T474" i="3"/>
  <c r="S474" i="3"/>
  <c r="P474" i="3"/>
  <c r="K474" i="3"/>
  <c r="Q473" i="3"/>
  <c r="J473" i="3"/>
  <c r="D473" i="3"/>
  <c r="B473" i="3"/>
  <c r="Q472" i="3"/>
  <c r="S471" i="3"/>
  <c r="Q471" i="3"/>
  <c r="K471" i="3"/>
  <c r="S470" i="3"/>
  <c r="O470" i="3"/>
  <c r="K470" i="3"/>
  <c r="Q469" i="3"/>
  <c r="O469" i="3"/>
  <c r="K469" i="3"/>
  <c r="T468" i="3"/>
  <c r="Q468" i="3"/>
  <c r="M468" i="3"/>
  <c r="J468" i="3"/>
  <c r="D468" i="3"/>
  <c r="B468" i="3"/>
  <c r="P467" i="3"/>
  <c r="M467" i="3"/>
  <c r="K467" i="3"/>
  <c r="D467" i="3"/>
  <c r="B467" i="3"/>
  <c r="S466" i="3"/>
  <c r="P466" i="3"/>
  <c r="M466" i="3"/>
  <c r="J466" i="3"/>
  <c r="D466" i="3"/>
  <c r="B466" i="3"/>
  <c r="P465" i="3"/>
  <c r="M465" i="3"/>
  <c r="T464" i="3"/>
  <c r="S464" i="3"/>
  <c r="Q464" i="3"/>
  <c r="O464" i="3"/>
  <c r="M464" i="3"/>
  <c r="D464" i="3"/>
  <c r="B464" i="3"/>
  <c r="P463" i="3"/>
  <c r="M463" i="3"/>
  <c r="J463" i="3"/>
  <c r="E463" i="3"/>
  <c r="S462" i="3"/>
  <c r="P462" i="3"/>
  <c r="K462" i="3"/>
  <c r="D462" i="3"/>
  <c r="B462" i="3"/>
  <c r="R461" i="3"/>
  <c r="O461" i="3"/>
  <c r="L461" i="3"/>
  <c r="N461" i="3" s="1"/>
  <c r="J461" i="3"/>
  <c r="D461" i="3"/>
  <c r="B461" i="3"/>
  <c r="P460" i="3"/>
  <c r="M460" i="3"/>
  <c r="K460" i="3"/>
  <c r="D460" i="3"/>
  <c r="B460" i="3"/>
  <c r="L459" i="3"/>
  <c r="N459" i="3" s="1"/>
  <c r="E459" i="3"/>
  <c r="Q458" i="3"/>
  <c r="O458" i="3"/>
  <c r="M458" i="3"/>
  <c r="K458" i="3"/>
  <c r="E458" i="3"/>
  <c r="D458" i="3"/>
  <c r="T457" i="3"/>
  <c r="S457" i="3"/>
  <c r="R457" i="3"/>
  <c r="Q457" i="3"/>
  <c r="O457" i="3"/>
  <c r="M457" i="3"/>
  <c r="K457" i="3"/>
  <c r="E457" i="3"/>
  <c r="T456" i="3"/>
  <c r="R456" i="3"/>
  <c r="J12" i="3"/>
  <c r="T11" i="3"/>
  <c r="Q11" i="3"/>
  <c r="M11" i="3"/>
  <c r="J11" i="3"/>
  <c r="T10" i="3"/>
  <c r="Q10" i="3"/>
  <c r="M10" i="3"/>
  <c r="Q9" i="3"/>
  <c r="B9" i="3"/>
  <c r="T8" i="3"/>
  <c r="S8" i="3"/>
  <c r="R8" i="3"/>
  <c r="P7" i="3"/>
  <c r="J7" i="3"/>
  <c r="O6" i="3"/>
  <c r="J5" i="3"/>
  <c r="M4" i="3"/>
  <c r="J4" i="3"/>
  <c r="M455" i="3"/>
  <c r="L455" i="3"/>
  <c r="N455" i="3" s="1"/>
  <c r="K455" i="3"/>
  <c r="J455" i="3"/>
  <c r="E455" i="3"/>
  <c r="D455" i="3"/>
  <c r="T454" i="3"/>
  <c r="S454" i="3"/>
  <c r="R454" i="3"/>
  <c r="Q454" i="3"/>
  <c r="P454" i="3"/>
  <c r="O454" i="3"/>
  <c r="M454" i="3"/>
  <c r="L454" i="3"/>
  <c r="N454" i="3" s="1"/>
  <c r="K454" i="3"/>
  <c r="J454" i="3"/>
  <c r="E454" i="3"/>
  <c r="D454" i="3"/>
  <c r="T453" i="3"/>
  <c r="S453" i="3"/>
  <c r="R453" i="3"/>
  <c r="Q453" i="3"/>
  <c r="P453" i="3"/>
  <c r="O453" i="3"/>
  <c r="M453" i="3"/>
  <c r="L453" i="3"/>
  <c r="N453" i="3" s="1"/>
  <c r="K453" i="3"/>
  <c r="J453" i="3"/>
  <c r="E453" i="3"/>
  <c r="D453" i="3"/>
  <c r="T452" i="3"/>
  <c r="S452" i="3"/>
  <c r="R452" i="3"/>
  <c r="Q452" i="3"/>
  <c r="P452" i="3"/>
  <c r="O452" i="3"/>
  <c r="M452" i="3"/>
  <c r="L452" i="3"/>
  <c r="N452" i="3" s="1"/>
  <c r="K452" i="3"/>
  <c r="J452" i="3"/>
  <c r="E452" i="3"/>
  <c r="D452" i="3"/>
  <c r="T451" i="3"/>
  <c r="S451" i="3"/>
  <c r="R451" i="3"/>
  <c r="Q451" i="3"/>
  <c r="P451" i="3"/>
  <c r="O451" i="3"/>
  <c r="M451" i="3"/>
  <c r="L451" i="3"/>
  <c r="N451" i="3" s="1"/>
  <c r="K451" i="3"/>
  <c r="J451" i="3"/>
  <c r="E451" i="3"/>
  <c r="D451" i="3"/>
  <c r="T450" i="3"/>
  <c r="S450" i="3"/>
  <c r="R450" i="3"/>
  <c r="Q450" i="3"/>
  <c r="P450" i="3"/>
  <c r="O450" i="3"/>
  <c r="M450" i="3"/>
  <c r="L450" i="3"/>
  <c r="N450" i="3" s="1"/>
  <c r="K450" i="3"/>
  <c r="J450" i="3"/>
  <c r="E450" i="3"/>
  <c r="D450" i="3"/>
  <c r="T449" i="3"/>
  <c r="S449" i="3"/>
  <c r="R449" i="3"/>
  <c r="Q449" i="3"/>
  <c r="P449" i="3"/>
  <c r="O449" i="3"/>
  <c r="M449" i="3"/>
  <c r="L449" i="3"/>
  <c r="N449" i="3" s="1"/>
  <c r="K449" i="3"/>
  <c r="J449" i="3"/>
  <c r="E449" i="3"/>
  <c r="D449" i="3"/>
  <c r="T448" i="3"/>
  <c r="S448" i="3"/>
  <c r="R448" i="3"/>
  <c r="Q448" i="3"/>
  <c r="P448" i="3"/>
  <c r="O448" i="3"/>
  <c r="M448" i="3"/>
  <c r="L448" i="3"/>
  <c r="N448" i="3" s="1"/>
  <c r="K448" i="3"/>
  <c r="J448" i="3"/>
  <c r="E448" i="3"/>
  <c r="D448" i="3"/>
  <c r="T447" i="3"/>
  <c r="S447" i="3"/>
  <c r="R447" i="3"/>
  <c r="Q447" i="3"/>
  <c r="P447" i="3"/>
  <c r="O447" i="3"/>
  <c r="M447" i="3"/>
  <c r="L447" i="3"/>
  <c r="N447" i="3" s="1"/>
  <c r="K447" i="3"/>
  <c r="J447" i="3"/>
  <c r="E447" i="3"/>
  <c r="D447" i="3"/>
  <c r="T446" i="3"/>
  <c r="S446" i="3"/>
  <c r="R446" i="3"/>
  <c r="Q446" i="3"/>
  <c r="P446" i="3"/>
  <c r="O446" i="3"/>
  <c r="M446" i="3"/>
  <c r="L446" i="3"/>
  <c r="N446" i="3" s="1"/>
  <c r="K446" i="3"/>
  <c r="J446" i="3"/>
  <c r="E446" i="3"/>
  <c r="D446" i="3"/>
  <c r="T445" i="3"/>
  <c r="S445" i="3"/>
  <c r="R445" i="3"/>
  <c r="Q445" i="3"/>
  <c r="P445" i="3"/>
  <c r="O445" i="3"/>
  <c r="M445" i="3"/>
  <c r="L445" i="3"/>
  <c r="N445" i="3" s="1"/>
  <c r="K445" i="3"/>
  <c r="J445" i="3"/>
  <c r="E445" i="3"/>
  <c r="D445" i="3"/>
  <c r="T444" i="3"/>
  <c r="S444" i="3"/>
  <c r="R444" i="3"/>
  <c r="Q444" i="3"/>
  <c r="P444" i="3"/>
  <c r="O444" i="3"/>
  <c r="M444" i="3"/>
  <c r="L444" i="3"/>
  <c r="N444" i="3" s="1"/>
  <c r="K444" i="3"/>
  <c r="J444" i="3"/>
  <c r="E444" i="3"/>
  <c r="D444" i="3"/>
  <c r="T443" i="3"/>
  <c r="S443" i="3"/>
  <c r="R443" i="3"/>
  <c r="Q443" i="3"/>
  <c r="P443" i="3"/>
  <c r="O443" i="3"/>
  <c r="M443" i="3"/>
  <c r="L443" i="3"/>
  <c r="N443" i="3" s="1"/>
  <c r="K443" i="3"/>
  <c r="J443" i="3"/>
  <c r="E443" i="3"/>
  <c r="D443" i="3"/>
  <c r="T442" i="3"/>
  <c r="S442" i="3"/>
  <c r="R442" i="3"/>
  <c r="Q442" i="3"/>
  <c r="P442" i="3"/>
  <c r="O442" i="3"/>
  <c r="M442" i="3"/>
  <c r="L442" i="3"/>
  <c r="N442" i="3" s="1"/>
  <c r="K442" i="3"/>
  <c r="J442" i="3"/>
  <c r="E442" i="3"/>
  <c r="D442" i="3"/>
  <c r="T441" i="3"/>
  <c r="S441" i="3"/>
  <c r="R441" i="3"/>
  <c r="Q441" i="3"/>
  <c r="P441" i="3"/>
  <c r="O441" i="3"/>
  <c r="M441" i="3"/>
  <c r="L441" i="3"/>
  <c r="N441" i="3" s="1"/>
  <c r="K441" i="3"/>
  <c r="J441" i="3"/>
  <c r="E441" i="3"/>
  <c r="D441" i="3"/>
  <c r="T440" i="3"/>
  <c r="S440" i="3"/>
  <c r="R440" i="3"/>
  <c r="Q440" i="3"/>
  <c r="P440" i="3"/>
  <c r="O440" i="3"/>
  <c r="M440" i="3"/>
  <c r="L440" i="3"/>
  <c r="N440" i="3" s="1"/>
  <c r="K440" i="3"/>
  <c r="J440" i="3"/>
  <c r="E440" i="3"/>
  <c r="D440" i="3"/>
  <c r="T439" i="3"/>
  <c r="S439" i="3"/>
  <c r="R439" i="3"/>
  <c r="Q439" i="3"/>
  <c r="P439" i="3"/>
  <c r="O439" i="3"/>
  <c r="M439" i="3"/>
  <c r="L439" i="3"/>
  <c r="N439" i="3" s="1"/>
  <c r="K439" i="3"/>
  <c r="J439" i="3"/>
  <c r="E439" i="3"/>
  <c r="D439" i="3"/>
  <c r="T438" i="3"/>
  <c r="S438" i="3"/>
  <c r="R438" i="3"/>
  <c r="Q438" i="3"/>
  <c r="P438" i="3"/>
  <c r="O438" i="3"/>
  <c r="M438" i="3"/>
  <c r="L438" i="3"/>
  <c r="N438" i="3" s="1"/>
  <c r="K438" i="3"/>
  <c r="J438" i="3"/>
  <c r="E438" i="3"/>
  <c r="D438" i="3"/>
  <c r="T437" i="3"/>
  <c r="S437" i="3"/>
  <c r="R437" i="3"/>
  <c r="Q437" i="3"/>
  <c r="P437" i="3"/>
  <c r="O437" i="3"/>
  <c r="M437" i="3"/>
  <c r="L437" i="3"/>
  <c r="N437" i="3" s="1"/>
  <c r="K437" i="3"/>
  <c r="J437" i="3"/>
  <c r="E437" i="3"/>
  <c r="D437" i="3"/>
  <c r="T436" i="3"/>
  <c r="S436" i="3"/>
  <c r="R436" i="3"/>
  <c r="Q436" i="3"/>
  <c r="P436" i="3"/>
  <c r="O436" i="3"/>
  <c r="M436" i="3"/>
  <c r="L436" i="3"/>
  <c r="N436" i="3" s="1"/>
  <c r="K436" i="3"/>
  <c r="J436" i="3"/>
  <c r="E436" i="3"/>
  <c r="D436" i="3"/>
  <c r="T435" i="3"/>
  <c r="S435" i="3"/>
  <c r="R435" i="3"/>
  <c r="Q435" i="3"/>
  <c r="P435" i="3"/>
  <c r="O435" i="3"/>
  <c r="M435" i="3"/>
  <c r="L435" i="3"/>
  <c r="N435" i="3" s="1"/>
  <c r="K435" i="3"/>
  <c r="J435" i="3"/>
  <c r="E435" i="3"/>
  <c r="D435" i="3"/>
  <c r="T434" i="3"/>
  <c r="S434" i="3"/>
  <c r="R434" i="3"/>
  <c r="Q434" i="3"/>
  <c r="P434" i="3"/>
  <c r="O434" i="3"/>
  <c r="M434" i="3"/>
  <c r="L434" i="3"/>
  <c r="N434" i="3" s="1"/>
  <c r="K434" i="3"/>
  <c r="J434" i="3"/>
  <c r="E434" i="3"/>
  <c r="D434" i="3"/>
  <c r="T433" i="3"/>
  <c r="S433" i="3"/>
  <c r="R433" i="3"/>
  <c r="Q433" i="3"/>
  <c r="P433" i="3"/>
  <c r="O433" i="3"/>
  <c r="M433" i="3"/>
  <c r="L433" i="3"/>
  <c r="N433" i="3" s="1"/>
  <c r="K433" i="3"/>
  <c r="J433" i="3"/>
  <c r="E433" i="3"/>
  <c r="D433" i="3"/>
  <c r="T432" i="3"/>
  <c r="S432" i="3"/>
  <c r="R432" i="3"/>
  <c r="Q432" i="3"/>
  <c r="P432" i="3"/>
  <c r="O432" i="3"/>
  <c r="M432" i="3"/>
  <c r="L432" i="3"/>
  <c r="N432" i="3" s="1"/>
  <c r="K432" i="3"/>
  <c r="J432" i="3"/>
  <c r="E432" i="3"/>
  <c r="D432" i="3"/>
  <c r="T431" i="3"/>
  <c r="S431" i="3"/>
  <c r="R431" i="3"/>
  <c r="Q431" i="3"/>
  <c r="P431" i="3"/>
  <c r="O431" i="3"/>
  <c r="M431" i="3"/>
  <c r="L431" i="3"/>
  <c r="N431" i="3" s="1"/>
  <c r="K431" i="3"/>
  <c r="J431" i="3"/>
  <c r="E431" i="3"/>
  <c r="D431" i="3"/>
  <c r="T430" i="3"/>
  <c r="S430" i="3"/>
  <c r="R430" i="3"/>
  <c r="Q430" i="3"/>
  <c r="P430" i="3"/>
  <c r="O430" i="3"/>
  <c r="M430" i="3"/>
  <c r="L430" i="3"/>
  <c r="N430" i="3" s="1"/>
  <c r="K430" i="3"/>
  <c r="J430" i="3"/>
  <c r="E430" i="3"/>
  <c r="D430" i="3"/>
  <c r="T429" i="3"/>
  <c r="S429" i="3"/>
  <c r="R429" i="3"/>
  <c r="Q429" i="3"/>
  <c r="P429" i="3"/>
  <c r="O429" i="3"/>
  <c r="M429" i="3"/>
  <c r="L429" i="3"/>
  <c r="N429" i="3" s="1"/>
  <c r="K429" i="3"/>
  <c r="J429" i="3"/>
  <c r="E429" i="3"/>
  <c r="D429" i="3"/>
  <c r="T428" i="3"/>
  <c r="S428" i="3"/>
  <c r="R428" i="3"/>
  <c r="Q428" i="3"/>
  <c r="P428" i="3"/>
  <c r="O428" i="3"/>
  <c r="M428" i="3"/>
  <c r="L428" i="3"/>
  <c r="N428" i="3" s="1"/>
  <c r="K428" i="3"/>
  <c r="J428" i="3"/>
  <c r="E428" i="3"/>
  <c r="D428" i="3"/>
  <c r="T427" i="3"/>
  <c r="S427" i="3"/>
  <c r="R427" i="3"/>
  <c r="Q427" i="3"/>
  <c r="P427" i="3"/>
  <c r="O427" i="3"/>
  <c r="M427" i="3"/>
  <c r="L427" i="3"/>
  <c r="N427" i="3" s="1"/>
  <c r="K427" i="3"/>
  <c r="J427" i="3"/>
  <c r="E427" i="3"/>
  <c r="D427" i="3"/>
  <c r="T426" i="3"/>
  <c r="S426" i="3"/>
  <c r="R426" i="3"/>
  <c r="Q426" i="3"/>
  <c r="P426" i="3"/>
  <c r="O426" i="3"/>
  <c r="M426" i="3"/>
  <c r="L426" i="3"/>
  <c r="N426" i="3" s="1"/>
  <c r="K426" i="3"/>
  <c r="J426" i="3"/>
  <c r="E426" i="3"/>
  <c r="D426" i="3"/>
  <c r="T425" i="3"/>
  <c r="S425" i="3"/>
  <c r="R425" i="3"/>
  <c r="Q425" i="3"/>
  <c r="P425" i="3"/>
  <c r="O425" i="3"/>
  <c r="M425" i="3"/>
  <c r="L425" i="3"/>
  <c r="N425" i="3" s="1"/>
  <c r="K425" i="3"/>
  <c r="J425" i="3"/>
  <c r="E425" i="3"/>
  <c r="D425" i="3"/>
  <c r="T424" i="3"/>
  <c r="S424" i="3"/>
  <c r="R424" i="3"/>
  <c r="Q424" i="3"/>
  <c r="P424" i="3"/>
  <c r="O424" i="3"/>
  <c r="M424" i="3"/>
  <c r="L424" i="3"/>
  <c r="N424" i="3" s="1"/>
  <c r="K424" i="3"/>
  <c r="J424" i="3"/>
  <c r="E424" i="3"/>
  <c r="D424" i="3"/>
  <c r="T423" i="3"/>
  <c r="S423" i="3"/>
  <c r="R423" i="3"/>
  <c r="Q423" i="3"/>
  <c r="P423" i="3"/>
  <c r="O423" i="3"/>
  <c r="M423" i="3"/>
  <c r="L423" i="3"/>
  <c r="N423" i="3" s="1"/>
  <c r="K423" i="3"/>
  <c r="J423" i="3"/>
  <c r="E423" i="3"/>
  <c r="D423" i="3"/>
  <c r="T422" i="3"/>
  <c r="S422" i="3"/>
  <c r="R422" i="3"/>
  <c r="Q422" i="3"/>
  <c r="P422" i="3"/>
  <c r="O422" i="3"/>
  <c r="M422" i="3"/>
  <c r="L422" i="3"/>
  <c r="N422" i="3" s="1"/>
  <c r="K422" i="3"/>
  <c r="J422" i="3"/>
  <c r="E422" i="3"/>
  <c r="D422" i="3"/>
  <c r="T421" i="3"/>
  <c r="S421" i="3"/>
  <c r="R421" i="3"/>
  <c r="Q421" i="3"/>
  <c r="P421" i="3"/>
  <c r="O421" i="3"/>
  <c r="M421" i="3"/>
  <c r="L421" i="3"/>
  <c r="N421" i="3" s="1"/>
  <c r="K421" i="3"/>
  <c r="J421" i="3"/>
  <c r="E421" i="3"/>
  <c r="D421" i="3"/>
  <c r="T420" i="3"/>
  <c r="S420" i="3"/>
  <c r="R420" i="3"/>
  <c r="Q420" i="3"/>
  <c r="P420" i="3"/>
  <c r="O420" i="3"/>
  <c r="M420" i="3"/>
  <c r="L420" i="3"/>
  <c r="N420" i="3" s="1"/>
  <c r="K420" i="3"/>
  <c r="J420" i="3"/>
  <c r="E420" i="3"/>
  <c r="D420" i="3"/>
  <c r="T419" i="3"/>
  <c r="S419" i="3"/>
  <c r="R419" i="3"/>
  <c r="Q419" i="3"/>
  <c r="P419" i="3"/>
  <c r="O419" i="3"/>
  <c r="M419" i="3"/>
  <c r="L419" i="3"/>
  <c r="N419" i="3" s="1"/>
  <c r="K419" i="3"/>
  <c r="J419" i="3"/>
  <c r="E419" i="3"/>
  <c r="D419" i="3"/>
  <c r="T418" i="3"/>
  <c r="S418" i="3"/>
  <c r="R418" i="3"/>
  <c r="Q418" i="3"/>
  <c r="P418" i="3"/>
  <c r="O418" i="3"/>
  <c r="M418" i="3"/>
  <c r="L418" i="3"/>
  <c r="N418" i="3" s="1"/>
  <c r="K418" i="3"/>
  <c r="J418" i="3"/>
  <c r="E418" i="3"/>
  <c r="D418" i="3"/>
  <c r="T417" i="3"/>
  <c r="S417" i="3"/>
  <c r="R417" i="3"/>
  <c r="Q417" i="3"/>
  <c r="P417" i="3"/>
  <c r="O417" i="3"/>
  <c r="M417" i="3"/>
  <c r="L417" i="3"/>
  <c r="N417" i="3" s="1"/>
  <c r="K417" i="3"/>
  <c r="J417" i="3"/>
  <c r="E417" i="3"/>
  <c r="D417" i="3"/>
  <c r="T416" i="3"/>
  <c r="S416" i="3"/>
  <c r="R416" i="3"/>
  <c r="Q416" i="3"/>
  <c r="P416" i="3"/>
  <c r="O416" i="3"/>
  <c r="M416" i="3"/>
  <c r="L416" i="3"/>
  <c r="N416" i="3" s="1"/>
  <c r="K416" i="3"/>
  <c r="J416" i="3"/>
  <c r="E416" i="3"/>
  <c r="D416" i="3"/>
  <c r="T415" i="3"/>
  <c r="S415" i="3"/>
  <c r="R415" i="3"/>
  <c r="Q415" i="3"/>
  <c r="P415" i="3"/>
  <c r="O415" i="3"/>
  <c r="M415" i="3"/>
  <c r="L415" i="3"/>
  <c r="N415" i="3" s="1"/>
  <c r="K415" i="3"/>
  <c r="J415" i="3"/>
  <c r="E415" i="3"/>
  <c r="D415" i="3"/>
  <c r="T414" i="3"/>
  <c r="S414" i="3"/>
  <c r="R414" i="3"/>
  <c r="Q414" i="3"/>
  <c r="P414" i="3"/>
  <c r="O414" i="3"/>
  <c r="M414" i="3"/>
  <c r="L414" i="3"/>
  <c r="N414" i="3" s="1"/>
  <c r="K414" i="3"/>
  <c r="J414" i="3"/>
  <c r="E414" i="3"/>
  <c r="D414" i="3"/>
  <c r="T413" i="3"/>
  <c r="S413" i="3"/>
  <c r="R413" i="3"/>
  <c r="Q413" i="3"/>
  <c r="P413" i="3"/>
  <c r="O413" i="3"/>
  <c r="M413" i="3"/>
  <c r="L413" i="3"/>
  <c r="N413" i="3" s="1"/>
  <c r="K413" i="3"/>
  <c r="J413" i="3"/>
  <c r="E413" i="3"/>
  <c r="D413" i="3"/>
  <c r="T412" i="3"/>
  <c r="S412" i="3"/>
  <c r="R412" i="3"/>
  <c r="Q412" i="3"/>
  <c r="P412" i="3"/>
  <c r="O412" i="3"/>
  <c r="M412" i="3"/>
  <c r="L412" i="3"/>
  <c r="N412" i="3" s="1"/>
  <c r="K412" i="3"/>
  <c r="J412" i="3"/>
  <c r="E412" i="3"/>
  <c r="D412" i="3"/>
  <c r="T411" i="3"/>
  <c r="S411" i="3"/>
  <c r="R411" i="3"/>
  <c r="Q411" i="3"/>
  <c r="P411" i="3"/>
  <c r="O411" i="3"/>
  <c r="M411" i="3"/>
  <c r="L411" i="3"/>
  <c r="N411" i="3" s="1"/>
  <c r="K411" i="3"/>
  <c r="J411" i="3"/>
  <c r="E411" i="3"/>
  <c r="D411" i="3"/>
  <c r="T410" i="3"/>
  <c r="S410" i="3"/>
  <c r="R410" i="3"/>
  <c r="Q410" i="3"/>
  <c r="P410" i="3"/>
  <c r="O410" i="3"/>
  <c r="M410" i="3"/>
  <c r="L410" i="3"/>
  <c r="N410" i="3" s="1"/>
  <c r="K410" i="3"/>
  <c r="J410" i="3"/>
  <c r="E410" i="3"/>
  <c r="D410" i="3"/>
  <c r="T409" i="3"/>
  <c r="S409" i="3"/>
  <c r="R409" i="3"/>
  <c r="Q409" i="3"/>
  <c r="P409" i="3"/>
  <c r="O409" i="3"/>
  <c r="M409" i="3"/>
  <c r="L409" i="3"/>
  <c r="N409" i="3" s="1"/>
  <c r="K409" i="3"/>
  <c r="J409" i="3"/>
  <c r="E409" i="3"/>
  <c r="D409" i="3"/>
  <c r="T408" i="3"/>
  <c r="S408" i="3"/>
  <c r="R408" i="3"/>
  <c r="Q408" i="3"/>
  <c r="P408" i="3"/>
  <c r="O408" i="3"/>
  <c r="M408" i="3"/>
  <c r="L408" i="3"/>
  <c r="N408" i="3" s="1"/>
  <c r="K408" i="3"/>
  <c r="J408" i="3"/>
  <c r="E408" i="3"/>
  <c r="D408" i="3"/>
  <c r="T407" i="3"/>
  <c r="S407" i="3"/>
  <c r="R407" i="3"/>
  <c r="Q407" i="3"/>
  <c r="P407" i="3"/>
  <c r="O407" i="3"/>
  <c r="M407" i="3"/>
  <c r="L407" i="3"/>
  <c r="N407" i="3" s="1"/>
  <c r="K407" i="3"/>
  <c r="J407" i="3"/>
  <c r="E407" i="3"/>
  <c r="D407" i="3"/>
  <c r="T406" i="3"/>
  <c r="S406" i="3"/>
  <c r="R406" i="3"/>
  <c r="Q406" i="3"/>
  <c r="P406" i="3"/>
  <c r="O406" i="3"/>
  <c r="M406" i="3"/>
  <c r="L406" i="3"/>
  <c r="N406" i="3" s="1"/>
  <c r="K406" i="3"/>
  <c r="J406" i="3"/>
  <c r="E406" i="3"/>
  <c r="D406" i="3"/>
  <c r="T405" i="3"/>
  <c r="S405" i="3"/>
  <c r="R405" i="3"/>
  <c r="Q405" i="3"/>
  <c r="P405" i="3"/>
  <c r="O405" i="3"/>
  <c r="M405" i="3"/>
  <c r="L405" i="3"/>
  <c r="N405" i="3" s="1"/>
  <c r="K405" i="3"/>
  <c r="J405" i="3"/>
  <c r="E405" i="3"/>
  <c r="D405" i="3"/>
  <c r="T404" i="3"/>
  <c r="S404" i="3"/>
  <c r="R404" i="3"/>
  <c r="Q404" i="3"/>
  <c r="P404" i="3"/>
  <c r="O404" i="3"/>
  <c r="M404" i="3"/>
  <c r="L404" i="3"/>
  <c r="N404" i="3" s="1"/>
  <c r="K404" i="3"/>
  <c r="J404" i="3"/>
  <c r="E404" i="3"/>
  <c r="D404" i="3"/>
  <c r="T403" i="3"/>
  <c r="S403" i="3"/>
  <c r="R403" i="3"/>
  <c r="Q403" i="3"/>
  <c r="P403" i="3"/>
  <c r="O403" i="3"/>
  <c r="M403" i="3"/>
  <c r="L403" i="3"/>
  <c r="N403" i="3" s="1"/>
  <c r="K403" i="3"/>
  <c r="J403" i="3"/>
  <c r="E403" i="3"/>
  <c r="D403" i="3"/>
  <c r="T402" i="3"/>
  <c r="S402" i="3"/>
  <c r="R402" i="3"/>
  <c r="Q402" i="3"/>
  <c r="P402" i="3"/>
  <c r="O402" i="3"/>
  <c r="M402" i="3"/>
  <c r="L402" i="3"/>
  <c r="N402" i="3" s="1"/>
  <c r="K402" i="3"/>
  <c r="J402" i="3"/>
  <c r="E402" i="3"/>
  <c r="D402" i="3"/>
  <c r="T401" i="3"/>
  <c r="S401" i="3"/>
  <c r="R401" i="3"/>
  <c r="Q401" i="3"/>
  <c r="P401" i="3"/>
  <c r="O401" i="3"/>
  <c r="M401" i="3"/>
  <c r="L401" i="3"/>
  <c r="N401" i="3" s="1"/>
  <c r="K401" i="3"/>
  <c r="J401" i="3"/>
  <c r="E401" i="3"/>
  <c r="D401" i="3"/>
  <c r="T400" i="3"/>
  <c r="S400" i="3"/>
  <c r="R400" i="3"/>
  <c r="Q400" i="3"/>
  <c r="P400" i="3"/>
  <c r="O400" i="3"/>
  <c r="M400" i="3"/>
  <c r="L400" i="3"/>
  <c r="N400" i="3" s="1"/>
  <c r="K400" i="3"/>
  <c r="J400" i="3"/>
  <c r="E400" i="3"/>
  <c r="D400" i="3"/>
  <c r="T399" i="3"/>
  <c r="S399" i="3"/>
  <c r="R399" i="3"/>
  <c r="Q399" i="3"/>
  <c r="P399" i="3"/>
  <c r="O399" i="3"/>
  <c r="M399" i="3"/>
  <c r="L399" i="3"/>
  <c r="N399" i="3" s="1"/>
  <c r="K399" i="3"/>
  <c r="J399" i="3"/>
  <c r="E399" i="3"/>
  <c r="D399" i="3"/>
  <c r="T398" i="3"/>
  <c r="S398" i="3"/>
  <c r="R398" i="3"/>
  <c r="Q398" i="3"/>
  <c r="P398" i="3"/>
  <c r="O398" i="3"/>
  <c r="M398" i="3"/>
  <c r="L398" i="3"/>
  <c r="N398" i="3" s="1"/>
  <c r="K398" i="3"/>
  <c r="J398" i="3"/>
  <c r="E398" i="3"/>
  <c r="D398" i="3"/>
  <c r="T397" i="3"/>
  <c r="S397" i="3"/>
  <c r="R397" i="3"/>
  <c r="Q397" i="3"/>
  <c r="P397" i="3"/>
  <c r="O397" i="3"/>
  <c r="M397" i="3"/>
  <c r="L397" i="3"/>
  <c r="N397" i="3" s="1"/>
  <c r="K397" i="3"/>
  <c r="J397" i="3"/>
  <c r="E397" i="3"/>
  <c r="D397" i="3"/>
  <c r="T396" i="3"/>
  <c r="S396" i="3"/>
  <c r="R396" i="3"/>
  <c r="Q396" i="3"/>
  <c r="P396" i="3"/>
  <c r="O396" i="3"/>
  <c r="M396" i="3"/>
  <c r="L396" i="3"/>
  <c r="N396" i="3" s="1"/>
  <c r="K396" i="3"/>
  <c r="J396" i="3"/>
  <c r="E396" i="3"/>
  <c r="D396" i="3"/>
  <c r="T395" i="3"/>
  <c r="S395" i="3"/>
  <c r="R395" i="3"/>
  <c r="Q395" i="3"/>
  <c r="P395" i="3"/>
  <c r="O395" i="3"/>
  <c r="M395" i="3"/>
  <c r="L395" i="3"/>
  <c r="N395" i="3" s="1"/>
  <c r="K395" i="3"/>
  <c r="J395" i="3"/>
  <c r="E395" i="3"/>
  <c r="D395" i="3"/>
  <c r="T394" i="3"/>
  <c r="S394" i="3"/>
  <c r="R394" i="3"/>
  <c r="Q394" i="3"/>
  <c r="P394" i="3"/>
  <c r="O394" i="3"/>
  <c r="M394" i="3"/>
  <c r="L394" i="3"/>
  <c r="N394" i="3" s="1"/>
  <c r="K394" i="3"/>
  <c r="J394" i="3"/>
  <c r="E394" i="3"/>
  <c r="D394" i="3"/>
  <c r="T393" i="3"/>
  <c r="S393" i="3"/>
  <c r="R393" i="3"/>
  <c r="Q393" i="3"/>
  <c r="P393" i="3"/>
  <c r="O393" i="3"/>
  <c r="M393" i="3"/>
  <c r="L393" i="3"/>
  <c r="N393" i="3" s="1"/>
  <c r="K393" i="3"/>
  <c r="J393" i="3"/>
  <c r="E393" i="3"/>
  <c r="D393" i="3"/>
  <c r="T392" i="3"/>
  <c r="S392" i="3"/>
  <c r="R392" i="3"/>
  <c r="Q392" i="3"/>
  <c r="P392" i="3"/>
  <c r="O392" i="3"/>
  <c r="M392" i="3"/>
  <c r="L392" i="3"/>
  <c r="N392" i="3" s="1"/>
  <c r="K392" i="3"/>
  <c r="J392" i="3"/>
  <c r="E392" i="3"/>
  <c r="D392" i="3"/>
  <c r="T391" i="3"/>
  <c r="S391" i="3"/>
  <c r="R391" i="3"/>
  <c r="Q391" i="3"/>
  <c r="P391" i="3"/>
  <c r="O391" i="3"/>
  <c r="M391" i="3"/>
  <c r="L391" i="3"/>
  <c r="N391" i="3" s="1"/>
  <c r="K391" i="3"/>
  <c r="J391" i="3"/>
  <c r="E391" i="3"/>
  <c r="D391" i="3"/>
  <c r="T390" i="3"/>
  <c r="S390" i="3"/>
  <c r="R390" i="3"/>
  <c r="Q390" i="3"/>
  <c r="P390" i="3"/>
  <c r="O390" i="3"/>
  <c r="M390" i="3"/>
  <c r="L390" i="3"/>
  <c r="N390" i="3" s="1"/>
  <c r="K390" i="3"/>
  <c r="J390" i="3"/>
  <c r="E390" i="3"/>
  <c r="D390" i="3"/>
  <c r="T389" i="3"/>
  <c r="S389" i="3"/>
  <c r="R389" i="3"/>
  <c r="Q389" i="3"/>
  <c r="P389" i="3"/>
  <c r="O389" i="3"/>
  <c r="M389" i="3"/>
  <c r="L389" i="3"/>
  <c r="N389" i="3" s="1"/>
  <c r="K389" i="3"/>
  <c r="J389" i="3"/>
  <c r="E389" i="3"/>
  <c r="D389" i="3"/>
  <c r="T388" i="3"/>
  <c r="S388" i="3"/>
  <c r="R388" i="3"/>
  <c r="Q388" i="3"/>
  <c r="P388" i="3"/>
  <c r="O388" i="3"/>
  <c r="M388" i="3"/>
  <c r="L388" i="3"/>
  <c r="N388" i="3" s="1"/>
  <c r="K388" i="3"/>
  <c r="J388" i="3"/>
  <c r="E388" i="3"/>
  <c r="D388" i="3"/>
  <c r="T387" i="3"/>
  <c r="S387" i="3"/>
  <c r="R387" i="3"/>
  <c r="Q387" i="3"/>
  <c r="P387" i="3"/>
  <c r="O387" i="3"/>
  <c r="M387" i="3"/>
  <c r="L387" i="3"/>
  <c r="N387" i="3" s="1"/>
  <c r="K387" i="3"/>
  <c r="J387" i="3"/>
  <c r="E387" i="3"/>
  <c r="D387" i="3"/>
  <c r="T386" i="3"/>
  <c r="S386" i="3"/>
  <c r="R386" i="3"/>
  <c r="Q386" i="3"/>
  <c r="P386" i="3"/>
  <c r="O386" i="3"/>
  <c r="M386" i="3"/>
  <c r="L386" i="3"/>
  <c r="N386" i="3" s="1"/>
  <c r="K386" i="3"/>
  <c r="J386" i="3"/>
  <c r="E386" i="3"/>
  <c r="D386" i="3"/>
  <c r="T385" i="3"/>
  <c r="S385" i="3"/>
  <c r="R385" i="3"/>
  <c r="Q385" i="3"/>
  <c r="P385" i="3"/>
  <c r="O385" i="3"/>
  <c r="M385" i="3"/>
  <c r="L385" i="3"/>
  <c r="N385" i="3" s="1"/>
  <c r="K385" i="3"/>
  <c r="J385" i="3"/>
  <c r="E385" i="3"/>
  <c r="D385" i="3"/>
  <c r="T384" i="3"/>
  <c r="S384" i="3"/>
  <c r="R384" i="3"/>
  <c r="Q384" i="3"/>
  <c r="P384" i="3"/>
  <c r="O384" i="3"/>
  <c r="M384" i="3"/>
  <c r="L384" i="3"/>
  <c r="N384" i="3" s="1"/>
  <c r="K384" i="3"/>
  <c r="J384" i="3"/>
  <c r="E384" i="3"/>
  <c r="D384" i="3"/>
  <c r="T383" i="3"/>
  <c r="S383" i="3"/>
  <c r="R383" i="3"/>
  <c r="Q383" i="3"/>
  <c r="P383" i="3"/>
  <c r="O383" i="3"/>
  <c r="M383" i="3"/>
  <c r="L383" i="3"/>
  <c r="N383" i="3" s="1"/>
  <c r="K383" i="3"/>
  <c r="J383" i="3"/>
  <c r="E383" i="3"/>
  <c r="D383" i="3"/>
  <c r="T382" i="3"/>
  <c r="S382" i="3"/>
  <c r="R382" i="3"/>
  <c r="Q382" i="3"/>
  <c r="P382" i="3"/>
  <c r="O382" i="3"/>
  <c r="M382" i="3"/>
  <c r="L382" i="3"/>
  <c r="N382" i="3" s="1"/>
  <c r="K382" i="3"/>
  <c r="J382" i="3"/>
  <c r="E382" i="3"/>
  <c r="D382" i="3"/>
  <c r="T381" i="3"/>
  <c r="S381" i="3"/>
  <c r="R381" i="3"/>
  <c r="Q381" i="3"/>
  <c r="P381" i="3"/>
  <c r="O381" i="3"/>
  <c r="M381" i="3"/>
  <c r="L381" i="3"/>
  <c r="N381" i="3" s="1"/>
  <c r="K381" i="3"/>
  <c r="J381" i="3"/>
  <c r="E381" i="3"/>
  <c r="D381" i="3"/>
  <c r="T380" i="3"/>
  <c r="S380" i="3"/>
  <c r="R380" i="3"/>
  <c r="Q380" i="3"/>
  <c r="P380" i="3"/>
  <c r="O380" i="3"/>
  <c r="M380" i="3"/>
  <c r="L380" i="3"/>
  <c r="N380" i="3" s="1"/>
  <c r="K380" i="3"/>
  <c r="J380" i="3"/>
  <c r="E380" i="3"/>
  <c r="D380" i="3"/>
  <c r="T379" i="3"/>
  <c r="S379" i="3"/>
  <c r="R379" i="3"/>
  <c r="Q379" i="3"/>
  <c r="P379" i="3"/>
  <c r="O379" i="3"/>
  <c r="M379" i="3"/>
  <c r="L379" i="3"/>
  <c r="N379" i="3" s="1"/>
  <c r="K379" i="3"/>
  <c r="J379" i="3"/>
  <c r="E379" i="3"/>
  <c r="D379" i="3"/>
  <c r="T378" i="3"/>
  <c r="S378" i="3"/>
  <c r="R378" i="3"/>
  <c r="Q378" i="3"/>
  <c r="P378" i="3"/>
  <c r="O378" i="3"/>
  <c r="M378" i="3"/>
  <c r="L378" i="3"/>
  <c r="N378" i="3" s="1"/>
  <c r="K378" i="3"/>
  <c r="J378" i="3"/>
  <c r="E378" i="3"/>
  <c r="D378" i="3"/>
  <c r="T377" i="3"/>
  <c r="S377" i="3"/>
  <c r="R377" i="3"/>
  <c r="Q377" i="3"/>
  <c r="P377" i="3"/>
  <c r="O377" i="3"/>
  <c r="M377" i="3"/>
  <c r="L377" i="3"/>
  <c r="N377" i="3" s="1"/>
  <c r="K377" i="3"/>
  <c r="J377" i="3"/>
  <c r="E377" i="3"/>
  <c r="D377" i="3"/>
  <c r="T376" i="3"/>
  <c r="S376" i="3"/>
  <c r="R376" i="3"/>
  <c r="Q376" i="3"/>
  <c r="P376" i="3"/>
  <c r="O376" i="3"/>
  <c r="M376" i="3"/>
  <c r="L376" i="3"/>
  <c r="N376" i="3" s="1"/>
  <c r="K376" i="3"/>
  <c r="J376" i="3"/>
  <c r="E376" i="3"/>
  <c r="D376" i="3"/>
  <c r="T375" i="3"/>
  <c r="S375" i="3"/>
  <c r="R375" i="3"/>
  <c r="Q375" i="3"/>
  <c r="P375" i="3"/>
  <c r="O375" i="3"/>
  <c r="M375" i="3"/>
  <c r="L375" i="3"/>
  <c r="N375" i="3" s="1"/>
  <c r="K375" i="3"/>
  <c r="J375" i="3"/>
  <c r="E375" i="3"/>
  <c r="D375" i="3"/>
  <c r="T374" i="3"/>
  <c r="S374" i="3"/>
  <c r="R374" i="3"/>
  <c r="Q374" i="3"/>
  <c r="P374" i="3"/>
  <c r="O374" i="3"/>
  <c r="M374" i="3"/>
  <c r="L374" i="3"/>
  <c r="N374" i="3" s="1"/>
  <c r="K374" i="3"/>
  <c r="J374" i="3"/>
  <c r="E374" i="3"/>
  <c r="D374" i="3"/>
  <c r="T373" i="3"/>
  <c r="S373" i="3"/>
  <c r="R373" i="3"/>
  <c r="Q373" i="3"/>
  <c r="P373" i="3"/>
  <c r="O373" i="3"/>
  <c r="M373" i="3"/>
  <c r="L373" i="3"/>
  <c r="N373" i="3" s="1"/>
  <c r="K373" i="3"/>
  <c r="J373" i="3"/>
  <c r="E373" i="3"/>
  <c r="D373" i="3"/>
  <c r="T372" i="3"/>
  <c r="S372" i="3"/>
  <c r="R372" i="3"/>
  <c r="Q372" i="3"/>
  <c r="P372" i="3"/>
  <c r="O372" i="3"/>
  <c r="M372" i="3"/>
  <c r="L372" i="3"/>
  <c r="N372" i="3" s="1"/>
  <c r="K372" i="3"/>
  <c r="J372" i="3"/>
  <c r="E372" i="3"/>
  <c r="D372" i="3"/>
  <c r="T371" i="3"/>
  <c r="S371" i="3"/>
  <c r="R371" i="3"/>
  <c r="Q371" i="3"/>
  <c r="P371" i="3"/>
  <c r="O371" i="3"/>
  <c r="M371" i="3"/>
  <c r="L371" i="3"/>
  <c r="N371" i="3" s="1"/>
  <c r="K371" i="3"/>
  <c r="J371" i="3"/>
  <c r="E371" i="3"/>
  <c r="D371" i="3"/>
  <c r="T370" i="3"/>
  <c r="S370" i="3"/>
  <c r="R370" i="3"/>
  <c r="Q370" i="3"/>
  <c r="P370" i="3"/>
  <c r="O370" i="3"/>
  <c r="M370" i="3"/>
  <c r="L370" i="3"/>
  <c r="N370" i="3" s="1"/>
  <c r="K370" i="3"/>
  <c r="J370" i="3"/>
  <c r="E370" i="3"/>
  <c r="D370" i="3"/>
  <c r="T369" i="3"/>
  <c r="S369" i="3"/>
  <c r="R369" i="3"/>
  <c r="Q369" i="3"/>
  <c r="P369" i="3"/>
  <c r="O369" i="3"/>
  <c r="M369" i="3"/>
  <c r="L369" i="3"/>
  <c r="N369" i="3" s="1"/>
  <c r="K369" i="3"/>
  <c r="J369" i="3"/>
  <c r="E369" i="3"/>
  <c r="D369" i="3"/>
  <c r="T368" i="3"/>
  <c r="S368" i="3"/>
  <c r="R368" i="3"/>
  <c r="Q368" i="3"/>
  <c r="P368" i="3"/>
  <c r="O368" i="3"/>
  <c r="M368" i="3"/>
  <c r="L368" i="3"/>
  <c r="N368" i="3" s="1"/>
  <c r="K368" i="3"/>
  <c r="J368" i="3"/>
  <c r="E368" i="3"/>
  <c r="D368" i="3"/>
  <c r="T367" i="3"/>
  <c r="S367" i="3"/>
  <c r="R367" i="3"/>
  <c r="Q367" i="3"/>
  <c r="P367" i="3"/>
  <c r="O367" i="3"/>
  <c r="M367" i="3"/>
  <c r="L367" i="3"/>
  <c r="N367" i="3" s="1"/>
  <c r="K367" i="3"/>
  <c r="J367" i="3"/>
  <c r="E367" i="3"/>
  <c r="D367" i="3"/>
  <c r="T366" i="3"/>
  <c r="S366" i="3"/>
  <c r="R366" i="3"/>
  <c r="Q366" i="3"/>
  <c r="P366" i="3"/>
  <c r="O366" i="3"/>
  <c r="M366" i="3"/>
  <c r="L366" i="3"/>
  <c r="N366" i="3" s="1"/>
  <c r="K366" i="3"/>
  <c r="J366" i="3"/>
  <c r="E366" i="3"/>
  <c r="D366" i="3"/>
  <c r="T365" i="3"/>
  <c r="S365" i="3"/>
  <c r="R365" i="3"/>
  <c r="Q365" i="3"/>
  <c r="P365" i="3"/>
  <c r="O365" i="3"/>
  <c r="M365" i="3"/>
  <c r="L365" i="3"/>
  <c r="N365" i="3" s="1"/>
  <c r="K365" i="3"/>
  <c r="J365" i="3"/>
  <c r="E365" i="3"/>
  <c r="D365" i="3"/>
  <c r="T364" i="3"/>
  <c r="S364" i="3"/>
  <c r="R364" i="3"/>
  <c r="Q364" i="3"/>
  <c r="P364" i="3"/>
  <c r="O364" i="3"/>
  <c r="M364" i="3"/>
  <c r="L364" i="3"/>
  <c r="N364" i="3" s="1"/>
  <c r="K364" i="3"/>
  <c r="J364" i="3"/>
  <c r="E364" i="3"/>
  <c r="D364" i="3"/>
  <c r="T363" i="3"/>
  <c r="S363" i="3"/>
  <c r="R363" i="3"/>
  <c r="Q363" i="3"/>
  <c r="P363" i="3"/>
  <c r="O363" i="3"/>
  <c r="M363" i="3"/>
  <c r="L363" i="3"/>
  <c r="N363" i="3" s="1"/>
  <c r="K363" i="3"/>
  <c r="J363" i="3"/>
  <c r="E363" i="3"/>
  <c r="D363" i="3"/>
  <c r="T362" i="3"/>
  <c r="S362" i="3"/>
  <c r="R362" i="3"/>
  <c r="Q362" i="3"/>
  <c r="P362" i="3"/>
  <c r="O362" i="3"/>
  <c r="M362" i="3"/>
  <c r="L362" i="3"/>
  <c r="N362" i="3" s="1"/>
  <c r="K362" i="3"/>
  <c r="J362" i="3"/>
  <c r="E362" i="3"/>
  <c r="D362" i="3"/>
  <c r="T361" i="3"/>
  <c r="S361" i="3"/>
  <c r="R361" i="3"/>
  <c r="Q361" i="3"/>
  <c r="P361" i="3"/>
  <c r="O361" i="3"/>
  <c r="M361" i="3"/>
  <c r="L361" i="3"/>
  <c r="N361" i="3" s="1"/>
  <c r="K361" i="3"/>
  <c r="J361" i="3"/>
  <c r="E361" i="3"/>
  <c r="D361" i="3"/>
  <c r="T360" i="3"/>
  <c r="S360" i="3"/>
  <c r="R360" i="3"/>
  <c r="Q360" i="3"/>
  <c r="P360" i="3"/>
  <c r="O360" i="3"/>
  <c r="M360" i="3"/>
  <c r="L360" i="3"/>
  <c r="N360" i="3" s="1"/>
  <c r="K360" i="3"/>
  <c r="J360" i="3"/>
  <c r="E360" i="3"/>
  <c r="D360" i="3"/>
  <c r="T359" i="3"/>
  <c r="S359" i="3"/>
  <c r="R359" i="3"/>
  <c r="Q359" i="3"/>
  <c r="P359" i="3"/>
  <c r="O359" i="3"/>
  <c r="M359" i="3"/>
  <c r="L359" i="3"/>
  <c r="N359" i="3" s="1"/>
  <c r="K359" i="3"/>
  <c r="J359" i="3"/>
  <c r="E359" i="3"/>
  <c r="D359" i="3"/>
  <c r="T358" i="3"/>
  <c r="S358" i="3"/>
  <c r="R358" i="3"/>
  <c r="Q358" i="3"/>
  <c r="P358" i="3"/>
  <c r="O358" i="3"/>
  <c r="M358" i="3"/>
  <c r="L358" i="3"/>
  <c r="N358" i="3" s="1"/>
  <c r="K358" i="3"/>
  <c r="J358" i="3"/>
  <c r="E358" i="3"/>
  <c r="D358" i="3"/>
  <c r="T357" i="3"/>
  <c r="S357" i="3"/>
  <c r="R357" i="3"/>
  <c r="Q357" i="3"/>
  <c r="P357" i="3"/>
  <c r="O357" i="3"/>
  <c r="M357" i="3"/>
  <c r="L357" i="3"/>
  <c r="N357" i="3" s="1"/>
  <c r="K357" i="3"/>
  <c r="J357" i="3"/>
  <c r="E357" i="3"/>
  <c r="D357" i="3"/>
  <c r="T356" i="3"/>
  <c r="S356" i="3"/>
  <c r="R356" i="3"/>
  <c r="Q356" i="3"/>
  <c r="P356" i="3"/>
  <c r="O356" i="3"/>
  <c r="M356" i="3"/>
  <c r="L356" i="3"/>
  <c r="N356" i="3" s="1"/>
  <c r="K356" i="3"/>
  <c r="J356" i="3"/>
  <c r="E356" i="3"/>
  <c r="D356" i="3"/>
  <c r="T355" i="3"/>
  <c r="S355" i="3"/>
  <c r="R355" i="3"/>
  <c r="Q355" i="3"/>
  <c r="P355" i="3"/>
  <c r="O355" i="3"/>
  <c r="M355" i="3"/>
  <c r="L355" i="3"/>
  <c r="N355" i="3" s="1"/>
  <c r="K355" i="3"/>
  <c r="J355" i="3"/>
  <c r="E355" i="3"/>
  <c r="D355" i="3"/>
  <c r="T354" i="3"/>
  <c r="S354" i="3"/>
  <c r="R354" i="3"/>
  <c r="Q354" i="3"/>
  <c r="P354" i="3"/>
  <c r="O354" i="3"/>
  <c r="M354" i="3"/>
  <c r="L354" i="3"/>
  <c r="N354" i="3" s="1"/>
  <c r="K354" i="3"/>
  <c r="J354" i="3"/>
  <c r="E354" i="3"/>
  <c r="D354" i="3"/>
  <c r="T353" i="3"/>
  <c r="S353" i="3"/>
  <c r="R353" i="3"/>
  <c r="Q353" i="3"/>
  <c r="P353" i="3"/>
  <c r="O353" i="3"/>
  <c r="M353" i="3"/>
  <c r="L353" i="3"/>
  <c r="N353" i="3" s="1"/>
  <c r="K353" i="3"/>
  <c r="J353" i="3"/>
  <c r="E353" i="3"/>
  <c r="D353" i="3"/>
  <c r="T352" i="3"/>
  <c r="S352" i="3"/>
  <c r="R352" i="3"/>
  <c r="Q352" i="3"/>
  <c r="P352" i="3"/>
  <c r="O352" i="3"/>
  <c r="M352" i="3"/>
  <c r="L352" i="3"/>
  <c r="N352" i="3" s="1"/>
  <c r="K352" i="3"/>
  <c r="J352" i="3"/>
  <c r="E352" i="3"/>
  <c r="D352" i="3"/>
  <c r="T351" i="3"/>
  <c r="S351" i="3"/>
  <c r="R351" i="3"/>
  <c r="Q351" i="3"/>
  <c r="P351" i="3"/>
  <c r="O351" i="3"/>
  <c r="M351" i="3"/>
  <c r="L351" i="3"/>
  <c r="N351" i="3" s="1"/>
  <c r="K351" i="3"/>
  <c r="J351" i="3"/>
  <c r="E351" i="3"/>
  <c r="D351" i="3"/>
  <c r="T350" i="3"/>
  <c r="S350" i="3"/>
  <c r="R350" i="3"/>
  <c r="Q350" i="3"/>
  <c r="P350" i="3"/>
  <c r="O350" i="3"/>
  <c r="M350" i="3"/>
  <c r="L350" i="3"/>
  <c r="N350" i="3" s="1"/>
  <c r="K350" i="3"/>
  <c r="J350" i="3"/>
  <c r="E350" i="3"/>
  <c r="D350" i="3"/>
  <c r="T349" i="3"/>
  <c r="S349" i="3"/>
  <c r="R349" i="3"/>
  <c r="Q349" i="3"/>
  <c r="P349" i="3"/>
  <c r="O349" i="3"/>
  <c r="M349" i="3"/>
  <c r="L349" i="3"/>
  <c r="N349" i="3" s="1"/>
  <c r="K349" i="3"/>
  <c r="J349" i="3"/>
  <c r="E349" i="3"/>
  <c r="D349" i="3"/>
  <c r="T348" i="3"/>
  <c r="S348" i="3"/>
  <c r="R348" i="3"/>
  <c r="Q348" i="3"/>
  <c r="P348" i="3"/>
  <c r="O348" i="3"/>
  <c r="M348" i="3"/>
  <c r="L348" i="3"/>
  <c r="N348" i="3" s="1"/>
  <c r="K348" i="3"/>
  <c r="J348" i="3"/>
  <c r="E348" i="3"/>
  <c r="D348" i="3"/>
  <c r="T347" i="3"/>
  <c r="S347" i="3"/>
  <c r="R347" i="3"/>
  <c r="Q347" i="3"/>
  <c r="P347" i="3"/>
  <c r="O347" i="3"/>
  <c r="M347" i="3"/>
  <c r="L347" i="3"/>
  <c r="N347" i="3" s="1"/>
  <c r="K347" i="3"/>
  <c r="J347" i="3"/>
  <c r="E347" i="3"/>
  <c r="D347" i="3"/>
  <c r="T346" i="3"/>
  <c r="S346" i="3"/>
  <c r="R346" i="3"/>
  <c r="Q346" i="3"/>
  <c r="P346" i="3"/>
  <c r="O346" i="3"/>
  <c r="M346" i="3"/>
  <c r="L346" i="3"/>
  <c r="N346" i="3" s="1"/>
  <c r="K346" i="3"/>
  <c r="J346" i="3"/>
  <c r="E346" i="3"/>
  <c r="D346" i="3"/>
  <c r="T345" i="3"/>
  <c r="S345" i="3"/>
  <c r="R345" i="3"/>
  <c r="Q345" i="3"/>
  <c r="P345" i="3"/>
  <c r="O345" i="3"/>
  <c r="M345" i="3"/>
  <c r="L345" i="3"/>
  <c r="N345" i="3" s="1"/>
  <c r="K345" i="3"/>
  <c r="J345" i="3"/>
  <c r="E345" i="3"/>
  <c r="D345" i="3"/>
  <c r="T344" i="3"/>
  <c r="S344" i="3"/>
  <c r="R344" i="3"/>
  <c r="Q344" i="3"/>
  <c r="P344" i="3"/>
  <c r="O344" i="3"/>
  <c r="M344" i="3"/>
  <c r="L344" i="3"/>
  <c r="N344" i="3" s="1"/>
  <c r="K344" i="3"/>
  <c r="J344" i="3"/>
  <c r="E344" i="3"/>
  <c r="D344" i="3"/>
  <c r="T343" i="3"/>
  <c r="S343" i="3"/>
  <c r="R343" i="3"/>
  <c r="Q343" i="3"/>
  <c r="P343" i="3"/>
  <c r="O343" i="3"/>
  <c r="M343" i="3"/>
  <c r="L343" i="3"/>
  <c r="N343" i="3" s="1"/>
  <c r="K343" i="3"/>
  <c r="J343" i="3"/>
  <c r="E343" i="3"/>
  <c r="D343" i="3"/>
  <c r="T342" i="3"/>
  <c r="S342" i="3"/>
  <c r="R342" i="3"/>
  <c r="Q342" i="3"/>
  <c r="P342" i="3"/>
  <c r="O342" i="3"/>
  <c r="M342" i="3"/>
  <c r="L342" i="3"/>
  <c r="N342" i="3" s="1"/>
  <c r="K342" i="3"/>
  <c r="J342" i="3"/>
  <c r="E342" i="3"/>
  <c r="D342" i="3"/>
  <c r="T341" i="3"/>
  <c r="S341" i="3"/>
  <c r="R341" i="3"/>
  <c r="Q341" i="3"/>
  <c r="P341" i="3"/>
  <c r="O341" i="3"/>
  <c r="M341" i="3"/>
  <c r="L341" i="3"/>
  <c r="N341" i="3" s="1"/>
  <c r="K341" i="3"/>
  <c r="J341" i="3"/>
  <c r="E341" i="3"/>
  <c r="D341" i="3"/>
  <c r="T340" i="3"/>
  <c r="S340" i="3"/>
  <c r="R340" i="3"/>
  <c r="Q340" i="3"/>
  <c r="P340" i="3"/>
  <c r="O340" i="3"/>
  <c r="M340" i="3"/>
  <c r="L340" i="3"/>
  <c r="N340" i="3" s="1"/>
  <c r="K340" i="3"/>
  <c r="J340" i="3"/>
  <c r="E340" i="3"/>
  <c r="D340" i="3"/>
  <c r="T339" i="3"/>
  <c r="S339" i="3"/>
  <c r="R339" i="3"/>
  <c r="Q339" i="3"/>
  <c r="P339" i="3"/>
  <c r="O339" i="3"/>
  <c r="M339" i="3"/>
  <c r="L339" i="3"/>
  <c r="N339" i="3" s="1"/>
  <c r="K339" i="3"/>
  <c r="J339" i="3"/>
  <c r="E339" i="3"/>
  <c r="D339" i="3"/>
  <c r="T338" i="3"/>
  <c r="S338" i="3"/>
  <c r="R338" i="3"/>
  <c r="Q338" i="3"/>
  <c r="P338" i="3"/>
  <c r="O338" i="3"/>
  <c r="M338" i="3"/>
  <c r="L338" i="3"/>
  <c r="N338" i="3" s="1"/>
  <c r="K338" i="3"/>
  <c r="J338" i="3"/>
  <c r="E338" i="3"/>
  <c r="D338" i="3"/>
  <c r="T337" i="3"/>
  <c r="S337" i="3"/>
  <c r="R337" i="3"/>
  <c r="Q337" i="3"/>
  <c r="P337" i="3"/>
  <c r="O337" i="3"/>
  <c r="M337" i="3"/>
  <c r="L337" i="3"/>
  <c r="N337" i="3" s="1"/>
  <c r="K337" i="3"/>
  <c r="J337" i="3"/>
  <c r="E337" i="3"/>
  <c r="D337" i="3"/>
  <c r="T336" i="3"/>
  <c r="S336" i="3"/>
  <c r="R336" i="3"/>
  <c r="Q336" i="3"/>
  <c r="P336" i="3"/>
  <c r="O336" i="3"/>
  <c r="M336" i="3"/>
  <c r="L336" i="3"/>
  <c r="N336" i="3" s="1"/>
  <c r="K336" i="3"/>
  <c r="J336" i="3"/>
  <c r="E336" i="3"/>
  <c r="D336" i="3"/>
  <c r="T335" i="3"/>
  <c r="S335" i="3"/>
  <c r="R335" i="3"/>
  <c r="Q335" i="3"/>
  <c r="P335" i="3"/>
  <c r="O335" i="3"/>
  <c r="M335" i="3"/>
  <c r="L335" i="3"/>
  <c r="N335" i="3" s="1"/>
  <c r="K335" i="3"/>
  <c r="J335" i="3"/>
  <c r="E335" i="3"/>
  <c r="D335" i="3"/>
  <c r="T334" i="3"/>
  <c r="S334" i="3"/>
  <c r="R334" i="3"/>
  <c r="Q334" i="3"/>
  <c r="P334" i="3"/>
  <c r="O334" i="3"/>
  <c r="M334" i="3"/>
  <c r="L334" i="3"/>
  <c r="N334" i="3" s="1"/>
  <c r="K334" i="3"/>
  <c r="J334" i="3"/>
  <c r="E334" i="3"/>
  <c r="D334" i="3"/>
  <c r="T333" i="3"/>
  <c r="S333" i="3"/>
  <c r="R333" i="3"/>
  <c r="Q333" i="3"/>
  <c r="P333" i="3"/>
  <c r="O333" i="3"/>
  <c r="M333" i="3"/>
  <c r="L333" i="3"/>
  <c r="N333" i="3" s="1"/>
  <c r="K333" i="3"/>
  <c r="J333" i="3"/>
  <c r="E333" i="3"/>
  <c r="D333" i="3"/>
  <c r="T332" i="3"/>
  <c r="S332" i="3"/>
  <c r="R332" i="3"/>
  <c r="Q332" i="3"/>
  <c r="P332" i="3"/>
  <c r="O332" i="3"/>
  <c r="M332" i="3"/>
  <c r="L332" i="3"/>
  <c r="N332" i="3" s="1"/>
  <c r="K332" i="3"/>
  <c r="J332" i="3"/>
  <c r="E332" i="3"/>
  <c r="D332" i="3"/>
  <c r="T331" i="3"/>
  <c r="S331" i="3"/>
  <c r="R331" i="3"/>
  <c r="Q331" i="3"/>
  <c r="P331" i="3"/>
  <c r="O331" i="3"/>
  <c r="M331" i="3"/>
  <c r="L331" i="3"/>
  <c r="N331" i="3" s="1"/>
  <c r="K331" i="3"/>
  <c r="J331" i="3"/>
  <c r="E331" i="3"/>
  <c r="D331" i="3"/>
  <c r="T330" i="3"/>
  <c r="S330" i="3"/>
  <c r="R330" i="3"/>
  <c r="Q330" i="3"/>
  <c r="P330" i="3"/>
  <c r="O330" i="3"/>
  <c r="M330" i="3"/>
  <c r="L330" i="3"/>
  <c r="N330" i="3" s="1"/>
  <c r="K330" i="3"/>
  <c r="J330" i="3"/>
  <c r="E330" i="3"/>
  <c r="D330" i="3"/>
  <c r="T329" i="3"/>
  <c r="S329" i="3"/>
  <c r="R329" i="3"/>
  <c r="Q329" i="3"/>
  <c r="P329" i="3"/>
  <c r="O329" i="3"/>
  <c r="M329" i="3"/>
  <c r="L329" i="3"/>
  <c r="N329" i="3" s="1"/>
  <c r="K329" i="3"/>
  <c r="J329" i="3"/>
  <c r="E329" i="3"/>
  <c r="D329" i="3"/>
  <c r="T328" i="3"/>
  <c r="S328" i="3"/>
  <c r="R328" i="3"/>
  <c r="Q328" i="3"/>
  <c r="P328" i="3"/>
  <c r="O328" i="3"/>
  <c r="M328" i="3"/>
  <c r="L328" i="3"/>
  <c r="N328" i="3" s="1"/>
  <c r="K328" i="3"/>
  <c r="J328" i="3"/>
  <c r="E328" i="3"/>
  <c r="D328" i="3"/>
  <c r="T327" i="3"/>
  <c r="S327" i="3"/>
  <c r="R327" i="3"/>
  <c r="Q327" i="3"/>
  <c r="P327" i="3"/>
  <c r="O327" i="3"/>
  <c r="M327" i="3"/>
  <c r="L327" i="3"/>
  <c r="N327" i="3" s="1"/>
  <c r="K327" i="3"/>
  <c r="J327" i="3"/>
  <c r="E327" i="3"/>
  <c r="D327" i="3"/>
  <c r="T326" i="3"/>
  <c r="S326" i="3"/>
  <c r="R326" i="3"/>
  <c r="Q326" i="3"/>
  <c r="P326" i="3"/>
  <c r="O326" i="3"/>
  <c r="M326" i="3"/>
  <c r="L326" i="3"/>
  <c r="N326" i="3" s="1"/>
  <c r="K326" i="3"/>
  <c r="J326" i="3"/>
  <c r="E326" i="3"/>
  <c r="D326" i="3"/>
  <c r="T325" i="3"/>
  <c r="S325" i="3"/>
  <c r="R325" i="3"/>
  <c r="Q325" i="3"/>
  <c r="P325" i="3"/>
  <c r="O325" i="3"/>
  <c r="M325" i="3"/>
  <c r="L325" i="3"/>
  <c r="N325" i="3" s="1"/>
  <c r="K325" i="3"/>
  <c r="J325" i="3"/>
  <c r="E325" i="3"/>
  <c r="D325" i="3"/>
  <c r="T324" i="3"/>
  <c r="S324" i="3"/>
  <c r="R324" i="3"/>
  <c r="Q324" i="3"/>
  <c r="P324" i="3"/>
  <c r="O324" i="3"/>
  <c r="M324" i="3"/>
  <c r="L324" i="3"/>
  <c r="N324" i="3" s="1"/>
  <c r="K324" i="3"/>
  <c r="J324" i="3"/>
  <c r="E324" i="3"/>
  <c r="D324" i="3"/>
  <c r="T323" i="3"/>
  <c r="S323" i="3"/>
  <c r="R323" i="3"/>
  <c r="Q323" i="3"/>
  <c r="P323" i="3"/>
  <c r="O323" i="3"/>
  <c r="M323" i="3"/>
  <c r="L323" i="3"/>
  <c r="N323" i="3" s="1"/>
  <c r="K323" i="3"/>
  <c r="J323" i="3"/>
  <c r="E323" i="3"/>
  <c r="D323" i="3"/>
  <c r="T322" i="3"/>
  <c r="S322" i="3"/>
  <c r="R322" i="3"/>
  <c r="Q322" i="3"/>
  <c r="P322" i="3"/>
  <c r="O322" i="3"/>
  <c r="M322" i="3"/>
  <c r="L322" i="3"/>
  <c r="N322" i="3" s="1"/>
  <c r="K322" i="3"/>
  <c r="J322" i="3"/>
  <c r="E322" i="3"/>
  <c r="D322" i="3"/>
  <c r="T321" i="3"/>
  <c r="S321" i="3"/>
  <c r="R321" i="3"/>
  <c r="Q321" i="3"/>
  <c r="P321" i="3"/>
  <c r="O321" i="3"/>
  <c r="M321" i="3"/>
  <c r="L321" i="3"/>
  <c r="N321" i="3" s="1"/>
  <c r="K321" i="3"/>
  <c r="J321" i="3"/>
  <c r="E321" i="3"/>
  <c r="D321" i="3"/>
  <c r="T320" i="3"/>
  <c r="S320" i="3"/>
  <c r="R320" i="3"/>
  <c r="Q320" i="3"/>
  <c r="P320" i="3"/>
  <c r="O320" i="3"/>
  <c r="M320" i="3"/>
  <c r="L320" i="3"/>
  <c r="N320" i="3" s="1"/>
  <c r="K320" i="3"/>
  <c r="J320" i="3"/>
  <c r="E320" i="3"/>
  <c r="D320" i="3"/>
  <c r="T319" i="3"/>
  <c r="S319" i="3"/>
  <c r="R319" i="3"/>
  <c r="Q319" i="3"/>
  <c r="P319" i="3"/>
  <c r="O319" i="3"/>
  <c r="M319" i="3"/>
  <c r="L319" i="3"/>
  <c r="N319" i="3" s="1"/>
  <c r="K319" i="3"/>
  <c r="J319" i="3"/>
  <c r="E319" i="3"/>
  <c r="D319" i="3"/>
  <c r="T318" i="3"/>
  <c r="S318" i="3"/>
  <c r="R318" i="3"/>
  <c r="Q318" i="3"/>
  <c r="P318" i="3"/>
  <c r="O318" i="3"/>
  <c r="M318" i="3"/>
  <c r="L318" i="3"/>
  <c r="N318" i="3" s="1"/>
  <c r="K318" i="3"/>
  <c r="J318" i="3"/>
  <c r="E318" i="3"/>
  <c r="D318" i="3"/>
  <c r="T317" i="3"/>
  <c r="S317" i="3"/>
  <c r="R317" i="3"/>
  <c r="Q317" i="3"/>
  <c r="P317" i="3"/>
  <c r="O317" i="3"/>
  <c r="M317" i="3"/>
  <c r="L317" i="3"/>
  <c r="N317" i="3" s="1"/>
  <c r="K317" i="3"/>
  <c r="J317" i="3"/>
  <c r="E317" i="3"/>
  <c r="D317" i="3"/>
  <c r="T316" i="3"/>
  <c r="S316" i="3"/>
  <c r="R316" i="3"/>
  <c r="Q316" i="3"/>
  <c r="P316" i="3"/>
  <c r="O316" i="3"/>
  <c r="M316" i="3"/>
  <c r="L316" i="3"/>
  <c r="N316" i="3" s="1"/>
  <c r="K316" i="3"/>
  <c r="J316" i="3"/>
  <c r="E316" i="3"/>
  <c r="D316" i="3"/>
  <c r="T315" i="3"/>
  <c r="S315" i="3"/>
  <c r="R315" i="3"/>
  <c r="Q315" i="3"/>
  <c r="P315" i="3"/>
  <c r="O315" i="3"/>
  <c r="M315" i="3"/>
  <c r="L315" i="3"/>
  <c r="N315" i="3" s="1"/>
  <c r="K315" i="3"/>
  <c r="J315" i="3"/>
  <c r="E315" i="3"/>
  <c r="D315" i="3"/>
  <c r="T314" i="3"/>
  <c r="S314" i="3"/>
  <c r="R314" i="3"/>
  <c r="Q314" i="3"/>
  <c r="P314" i="3"/>
  <c r="O314" i="3"/>
  <c r="M314" i="3"/>
  <c r="L314" i="3"/>
  <c r="N314" i="3" s="1"/>
  <c r="K314" i="3"/>
  <c r="J314" i="3"/>
  <c r="E314" i="3"/>
  <c r="D314" i="3"/>
  <c r="T313" i="3"/>
  <c r="S313" i="3"/>
  <c r="R313" i="3"/>
  <c r="Q313" i="3"/>
  <c r="P313" i="3"/>
  <c r="O313" i="3"/>
  <c r="M313" i="3"/>
  <c r="L313" i="3"/>
  <c r="N313" i="3" s="1"/>
  <c r="K313" i="3"/>
  <c r="J313" i="3"/>
  <c r="E313" i="3"/>
  <c r="D313" i="3"/>
  <c r="T312" i="3"/>
  <c r="S312" i="3"/>
  <c r="R312" i="3"/>
  <c r="Q312" i="3"/>
  <c r="P312" i="3"/>
  <c r="O312" i="3"/>
  <c r="M312" i="3"/>
  <c r="L312" i="3"/>
  <c r="N312" i="3" s="1"/>
  <c r="K312" i="3"/>
  <c r="J312" i="3"/>
  <c r="E312" i="3"/>
  <c r="D312" i="3"/>
  <c r="T311" i="3"/>
  <c r="S311" i="3"/>
  <c r="R311" i="3"/>
  <c r="Q311" i="3"/>
  <c r="P311" i="3"/>
  <c r="O311" i="3"/>
  <c r="M311" i="3"/>
  <c r="L311" i="3"/>
  <c r="N311" i="3" s="1"/>
  <c r="K311" i="3"/>
  <c r="J311" i="3"/>
  <c r="E311" i="3"/>
  <c r="D311" i="3"/>
  <c r="T310" i="3"/>
  <c r="S310" i="3"/>
  <c r="R310" i="3"/>
  <c r="Q310" i="3"/>
  <c r="P310" i="3"/>
  <c r="O310" i="3"/>
  <c r="M310" i="3"/>
  <c r="L310" i="3"/>
  <c r="N310" i="3" s="1"/>
  <c r="K310" i="3"/>
  <c r="J310" i="3"/>
  <c r="E310" i="3"/>
  <c r="D310" i="3"/>
  <c r="T309" i="3"/>
  <c r="S309" i="3"/>
  <c r="R309" i="3"/>
  <c r="Q309" i="3"/>
  <c r="P309" i="3"/>
  <c r="O309" i="3"/>
  <c r="M309" i="3"/>
  <c r="L309" i="3"/>
  <c r="N309" i="3" s="1"/>
  <c r="K309" i="3"/>
  <c r="J309" i="3"/>
  <c r="E309" i="3"/>
  <c r="D309" i="3"/>
  <c r="T308" i="3"/>
  <c r="S308" i="3"/>
  <c r="R308" i="3"/>
  <c r="Q308" i="3"/>
  <c r="P308" i="3"/>
  <c r="O308" i="3"/>
  <c r="M308" i="3"/>
  <c r="L308" i="3"/>
  <c r="N308" i="3" s="1"/>
  <c r="K308" i="3"/>
  <c r="J308" i="3"/>
  <c r="E308" i="3"/>
  <c r="D308" i="3"/>
  <c r="T307" i="3"/>
  <c r="S307" i="3"/>
  <c r="R307" i="3"/>
  <c r="Q307" i="3"/>
  <c r="P307" i="3"/>
  <c r="O307" i="3"/>
  <c r="M307" i="3"/>
  <c r="L307" i="3"/>
  <c r="N307" i="3" s="1"/>
  <c r="K307" i="3"/>
  <c r="J307" i="3"/>
  <c r="E307" i="3"/>
  <c r="D307" i="3"/>
  <c r="T306" i="3"/>
  <c r="S306" i="3"/>
  <c r="R306" i="3"/>
  <c r="Q306" i="3"/>
  <c r="P306" i="3"/>
  <c r="O306" i="3"/>
  <c r="M306" i="3"/>
  <c r="L306" i="3"/>
  <c r="N306" i="3" s="1"/>
  <c r="K306" i="3"/>
  <c r="J306" i="3"/>
  <c r="E306" i="3"/>
  <c r="D306" i="3"/>
  <c r="T305" i="3"/>
  <c r="S305" i="3"/>
  <c r="R305" i="3"/>
  <c r="Q305" i="3"/>
  <c r="P305" i="3"/>
  <c r="O305" i="3"/>
  <c r="M305" i="3"/>
  <c r="L305" i="3"/>
  <c r="N305" i="3" s="1"/>
  <c r="K305" i="3"/>
  <c r="J305" i="3"/>
  <c r="E305" i="3"/>
  <c r="D305" i="3"/>
  <c r="T304" i="3"/>
  <c r="S304" i="3"/>
  <c r="R304" i="3"/>
  <c r="Q304" i="3"/>
  <c r="P304" i="3"/>
  <c r="O304" i="3"/>
  <c r="M304" i="3"/>
  <c r="L304" i="3"/>
  <c r="N304" i="3" s="1"/>
  <c r="K304" i="3"/>
  <c r="J304" i="3"/>
  <c r="E304" i="3"/>
  <c r="D304" i="3"/>
  <c r="T303" i="3"/>
  <c r="S303" i="3"/>
  <c r="R303" i="3"/>
  <c r="Q303" i="3"/>
  <c r="P303" i="3"/>
  <c r="O303" i="3"/>
  <c r="M303" i="3"/>
  <c r="L303" i="3"/>
  <c r="N303" i="3" s="1"/>
  <c r="K303" i="3"/>
  <c r="J303" i="3"/>
  <c r="E303" i="3"/>
  <c r="D303" i="3"/>
  <c r="T302" i="3"/>
  <c r="S302" i="3"/>
  <c r="R302" i="3"/>
  <c r="Q302" i="3"/>
  <c r="P302" i="3"/>
  <c r="O302" i="3"/>
  <c r="M302" i="3"/>
  <c r="L302" i="3"/>
  <c r="N302" i="3" s="1"/>
  <c r="K302" i="3"/>
  <c r="J302" i="3"/>
  <c r="E302" i="3"/>
  <c r="D302" i="3"/>
  <c r="T301" i="3"/>
  <c r="S301" i="3"/>
  <c r="R301" i="3"/>
  <c r="Q301" i="3"/>
  <c r="P301" i="3"/>
  <c r="O301" i="3"/>
  <c r="M301" i="3"/>
  <c r="L301" i="3"/>
  <c r="N301" i="3" s="1"/>
  <c r="K301" i="3"/>
  <c r="J301" i="3"/>
  <c r="E301" i="3"/>
  <c r="D301" i="3"/>
  <c r="T300" i="3"/>
  <c r="S300" i="3"/>
  <c r="R300" i="3"/>
  <c r="Q300" i="3"/>
  <c r="P300" i="3"/>
  <c r="O300" i="3"/>
  <c r="M300" i="3"/>
  <c r="L300" i="3"/>
  <c r="N300" i="3" s="1"/>
  <c r="K300" i="3"/>
  <c r="J300" i="3"/>
  <c r="E300" i="3"/>
  <c r="D300" i="3"/>
  <c r="T299" i="3"/>
  <c r="S299" i="3"/>
  <c r="R299" i="3"/>
  <c r="Q299" i="3"/>
  <c r="P299" i="3"/>
  <c r="O299" i="3"/>
  <c r="M299" i="3"/>
  <c r="L299" i="3"/>
  <c r="N299" i="3" s="1"/>
  <c r="K299" i="3"/>
  <c r="J299" i="3"/>
  <c r="E299" i="3"/>
  <c r="D299" i="3"/>
  <c r="T298" i="3"/>
  <c r="S298" i="3"/>
  <c r="R298" i="3"/>
  <c r="Q298" i="3"/>
  <c r="P298" i="3"/>
  <c r="O298" i="3"/>
  <c r="M298" i="3"/>
  <c r="L298" i="3"/>
  <c r="N298" i="3" s="1"/>
  <c r="K298" i="3"/>
  <c r="J298" i="3"/>
  <c r="E298" i="3"/>
  <c r="D298" i="3"/>
  <c r="T297" i="3"/>
  <c r="S297" i="3"/>
  <c r="R297" i="3"/>
  <c r="Q297" i="3"/>
  <c r="P297" i="3"/>
  <c r="O297" i="3"/>
  <c r="M297" i="3"/>
  <c r="L297" i="3"/>
  <c r="N297" i="3" s="1"/>
  <c r="K297" i="3"/>
  <c r="J297" i="3"/>
  <c r="E297" i="3"/>
  <c r="D297" i="3"/>
  <c r="T296" i="3"/>
  <c r="S296" i="3"/>
  <c r="R296" i="3"/>
  <c r="Q296" i="3"/>
  <c r="P296" i="3"/>
  <c r="O296" i="3"/>
  <c r="M296" i="3"/>
  <c r="L296" i="3"/>
  <c r="N296" i="3" s="1"/>
  <c r="K296" i="3"/>
  <c r="J296" i="3"/>
  <c r="E296" i="3"/>
  <c r="D296" i="3"/>
  <c r="T295" i="3"/>
  <c r="S295" i="3"/>
  <c r="R295" i="3"/>
  <c r="Q295" i="3"/>
  <c r="P295" i="3"/>
  <c r="O295" i="3"/>
  <c r="M295" i="3"/>
  <c r="L295" i="3"/>
  <c r="N295" i="3" s="1"/>
  <c r="K295" i="3"/>
  <c r="J295" i="3"/>
  <c r="E295" i="3"/>
  <c r="D295" i="3"/>
  <c r="T294" i="3"/>
  <c r="S294" i="3"/>
  <c r="R294" i="3"/>
  <c r="Q294" i="3"/>
  <c r="P294" i="3"/>
  <c r="O294" i="3"/>
  <c r="M294" i="3"/>
  <c r="L294" i="3"/>
  <c r="N294" i="3" s="1"/>
  <c r="K294" i="3"/>
  <c r="J294" i="3"/>
  <c r="E294" i="3"/>
  <c r="D294" i="3"/>
  <c r="T293" i="3"/>
  <c r="S293" i="3"/>
  <c r="R293" i="3"/>
  <c r="Q293" i="3"/>
  <c r="P293" i="3"/>
  <c r="O293" i="3"/>
  <c r="M293" i="3"/>
  <c r="L293" i="3"/>
  <c r="N293" i="3" s="1"/>
  <c r="K293" i="3"/>
  <c r="J293" i="3"/>
  <c r="E293" i="3"/>
  <c r="D293" i="3"/>
  <c r="T292" i="3"/>
  <c r="S292" i="3"/>
  <c r="R292" i="3"/>
  <c r="Q292" i="3"/>
  <c r="P292" i="3"/>
  <c r="O292" i="3"/>
  <c r="M292" i="3"/>
  <c r="L292" i="3"/>
  <c r="N292" i="3" s="1"/>
  <c r="K292" i="3"/>
  <c r="J292" i="3"/>
  <c r="E292" i="3"/>
  <c r="D292" i="3"/>
  <c r="T291" i="3"/>
  <c r="S291" i="3"/>
  <c r="R291" i="3"/>
  <c r="Q291" i="3"/>
  <c r="P291" i="3"/>
  <c r="O291" i="3"/>
  <c r="M291" i="3"/>
  <c r="L291" i="3"/>
  <c r="N291" i="3" s="1"/>
  <c r="K291" i="3"/>
  <c r="J291" i="3"/>
  <c r="E291" i="3"/>
  <c r="D291" i="3"/>
  <c r="T290" i="3"/>
  <c r="S290" i="3"/>
  <c r="R290" i="3"/>
  <c r="Q290" i="3"/>
  <c r="P290" i="3"/>
  <c r="O290" i="3"/>
  <c r="M290" i="3"/>
  <c r="L290" i="3"/>
  <c r="N290" i="3" s="1"/>
  <c r="K290" i="3"/>
  <c r="J290" i="3"/>
  <c r="E290" i="3"/>
  <c r="D290" i="3"/>
  <c r="T289" i="3"/>
  <c r="S289" i="3"/>
  <c r="R289" i="3"/>
  <c r="Q289" i="3"/>
  <c r="P289" i="3"/>
  <c r="O289" i="3"/>
  <c r="M289" i="3"/>
  <c r="L289" i="3"/>
  <c r="N289" i="3" s="1"/>
  <c r="K289" i="3"/>
  <c r="J289" i="3"/>
  <c r="E289" i="3"/>
  <c r="D289" i="3"/>
  <c r="T288" i="3"/>
  <c r="S288" i="3"/>
  <c r="R288" i="3"/>
  <c r="Q288" i="3"/>
  <c r="P288" i="3"/>
  <c r="O288" i="3"/>
  <c r="M288" i="3"/>
  <c r="L288" i="3"/>
  <c r="N288" i="3" s="1"/>
  <c r="K288" i="3"/>
  <c r="J288" i="3"/>
  <c r="E288" i="3"/>
  <c r="D288" i="3"/>
  <c r="T287" i="3"/>
  <c r="S287" i="3"/>
  <c r="R287" i="3"/>
  <c r="Q287" i="3"/>
  <c r="P287" i="3"/>
  <c r="O287" i="3"/>
  <c r="M287" i="3"/>
  <c r="L287" i="3"/>
  <c r="N287" i="3" s="1"/>
  <c r="K287" i="3"/>
  <c r="J287" i="3"/>
  <c r="E287" i="3"/>
  <c r="D287" i="3"/>
  <c r="T286" i="3"/>
  <c r="S286" i="3"/>
  <c r="R286" i="3"/>
  <c r="Q286" i="3"/>
  <c r="P286" i="3"/>
  <c r="O286" i="3"/>
  <c r="M286" i="3"/>
  <c r="L286" i="3"/>
  <c r="N286" i="3" s="1"/>
  <c r="K286" i="3"/>
  <c r="J286" i="3"/>
  <c r="E286" i="3"/>
  <c r="D286" i="3"/>
  <c r="T285" i="3"/>
  <c r="S285" i="3"/>
  <c r="R285" i="3"/>
  <c r="Q285" i="3"/>
  <c r="P285" i="3"/>
  <c r="O285" i="3"/>
  <c r="M285" i="3"/>
  <c r="L285" i="3"/>
  <c r="N285" i="3" s="1"/>
  <c r="K285" i="3"/>
  <c r="J285" i="3"/>
  <c r="E285" i="3"/>
  <c r="D285" i="3"/>
  <c r="T284" i="3"/>
  <c r="S284" i="3"/>
  <c r="R284" i="3"/>
  <c r="Q284" i="3"/>
  <c r="P284" i="3"/>
  <c r="O284" i="3"/>
  <c r="M284" i="3"/>
  <c r="L284" i="3"/>
  <c r="N284" i="3" s="1"/>
  <c r="K284" i="3"/>
  <c r="J284" i="3"/>
  <c r="E284" i="3"/>
  <c r="D284" i="3"/>
  <c r="T283" i="3"/>
  <c r="S283" i="3"/>
  <c r="R283" i="3"/>
  <c r="Q283" i="3"/>
  <c r="P283" i="3"/>
  <c r="O283" i="3"/>
  <c r="M283" i="3"/>
  <c r="L283" i="3"/>
  <c r="N283" i="3" s="1"/>
  <c r="K283" i="3"/>
  <c r="J283" i="3"/>
  <c r="E283" i="3"/>
  <c r="D283" i="3"/>
  <c r="T282" i="3"/>
  <c r="S282" i="3"/>
  <c r="R282" i="3"/>
  <c r="Q282" i="3"/>
  <c r="P282" i="3"/>
  <c r="O282" i="3"/>
  <c r="M282" i="3"/>
  <c r="L282" i="3"/>
  <c r="N282" i="3" s="1"/>
  <c r="K282" i="3"/>
  <c r="J282" i="3"/>
  <c r="E282" i="3"/>
  <c r="D282" i="3"/>
  <c r="T281" i="3"/>
  <c r="S281" i="3"/>
  <c r="R281" i="3"/>
  <c r="Q281" i="3"/>
  <c r="P281" i="3"/>
  <c r="O281" i="3"/>
  <c r="M281" i="3"/>
  <c r="L281" i="3"/>
  <c r="N281" i="3" s="1"/>
  <c r="K281" i="3"/>
  <c r="J281" i="3"/>
  <c r="E281" i="3"/>
  <c r="D281" i="3"/>
  <c r="T280" i="3"/>
  <c r="S280" i="3"/>
  <c r="R280" i="3"/>
  <c r="Q280" i="3"/>
  <c r="P280" i="3"/>
  <c r="O280" i="3"/>
  <c r="M280" i="3"/>
  <c r="L280" i="3"/>
  <c r="N280" i="3" s="1"/>
  <c r="K280" i="3"/>
  <c r="J280" i="3"/>
  <c r="E280" i="3"/>
  <c r="D280" i="3"/>
  <c r="T279" i="3"/>
  <c r="S279" i="3"/>
  <c r="R279" i="3"/>
  <c r="Q279" i="3"/>
  <c r="P279" i="3"/>
  <c r="O279" i="3"/>
  <c r="M279" i="3"/>
  <c r="L279" i="3"/>
  <c r="N279" i="3" s="1"/>
  <c r="K279" i="3"/>
  <c r="J279" i="3"/>
  <c r="E279" i="3"/>
  <c r="D279" i="3"/>
  <c r="T278" i="3"/>
  <c r="S278" i="3"/>
  <c r="R278" i="3"/>
  <c r="Q278" i="3"/>
  <c r="P278" i="3"/>
  <c r="O278" i="3"/>
  <c r="M278" i="3"/>
  <c r="L278" i="3"/>
  <c r="N278" i="3" s="1"/>
  <c r="K278" i="3"/>
  <c r="J278" i="3"/>
  <c r="E278" i="3"/>
  <c r="D278" i="3"/>
  <c r="T277" i="3"/>
  <c r="S277" i="3"/>
  <c r="R277" i="3"/>
  <c r="Q277" i="3"/>
  <c r="P277" i="3"/>
  <c r="O277" i="3"/>
  <c r="M277" i="3"/>
  <c r="L277" i="3"/>
  <c r="N277" i="3" s="1"/>
  <c r="K277" i="3"/>
  <c r="J277" i="3"/>
  <c r="E277" i="3"/>
  <c r="D277" i="3"/>
  <c r="T276" i="3"/>
  <c r="S276" i="3"/>
  <c r="R276" i="3"/>
  <c r="Q276" i="3"/>
  <c r="P276" i="3"/>
  <c r="O276" i="3"/>
  <c r="M276" i="3"/>
  <c r="L276" i="3"/>
  <c r="N276" i="3" s="1"/>
  <c r="K276" i="3"/>
  <c r="J276" i="3"/>
  <c r="E276" i="3"/>
  <c r="D276" i="3"/>
  <c r="T275" i="3"/>
  <c r="S275" i="3"/>
  <c r="R275" i="3"/>
  <c r="Q275" i="3"/>
  <c r="P275" i="3"/>
  <c r="O275" i="3"/>
  <c r="M275" i="3"/>
  <c r="L275" i="3"/>
  <c r="N275" i="3" s="1"/>
  <c r="K275" i="3"/>
  <c r="J275" i="3"/>
  <c r="E275" i="3"/>
  <c r="D275" i="3"/>
  <c r="T274" i="3"/>
  <c r="S274" i="3"/>
  <c r="R274" i="3"/>
  <c r="Q274" i="3"/>
  <c r="P274" i="3"/>
  <c r="O274" i="3"/>
  <c r="M274" i="3"/>
  <c r="L274" i="3"/>
  <c r="N274" i="3" s="1"/>
  <c r="K274" i="3"/>
  <c r="J274" i="3"/>
  <c r="E274" i="3"/>
  <c r="D274" i="3"/>
  <c r="T273" i="3"/>
  <c r="S273" i="3"/>
  <c r="R273" i="3"/>
  <c r="Q273" i="3"/>
  <c r="P273" i="3"/>
  <c r="O273" i="3"/>
  <c r="M273" i="3"/>
  <c r="L273" i="3"/>
  <c r="N273" i="3" s="1"/>
  <c r="K273" i="3"/>
  <c r="J273" i="3"/>
  <c r="E273" i="3"/>
  <c r="D273" i="3"/>
  <c r="T272" i="3"/>
  <c r="S272" i="3"/>
  <c r="R272" i="3"/>
  <c r="Q272" i="3"/>
  <c r="P272" i="3"/>
  <c r="O272" i="3"/>
  <c r="M272" i="3"/>
  <c r="L272" i="3"/>
  <c r="N272" i="3" s="1"/>
  <c r="K272" i="3"/>
  <c r="J272" i="3"/>
  <c r="E272" i="3"/>
  <c r="D272" i="3"/>
  <c r="T271" i="3"/>
  <c r="S271" i="3"/>
  <c r="R271" i="3"/>
  <c r="Q271" i="3"/>
  <c r="P271" i="3"/>
  <c r="O271" i="3"/>
  <c r="M271" i="3"/>
  <c r="L271" i="3"/>
  <c r="N271" i="3" s="1"/>
  <c r="K271" i="3"/>
  <c r="J271" i="3"/>
  <c r="E271" i="3"/>
  <c r="D271" i="3"/>
  <c r="T270" i="3"/>
  <c r="S270" i="3"/>
  <c r="R270" i="3"/>
  <c r="Q270" i="3"/>
  <c r="P270" i="3"/>
  <c r="O270" i="3"/>
  <c r="M270" i="3"/>
  <c r="L270" i="3"/>
  <c r="N270" i="3" s="1"/>
  <c r="K270" i="3"/>
  <c r="J270" i="3"/>
  <c r="E270" i="3"/>
  <c r="D270" i="3"/>
  <c r="T269" i="3"/>
  <c r="S269" i="3"/>
  <c r="R269" i="3"/>
  <c r="Q269" i="3"/>
  <c r="P269" i="3"/>
  <c r="O269" i="3"/>
  <c r="M269" i="3"/>
  <c r="L269" i="3"/>
  <c r="N269" i="3" s="1"/>
  <c r="K269" i="3"/>
  <c r="J269" i="3"/>
  <c r="E269" i="3"/>
  <c r="D269" i="3"/>
  <c r="T268" i="3"/>
  <c r="S268" i="3"/>
  <c r="R268" i="3"/>
  <c r="Q268" i="3"/>
  <c r="P268" i="3"/>
  <c r="O268" i="3"/>
  <c r="M268" i="3"/>
  <c r="L268" i="3"/>
  <c r="N268" i="3" s="1"/>
  <c r="K268" i="3"/>
  <c r="J268" i="3"/>
  <c r="E268" i="3"/>
  <c r="D268" i="3"/>
  <c r="T267" i="3"/>
  <c r="S267" i="3"/>
  <c r="R267" i="3"/>
  <c r="Q267" i="3"/>
  <c r="P267" i="3"/>
  <c r="O267" i="3"/>
  <c r="M267" i="3"/>
  <c r="L267" i="3"/>
  <c r="N267" i="3" s="1"/>
  <c r="K267" i="3"/>
  <c r="J267" i="3"/>
  <c r="E267" i="3"/>
  <c r="D267" i="3"/>
  <c r="T266" i="3"/>
  <c r="S266" i="3"/>
  <c r="R266" i="3"/>
  <c r="Q266" i="3"/>
  <c r="P266" i="3"/>
  <c r="O266" i="3"/>
  <c r="M266" i="3"/>
  <c r="L266" i="3"/>
  <c r="N266" i="3" s="1"/>
  <c r="K266" i="3"/>
  <c r="J266" i="3"/>
  <c r="E266" i="3"/>
  <c r="D266" i="3"/>
  <c r="T265" i="3"/>
  <c r="S265" i="3"/>
  <c r="R265" i="3"/>
  <c r="Q265" i="3"/>
  <c r="P265" i="3"/>
  <c r="O265" i="3"/>
  <c r="M265" i="3"/>
  <c r="L265" i="3"/>
  <c r="N265" i="3" s="1"/>
  <c r="K265" i="3"/>
  <c r="J265" i="3"/>
  <c r="E265" i="3"/>
  <c r="D265" i="3"/>
  <c r="T264" i="3"/>
  <c r="S264" i="3"/>
  <c r="R264" i="3"/>
  <c r="Q264" i="3"/>
  <c r="P264" i="3"/>
  <c r="O264" i="3"/>
  <c r="M264" i="3"/>
  <c r="L264" i="3"/>
  <c r="N264" i="3" s="1"/>
  <c r="K264" i="3"/>
  <c r="J264" i="3"/>
  <c r="E264" i="3"/>
  <c r="D264" i="3"/>
  <c r="T263" i="3"/>
  <c r="S263" i="3"/>
  <c r="R263" i="3"/>
  <c r="Q263" i="3"/>
  <c r="P263" i="3"/>
  <c r="O263" i="3"/>
  <c r="M263" i="3"/>
  <c r="L263" i="3"/>
  <c r="N263" i="3" s="1"/>
  <c r="K263" i="3"/>
  <c r="J263" i="3"/>
  <c r="E263" i="3"/>
  <c r="D263" i="3"/>
  <c r="T262" i="3"/>
  <c r="S262" i="3"/>
  <c r="R262" i="3"/>
  <c r="Q262" i="3"/>
  <c r="P262" i="3"/>
  <c r="O262" i="3"/>
  <c r="M262" i="3"/>
  <c r="L262" i="3"/>
  <c r="N262" i="3" s="1"/>
  <c r="K262" i="3"/>
  <c r="J262" i="3"/>
  <c r="E262" i="3"/>
  <c r="D262" i="3"/>
  <c r="T261" i="3"/>
  <c r="S261" i="3"/>
  <c r="R261" i="3"/>
  <c r="Q261" i="3"/>
  <c r="P261" i="3"/>
  <c r="O261" i="3"/>
  <c r="M261" i="3"/>
  <c r="L261" i="3"/>
  <c r="N261" i="3" s="1"/>
  <c r="K261" i="3"/>
  <c r="J261" i="3"/>
  <c r="E261" i="3"/>
  <c r="D261" i="3"/>
  <c r="T260" i="3"/>
  <c r="S260" i="3"/>
  <c r="R260" i="3"/>
  <c r="Q260" i="3"/>
  <c r="P260" i="3"/>
  <c r="O260" i="3"/>
  <c r="M260" i="3"/>
  <c r="L260" i="3"/>
  <c r="N260" i="3" s="1"/>
  <c r="K260" i="3"/>
  <c r="J260" i="3"/>
  <c r="E260" i="3"/>
  <c r="D260" i="3"/>
  <c r="T259" i="3"/>
  <c r="S259" i="3"/>
  <c r="R259" i="3"/>
  <c r="Q259" i="3"/>
  <c r="P259" i="3"/>
  <c r="O259" i="3"/>
  <c r="M259" i="3"/>
  <c r="L259" i="3"/>
  <c r="N259" i="3" s="1"/>
  <c r="K259" i="3"/>
  <c r="J259" i="3"/>
  <c r="E259" i="3"/>
  <c r="D259" i="3"/>
  <c r="T258" i="3"/>
  <c r="S258" i="3"/>
  <c r="R258" i="3"/>
  <c r="Q258" i="3"/>
  <c r="P258" i="3"/>
  <c r="O258" i="3"/>
  <c r="M258" i="3"/>
  <c r="L258" i="3"/>
  <c r="N258" i="3" s="1"/>
  <c r="K258" i="3"/>
  <c r="J258" i="3"/>
  <c r="E258" i="3"/>
  <c r="D258" i="3"/>
  <c r="T257" i="3"/>
  <c r="S257" i="3"/>
  <c r="R257" i="3"/>
  <c r="Q257" i="3"/>
  <c r="P257" i="3"/>
  <c r="O257" i="3"/>
  <c r="M257" i="3"/>
  <c r="L257" i="3"/>
  <c r="N257" i="3" s="1"/>
  <c r="K257" i="3"/>
  <c r="J257" i="3"/>
  <c r="E257" i="3"/>
  <c r="D257" i="3"/>
  <c r="T256" i="3"/>
  <c r="S256" i="3"/>
  <c r="R256" i="3"/>
  <c r="Q256" i="3"/>
  <c r="P256" i="3"/>
  <c r="O256" i="3"/>
  <c r="M256" i="3"/>
  <c r="L256" i="3"/>
  <c r="N256" i="3" s="1"/>
  <c r="K256" i="3"/>
  <c r="J256" i="3"/>
  <c r="E256" i="3"/>
  <c r="D256" i="3"/>
  <c r="T255" i="3"/>
  <c r="S255" i="3"/>
  <c r="R255" i="3"/>
  <c r="Q255" i="3"/>
  <c r="P255" i="3"/>
  <c r="O255" i="3"/>
  <c r="M255" i="3"/>
  <c r="L255" i="3"/>
  <c r="N255" i="3" s="1"/>
  <c r="K255" i="3"/>
  <c r="J255" i="3"/>
  <c r="E255" i="3"/>
  <c r="D255" i="3"/>
  <c r="T254" i="3"/>
  <c r="S254" i="3"/>
  <c r="R254" i="3"/>
  <c r="Q254" i="3"/>
  <c r="P254" i="3"/>
  <c r="O254" i="3"/>
  <c r="M254" i="3"/>
  <c r="L254" i="3"/>
  <c r="N254" i="3" s="1"/>
  <c r="K254" i="3"/>
  <c r="J254" i="3"/>
  <c r="E254" i="3"/>
  <c r="D254" i="3"/>
  <c r="T253" i="3"/>
  <c r="S253" i="3"/>
  <c r="R253" i="3"/>
  <c r="Q253" i="3"/>
  <c r="P253" i="3"/>
  <c r="O253" i="3"/>
  <c r="M253" i="3"/>
  <c r="L253" i="3"/>
  <c r="N253" i="3" s="1"/>
  <c r="K253" i="3"/>
  <c r="J253" i="3"/>
  <c r="E253" i="3"/>
  <c r="D253" i="3"/>
  <c r="T252" i="3"/>
  <c r="S252" i="3"/>
  <c r="R252" i="3"/>
  <c r="Q252" i="3"/>
  <c r="P252" i="3"/>
  <c r="O252" i="3"/>
  <c r="M252" i="3"/>
  <c r="L252" i="3"/>
  <c r="N252" i="3" s="1"/>
  <c r="K252" i="3"/>
  <c r="J252" i="3"/>
  <c r="E252" i="3"/>
  <c r="D252" i="3"/>
  <c r="T251" i="3"/>
  <c r="S251" i="3"/>
  <c r="R251" i="3"/>
  <c r="Q251" i="3"/>
  <c r="P251" i="3"/>
  <c r="O251" i="3"/>
  <c r="M251" i="3"/>
  <c r="L251" i="3"/>
  <c r="N251" i="3" s="1"/>
  <c r="K251" i="3"/>
  <c r="J251" i="3"/>
  <c r="E251" i="3"/>
  <c r="D251" i="3"/>
  <c r="T250" i="3"/>
  <c r="S250" i="3"/>
  <c r="R250" i="3"/>
  <c r="Q250" i="3"/>
  <c r="P250" i="3"/>
  <c r="O250" i="3"/>
  <c r="M250" i="3"/>
  <c r="L250" i="3"/>
  <c r="N250" i="3" s="1"/>
  <c r="K250" i="3"/>
  <c r="J250" i="3"/>
  <c r="E250" i="3"/>
  <c r="D250" i="3"/>
  <c r="T249" i="3"/>
  <c r="S249" i="3"/>
  <c r="R249" i="3"/>
  <c r="Q249" i="3"/>
  <c r="P249" i="3"/>
  <c r="O249" i="3"/>
  <c r="M249" i="3"/>
  <c r="L249" i="3"/>
  <c r="N249" i="3" s="1"/>
  <c r="K249" i="3"/>
  <c r="J249" i="3"/>
  <c r="E249" i="3"/>
  <c r="D249" i="3"/>
  <c r="T248" i="3"/>
  <c r="S248" i="3"/>
  <c r="R248" i="3"/>
  <c r="Q248" i="3"/>
  <c r="P248" i="3"/>
  <c r="O248" i="3"/>
  <c r="M248" i="3"/>
  <c r="L248" i="3"/>
  <c r="N248" i="3" s="1"/>
  <c r="K248" i="3"/>
  <c r="J248" i="3"/>
  <c r="E248" i="3"/>
  <c r="D248" i="3"/>
  <c r="T247" i="3"/>
  <c r="S247" i="3"/>
  <c r="R247" i="3"/>
  <c r="Q247" i="3"/>
  <c r="P247" i="3"/>
  <c r="O247" i="3"/>
  <c r="M247" i="3"/>
  <c r="L247" i="3"/>
  <c r="N247" i="3" s="1"/>
  <c r="K247" i="3"/>
  <c r="J247" i="3"/>
  <c r="E247" i="3"/>
  <c r="D247" i="3"/>
  <c r="T246" i="3"/>
  <c r="S246" i="3"/>
  <c r="R246" i="3"/>
  <c r="Q246" i="3"/>
  <c r="P246" i="3"/>
  <c r="O246" i="3"/>
  <c r="M246" i="3"/>
  <c r="L246" i="3"/>
  <c r="N246" i="3" s="1"/>
  <c r="K246" i="3"/>
  <c r="J246" i="3"/>
  <c r="E246" i="3"/>
  <c r="D246" i="3"/>
  <c r="T245" i="3"/>
  <c r="S245" i="3"/>
  <c r="R245" i="3"/>
  <c r="Q245" i="3"/>
  <c r="P245" i="3"/>
  <c r="O245" i="3"/>
  <c r="M245" i="3"/>
  <c r="L245" i="3"/>
  <c r="N245" i="3" s="1"/>
  <c r="K245" i="3"/>
  <c r="J245" i="3"/>
  <c r="E245" i="3"/>
  <c r="D245" i="3"/>
  <c r="T244" i="3"/>
  <c r="S244" i="3"/>
  <c r="R244" i="3"/>
  <c r="Q244" i="3"/>
  <c r="P244" i="3"/>
  <c r="O244" i="3"/>
  <c r="M244" i="3"/>
  <c r="L244" i="3"/>
  <c r="N244" i="3" s="1"/>
  <c r="K244" i="3"/>
  <c r="J244" i="3"/>
  <c r="E244" i="3"/>
  <c r="D244" i="3"/>
  <c r="T243" i="3"/>
  <c r="S243" i="3"/>
  <c r="R243" i="3"/>
  <c r="Q243" i="3"/>
  <c r="P243" i="3"/>
  <c r="O243" i="3"/>
  <c r="M243" i="3"/>
  <c r="L243" i="3"/>
  <c r="N243" i="3" s="1"/>
  <c r="K243" i="3"/>
  <c r="J243" i="3"/>
  <c r="E243" i="3"/>
  <c r="D243" i="3"/>
  <c r="T242" i="3"/>
  <c r="S242" i="3"/>
  <c r="R242" i="3"/>
  <c r="Q242" i="3"/>
  <c r="P242" i="3"/>
  <c r="O242" i="3"/>
  <c r="M242" i="3"/>
  <c r="L242" i="3"/>
  <c r="N242" i="3" s="1"/>
  <c r="K242" i="3"/>
  <c r="J242" i="3"/>
  <c r="E242" i="3"/>
  <c r="D242" i="3"/>
  <c r="T241" i="3"/>
  <c r="S241" i="3"/>
  <c r="R241" i="3"/>
  <c r="Q241" i="3"/>
  <c r="P241" i="3"/>
  <c r="O241" i="3"/>
  <c r="M241" i="3"/>
  <c r="L241" i="3"/>
  <c r="N241" i="3" s="1"/>
  <c r="K241" i="3"/>
  <c r="J241" i="3"/>
  <c r="E241" i="3"/>
  <c r="D241" i="3"/>
  <c r="T240" i="3"/>
  <c r="S240" i="3"/>
  <c r="R240" i="3"/>
  <c r="Q240" i="3"/>
  <c r="P240" i="3"/>
  <c r="O240" i="3"/>
  <c r="M240" i="3"/>
  <c r="L240" i="3"/>
  <c r="N240" i="3" s="1"/>
  <c r="K240" i="3"/>
  <c r="J240" i="3"/>
  <c r="E240" i="3"/>
  <c r="D240" i="3"/>
  <c r="T239" i="3"/>
  <c r="S239" i="3"/>
  <c r="R239" i="3"/>
  <c r="Q239" i="3"/>
  <c r="P239" i="3"/>
  <c r="O239" i="3"/>
  <c r="M239" i="3"/>
  <c r="L239" i="3"/>
  <c r="N239" i="3" s="1"/>
  <c r="K239" i="3"/>
  <c r="J239" i="3"/>
  <c r="E239" i="3"/>
  <c r="D239" i="3"/>
  <c r="T238" i="3"/>
  <c r="S238" i="3"/>
  <c r="R238" i="3"/>
  <c r="Q238" i="3"/>
  <c r="P238" i="3"/>
  <c r="O238" i="3"/>
  <c r="M238" i="3"/>
  <c r="L238" i="3"/>
  <c r="N238" i="3" s="1"/>
  <c r="K238" i="3"/>
  <c r="J238" i="3"/>
  <c r="E238" i="3"/>
  <c r="D238" i="3"/>
  <c r="T237" i="3"/>
  <c r="S237" i="3"/>
  <c r="R237" i="3"/>
  <c r="Q237" i="3"/>
  <c r="P237" i="3"/>
  <c r="O237" i="3"/>
  <c r="M237" i="3"/>
  <c r="L237" i="3"/>
  <c r="N237" i="3" s="1"/>
  <c r="K237" i="3"/>
  <c r="J237" i="3"/>
  <c r="E237" i="3"/>
  <c r="D237" i="3"/>
  <c r="T236" i="3"/>
  <c r="S236" i="3"/>
  <c r="R236" i="3"/>
  <c r="Q236" i="3"/>
  <c r="P236" i="3"/>
  <c r="O236" i="3"/>
  <c r="M236" i="3"/>
  <c r="L236" i="3"/>
  <c r="N236" i="3" s="1"/>
  <c r="K236" i="3"/>
  <c r="J236" i="3"/>
  <c r="E236" i="3"/>
  <c r="D236" i="3"/>
  <c r="T235" i="3"/>
  <c r="S235" i="3"/>
  <c r="R235" i="3"/>
  <c r="Q235" i="3"/>
  <c r="P235" i="3"/>
  <c r="O235" i="3"/>
  <c r="M235" i="3"/>
  <c r="L235" i="3"/>
  <c r="N235" i="3" s="1"/>
  <c r="K235" i="3"/>
  <c r="J235" i="3"/>
  <c r="E235" i="3"/>
  <c r="D235" i="3"/>
  <c r="T234" i="3"/>
  <c r="S234" i="3"/>
  <c r="R234" i="3"/>
  <c r="Q234" i="3"/>
  <c r="P234" i="3"/>
  <c r="O234" i="3"/>
  <c r="M234" i="3"/>
  <c r="L234" i="3"/>
  <c r="N234" i="3" s="1"/>
  <c r="K234" i="3"/>
  <c r="J234" i="3"/>
  <c r="E234" i="3"/>
  <c r="D234" i="3"/>
  <c r="T233" i="3"/>
  <c r="S233" i="3"/>
  <c r="R233" i="3"/>
  <c r="Q233" i="3"/>
  <c r="P233" i="3"/>
  <c r="O233" i="3"/>
  <c r="M233" i="3"/>
  <c r="L233" i="3"/>
  <c r="N233" i="3" s="1"/>
  <c r="K233" i="3"/>
  <c r="J233" i="3"/>
  <c r="E233" i="3"/>
  <c r="D233" i="3"/>
  <c r="T232" i="3"/>
  <c r="S232" i="3"/>
  <c r="R232" i="3"/>
  <c r="Q232" i="3"/>
  <c r="P232" i="3"/>
  <c r="O232" i="3"/>
  <c r="M232" i="3"/>
  <c r="L232" i="3"/>
  <c r="N232" i="3" s="1"/>
  <c r="K232" i="3"/>
  <c r="J232" i="3"/>
  <c r="E232" i="3"/>
  <c r="D232" i="3"/>
  <c r="T231" i="3"/>
  <c r="S231" i="3"/>
  <c r="R231" i="3"/>
  <c r="Q231" i="3"/>
  <c r="P231" i="3"/>
  <c r="O231" i="3"/>
  <c r="M231" i="3"/>
  <c r="L231" i="3"/>
  <c r="N231" i="3" s="1"/>
  <c r="K231" i="3"/>
  <c r="J231" i="3"/>
  <c r="E231" i="3"/>
  <c r="D231" i="3"/>
  <c r="T230" i="3"/>
  <c r="S230" i="3"/>
  <c r="R230" i="3"/>
  <c r="Q230" i="3"/>
  <c r="P230" i="3"/>
  <c r="O230" i="3"/>
  <c r="M230" i="3"/>
  <c r="L230" i="3"/>
  <c r="N230" i="3" s="1"/>
  <c r="K230" i="3"/>
  <c r="J230" i="3"/>
  <c r="E230" i="3"/>
  <c r="D230" i="3"/>
  <c r="T229" i="3"/>
  <c r="S229" i="3"/>
  <c r="R229" i="3"/>
  <c r="Q229" i="3"/>
  <c r="P229" i="3"/>
  <c r="O229" i="3"/>
  <c r="M229" i="3"/>
  <c r="L229" i="3"/>
  <c r="N229" i="3" s="1"/>
  <c r="K229" i="3"/>
  <c r="J229" i="3"/>
  <c r="E229" i="3"/>
  <c r="D229" i="3"/>
  <c r="T228" i="3"/>
  <c r="S228" i="3"/>
  <c r="R228" i="3"/>
  <c r="Q228" i="3"/>
  <c r="P228" i="3"/>
  <c r="O228" i="3"/>
  <c r="M228" i="3"/>
  <c r="L228" i="3"/>
  <c r="N228" i="3" s="1"/>
  <c r="K228" i="3"/>
  <c r="J228" i="3"/>
  <c r="E228" i="3"/>
  <c r="D228" i="3"/>
  <c r="T227" i="3"/>
  <c r="S227" i="3"/>
  <c r="R227" i="3"/>
  <c r="Q227" i="3"/>
  <c r="P227" i="3"/>
  <c r="O227" i="3"/>
  <c r="M227" i="3"/>
  <c r="L227" i="3"/>
  <c r="N227" i="3" s="1"/>
  <c r="K227" i="3"/>
  <c r="J227" i="3"/>
  <c r="E227" i="3"/>
  <c r="D227" i="3"/>
  <c r="T226" i="3"/>
  <c r="S226" i="3"/>
  <c r="R226" i="3"/>
  <c r="Q226" i="3"/>
  <c r="P226" i="3"/>
  <c r="O226" i="3"/>
  <c r="M226" i="3"/>
  <c r="L226" i="3"/>
  <c r="N226" i="3" s="1"/>
  <c r="K226" i="3"/>
  <c r="J226" i="3"/>
  <c r="E226" i="3"/>
  <c r="D226" i="3"/>
  <c r="T225" i="3"/>
  <c r="S225" i="3"/>
  <c r="R225" i="3"/>
  <c r="Q225" i="3"/>
  <c r="P225" i="3"/>
  <c r="O225" i="3"/>
  <c r="M225" i="3"/>
  <c r="L225" i="3"/>
  <c r="N225" i="3" s="1"/>
  <c r="K225" i="3"/>
  <c r="J225" i="3"/>
  <c r="E225" i="3"/>
  <c r="D225" i="3"/>
  <c r="T224" i="3"/>
  <c r="S224" i="3"/>
  <c r="R224" i="3"/>
  <c r="Q224" i="3"/>
  <c r="P224" i="3"/>
  <c r="O224" i="3"/>
  <c r="M224" i="3"/>
  <c r="L224" i="3"/>
  <c r="N224" i="3" s="1"/>
  <c r="K224" i="3"/>
  <c r="J224" i="3"/>
  <c r="E224" i="3"/>
  <c r="D224" i="3"/>
  <c r="T223" i="3"/>
  <c r="S223" i="3"/>
  <c r="R223" i="3"/>
  <c r="Q223" i="3"/>
  <c r="P223" i="3"/>
  <c r="O223" i="3"/>
  <c r="M223" i="3"/>
  <c r="L223" i="3"/>
  <c r="N223" i="3" s="1"/>
  <c r="K223" i="3"/>
  <c r="J223" i="3"/>
  <c r="E223" i="3"/>
  <c r="D223" i="3"/>
  <c r="T222" i="3"/>
  <c r="S222" i="3"/>
  <c r="R222" i="3"/>
  <c r="Q222" i="3"/>
  <c r="P222" i="3"/>
  <c r="O222" i="3"/>
  <c r="M222" i="3"/>
  <c r="L222" i="3"/>
  <c r="N222" i="3" s="1"/>
  <c r="K222" i="3"/>
  <c r="J222" i="3"/>
  <c r="E222" i="3"/>
  <c r="D222" i="3"/>
  <c r="T221" i="3"/>
  <c r="S221" i="3"/>
  <c r="R221" i="3"/>
  <c r="Q221" i="3"/>
  <c r="P221" i="3"/>
  <c r="O221" i="3"/>
  <c r="M221" i="3"/>
  <c r="L221" i="3"/>
  <c r="N221" i="3" s="1"/>
  <c r="K221" i="3"/>
  <c r="J221" i="3"/>
  <c r="E221" i="3"/>
  <c r="D221" i="3"/>
  <c r="T220" i="3"/>
  <c r="S220" i="3"/>
  <c r="R220" i="3"/>
  <c r="Q220" i="3"/>
  <c r="P220" i="3"/>
  <c r="O220" i="3"/>
  <c r="M220" i="3"/>
  <c r="L220" i="3"/>
  <c r="N220" i="3" s="1"/>
  <c r="K220" i="3"/>
  <c r="J220" i="3"/>
  <c r="E220" i="3"/>
  <c r="D220" i="3"/>
  <c r="T219" i="3"/>
  <c r="S219" i="3"/>
  <c r="R219" i="3"/>
  <c r="Q219" i="3"/>
  <c r="P219" i="3"/>
  <c r="O219" i="3"/>
  <c r="M219" i="3"/>
  <c r="L219" i="3"/>
  <c r="N219" i="3" s="1"/>
  <c r="K219" i="3"/>
  <c r="J219" i="3"/>
  <c r="E219" i="3"/>
  <c r="D219" i="3"/>
  <c r="T218" i="3"/>
  <c r="S218" i="3"/>
  <c r="R218" i="3"/>
  <c r="Q218" i="3"/>
  <c r="P218" i="3"/>
  <c r="O218" i="3"/>
  <c r="M218" i="3"/>
  <c r="L218" i="3"/>
  <c r="N218" i="3" s="1"/>
  <c r="K218" i="3"/>
  <c r="J218" i="3"/>
  <c r="E218" i="3"/>
  <c r="D218" i="3"/>
  <c r="T217" i="3"/>
  <c r="S217" i="3"/>
  <c r="R217" i="3"/>
  <c r="Q217" i="3"/>
  <c r="P217" i="3"/>
  <c r="O217" i="3"/>
  <c r="M217" i="3"/>
  <c r="L217" i="3"/>
  <c r="N217" i="3" s="1"/>
  <c r="K217" i="3"/>
  <c r="J217" i="3"/>
  <c r="E217" i="3"/>
  <c r="D217" i="3"/>
  <c r="T216" i="3"/>
  <c r="S216" i="3"/>
  <c r="R216" i="3"/>
  <c r="Q216" i="3"/>
  <c r="P216" i="3"/>
  <c r="O216" i="3"/>
  <c r="M216" i="3"/>
  <c r="L216" i="3"/>
  <c r="N216" i="3" s="1"/>
  <c r="K216" i="3"/>
  <c r="J216" i="3"/>
  <c r="E216" i="3"/>
  <c r="D216" i="3"/>
  <c r="T215" i="3"/>
  <c r="S215" i="3"/>
  <c r="R215" i="3"/>
  <c r="Q215" i="3"/>
  <c r="P215" i="3"/>
  <c r="O215" i="3"/>
  <c r="M215" i="3"/>
  <c r="L215" i="3"/>
  <c r="N215" i="3" s="1"/>
  <c r="K215" i="3"/>
  <c r="J215" i="3"/>
  <c r="E215" i="3"/>
  <c r="D215" i="3"/>
  <c r="T214" i="3"/>
  <c r="S214" i="3"/>
  <c r="R214" i="3"/>
  <c r="Q214" i="3"/>
  <c r="P214" i="3"/>
  <c r="O214" i="3"/>
  <c r="M214" i="3"/>
  <c r="L214" i="3"/>
  <c r="N214" i="3" s="1"/>
  <c r="K214" i="3"/>
  <c r="J214" i="3"/>
  <c r="E214" i="3"/>
  <c r="D214" i="3"/>
  <c r="T213" i="3"/>
  <c r="S213" i="3"/>
  <c r="R213" i="3"/>
  <c r="Q213" i="3"/>
  <c r="P213" i="3"/>
  <c r="O213" i="3"/>
  <c r="M213" i="3"/>
  <c r="L213" i="3"/>
  <c r="N213" i="3" s="1"/>
  <c r="K213" i="3"/>
  <c r="J213" i="3"/>
  <c r="E213" i="3"/>
  <c r="D213" i="3"/>
  <c r="T212" i="3"/>
  <c r="S212" i="3"/>
  <c r="R212" i="3"/>
  <c r="Q212" i="3"/>
  <c r="P212" i="3"/>
  <c r="O212" i="3"/>
  <c r="M212" i="3"/>
  <c r="L212" i="3"/>
  <c r="N212" i="3" s="1"/>
  <c r="K212" i="3"/>
  <c r="J212" i="3"/>
  <c r="E212" i="3"/>
  <c r="D212" i="3"/>
  <c r="T211" i="3"/>
  <c r="S211" i="3"/>
  <c r="R211" i="3"/>
  <c r="Q211" i="3"/>
  <c r="P211" i="3"/>
  <c r="O211" i="3"/>
  <c r="M211" i="3"/>
  <c r="L211" i="3"/>
  <c r="N211" i="3" s="1"/>
  <c r="K211" i="3"/>
  <c r="J211" i="3"/>
  <c r="E211" i="3"/>
  <c r="D211" i="3"/>
  <c r="T210" i="3"/>
  <c r="S210" i="3"/>
  <c r="R210" i="3"/>
  <c r="Q210" i="3"/>
  <c r="P210" i="3"/>
  <c r="O210" i="3"/>
  <c r="M210" i="3"/>
  <c r="L210" i="3"/>
  <c r="N210" i="3" s="1"/>
  <c r="K210" i="3"/>
  <c r="J210" i="3"/>
  <c r="E210" i="3"/>
  <c r="D210" i="3"/>
  <c r="T209" i="3"/>
  <c r="S209" i="3"/>
  <c r="R209" i="3"/>
  <c r="Q209" i="3"/>
  <c r="P209" i="3"/>
  <c r="O209" i="3"/>
  <c r="M209" i="3"/>
  <c r="L209" i="3"/>
  <c r="N209" i="3" s="1"/>
  <c r="K209" i="3"/>
  <c r="J209" i="3"/>
  <c r="E209" i="3"/>
  <c r="D209" i="3"/>
  <c r="T208" i="3"/>
  <c r="S208" i="3"/>
  <c r="R208" i="3"/>
  <c r="Q208" i="3"/>
  <c r="P208" i="3"/>
  <c r="O208" i="3"/>
  <c r="M208" i="3"/>
  <c r="L208" i="3"/>
  <c r="N208" i="3" s="1"/>
  <c r="K208" i="3"/>
  <c r="J208" i="3"/>
  <c r="E208" i="3"/>
  <c r="D208" i="3"/>
  <c r="T207" i="3"/>
  <c r="S207" i="3"/>
  <c r="R207" i="3"/>
  <c r="Q207" i="3"/>
  <c r="P207" i="3"/>
  <c r="O207" i="3"/>
  <c r="M207" i="3"/>
  <c r="L207" i="3"/>
  <c r="N207" i="3" s="1"/>
  <c r="K207" i="3"/>
  <c r="J207" i="3"/>
  <c r="E207" i="3"/>
  <c r="D207" i="3"/>
  <c r="T206" i="3"/>
  <c r="S206" i="3"/>
  <c r="R206" i="3"/>
  <c r="Q206" i="3"/>
  <c r="P206" i="3"/>
  <c r="O206" i="3"/>
  <c r="M206" i="3"/>
  <c r="L206" i="3"/>
  <c r="N206" i="3" s="1"/>
  <c r="K206" i="3"/>
  <c r="J206" i="3"/>
  <c r="E206" i="3"/>
  <c r="D206" i="3"/>
  <c r="T205" i="3"/>
  <c r="S205" i="3"/>
  <c r="R205" i="3"/>
  <c r="Q205" i="3"/>
  <c r="P205" i="3"/>
  <c r="O205" i="3"/>
  <c r="M205" i="3"/>
  <c r="L205" i="3"/>
  <c r="N205" i="3" s="1"/>
  <c r="K205" i="3"/>
  <c r="J205" i="3"/>
  <c r="E205" i="3"/>
  <c r="D205" i="3"/>
  <c r="T204" i="3"/>
  <c r="S204" i="3"/>
  <c r="R204" i="3"/>
  <c r="Q204" i="3"/>
  <c r="P204" i="3"/>
  <c r="O204" i="3"/>
  <c r="M204" i="3"/>
  <c r="L204" i="3"/>
  <c r="N204" i="3" s="1"/>
  <c r="K204" i="3"/>
  <c r="J204" i="3"/>
  <c r="E204" i="3"/>
  <c r="D204" i="3"/>
  <c r="T203" i="3"/>
  <c r="S203" i="3"/>
  <c r="R203" i="3"/>
  <c r="Q203" i="3"/>
  <c r="P203" i="3"/>
  <c r="O203" i="3"/>
  <c r="M203" i="3"/>
  <c r="L203" i="3"/>
  <c r="N203" i="3" s="1"/>
  <c r="K203" i="3"/>
  <c r="J203" i="3"/>
  <c r="E203" i="3"/>
  <c r="D203" i="3"/>
  <c r="T202" i="3"/>
  <c r="S202" i="3"/>
  <c r="R202" i="3"/>
  <c r="Q202" i="3"/>
  <c r="P202" i="3"/>
  <c r="O202" i="3"/>
  <c r="M202" i="3"/>
  <c r="L202" i="3"/>
  <c r="N202" i="3" s="1"/>
  <c r="K202" i="3"/>
  <c r="J202" i="3"/>
  <c r="E202" i="3"/>
  <c r="D202" i="3"/>
  <c r="T201" i="3"/>
  <c r="S201" i="3"/>
  <c r="R201" i="3"/>
  <c r="Q201" i="3"/>
  <c r="P201" i="3"/>
  <c r="O201" i="3"/>
  <c r="M201" i="3"/>
  <c r="L201" i="3"/>
  <c r="N201" i="3" s="1"/>
  <c r="K201" i="3"/>
  <c r="J201" i="3"/>
  <c r="E201" i="3"/>
  <c r="D201" i="3"/>
  <c r="T200" i="3"/>
  <c r="S200" i="3"/>
  <c r="R200" i="3"/>
  <c r="Q200" i="3"/>
  <c r="P200" i="3"/>
  <c r="O200" i="3"/>
  <c r="M200" i="3"/>
  <c r="L200" i="3"/>
  <c r="N200" i="3" s="1"/>
  <c r="K200" i="3"/>
  <c r="J200" i="3"/>
  <c r="E200" i="3"/>
  <c r="D200" i="3"/>
  <c r="T199" i="3"/>
  <c r="S199" i="3"/>
  <c r="R199" i="3"/>
  <c r="Q199" i="3"/>
  <c r="P199" i="3"/>
  <c r="O199" i="3"/>
  <c r="M199" i="3"/>
  <c r="L199" i="3"/>
  <c r="N199" i="3" s="1"/>
  <c r="K199" i="3"/>
  <c r="J199" i="3"/>
  <c r="E199" i="3"/>
  <c r="D199" i="3"/>
  <c r="T198" i="3"/>
  <c r="S198" i="3"/>
  <c r="R198" i="3"/>
  <c r="Q198" i="3"/>
  <c r="P198" i="3"/>
  <c r="O198" i="3"/>
  <c r="M198" i="3"/>
  <c r="L198" i="3"/>
  <c r="N198" i="3" s="1"/>
  <c r="K198" i="3"/>
  <c r="J198" i="3"/>
  <c r="E198" i="3"/>
  <c r="D198" i="3"/>
  <c r="T197" i="3"/>
  <c r="S197" i="3"/>
  <c r="R197" i="3"/>
  <c r="Q197" i="3"/>
  <c r="P197" i="3"/>
  <c r="O197" i="3"/>
  <c r="M197" i="3"/>
  <c r="L197" i="3"/>
  <c r="N197" i="3" s="1"/>
  <c r="K197" i="3"/>
  <c r="J197" i="3"/>
  <c r="E197" i="3"/>
  <c r="D197" i="3"/>
  <c r="T196" i="3"/>
  <c r="S196" i="3"/>
  <c r="R196" i="3"/>
  <c r="Q196" i="3"/>
  <c r="P196" i="3"/>
  <c r="O196" i="3"/>
  <c r="M196" i="3"/>
  <c r="L196" i="3"/>
  <c r="N196" i="3" s="1"/>
  <c r="K196" i="3"/>
  <c r="J196" i="3"/>
  <c r="E196" i="3"/>
  <c r="D196" i="3"/>
  <c r="T195" i="3"/>
  <c r="S195" i="3"/>
  <c r="R195" i="3"/>
  <c r="Q195" i="3"/>
  <c r="P195" i="3"/>
  <c r="O195" i="3"/>
  <c r="M195" i="3"/>
  <c r="L195" i="3"/>
  <c r="N195" i="3" s="1"/>
  <c r="K195" i="3"/>
  <c r="J195" i="3"/>
  <c r="E195" i="3"/>
  <c r="D195" i="3"/>
  <c r="T194" i="3"/>
  <c r="S194" i="3"/>
  <c r="R194" i="3"/>
  <c r="Q194" i="3"/>
  <c r="P194" i="3"/>
  <c r="O194" i="3"/>
  <c r="M194" i="3"/>
  <c r="L194" i="3"/>
  <c r="N194" i="3" s="1"/>
  <c r="K194" i="3"/>
  <c r="J194" i="3"/>
  <c r="E194" i="3"/>
  <c r="D194" i="3"/>
  <c r="T193" i="3"/>
  <c r="S193" i="3"/>
  <c r="R193" i="3"/>
  <c r="Q193" i="3"/>
  <c r="P193" i="3"/>
  <c r="O193" i="3"/>
  <c r="M193" i="3"/>
  <c r="L193" i="3"/>
  <c r="N193" i="3" s="1"/>
  <c r="K193" i="3"/>
  <c r="J193" i="3"/>
  <c r="E193" i="3"/>
  <c r="D193" i="3"/>
  <c r="T192" i="3"/>
  <c r="S192" i="3"/>
  <c r="R192" i="3"/>
  <c r="Q192" i="3"/>
  <c r="P192" i="3"/>
  <c r="O192" i="3"/>
  <c r="M192" i="3"/>
  <c r="L192" i="3"/>
  <c r="N192" i="3" s="1"/>
  <c r="K192" i="3"/>
  <c r="J192" i="3"/>
  <c r="E192" i="3"/>
  <c r="D192" i="3"/>
  <c r="T191" i="3"/>
  <c r="S191" i="3"/>
  <c r="R191" i="3"/>
  <c r="Q191" i="3"/>
  <c r="P191" i="3"/>
  <c r="O191" i="3"/>
  <c r="M191" i="3"/>
  <c r="L191" i="3"/>
  <c r="N191" i="3" s="1"/>
  <c r="K191" i="3"/>
  <c r="J191" i="3"/>
  <c r="E191" i="3"/>
  <c r="D191" i="3"/>
  <c r="T190" i="3"/>
  <c r="S190" i="3"/>
  <c r="R190" i="3"/>
  <c r="Q190" i="3"/>
  <c r="P190" i="3"/>
  <c r="O190" i="3"/>
  <c r="M190" i="3"/>
  <c r="L190" i="3"/>
  <c r="N190" i="3" s="1"/>
  <c r="K190" i="3"/>
  <c r="J190" i="3"/>
  <c r="E190" i="3"/>
  <c r="D190" i="3"/>
  <c r="T189" i="3"/>
  <c r="S189" i="3"/>
  <c r="R189" i="3"/>
  <c r="Q189" i="3"/>
  <c r="P189" i="3"/>
  <c r="O189" i="3"/>
  <c r="M189" i="3"/>
  <c r="L189" i="3"/>
  <c r="N189" i="3" s="1"/>
  <c r="K189" i="3"/>
  <c r="J189" i="3"/>
  <c r="E189" i="3"/>
  <c r="D189" i="3"/>
  <c r="T188" i="3"/>
  <c r="S188" i="3"/>
  <c r="R188" i="3"/>
  <c r="Q188" i="3"/>
  <c r="P188" i="3"/>
  <c r="O188" i="3"/>
  <c r="M188" i="3"/>
  <c r="L188" i="3"/>
  <c r="N188" i="3" s="1"/>
  <c r="K188" i="3"/>
  <c r="J188" i="3"/>
  <c r="E188" i="3"/>
  <c r="D188" i="3"/>
  <c r="T187" i="3"/>
  <c r="S187" i="3"/>
  <c r="R187" i="3"/>
  <c r="Q187" i="3"/>
  <c r="P187" i="3"/>
  <c r="O187" i="3"/>
  <c r="M187" i="3"/>
  <c r="L187" i="3"/>
  <c r="N187" i="3" s="1"/>
  <c r="K187" i="3"/>
  <c r="J187" i="3"/>
  <c r="E187" i="3"/>
  <c r="D187" i="3"/>
  <c r="T186" i="3"/>
  <c r="S186" i="3"/>
  <c r="R186" i="3"/>
  <c r="Q186" i="3"/>
  <c r="P186" i="3"/>
  <c r="O186" i="3"/>
  <c r="M186" i="3"/>
  <c r="L186" i="3"/>
  <c r="N186" i="3" s="1"/>
  <c r="K186" i="3"/>
  <c r="J186" i="3"/>
  <c r="E186" i="3"/>
  <c r="D186" i="3"/>
  <c r="T185" i="3"/>
  <c r="S185" i="3"/>
  <c r="R185" i="3"/>
  <c r="Q185" i="3"/>
  <c r="P185" i="3"/>
  <c r="O185" i="3"/>
  <c r="M185" i="3"/>
  <c r="L185" i="3"/>
  <c r="N185" i="3" s="1"/>
  <c r="K185" i="3"/>
  <c r="J185" i="3"/>
  <c r="E185" i="3"/>
  <c r="D185" i="3"/>
  <c r="T184" i="3"/>
  <c r="S184" i="3"/>
  <c r="R184" i="3"/>
  <c r="Q184" i="3"/>
  <c r="P184" i="3"/>
  <c r="O184" i="3"/>
  <c r="M184" i="3"/>
  <c r="L184" i="3"/>
  <c r="N184" i="3" s="1"/>
  <c r="K184" i="3"/>
  <c r="J184" i="3"/>
  <c r="E184" i="3"/>
  <c r="D184" i="3"/>
  <c r="T183" i="3"/>
  <c r="S183" i="3"/>
  <c r="R183" i="3"/>
  <c r="Q183" i="3"/>
  <c r="P183" i="3"/>
  <c r="O183" i="3"/>
  <c r="M183" i="3"/>
  <c r="L183" i="3"/>
  <c r="N183" i="3" s="1"/>
  <c r="K183" i="3"/>
  <c r="J183" i="3"/>
  <c r="E183" i="3"/>
  <c r="D183" i="3"/>
  <c r="T182" i="3"/>
  <c r="S182" i="3"/>
  <c r="R182" i="3"/>
  <c r="Q182" i="3"/>
  <c r="P182" i="3"/>
  <c r="O182" i="3"/>
  <c r="M182" i="3"/>
  <c r="L182" i="3"/>
  <c r="N182" i="3" s="1"/>
  <c r="K182" i="3"/>
  <c r="J182" i="3"/>
  <c r="E182" i="3"/>
  <c r="D182" i="3"/>
  <c r="T181" i="3"/>
  <c r="S181" i="3"/>
  <c r="R181" i="3"/>
  <c r="Q181" i="3"/>
  <c r="P181" i="3"/>
  <c r="O181" i="3"/>
  <c r="M181" i="3"/>
  <c r="L181" i="3"/>
  <c r="N181" i="3" s="1"/>
  <c r="K181" i="3"/>
  <c r="J181" i="3"/>
  <c r="E181" i="3"/>
  <c r="D181" i="3"/>
  <c r="T180" i="3"/>
  <c r="S180" i="3"/>
  <c r="R180" i="3"/>
  <c r="Q180" i="3"/>
  <c r="P180" i="3"/>
  <c r="O180" i="3"/>
  <c r="M180" i="3"/>
  <c r="L180" i="3"/>
  <c r="N180" i="3" s="1"/>
  <c r="K180" i="3"/>
  <c r="J180" i="3"/>
  <c r="E180" i="3"/>
  <c r="D180" i="3"/>
  <c r="T179" i="3"/>
  <c r="S179" i="3"/>
  <c r="R179" i="3"/>
  <c r="Q179" i="3"/>
  <c r="P179" i="3"/>
  <c r="O179" i="3"/>
  <c r="M179" i="3"/>
  <c r="L179" i="3"/>
  <c r="N179" i="3" s="1"/>
  <c r="K179" i="3"/>
  <c r="J179" i="3"/>
  <c r="E179" i="3"/>
  <c r="D179" i="3"/>
  <c r="T178" i="3"/>
  <c r="S178" i="3"/>
  <c r="R178" i="3"/>
  <c r="Q178" i="3"/>
  <c r="P178" i="3"/>
  <c r="O178" i="3"/>
  <c r="M178" i="3"/>
  <c r="L178" i="3"/>
  <c r="N178" i="3" s="1"/>
  <c r="K178" i="3"/>
  <c r="J178" i="3"/>
  <c r="E178" i="3"/>
  <c r="D178" i="3"/>
  <c r="T177" i="3"/>
  <c r="S177" i="3"/>
  <c r="R177" i="3"/>
  <c r="Q177" i="3"/>
  <c r="P177" i="3"/>
  <c r="O177" i="3"/>
  <c r="M177" i="3"/>
  <c r="L177" i="3"/>
  <c r="N177" i="3" s="1"/>
  <c r="K177" i="3"/>
  <c r="J177" i="3"/>
  <c r="E177" i="3"/>
  <c r="D177" i="3"/>
  <c r="T176" i="3"/>
  <c r="S176" i="3"/>
  <c r="R176" i="3"/>
  <c r="Q176" i="3"/>
  <c r="P176" i="3"/>
  <c r="O176" i="3"/>
  <c r="M176" i="3"/>
  <c r="L176" i="3"/>
  <c r="N176" i="3" s="1"/>
  <c r="K176" i="3"/>
  <c r="J176" i="3"/>
  <c r="E176" i="3"/>
  <c r="D176" i="3"/>
  <c r="T175" i="3"/>
  <c r="S175" i="3"/>
  <c r="R175" i="3"/>
  <c r="Q175" i="3"/>
  <c r="P175" i="3"/>
  <c r="O175" i="3"/>
  <c r="M175" i="3"/>
  <c r="L175" i="3"/>
  <c r="N175" i="3" s="1"/>
  <c r="K175" i="3"/>
  <c r="J175" i="3"/>
  <c r="E175" i="3"/>
  <c r="D175" i="3"/>
  <c r="T174" i="3"/>
  <c r="S174" i="3"/>
  <c r="R174" i="3"/>
  <c r="Q174" i="3"/>
  <c r="P174" i="3"/>
  <c r="O174" i="3"/>
  <c r="M174" i="3"/>
  <c r="L174" i="3"/>
  <c r="N174" i="3" s="1"/>
  <c r="K174" i="3"/>
  <c r="J174" i="3"/>
  <c r="E174" i="3"/>
  <c r="D174" i="3"/>
  <c r="T173" i="3"/>
  <c r="S173" i="3"/>
  <c r="R173" i="3"/>
  <c r="Q173" i="3"/>
  <c r="P173" i="3"/>
  <c r="O173" i="3"/>
  <c r="M173" i="3"/>
  <c r="L173" i="3"/>
  <c r="N173" i="3" s="1"/>
  <c r="K173" i="3"/>
  <c r="J173" i="3"/>
  <c r="E173" i="3"/>
  <c r="D173" i="3"/>
  <c r="T172" i="3"/>
  <c r="S172" i="3"/>
  <c r="R172" i="3"/>
  <c r="Q172" i="3"/>
  <c r="P172" i="3"/>
  <c r="O172" i="3"/>
  <c r="M172" i="3"/>
  <c r="L172" i="3"/>
  <c r="N172" i="3" s="1"/>
  <c r="K172" i="3"/>
  <c r="J172" i="3"/>
  <c r="E172" i="3"/>
  <c r="D172" i="3"/>
  <c r="T171" i="3"/>
  <c r="S171" i="3"/>
  <c r="R171" i="3"/>
  <c r="Q171" i="3"/>
  <c r="P171" i="3"/>
  <c r="O171" i="3"/>
  <c r="M171" i="3"/>
  <c r="L171" i="3"/>
  <c r="N171" i="3" s="1"/>
  <c r="K171" i="3"/>
  <c r="J171" i="3"/>
  <c r="E171" i="3"/>
  <c r="D171" i="3"/>
  <c r="T170" i="3"/>
  <c r="S170" i="3"/>
  <c r="R170" i="3"/>
  <c r="Q170" i="3"/>
  <c r="P170" i="3"/>
  <c r="O170" i="3"/>
  <c r="M170" i="3"/>
  <c r="L170" i="3"/>
  <c r="N170" i="3" s="1"/>
  <c r="K170" i="3"/>
  <c r="J170" i="3"/>
  <c r="E170" i="3"/>
  <c r="D170" i="3"/>
  <c r="T169" i="3"/>
  <c r="S169" i="3"/>
  <c r="R169" i="3"/>
  <c r="Q169" i="3"/>
  <c r="P169" i="3"/>
  <c r="O169" i="3"/>
  <c r="M169" i="3"/>
  <c r="L169" i="3"/>
  <c r="N169" i="3" s="1"/>
  <c r="K169" i="3"/>
  <c r="J169" i="3"/>
  <c r="E169" i="3"/>
  <c r="D169" i="3"/>
  <c r="T168" i="3"/>
  <c r="S168" i="3"/>
  <c r="R168" i="3"/>
  <c r="Q168" i="3"/>
  <c r="P168" i="3"/>
  <c r="O168" i="3"/>
  <c r="M168" i="3"/>
  <c r="L168" i="3"/>
  <c r="N168" i="3" s="1"/>
  <c r="K168" i="3"/>
  <c r="J168" i="3"/>
  <c r="E168" i="3"/>
  <c r="D168" i="3"/>
  <c r="T167" i="3"/>
  <c r="S167" i="3"/>
  <c r="R167" i="3"/>
  <c r="Q167" i="3"/>
  <c r="P167" i="3"/>
  <c r="O167" i="3"/>
  <c r="M167" i="3"/>
  <c r="L167" i="3"/>
  <c r="N167" i="3" s="1"/>
  <c r="K167" i="3"/>
  <c r="J167" i="3"/>
  <c r="E167" i="3"/>
  <c r="D167" i="3"/>
  <c r="T166" i="3"/>
  <c r="S166" i="3"/>
  <c r="R166" i="3"/>
  <c r="Q166" i="3"/>
  <c r="P166" i="3"/>
  <c r="O166" i="3"/>
  <c r="M166" i="3"/>
  <c r="L166" i="3"/>
  <c r="N166" i="3" s="1"/>
  <c r="K166" i="3"/>
  <c r="J166" i="3"/>
  <c r="E166" i="3"/>
  <c r="D166" i="3"/>
  <c r="T165" i="3"/>
  <c r="S165" i="3"/>
  <c r="R165" i="3"/>
  <c r="Q165" i="3"/>
  <c r="P165" i="3"/>
  <c r="O165" i="3"/>
  <c r="M165" i="3"/>
  <c r="L165" i="3"/>
  <c r="N165" i="3" s="1"/>
  <c r="K165" i="3"/>
  <c r="J165" i="3"/>
  <c r="E165" i="3"/>
  <c r="D165" i="3"/>
  <c r="T164" i="3"/>
  <c r="S164" i="3"/>
  <c r="R164" i="3"/>
  <c r="Q164" i="3"/>
  <c r="P164" i="3"/>
  <c r="O164" i="3"/>
  <c r="M164" i="3"/>
  <c r="L164" i="3"/>
  <c r="N164" i="3" s="1"/>
  <c r="K164" i="3"/>
  <c r="J164" i="3"/>
  <c r="E164" i="3"/>
  <c r="D164" i="3"/>
  <c r="T163" i="3"/>
  <c r="S163" i="3"/>
  <c r="R163" i="3"/>
  <c r="Q163" i="3"/>
  <c r="P163" i="3"/>
  <c r="O163" i="3"/>
  <c r="M163" i="3"/>
  <c r="L163" i="3"/>
  <c r="N163" i="3" s="1"/>
  <c r="K163" i="3"/>
  <c r="J163" i="3"/>
  <c r="E163" i="3"/>
  <c r="D163" i="3"/>
  <c r="T162" i="3"/>
  <c r="S162" i="3"/>
  <c r="R162" i="3"/>
  <c r="Q162" i="3"/>
  <c r="P162" i="3"/>
  <c r="O162" i="3"/>
  <c r="M162" i="3"/>
  <c r="L162" i="3"/>
  <c r="N162" i="3" s="1"/>
  <c r="K162" i="3"/>
  <c r="J162" i="3"/>
  <c r="E162" i="3"/>
  <c r="D162" i="3"/>
  <c r="T161" i="3"/>
  <c r="S161" i="3"/>
  <c r="R161" i="3"/>
  <c r="Q161" i="3"/>
  <c r="P161" i="3"/>
  <c r="O161" i="3"/>
  <c r="M161" i="3"/>
  <c r="L161" i="3"/>
  <c r="N161" i="3" s="1"/>
  <c r="K161" i="3"/>
  <c r="J161" i="3"/>
  <c r="E161" i="3"/>
  <c r="D161" i="3"/>
  <c r="T160" i="3"/>
  <c r="S160" i="3"/>
  <c r="R160" i="3"/>
  <c r="Q160" i="3"/>
  <c r="P160" i="3"/>
  <c r="O160" i="3"/>
  <c r="M160" i="3"/>
  <c r="L160" i="3"/>
  <c r="N160" i="3" s="1"/>
  <c r="K160" i="3"/>
  <c r="J160" i="3"/>
  <c r="E160" i="3"/>
  <c r="D160" i="3"/>
  <c r="T159" i="3"/>
  <c r="S159" i="3"/>
  <c r="R159" i="3"/>
  <c r="Q159" i="3"/>
  <c r="P159" i="3"/>
  <c r="O159" i="3"/>
  <c r="M159" i="3"/>
  <c r="L159" i="3"/>
  <c r="N159" i="3" s="1"/>
  <c r="K159" i="3"/>
  <c r="J159" i="3"/>
  <c r="E159" i="3"/>
  <c r="D159" i="3"/>
  <c r="T158" i="3"/>
  <c r="S158" i="3"/>
  <c r="R158" i="3"/>
  <c r="Q158" i="3"/>
  <c r="P158" i="3"/>
  <c r="O158" i="3"/>
  <c r="M158" i="3"/>
  <c r="L158" i="3"/>
  <c r="N158" i="3" s="1"/>
  <c r="K158" i="3"/>
  <c r="J158" i="3"/>
  <c r="E158" i="3"/>
  <c r="D158" i="3"/>
  <c r="T157" i="3"/>
  <c r="S157" i="3"/>
  <c r="R157" i="3"/>
  <c r="Q157" i="3"/>
  <c r="P157" i="3"/>
  <c r="O157" i="3"/>
  <c r="M157" i="3"/>
  <c r="L157" i="3"/>
  <c r="N157" i="3" s="1"/>
  <c r="K157" i="3"/>
  <c r="J157" i="3"/>
  <c r="E157" i="3"/>
  <c r="D157" i="3"/>
  <c r="T156" i="3"/>
  <c r="S156" i="3"/>
  <c r="R156" i="3"/>
  <c r="Q156" i="3"/>
  <c r="P156" i="3"/>
  <c r="O156" i="3"/>
  <c r="M156" i="3"/>
  <c r="L156" i="3"/>
  <c r="N156" i="3" s="1"/>
  <c r="K156" i="3"/>
  <c r="J156" i="3"/>
  <c r="E156" i="3"/>
  <c r="D156" i="3"/>
  <c r="T155" i="3"/>
  <c r="S155" i="3"/>
  <c r="R155" i="3"/>
  <c r="Q155" i="3"/>
  <c r="P155" i="3"/>
  <c r="O155" i="3"/>
  <c r="M155" i="3"/>
  <c r="L155" i="3"/>
  <c r="N155" i="3" s="1"/>
  <c r="K155" i="3"/>
  <c r="J155" i="3"/>
  <c r="E155" i="3"/>
  <c r="D155" i="3"/>
  <c r="T154" i="3"/>
  <c r="S154" i="3"/>
  <c r="R154" i="3"/>
  <c r="Q154" i="3"/>
  <c r="P154" i="3"/>
  <c r="O154" i="3"/>
  <c r="M154" i="3"/>
  <c r="L154" i="3"/>
  <c r="N154" i="3" s="1"/>
  <c r="K154" i="3"/>
  <c r="J154" i="3"/>
  <c r="E154" i="3"/>
  <c r="D154" i="3"/>
  <c r="T153" i="3"/>
  <c r="S153" i="3"/>
  <c r="R153" i="3"/>
  <c r="Q153" i="3"/>
  <c r="P153" i="3"/>
  <c r="O153" i="3"/>
  <c r="M153" i="3"/>
  <c r="L153" i="3"/>
  <c r="N153" i="3" s="1"/>
  <c r="K153" i="3"/>
  <c r="J153" i="3"/>
  <c r="E153" i="3"/>
  <c r="D153" i="3"/>
  <c r="T152" i="3"/>
  <c r="S152" i="3"/>
  <c r="R152" i="3"/>
  <c r="Q152" i="3"/>
  <c r="P152" i="3"/>
  <c r="O152" i="3"/>
  <c r="M152" i="3"/>
  <c r="L152" i="3"/>
  <c r="N152" i="3" s="1"/>
  <c r="K152" i="3"/>
  <c r="J152" i="3"/>
  <c r="E152" i="3"/>
  <c r="D152" i="3"/>
  <c r="T151" i="3"/>
  <c r="S151" i="3"/>
  <c r="R151" i="3"/>
  <c r="Q151" i="3"/>
  <c r="P151" i="3"/>
  <c r="O151" i="3"/>
  <c r="M151" i="3"/>
  <c r="L151" i="3"/>
  <c r="N151" i="3" s="1"/>
  <c r="K151" i="3"/>
  <c r="J151" i="3"/>
  <c r="E151" i="3"/>
  <c r="D151" i="3"/>
  <c r="T150" i="3"/>
  <c r="S150" i="3"/>
  <c r="R150" i="3"/>
  <c r="Q150" i="3"/>
  <c r="P150" i="3"/>
  <c r="O150" i="3"/>
  <c r="M150" i="3"/>
  <c r="L150" i="3"/>
  <c r="N150" i="3" s="1"/>
  <c r="K150" i="3"/>
  <c r="J150" i="3"/>
  <c r="E150" i="3"/>
  <c r="D150" i="3"/>
  <c r="T149" i="3"/>
  <c r="S149" i="3"/>
  <c r="R149" i="3"/>
  <c r="Q149" i="3"/>
  <c r="P149" i="3"/>
  <c r="O149" i="3"/>
  <c r="M149" i="3"/>
  <c r="L149" i="3"/>
  <c r="N149" i="3" s="1"/>
  <c r="K149" i="3"/>
  <c r="J149" i="3"/>
  <c r="E149" i="3"/>
  <c r="D149" i="3"/>
  <c r="T148" i="3"/>
  <c r="S148" i="3"/>
  <c r="R148" i="3"/>
  <c r="Q148" i="3"/>
  <c r="P148" i="3"/>
  <c r="O148" i="3"/>
  <c r="M148" i="3"/>
  <c r="L148" i="3"/>
  <c r="N148" i="3" s="1"/>
  <c r="K148" i="3"/>
  <c r="J148" i="3"/>
  <c r="E148" i="3"/>
  <c r="D148" i="3"/>
  <c r="T147" i="3"/>
  <c r="S147" i="3"/>
  <c r="R147" i="3"/>
  <c r="Q147" i="3"/>
  <c r="P147" i="3"/>
  <c r="O147" i="3"/>
  <c r="M147" i="3"/>
  <c r="L147" i="3"/>
  <c r="N147" i="3" s="1"/>
  <c r="K147" i="3"/>
  <c r="J147" i="3"/>
  <c r="E147" i="3"/>
  <c r="D147" i="3"/>
  <c r="T146" i="3"/>
  <c r="S146" i="3"/>
  <c r="R146" i="3"/>
  <c r="Q146" i="3"/>
  <c r="P146" i="3"/>
  <c r="O146" i="3"/>
  <c r="M146" i="3"/>
  <c r="L146" i="3"/>
  <c r="N146" i="3" s="1"/>
  <c r="K146" i="3"/>
  <c r="J146" i="3"/>
  <c r="E146" i="3"/>
  <c r="D146" i="3"/>
  <c r="T145" i="3"/>
  <c r="S145" i="3"/>
  <c r="R145" i="3"/>
  <c r="Q145" i="3"/>
  <c r="P145" i="3"/>
  <c r="O145" i="3"/>
  <c r="M145" i="3"/>
  <c r="L145" i="3"/>
  <c r="N145" i="3" s="1"/>
  <c r="K145" i="3"/>
  <c r="J145" i="3"/>
  <c r="E145" i="3"/>
  <c r="D145" i="3"/>
  <c r="T144" i="3"/>
  <c r="S144" i="3"/>
  <c r="R144" i="3"/>
  <c r="Q144" i="3"/>
  <c r="P144" i="3"/>
  <c r="O144" i="3"/>
  <c r="M144" i="3"/>
  <c r="L144" i="3"/>
  <c r="N144" i="3" s="1"/>
  <c r="K144" i="3"/>
  <c r="J144" i="3"/>
  <c r="E144" i="3"/>
  <c r="D144" i="3"/>
  <c r="T143" i="3"/>
  <c r="S143" i="3"/>
  <c r="R143" i="3"/>
  <c r="Q143" i="3"/>
  <c r="P143" i="3"/>
  <c r="O143" i="3"/>
  <c r="M143" i="3"/>
  <c r="L143" i="3"/>
  <c r="N143" i="3" s="1"/>
  <c r="K143" i="3"/>
  <c r="J143" i="3"/>
  <c r="E143" i="3"/>
  <c r="D143" i="3"/>
  <c r="T142" i="3"/>
  <c r="S142" i="3"/>
  <c r="R142" i="3"/>
  <c r="Q142" i="3"/>
  <c r="P142" i="3"/>
  <c r="O142" i="3"/>
  <c r="M142" i="3"/>
  <c r="L142" i="3"/>
  <c r="N142" i="3" s="1"/>
  <c r="K142" i="3"/>
  <c r="J142" i="3"/>
  <c r="E142" i="3"/>
  <c r="D142" i="3"/>
  <c r="T141" i="3"/>
  <c r="S141" i="3"/>
  <c r="R141" i="3"/>
  <c r="Q141" i="3"/>
  <c r="P141" i="3"/>
  <c r="O141" i="3"/>
  <c r="M141" i="3"/>
  <c r="L141" i="3"/>
  <c r="N141" i="3" s="1"/>
  <c r="K141" i="3"/>
  <c r="J141" i="3"/>
  <c r="E141" i="3"/>
  <c r="D141" i="3"/>
  <c r="T140" i="3"/>
  <c r="S140" i="3"/>
  <c r="R140" i="3"/>
  <c r="Q140" i="3"/>
  <c r="P140" i="3"/>
  <c r="O140" i="3"/>
  <c r="M140" i="3"/>
  <c r="L140" i="3"/>
  <c r="N140" i="3" s="1"/>
  <c r="K140" i="3"/>
  <c r="J140" i="3"/>
  <c r="E140" i="3"/>
  <c r="D140" i="3"/>
  <c r="T139" i="3"/>
  <c r="S139" i="3"/>
  <c r="R139" i="3"/>
  <c r="Q139" i="3"/>
  <c r="P139" i="3"/>
  <c r="O139" i="3"/>
  <c r="M139" i="3"/>
  <c r="L139" i="3"/>
  <c r="N139" i="3" s="1"/>
  <c r="K139" i="3"/>
  <c r="J139" i="3"/>
  <c r="E139" i="3"/>
  <c r="D139" i="3"/>
  <c r="T138" i="3"/>
  <c r="S138" i="3"/>
  <c r="R138" i="3"/>
  <c r="Q138" i="3"/>
  <c r="P138" i="3"/>
  <c r="O138" i="3"/>
  <c r="M138" i="3"/>
  <c r="L138" i="3"/>
  <c r="N138" i="3" s="1"/>
  <c r="K138" i="3"/>
  <c r="J138" i="3"/>
  <c r="E138" i="3"/>
  <c r="D138" i="3"/>
  <c r="T137" i="3"/>
  <c r="S137" i="3"/>
  <c r="R137" i="3"/>
  <c r="Q137" i="3"/>
  <c r="P137" i="3"/>
  <c r="O137" i="3"/>
  <c r="M137" i="3"/>
  <c r="L137" i="3"/>
  <c r="N137" i="3" s="1"/>
  <c r="K137" i="3"/>
  <c r="J137" i="3"/>
  <c r="E137" i="3"/>
  <c r="D137" i="3"/>
  <c r="T136" i="3"/>
  <c r="S136" i="3"/>
  <c r="R136" i="3"/>
  <c r="Q136" i="3"/>
  <c r="P136" i="3"/>
  <c r="O136" i="3"/>
  <c r="M136" i="3"/>
  <c r="L136" i="3"/>
  <c r="N136" i="3" s="1"/>
  <c r="K136" i="3"/>
  <c r="J136" i="3"/>
  <c r="E136" i="3"/>
  <c r="D136" i="3"/>
  <c r="T135" i="3"/>
  <c r="S135" i="3"/>
  <c r="R135" i="3"/>
  <c r="Q135" i="3"/>
  <c r="P135" i="3"/>
  <c r="O135" i="3"/>
  <c r="M135" i="3"/>
  <c r="L135" i="3"/>
  <c r="N135" i="3" s="1"/>
  <c r="K135" i="3"/>
  <c r="J135" i="3"/>
  <c r="E135" i="3"/>
  <c r="D135" i="3"/>
  <c r="T134" i="3"/>
  <c r="S134" i="3"/>
  <c r="R134" i="3"/>
  <c r="Q134" i="3"/>
  <c r="P134" i="3"/>
  <c r="O134" i="3"/>
  <c r="M134" i="3"/>
  <c r="L134" i="3"/>
  <c r="N134" i="3" s="1"/>
  <c r="K134" i="3"/>
  <c r="J134" i="3"/>
  <c r="E134" i="3"/>
  <c r="D134" i="3"/>
  <c r="T133" i="3"/>
  <c r="S133" i="3"/>
  <c r="R133" i="3"/>
  <c r="Q133" i="3"/>
  <c r="P133" i="3"/>
  <c r="O133" i="3"/>
  <c r="M133" i="3"/>
  <c r="L133" i="3"/>
  <c r="N133" i="3" s="1"/>
  <c r="K133" i="3"/>
  <c r="J133" i="3"/>
  <c r="E133" i="3"/>
  <c r="D133" i="3"/>
  <c r="T132" i="3"/>
  <c r="S132" i="3"/>
  <c r="R132" i="3"/>
  <c r="Q132" i="3"/>
  <c r="P132" i="3"/>
  <c r="O132" i="3"/>
  <c r="M132" i="3"/>
  <c r="L132" i="3"/>
  <c r="N132" i="3" s="1"/>
  <c r="K132" i="3"/>
  <c r="J132" i="3"/>
  <c r="E132" i="3"/>
  <c r="D132" i="3"/>
  <c r="T131" i="3"/>
  <c r="S131" i="3"/>
  <c r="R131" i="3"/>
  <c r="Q131" i="3"/>
  <c r="P131" i="3"/>
  <c r="O131" i="3"/>
  <c r="M131" i="3"/>
  <c r="L131" i="3"/>
  <c r="N131" i="3" s="1"/>
  <c r="K131" i="3"/>
  <c r="J131" i="3"/>
  <c r="E131" i="3"/>
  <c r="D131" i="3"/>
  <c r="T130" i="3"/>
  <c r="S130" i="3"/>
  <c r="R130" i="3"/>
  <c r="Q130" i="3"/>
  <c r="P130" i="3"/>
  <c r="O130" i="3"/>
  <c r="M130" i="3"/>
  <c r="L130" i="3"/>
  <c r="N130" i="3" s="1"/>
  <c r="K130" i="3"/>
  <c r="J130" i="3"/>
  <c r="E130" i="3"/>
  <c r="D130" i="3"/>
  <c r="T129" i="3"/>
  <c r="S129" i="3"/>
  <c r="R129" i="3"/>
  <c r="Q129" i="3"/>
  <c r="P129" i="3"/>
  <c r="O129" i="3"/>
  <c r="M129" i="3"/>
  <c r="L129" i="3"/>
  <c r="N129" i="3" s="1"/>
  <c r="K129" i="3"/>
  <c r="J129" i="3"/>
  <c r="E129" i="3"/>
  <c r="D129" i="3"/>
  <c r="T128" i="3"/>
  <c r="S128" i="3"/>
  <c r="R128" i="3"/>
  <c r="Q128" i="3"/>
  <c r="P128" i="3"/>
  <c r="O128" i="3"/>
  <c r="M128" i="3"/>
  <c r="L128" i="3"/>
  <c r="N128" i="3" s="1"/>
  <c r="K128" i="3"/>
  <c r="J128" i="3"/>
  <c r="E128" i="3"/>
  <c r="D128" i="3"/>
  <c r="T127" i="3"/>
  <c r="S127" i="3"/>
  <c r="R127" i="3"/>
  <c r="Q127" i="3"/>
  <c r="P127" i="3"/>
  <c r="O127" i="3"/>
  <c r="M127" i="3"/>
  <c r="L127" i="3"/>
  <c r="N127" i="3" s="1"/>
  <c r="K127" i="3"/>
  <c r="J127" i="3"/>
  <c r="E127" i="3"/>
  <c r="D127" i="3"/>
  <c r="T126" i="3"/>
  <c r="S126" i="3"/>
  <c r="R126" i="3"/>
  <c r="Q126" i="3"/>
  <c r="P126" i="3"/>
  <c r="O126" i="3"/>
  <c r="M126" i="3"/>
  <c r="L126" i="3"/>
  <c r="N126" i="3" s="1"/>
  <c r="K126" i="3"/>
  <c r="J126" i="3"/>
  <c r="E126" i="3"/>
  <c r="D126" i="3"/>
  <c r="T125" i="3"/>
  <c r="S125" i="3"/>
  <c r="R125" i="3"/>
  <c r="Q125" i="3"/>
  <c r="P125" i="3"/>
  <c r="O125" i="3"/>
  <c r="M125" i="3"/>
  <c r="L125" i="3"/>
  <c r="N125" i="3" s="1"/>
  <c r="K125" i="3"/>
  <c r="J125" i="3"/>
  <c r="E125" i="3"/>
  <c r="D125" i="3"/>
  <c r="T124" i="3"/>
  <c r="S124" i="3"/>
  <c r="R124" i="3"/>
  <c r="Q124" i="3"/>
  <c r="P124" i="3"/>
  <c r="O124" i="3"/>
  <c r="M124" i="3"/>
  <c r="L124" i="3"/>
  <c r="N124" i="3" s="1"/>
  <c r="K124" i="3"/>
  <c r="J124" i="3"/>
  <c r="E124" i="3"/>
  <c r="D124" i="3"/>
  <c r="T123" i="3"/>
  <c r="S123" i="3"/>
  <c r="R123" i="3"/>
  <c r="Q123" i="3"/>
  <c r="P123" i="3"/>
  <c r="O123" i="3"/>
  <c r="M123" i="3"/>
  <c r="L123" i="3"/>
  <c r="N123" i="3" s="1"/>
  <c r="K123" i="3"/>
  <c r="J123" i="3"/>
  <c r="E123" i="3"/>
  <c r="D123" i="3"/>
  <c r="T122" i="3"/>
  <c r="S122" i="3"/>
  <c r="R122" i="3"/>
  <c r="Q122" i="3"/>
  <c r="P122" i="3"/>
  <c r="O122" i="3"/>
  <c r="M122" i="3"/>
  <c r="L122" i="3"/>
  <c r="N122" i="3" s="1"/>
  <c r="K122" i="3"/>
  <c r="J122" i="3"/>
  <c r="E122" i="3"/>
  <c r="D122" i="3"/>
  <c r="T121" i="3"/>
  <c r="S121" i="3"/>
  <c r="R121" i="3"/>
  <c r="Q121" i="3"/>
  <c r="P121" i="3"/>
  <c r="O121" i="3"/>
  <c r="M121" i="3"/>
  <c r="L121" i="3"/>
  <c r="N121" i="3" s="1"/>
  <c r="K121" i="3"/>
  <c r="J121" i="3"/>
  <c r="E121" i="3"/>
  <c r="D121" i="3"/>
  <c r="T120" i="3"/>
  <c r="S120" i="3"/>
  <c r="R120" i="3"/>
  <c r="Q120" i="3"/>
  <c r="P120" i="3"/>
  <c r="O120" i="3"/>
  <c r="M120" i="3"/>
  <c r="L120" i="3"/>
  <c r="N120" i="3" s="1"/>
  <c r="K120" i="3"/>
  <c r="J120" i="3"/>
  <c r="E120" i="3"/>
  <c r="D120" i="3"/>
  <c r="T119" i="3"/>
  <c r="S119" i="3"/>
  <c r="R119" i="3"/>
  <c r="Q119" i="3"/>
  <c r="P119" i="3"/>
  <c r="O119" i="3"/>
  <c r="M119" i="3"/>
  <c r="L119" i="3"/>
  <c r="N119" i="3" s="1"/>
  <c r="K119" i="3"/>
  <c r="J119" i="3"/>
  <c r="E119" i="3"/>
  <c r="D119" i="3"/>
  <c r="T118" i="3"/>
  <c r="S118" i="3"/>
  <c r="R118" i="3"/>
  <c r="Q118" i="3"/>
  <c r="P118" i="3"/>
  <c r="O118" i="3"/>
  <c r="M118" i="3"/>
  <c r="L118" i="3"/>
  <c r="N118" i="3" s="1"/>
  <c r="K118" i="3"/>
  <c r="J118" i="3"/>
  <c r="E118" i="3"/>
  <c r="D118" i="3"/>
  <c r="T117" i="3"/>
  <c r="S117" i="3"/>
  <c r="R117" i="3"/>
  <c r="Q117" i="3"/>
  <c r="P117" i="3"/>
  <c r="O117" i="3"/>
  <c r="M117" i="3"/>
  <c r="L117" i="3"/>
  <c r="N117" i="3" s="1"/>
  <c r="K117" i="3"/>
  <c r="J117" i="3"/>
  <c r="E117" i="3"/>
  <c r="D117" i="3"/>
  <c r="T116" i="3"/>
  <c r="S116" i="3"/>
  <c r="R116" i="3"/>
  <c r="Q116" i="3"/>
  <c r="P116" i="3"/>
  <c r="O116" i="3"/>
  <c r="M116" i="3"/>
  <c r="L116" i="3"/>
  <c r="N116" i="3" s="1"/>
  <c r="K116" i="3"/>
  <c r="J116" i="3"/>
  <c r="E116" i="3"/>
  <c r="D116" i="3"/>
  <c r="T115" i="3"/>
  <c r="S115" i="3"/>
  <c r="R115" i="3"/>
  <c r="Q115" i="3"/>
  <c r="P115" i="3"/>
  <c r="O115" i="3"/>
  <c r="M115" i="3"/>
  <c r="L115" i="3"/>
  <c r="N115" i="3" s="1"/>
  <c r="K115" i="3"/>
  <c r="J115" i="3"/>
  <c r="E115" i="3"/>
  <c r="D115" i="3"/>
  <c r="T114" i="3"/>
  <c r="S114" i="3"/>
  <c r="R114" i="3"/>
  <c r="Q114" i="3"/>
  <c r="P114" i="3"/>
  <c r="O114" i="3"/>
  <c r="M114" i="3"/>
  <c r="L114" i="3"/>
  <c r="N114" i="3" s="1"/>
  <c r="K114" i="3"/>
  <c r="J114" i="3"/>
  <c r="E114" i="3"/>
  <c r="D114" i="3"/>
  <c r="T113" i="3"/>
  <c r="S113" i="3"/>
  <c r="R113" i="3"/>
  <c r="Q113" i="3"/>
  <c r="P113" i="3"/>
  <c r="O113" i="3"/>
  <c r="M113" i="3"/>
  <c r="L113" i="3"/>
  <c r="N113" i="3" s="1"/>
  <c r="K113" i="3"/>
  <c r="J113" i="3"/>
  <c r="E113" i="3"/>
  <c r="D113" i="3"/>
  <c r="T112" i="3"/>
  <c r="S112" i="3"/>
  <c r="R112" i="3"/>
  <c r="Q112" i="3"/>
  <c r="P112" i="3"/>
  <c r="O112" i="3"/>
  <c r="M112" i="3"/>
  <c r="L112" i="3"/>
  <c r="N112" i="3" s="1"/>
  <c r="K112" i="3"/>
  <c r="J112" i="3"/>
  <c r="E112" i="3"/>
  <c r="D112" i="3"/>
  <c r="T111" i="3"/>
  <c r="S111" i="3"/>
  <c r="R111" i="3"/>
  <c r="Q111" i="3"/>
  <c r="P111" i="3"/>
  <c r="O111" i="3"/>
  <c r="M111" i="3"/>
  <c r="L111" i="3"/>
  <c r="N111" i="3" s="1"/>
  <c r="K111" i="3"/>
  <c r="J111" i="3"/>
  <c r="E111" i="3"/>
  <c r="D111" i="3"/>
  <c r="T110" i="3"/>
  <c r="S110" i="3"/>
  <c r="R110" i="3"/>
  <c r="Q110" i="3"/>
  <c r="P110" i="3"/>
  <c r="O110" i="3"/>
  <c r="M110" i="3"/>
  <c r="L110" i="3"/>
  <c r="N110" i="3" s="1"/>
  <c r="K110" i="3"/>
  <c r="J110" i="3"/>
  <c r="E110" i="3"/>
  <c r="D110" i="3"/>
  <c r="T109" i="3"/>
  <c r="S109" i="3"/>
  <c r="R109" i="3"/>
  <c r="Q109" i="3"/>
  <c r="P109" i="3"/>
  <c r="O109" i="3"/>
  <c r="M109" i="3"/>
  <c r="L109" i="3"/>
  <c r="N109" i="3" s="1"/>
  <c r="K109" i="3"/>
  <c r="J109" i="3"/>
  <c r="E109" i="3"/>
  <c r="D109" i="3"/>
  <c r="T108" i="3"/>
  <c r="S108" i="3"/>
  <c r="R108" i="3"/>
  <c r="Q108" i="3"/>
  <c r="P108" i="3"/>
  <c r="O108" i="3"/>
  <c r="M108" i="3"/>
  <c r="L108" i="3"/>
  <c r="N108" i="3" s="1"/>
  <c r="K108" i="3"/>
  <c r="J108" i="3"/>
  <c r="E108" i="3"/>
  <c r="D108" i="3"/>
  <c r="T107" i="3"/>
  <c r="S107" i="3"/>
  <c r="R107" i="3"/>
  <c r="Q107" i="3"/>
  <c r="P107" i="3"/>
  <c r="O107" i="3"/>
  <c r="M107" i="3"/>
  <c r="L107" i="3"/>
  <c r="N107" i="3" s="1"/>
  <c r="K107" i="3"/>
  <c r="J107" i="3"/>
  <c r="E107" i="3"/>
  <c r="D107" i="3"/>
  <c r="T106" i="3"/>
  <c r="S106" i="3"/>
  <c r="R106" i="3"/>
  <c r="Q106" i="3"/>
  <c r="P106" i="3"/>
  <c r="O106" i="3"/>
  <c r="M106" i="3"/>
  <c r="L106" i="3"/>
  <c r="N106" i="3" s="1"/>
  <c r="K106" i="3"/>
  <c r="J106" i="3"/>
  <c r="E106" i="3"/>
  <c r="D106" i="3"/>
  <c r="T105" i="3"/>
  <c r="S105" i="3"/>
  <c r="R105" i="3"/>
  <c r="Q105" i="3"/>
  <c r="P105" i="3"/>
  <c r="O105" i="3"/>
  <c r="M105" i="3"/>
  <c r="L105" i="3"/>
  <c r="N105" i="3" s="1"/>
  <c r="K105" i="3"/>
  <c r="J105" i="3"/>
  <c r="E105" i="3"/>
  <c r="D105" i="3"/>
  <c r="T104" i="3"/>
  <c r="S104" i="3"/>
  <c r="R104" i="3"/>
  <c r="Q104" i="3"/>
  <c r="P104" i="3"/>
  <c r="O104" i="3"/>
  <c r="M104" i="3"/>
  <c r="L104" i="3"/>
  <c r="N104" i="3" s="1"/>
  <c r="K104" i="3"/>
  <c r="J104" i="3"/>
  <c r="E104" i="3"/>
  <c r="D104" i="3"/>
  <c r="T103" i="3"/>
  <c r="S103" i="3"/>
  <c r="R103" i="3"/>
  <c r="Q103" i="3"/>
  <c r="P103" i="3"/>
  <c r="O103" i="3"/>
  <c r="M103" i="3"/>
  <c r="L103" i="3"/>
  <c r="N103" i="3" s="1"/>
  <c r="K103" i="3"/>
  <c r="J103" i="3"/>
  <c r="E103" i="3"/>
  <c r="D103" i="3"/>
  <c r="T102" i="3"/>
  <c r="S102" i="3"/>
  <c r="R102" i="3"/>
  <c r="Q102" i="3"/>
  <c r="P102" i="3"/>
  <c r="O102" i="3"/>
  <c r="M102" i="3"/>
  <c r="L102" i="3"/>
  <c r="N102" i="3" s="1"/>
  <c r="K102" i="3"/>
  <c r="J102" i="3"/>
  <c r="E102" i="3"/>
  <c r="D102" i="3"/>
  <c r="T101" i="3"/>
  <c r="S101" i="3"/>
  <c r="R101" i="3"/>
  <c r="Q101" i="3"/>
  <c r="P101" i="3"/>
  <c r="O101" i="3"/>
  <c r="M101" i="3"/>
  <c r="L101" i="3"/>
  <c r="N101" i="3" s="1"/>
  <c r="K101" i="3"/>
  <c r="J101" i="3"/>
  <c r="E101" i="3"/>
  <c r="D101" i="3"/>
  <c r="T100" i="3"/>
  <c r="S100" i="3"/>
  <c r="R100" i="3"/>
  <c r="Q100" i="3"/>
  <c r="P100" i="3"/>
  <c r="O100" i="3"/>
  <c r="M100" i="3"/>
  <c r="L100" i="3"/>
  <c r="N100" i="3" s="1"/>
  <c r="K100" i="3"/>
  <c r="J100" i="3"/>
  <c r="E100" i="3"/>
  <c r="D100" i="3"/>
  <c r="T99" i="3"/>
  <c r="S99" i="3"/>
  <c r="R99" i="3"/>
  <c r="Q99" i="3"/>
  <c r="P99" i="3"/>
  <c r="O99" i="3"/>
  <c r="M99" i="3"/>
  <c r="L99" i="3"/>
  <c r="N99" i="3" s="1"/>
  <c r="K99" i="3"/>
  <c r="J99" i="3"/>
  <c r="E99" i="3"/>
  <c r="D99" i="3"/>
  <c r="T98" i="3"/>
  <c r="S98" i="3"/>
  <c r="R98" i="3"/>
  <c r="Q98" i="3"/>
  <c r="P98" i="3"/>
  <c r="O98" i="3"/>
  <c r="M98" i="3"/>
  <c r="L98" i="3"/>
  <c r="N98" i="3" s="1"/>
  <c r="K98" i="3"/>
  <c r="J98" i="3"/>
  <c r="E98" i="3"/>
  <c r="D98" i="3"/>
  <c r="T97" i="3"/>
  <c r="S97" i="3"/>
  <c r="R97" i="3"/>
  <c r="Q97" i="3"/>
  <c r="P97" i="3"/>
  <c r="O97" i="3"/>
  <c r="M97" i="3"/>
  <c r="L97" i="3"/>
  <c r="N97" i="3" s="1"/>
  <c r="K97" i="3"/>
  <c r="J97" i="3"/>
  <c r="E97" i="3"/>
  <c r="D97" i="3"/>
  <c r="T96" i="3"/>
  <c r="S96" i="3"/>
  <c r="R96" i="3"/>
  <c r="Q96" i="3"/>
  <c r="P96" i="3"/>
  <c r="O96" i="3"/>
  <c r="M96" i="3"/>
  <c r="L96" i="3"/>
  <c r="N96" i="3" s="1"/>
  <c r="K96" i="3"/>
  <c r="J96" i="3"/>
  <c r="E96" i="3"/>
  <c r="D96" i="3"/>
  <c r="T95" i="3"/>
  <c r="S95" i="3"/>
  <c r="R95" i="3"/>
  <c r="Q95" i="3"/>
  <c r="P95" i="3"/>
  <c r="O95" i="3"/>
  <c r="M95" i="3"/>
  <c r="L95" i="3"/>
  <c r="N95" i="3" s="1"/>
  <c r="K95" i="3"/>
  <c r="J95" i="3"/>
  <c r="E95" i="3"/>
  <c r="D95" i="3"/>
  <c r="T94" i="3"/>
  <c r="S94" i="3"/>
  <c r="R94" i="3"/>
  <c r="Q94" i="3"/>
  <c r="P94" i="3"/>
  <c r="O94" i="3"/>
  <c r="M94" i="3"/>
  <c r="L94" i="3"/>
  <c r="N94" i="3" s="1"/>
  <c r="K94" i="3"/>
  <c r="J94" i="3"/>
  <c r="E94" i="3"/>
  <c r="D94" i="3"/>
  <c r="T93" i="3"/>
  <c r="S93" i="3"/>
  <c r="R93" i="3"/>
  <c r="Q93" i="3"/>
  <c r="P93" i="3"/>
  <c r="O93" i="3"/>
  <c r="M93" i="3"/>
  <c r="L93" i="3"/>
  <c r="N93" i="3" s="1"/>
  <c r="K93" i="3"/>
  <c r="J93" i="3"/>
  <c r="E93" i="3"/>
  <c r="D93" i="3"/>
  <c r="T92" i="3"/>
  <c r="S92" i="3"/>
  <c r="R92" i="3"/>
  <c r="Q92" i="3"/>
  <c r="P92" i="3"/>
  <c r="O92" i="3"/>
  <c r="M92" i="3"/>
  <c r="L92" i="3"/>
  <c r="N92" i="3" s="1"/>
  <c r="K92" i="3"/>
  <c r="J92" i="3"/>
  <c r="E92" i="3"/>
  <c r="D92" i="3"/>
  <c r="T91" i="3"/>
  <c r="S91" i="3"/>
  <c r="R91" i="3"/>
  <c r="Q91" i="3"/>
  <c r="P91" i="3"/>
  <c r="O91" i="3"/>
  <c r="M91" i="3"/>
  <c r="L91" i="3"/>
  <c r="N91" i="3" s="1"/>
  <c r="K91" i="3"/>
  <c r="J91" i="3"/>
  <c r="E91" i="3"/>
  <c r="D91" i="3"/>
  <c r="T90" i="3"/>
  <c r="S90" i="3"/>
  <c r="R90" i="3"/>
  <c r="Q90" i="3"/>
  <c r="P90" i="3"/>
  <c r="O90" i="3"/>
  <c r="M90" i="3"/>
  <c r="L90" i="3"/>
  <c r="N90" i="3" s="1"/>
  <c r="K90" i="3"/>
  <c r="J90" i="3"/>
  <c r="E90" i="3"/>
  <c r="D90" i="3"/>
  <c r="T89" i="3"/>
  <c r="S89" i="3"/>
  <c r="R89" i="3"/>
  <c r="Q89" i="3"/>
  <c r="P89" i="3"/>
  <c r="O89" i="3"/>
  <c r="M89" i="3"/>
  <c r="L89" i="3"/>
  <c r="N89" i="3" s="1"/>
  <c r="K89" i="3"/>
  <c r="J89" i="3"/>
  <c r="E89" i="3"/>
  <c r="D89" i="3"/>
  <c r="T88" i="3"/>
  <c r="S88" i="3"/>
  <c r="R88" i="3"/>
  <c r="Q88" i="3"/>
  <c r="P88" i="3"/>
  <c r="O88" i="3"/>
  <c r="M88" i="3"/>
  <c r="L88" i="3"/>
  <c r="N88" i="3" s="1"/>
  <c r="K88" i="3"/>
  <c r="J88" i="3"/>
  <c r="E88" i="3"/>
  <c r="D88" i="3"/>
  <c r="T87" i="3"/>
  <c r="S87" i="3"/>
  <c r="R87" i="3"/>
  <c r="Q87" i="3"/>
  <c r="P87" i="3"/>
  <c r="O87" i="3"/>
  <c r="M87" i="3"/>
  <c r="L87" i="3"/>
  <c r="N87" i="3" s="1"/>
  <c r="K87" i="3"/>
  <c r="J87" i="3"/>
  <c r="E87" i="3"/>
  <c r="D87" i="3"/>
  <c r="T86" i="3"/>
  <c r="S86" i="3"/>
  <c r="R86" i="3"/>
  <c r="Q86" i="3"/>
  <c r="P86" i="3"/>
  <c r="O86" i="3"/>
  <c r="M86" i="3"/>
  <c r="L86" i="3"/>
  <c r="N86" i="3" s="1"/>
  <c r="K86" i="3"/>
  <c r="J86" i="3"/>
  <c r="E86" i="3"/>
  <c r="D86" i="3"/>
  <c r="T85" i="3"/>
  <c r="S85" i="3"/>
  <c r="R85" i="3"/>
  <c r="Q85" i="3"/>
  <c r="P85" i="3"/>
  <c r="O85" i="3"/>
  <c r="M85" i="3"/>
  <c r="L85" i="3"/>
  <c r="N85" i="3" s="1"/>
  <c r="K85" i="3"/>
  <c r="J85" i="3"/>
  <c r="E85" i="3"/>
  <c r="D85" i="3"/>
  <c r="T84" i="3"/>
  <c r="S84" i="3"/>
  <c r="R84" i="3"/>
  <c r="Q84" i="3"/>
  <c r="P84" i="3"/>
  <c r="O84" i="3"/>
  <c r="M84" i="3"/>
  <c r="L84" i="3"/>
  <c r="N84" i="3" s="1"/>
  <c r="K84" i="3"/>
  <c r="J84" i="3"/>
  <c r="E84" i="3"/>
  <c r="D84" i="3"/>
  <c r="T83" i="3"/>
  <c r="S83" i="3"/>
  <c r="R83" i="3"/>
  <c r="Q83" i="3"/>
  <c r="P83" i="3"/>
  <c r="O83" i="3"/>
  <c r="M83" i="3"/>
  <c r="L83" i="3"/>
  <c r="N83" i="3" s="1"/>
  <c r="K83" i="3"/>
  <c r="J83" i="3"/>
  <c r="E83" i="3"/>
  <c r="D83" i="3"/>
  <c r="T82" i="3"/>
  <c r="S82" i="3"/>
  <c r="R82" i="3"/>
  <c r="Q82" i="3"/>
  <c r="P82" i="3"/>
  <c r="O82" i="3"/>
  <c r="M82" i="3"/>
  <c r="L82" i="3"/>
  <c r="N82" i="3" s="1"/>
  <c r="K82" i="3"/>
  <c r="J82" i="3"/>
  <c r="E82" i="3"/>
  <c r="D82" i="3"/>
  <c r="T81" i="3"/>
  <c r="S81" i="3"/>
  <c r="R81" i="3"/>
  <c r="Q81" i="3"/>
  <c r="P81" i="3"/>
  <c r="O81" i="3"/>
  <c r="M81" i="3"/>
  <c r="L81" i="3"/>
  <c r="N81" i="3" s="1"/>
  <c r="K81" i="3"/>
  <c r="J81" i="3"/>
  <c r="E81" i="3"/>
  <c r="D81" i="3"/>
  <c r="T80" i="3"/>
  <c r="S80" i="3"/>
  <c r="R80" i="3"/>
  <c r="Q80" i="3"/>
  <c r="P80" i="3"/>
  <c r="O80" i="3"/>
  <c r="M80" i="3"/>
  <c r="L80" i="3"/>
  <c r="N80" i="3" s="1"/>
  <c r="K80" i="3"/>
  <c r="J80" i="3"/>
  <c r="E80" i="3"/>
  <c r="D80" i="3"/>
  <c r="T79" i="3"/>
  <c r="S79" i="3"/>
  <c r="R79" i="3"/>
  <c r="Q79" i="3"/>
  <c r="P79" i="3"/>
  <c r="O79" i="3"/>
  <c r="M79" i="3"/>
  <c r="L79" i="3"/>
  <c r="N79" i="3" s="1"/>
  <c r="K79" i="3"/>
  <c r="J79" i="3"/>
  <c r="E79" i="3"/>
  <c r="D79" i="3"/>
  <c r="T78" i="3"/>
  <c r="S78" i="3"/>
  <c r="R78" i="3"/>
  <c r="Q78" i="3"/>
  <c r="P78" i="3"/>
  <c r="O78" i="3"/>
  <c r="M78" i="3"/>
  <c r="L78" i="3"/>
  <c r="N78" i="3" s="1"/>
  <c r="K78" i="3"/>
  <c r="J78" i="3"/>
  <c r="E78" i="3"/>
  <c r="D78" i="3"/>
  <c r="T77" i="3"/>
  <c r="S77" i="3"/>
  <c r="R77" i="3"/>
  <c r="Q77" i="3"/>
  <c r="P77" i="3"/>
  <c r="O77" i="3"/>
  <c r="M77" i="3"/>
  <c r="L77" i="3"/>
  <c r="N77" i="3" s="1"/>
  <c r="K77" i="3"/>
  <c r="J77" i="3"/>
  <c r="E77" i="3"/>
  <c r="D77" i="3"/>
  <c r="T76" i="3"/>
  <c r="S76" i="3"/>
  <c r="R76" i="3"/>
  <c r="Q76" i="3"/>
  <c r="P76" i="3"/>
  <c r="O76" i="3"/>
  <c r="M76" i="3"/>
  <c r="L76" i="3"/>
  <c r="N76" i="3" s="1"/>
  <c r="K76" i="3"/>
  <c r="J76" i="3"/>
  <c r="E76" i="3"/>
  <c r="D76" i="3"/>
  <c r="T75" i="3"/>
  <c r="S75" i="3"/>
  <c r="R75" i="3"/>
  <c r="Q75" i="3"/>
  <c r="P75" i="3"/>
  <c r="O75" i="3"/>
  <c r="M75" i="3"/>
  <c r="L75" i="3"/>
  <c r="N75" i="3" s="1"/>
  <c r="K75" i="3"/>
  <c r="J75" i="3"/>
  <c r="E75" i="3"/>
  <c r="D75" i="3"/>
  <c r="T74" i="3"/>
  <c r="S74" i="3"/>
  <c r="R74" i="3"/>
  <c r="Q74" i="3"/>
  <c r="P74" i="3"/>
  <c r="O74" i="3"/>
  <c r="M74" i="3"/>
  <c r="L74" i="3"/>
  <c r="N74" i="3" s="1"/>
  <c r="K74" i="3"/>
  <c r="J74" i="3"/>
  <c r="E74" i="3"/>
  <c r="D74" i="3"/>
  <c r="T73" i="3"/>
  <c r="S73" i="3"/>
  <c r="R73" i="3"/>
  <c r="Q73" i="3"/>
  <c r="P73" i="3"/>
  <c r="O73" i="3"/>
  <c r="M73" i="3"/>
  <c r="L73" i="3"/>
  <c r="N73" i="3" s="1"/>
  <c r="K73" i="3"/>
  <c r="J73" i="3"/>
  <c r="E73" i="3"/>
  <c r="D73" i="3"/>
  <c r="T72" i="3"/>
  <c r="S72" i="3"/>
  <c r="R72" i="3"/>
  <c r="Q72" i="3"/>
  <c r="P72" i="3"/>
  <c r="O72" i="3"/>
  <c r="M72" i="3"/>
  <c r="L72" i="3"/>
  <c r="N72" i="3" s="1"/>
  <c r="K72" i="3"/>
  <c r="J72" i="3"/>
  <c r="E72" i="3"/>
  <c r="D72" i="3"/>
  <c r="T71" i="3"/>
  <c r="S71" i="3"/>
  <c r="R71" i="3"/>
  <c r="Q71" i="3"/>
  <c r="P71" i="3"/>
  <c r="O71" i="3"/>
  <c r="M71" i="3"/>
  <c r="L71" i="3"/>
  <c r="N71" i="3" s="1"/>
  <c r="K71" i="3"/>
  <c r="J71" i="3"/>
  <c r="E71" i="3"/>
  <c r="D71" i="3"/>
  <c r="T70" i="3"/>
  <c r="S70" i="3"/>
  <c r="R70" i="3"/>
  <c r="Q70" i="3"/>
  <c r="P70" i="3"/>
  <c r="O70" i="3"/>
  <c r="M70" i="3"/>
  <c r="L70" i="3"/>
  <c r="N70" i="3" s="1"/>
  <c r="K70" i="3"/>
  <c r="J70" i="3"/>
  <c r="E70" i="3"/>
  <c r="D70" i="3"/>
  <c r="T69" i="3"/>
  <c r="S69" i="3"/>
  <c r="R69" i="3"/>
  <c r="Q69" i="3"/>
  <c r="P69" i="3"/>
  <c r="O69" i="3"/>
  <c r="M69" i="3"/>
  <c r="L69" i="3"/>
  <c r="N69" i="3" s="1"/>
  <c r="K69" i="3"/>
  <c r="J69" i="3"/>
  <c r="E69" i="3"/>
  <c r="D69" i="3"/>
  <c r="T68" i="3"/>
  <c r="S68" i="3"/>
  <c r="R68" i="3"/>
  <c r="Q68" i="3"/>
  <c r="P68" i="3"/>
  <c r="O68" i="3"/>
  <c r="M68" i="3"/>
  <c r="L68" i="3"/>
  <c r="N68" i="3" s="1"/>
  <c r="K68" i="3"/>
  <c r="J68" i="3"/>
  <c r="E68" i="3"/>
  <c r="D68" i="3"/>
  <c r="T67" i="3"/>
  <c r="S67" i="3"/>
  <c r="R67" i="3"/>
  <c r="Q67" i="3"/>
  <c r="P67" i="3"/>
  <c r="O67" i="3"/>
  <c r="M67" i="3"/>
  <c r="L67" i="3"/>
  <c r="N67" i="3" s="1"/>
  <c r="K67" i="3"/>
  <c r="J67" i="3"/>
  <c r="E67" i="3"/>
  <c r="D67" i="3"/>
  <c r="T66" i="3"/>
  <c r="S66" i="3"/>
  <c r="R66" i="3"/>
  <c r="Q66" i="3"/>
  <c r="P66" i="3"/>
  <c r="O66" i="3"/>
  <c r="M66" i="3"/>
  <c r="L66" i="3"/>
  <c r="N66" i="3" s="1"/>
  <c r="K66" i="3"/>
  <c r="J66" i="3"/>
  <c r="E66" i="3"/>
  <c r="D66" i="3"/>
  <c r="T65" i="3"/>
  <c r="S65" i="3"/>
  <c r="R65" i="3"/>
  <c r="Q65" i="3"/>
  <c r="P65" i="3"/>
  <c r="O65" i="3"/>
  <c r="M65" i="3"/>
  <c r="L65" i="3"/>
  <c r="N65" i="3" s="1"/>
  <c r="K65" i="3"/>
  <c r="J65" i="3"/>
  <c r="E65" i="3"/>
  <c r="D65" i="3"/>
  <c r="T64" i="3"/>
  <c r="S64" i="3"/>
  <c r="R64" i="3"/>
  <c r="Q64" i="3"/>
  <c r="P64" i="3"/>
  <c r="O64" i="3"/>
  <c r="M64" i="3"/>
  <c r="L64" i="3"/>
  <c r="N64" i="3" s="1"/>
  <c r="K64" i="3"/>
  <c r="J64" i="3"/>
  <c r="E64" i="3"/>
  <c r="D64" i="3"/>
  <c r="T63" i="3"/>
  <c r="S63" i="3"/>
  <c r="R63" i="3"/>
  <c r="Q63" i="3"/>
  <c r="P63" i="3"/>
  <c r="O63" i="3"/>
  <c r="M63" i="3"/>
  <c r="L63" i="3"/>
  <c r="N63" i="3" s="1"/>
  <c r="K63" i="3"/>
  <c r="J63" i="3"/>
  <c r="E63" i="3"/>
  <c r="D63" i="3"/>
  <c r="T62" i="3"/>
  <c r="S62" i="3"/>
  <c r="R62" i="3"/>
  <c r="Q62" i="3"/>
  <c r="P62" i="3"/>
  <c r="O62" i="3"/>
  <c r="M62" i="3"/>
  <c r="L62" i="3"/>
  <c r="N62" i="3" s="1"/>
  <c r="K62" i="3"/>
  <c r="J62" i="3"/>
  <c r="E62" i="3"/>
  <c r="D62" i="3"/>
  <c r="T61" i="3"/>
  <c r="S61" i="3"/>
  <c r="R61" i="3"/>
  <c r="Q61" i="3"/>
  <c r="P61" i="3"/>
  <c r="O61" i="3"/>
  <c r="M61" i="3"/>
  <c r="L61" i="3"/>
  <c r="N61" i="3" s="1"/>
  <c r="K61" i="3"/>
  <c r="J61" i="3"/>
  <c r="E61" i="3"/>
  <c r="D61" i="3"/>
  <c r="T60" i="3"/>
  <c r="S60" i="3"/>
  <c r="R60" i="3"/>
  <c r="Q60" i="3"/>
  <c r="P60" i="3"/>
  <c r="O60" i="3"/>
  <c r="M60" i="3"/>
  <c r="L60" i="3"/>
  <c r="N60" i="3" s="1"/>
  <c r="K60" i="3"/>
  <c r="J60" i="3"/>
  <c r="E60" i="3"/>
  <c r="D60" i="3"/>
  <c r="T59" i="3"/>
  <c r="S59" i="3"/>
  <c r="R59" i="3"/>
  <c r="Q59" i="3"/>
  <c r="P59" i="3"/>
  <c r="O59" i="3"/>
  <c r="M59" i="3"/>
  <c r="L59" i="3"/>
  <c r="N59" i="3" s="1"/>
  <c r="K59" i="3"/>
  <c r="J59" i="3"/>
  <c r="E59" i="3"/>
  <c r="D59" i="3"/>
  <c r="T58" i="3"/>
  <c r="S58" i="3"/>
  <c r="R58" i="3"/>
  <c r="Q58" i="3"/>
  <c r="P58" i="3"/>
  <c r="O58" i="3"/>
  <c r="M58" i="3"/>
  <c r="L58" i="3"/>
  <c r="N58" i="3" s="1"/>
  <c r="K58" i="3"/>
  <c r="J58" i="3"/>
  <c r="E58" i="3"/>
  <c r="D58" i="3"/>
  <c r="T57" i="3"/>
  <c r="S57" i="3"/>
  <c r="R57" i="3"/>
  <c r="Q57" i="3"/>
  <c r="P57" i="3"/>
  <c r="O57" i="3"/>
  <c r="M57" i="3"/>
  <c r="L57" i="3"/>
  <c r="N57" i="3" s="1"/>
  <c r="K57" i="3"/>
  <c r="J57" i="3"/>
  <c r="E57" i="3"/>
  <c r="D57" i="3"/>
  <c r="T56" i="3"/>
  <c r="S56" i="3"/>
  <c r="R56" i="3"/>
  <c r="Q56" i="3"/>
  <c r="P56" i="3"/>
  <c r="O56" i="3"/>
  <c r="M56" i="3"/>
  <c r="L56" i="3"/>
  <c r="N56" i="3" s="1"/>
  <c r="K56" i="3"/>
  <c r="J56" i="3"/>
  <c r="E56" i="3"/>
  <c r="D56" i="3"/>
  <c r="T55" i="3"/>
  <c r="S55" i="3"/>
  <c r="R55" i="3"/>
  <c r="Q55" i="3"/>
  <c r="P55" i="3"/>
  <c r="O55" i="3"/>
  <c r="M55" i="3"/>
  <c r="L55" i="3"/>
  <c r="N55" i="3" s="1"/>
  <c r="K55" i="3"/>
  <c r="J55" i="3"/>
  <c r="E55" i="3"/>
  <c r="D55" i="3"/>
  <c r="T54" i="3"/>
  <c r="S54" i="3"/>
  <c r="R54" i="3"/>
  <c r="Q54" i="3"/>
  <c r="P54" i="3"/>
  <c r="O54" i="3"/>
  <c r="M54" i="3"/>
  <c r="L54" i="3"/>
  <c r="N54" i="3" s="1"/>
  <c r="K54" i="3"/>
  <c r="J54" i="3"/>
  <c r="E54" i="3"/>
  <c r="D54" i="3"/>
  <c r="T53" i="3"/>
  <c r="S53" i="3"/>
  <c r="R53" i="3"/>
  <c r="Q53" i="3"/>
  <c r="P53" i="3"/>
  <c r="O53" i="3"/>
  <c r="M53" i="3"/>
  <c r="L53" i="3"/>
  <c r="N53" i="3" s="1"/>
  <c r="K53" i="3"/>
  <c r="J53" i="3"/>
  <c r="E53" i="3"/>
  <c r="D53" i="3"/>
  <c r="T52" i="3"/>
  <c r="S52" i="3"/>
  <c r="R52" i="3"/>
  <c r="Q52" i="3"/>
  <c r="P52" i="3"/>
  <c r="O52" i="3"/>
  <c r="M52" i="3"/>
  <c r="L52" i="3"/>
  <c r="N52" i="3" s="1"/>
  <c r="K52" i="3"/>
  <c r="J52" i="3"/>
  <c r="E52" i="3"/>
  <c r="D52" i="3"/>
  <c r="T51" i="3"/>
  <c r="S51" i="3"/>
  <c r="R51" i="3"/>
  <c r="Q51" i="3"/>
  <c r="P51" i="3"/>
  <c r="O51" i="3"/>
  <c r="M51" i="3"/>
  <c r="L51" i="3"/>
  <c r="N51" i="3" s="1"/>
  <c r="K51" i="3"/>
  <c r="J51" i="3"/>
  <c r="E51" i="3"/>
  <c r="D51" i="3"/>
  <c r="T50" i="3"/>
  <c r="S50" i="3"/>
  <c r="R50" i="3"/>
  <c r="Q50" i="3"/>
  <c r="P50" i="3"/>
  <c r="O50" i="3"/>
  <c r="M50" i="3"/>
  <c r="L50" i="3"/>
  <c r="N50" i="3" s="1"/>
  <c r="K50" i="3"/>
  <c r="J50" i="3"/>
  <c r="E50" i="3"/>
  <c r="D50" i="3"/>
  <c r="T49" i="3"/>
  <c r="S49" i="3"/>
  <c r="R49" i="3"/>
  <c r="Q49" i="3"/>
  <c r="P49" i="3"/>
  <c r="O49" i="3"/>
  <c r="M49" i="3"/>
  <c r="L49" i="3"/>
  <c r="N49" i="3" s="1"/>
  <c r="K49" i="3"/>
  <c r="J49" i="3"/>
  <c r="E49" i="3"/>
  <c r="D49" i="3"/>
  <c r="T48" i="3"/>
  <c r="S48" i="3"/>
  <c r="R48" i="3"/>
  <c r="Q48" i="3"/>
  <c r="P48" i="3"/>
  <c r="O48" i="3"/>
  <c r="M48" i="3"/>
  <c r="L48" i="3"/>
  <c r="N48" i="3" s="1"/>
  <c r="K48" i="3"/>
  <c r="J48" i="3"/>
  <c r="E48" i="3"/>
  <c r="D48" i="3"/>
  <c r="T47" i="3"/>
  <c r="S47" i="3"/>
  <c r="R47" i="3"/>
  <c r="Q47" i="3"/>
  <c r="P47" i="3"/>
  <c r="O47" i="3"/>
  <c r="M47" i="3"/>
  <c r="L47" i="3"/>
  <c r="N47" i="3" s="1"/>
  <c r="K47" i="3"/>
  <c r="J47" i="3"/>
  <c r="E47" i="3"/>
  <c r="D47" i="3"/>
  <c r="T46" i="3"/>
  <c r="S46" i="3"/>
  <c r="R46" i="3"/>
  <c r="Q46" i="3"/>
  <c r="P46" i="3"/>
  <c r="O46" i="3"/>
  <c r="M46" i="3"/>
  <c r="L46" i="3"/>
  <c r="N46" i="3" s="1"/>
  <c r="K46" i="3"/>
  <c r="J46" i="3"/>
  <c r="E46" i="3"/>
  <c r="D46" i="3"/>
  <c r="T45" i="3"/>
  <c r="S45" i="3"/>
  <c r="R45" i="3"/>
  <c r="Q45" i="3"/>
  <c r="P45" i="3"/>
  <c r="O45" i="3"/>
  <c r="M45" i="3"/>
  <c r="L45" i="3"/>
  <c r="N45" i="3" s="1"/>
  <c r="K45" i="3"/>
  <c r="J45" i="3"/>
  <c r="E45" i="3"/>
  <c r="D45" i="3"/>
  <c r="T44" i="3"/>
  <c r="S44" i="3"/>
  <c r="R44" i="3"/>
  <c r="Q44" i="3"/>
  <c r="P44" i="3"/>
  <c r="O44" i="3"/>
  <c r="M44" i="3"/>
  <c r="L44" i="3"/>
  <c r="N44" i="3" s="1"/>
  <c r="K44" i="3"/>
  <c r="J44" i="3"/>
  <c r="E44" i="3"/>
  <c r="D44" i="3"/>
  <c r="T43" i="3"/>
  <c r="S43" i="3"/>
  <c r="R43" i="3"/>
  <c r="Q43" i="3"/>
  <c r="P43" i="3"/>
  <c r="O43" i="3"/>
  <c r="M43" i="3"/>
  <c r="L43" i="3"/>
  <c r="N43" i="3" s="1"/>
  <c r="K43" i="3"/>
  <c r="J43" i="3"/>
  <c r="E43" i="3"/>
  <c r="D43" i="3"/>
  <c r="T42" i="3"/>
  <c r="S42" i="3"/>
  <c r="R42" i="3"/>
  <c r="Q42" i="3"/>
  <c r="P42" i="3"/>
  <c r="O42" i="3"/>
  <c r="M42" i="3"/>
  <c r="L42" i="3"/>
  <c r="N42" i="3" s="1"/>
  <c r="K42" i="3"/>
  <c r="J42" i="3"/>
  <c r="E42" i="3"/>
  <c r="D42" i="3"/>
  <c r="T41" i="3"/>
  <c r="S41" i="3"/>
  <c r="R41" i="3"/>
  <c r="Q41" i="3"/>
  <c r="P41" i="3"/>
  <c r="O41" i="3"/>
  <c r="M41" i="3"/>
  <c r="L41" i="3"/>
  <c r="N41" i="3" s="1"/>
  <c r="K41" i="3"/>
  <c r="J41" i="3"/>
  <c r="E41" i="3"/>
  <c r="D41" i="3"/>
  <c r="T40" i="3"/>
  <c r="S40" i="3"/>
  <c r="R40" i="3"/>
  <c r="Q40" i="3"/>
  <c r="P40" i="3"/>
  <c r="O40" i="3"/>
  <c r="M40" i="3"/>
  <c r="L40" i="3"/>
  <c r="N40" i="3" s="1"/>
  <c r="K40" i="3"/>
  <c r="J40" i="3"/>
  <c r="E40" i="3"/>
  <c r="D40" i="3"/>
  <c r="T39" i="3"/>
  <c r="S39" i="3"/>
  <c r="R39" i="3"/>
  <c r="Q39" i="3"/>
  <c r="P39" i="3"/>
  <c r="O39" i="3"/>
  <c r="M39" i="3"/>
  <c r="L39" i="3"/>
  <c r="N39" i="3" s="1"/>
  <c r="K39" i="3"/>
  <c r="J39" i="3"/>
  <c r="E39" i="3"/>
  <c r="D39" i="3"/>
  <c r="T38" i="3"/>
  <c r="S38" i="3"/>
  <c r="R38" i="3"/>
  <c r="Q38" i="3"/>
  <c r="P38" i="3"/>
  <c r="O38" i="3"/>
  <c r="M38" i="3"/>
  <c r="L38" i="3"/>
  <c r="N38" i="3" s="1"/>
  <c r="K38" i="3"/>
  <c r="J38" i="3"/>
  <c r="E38" i="3"/>
  <c r="D38" i="3"/>
  <c r="T37" i="3"/>
  <c r="S37" i="3"/>
  <c r="R37" i="3"/>
  <c r="Q37" i="3"/>
  <c r="P37" i="3"/>
  <c r="O37" i="3"/>
  <c r="M37" i="3"/>
  <c r="L37" i="3"/>
  <c r="N37" i="3" s="1"/>
  <c r="K37" i="3"/>
  <c r="J37" i="3"/>
  <c r="E37" i="3"/>
  <c r="D37" i="3"/>
  <c r="T36" i="3"/>
  <c r="S36" i="3"/>
  <c r="R36" i="3"/>
  <c r="Q36" i="3"/>
  <c r="P36" i="3"/>
  <c r="O36" i="3"/>
  <c r="M36" i="3"/>
  <c r="L36" i="3"/>
  <c r="N36" i="3" s="1"/>
  <c r="K36" i="3"/>
  <c r="J36" i="3"/>
  <c r="E36" i="3"/>
  <c r="D36" i="3"/>
  <c r="T35" i="3"/>
  <c r="S35" i="3"/>
  <c r="R35" i="3"/>
  <c r="Q35" i="3"/>
  <c r="P35" i="3"/>
  <c r="O35" i="3"/>
  <c r="M35" i="3"/>
  <c r="L35" i="3"/>
  <c r="N35" i="3" s="1"/>
  <c r="K35" i="3"/>
  <c r="J35" i="3"/>
  <c r="E35" i="3"/>
  <c r="D35" i="3"/>
  <c r="T34" i="3"/>
  <c r="S34" i="3"/>
  <c r="R34" i="3"/>
  <c r="Q34" i="3"/>
  <c r="P34" i="3"/>
  <c r="O34" i="3"/>
  <c r="M34" i="3"/>
  <c r="L34" i="3"/>
  <c r="N34" i="3" s="1"/>
  <c r="K34" i="3"/>
  <c r="J34" i="3"/>
  <c r="E34" i="3"/>
  <c r="D34" i="3"/>
  <c r="T33" i="3"/>
  <c r="S33" i="3"/>
  <c r="R33" i="3"/>
  <c r="Q33" i="3"/>
  <c r="P33" i="3"/>
  <c r="O33" i="3"/>
  <c r="M33" i="3"/>
  <c r="L33" i="3"/>
  <c r="N33" i="3" s="1"/>
  <c r="K33" i="3"/>
  <c r="J33" i="3"/>
  <c r="E33" i="3"/>
  <c r="D33" i="3"/>
  <c r="T32" i="3"/>
  <c r="S32" i="3"/>
  <c r="R32" i="3"/>
  <c r="Q32" i="3"/>
  <c r="P32" i="3"/>
  <c r="O32" i="3"/>
  <c r="M32" i="3"/>
  <c r="L32" i="3"/>
  <c r="N32" i="3" s="1"/>
  <c r="K32" i="3"/>
  <c r="J32" i="3"/>
  <c r="E32" i="3"/>
  <c r="D32" i="3"/>
  <c r="T31" i="3"/>
  <c r="S31" i="3"/>
  <c r="R31" i="3"/>
  <c r="Q31" i="3"/>
  <c r="P31" i="3"/>
  <c r="O31" i="3"/>
  <c r="M31" i="3"/>
  <c r="L31" i="3"/>
  <c r="N31" i="3" s="1"/>
  <c r="K31" i="3"/>
  <c r="J31" i="3"/>
  <c r="E31" i="3"/>
  <c r="D31" i="3"/>
  <c r="T30" i="3"/>
  <c r="S30" i="3"/>
  <c r="R30" i="3"/>
  <c r="Q30" i="3"/>
  <c r="P30" i="3"/>
  <c r="O30" i="3"/>
  <c r="M30" i="3"/>
  <c r="L30" i="3"/>
  <c r="N30" i="3" s="1"/>
  <c r="K30" i="3"/>
  <c r="J30" i="3"/>
  <c r="E30" i="3"/>
  <c r="D30" i="3"/>
  <c r="T29" i="3"/>
  <c r="S29" i="3"/>
  <c r="R29" i="3"/>
  <c r="Q29" i="3"/>
  <c r="P29" i="3"/>
  <c r="O29" i="3"/>
  <c r="M29" i="3"/>
  <c r="L29" i="3"/>
  <c r="N29" i="3" s="1"/>
  <c r="K29" i="3"/>
  <c r="J29" i="3"/>
  <c r="E29" i="3"/>
  <c r="D29" i="3"/>
  <c r="T28" i="3"/>
  <c r="S28" i="3"/>
  <c r="R28" i="3"/>
  <c r="Q28" i="3"/>
  <c r="P28" i="3"/>
  <c r="O28" i="3"/>
  <c r="M28" i="3"/>
  <c r="L28" i="3"/>
  <c r="N28" i="3" s="1"/>
  <c r="K28" i="3"/>
  <c r="J28" i="3"/>
  <c r="E28" i="3"/>
  <c r="D28" i="3"/>
  <c r="T27" i="3"/>
  <c r="S27" i="3"/>
  <c r="R27" i="3"/>
  <c r="Q27" i="3"/>
  <c r="P27" i="3"/>
  <c r="O27" i="3"/>
  <c r="M27" i="3"/>
  <c r="L27" i="3"/>
  <c r="N27" i="3" s="1"/>
  <c r="K27" i="3"/>
  <c r="J27" i="3"/>
  <c r="E27" i="3"/>
  <c r="D27" i="3"/>
  <c r="T26" i="3"/>
  <c r="S26" i="3"/>
  <c r="R26" i="3"/>
  <c r="Q26" i="3"/>
  <c r="P26" i="3"/>
  <c r="O26" i="3"/>
  <c r="M26" i="3"/>
  <c r="L26" i="3"/>
  <c r="N26" i="3" s="1"/>
  <c r="K26" i="3"/>
  <c r="J26" i="3"/>
  <c r="E26" i="3"/>
  <c r="D26" i="3"/>
  <c r="T25" i="3"/>
  <c r="S25" i="3"/>
  <c r="R25" i="3"/>
  <c r="Q25" i="3"/>
  <c r="P25" i="3"/>
  <c r="O25" i="3"/>
  <c r="M25" i="3"/>
  <c r="L25" i="3"/>
  <c r="N25" i="3" s="1"/>
  <c r="K25" i="3"/>
  <c r="J25" i="3"/>
  <c r="E25" i="3"/>
  <c r="D25" i="3"/>
  <c r="T24" i="3"/>
  <c r="S24" i="3"/>
  <c r="R24" i="3"/>
  <c r="Q24" i="3"/>
  <c r="P24" i="3"/>
  <c r="O24" i="3"/>
  <c r="M24" i="3"/>
  <c r="L24" i="3"/>
  <c r="N24" i="3" s="1"/>
  <c r="K24" i="3"/>
  <c r="J24" i="3"/>
  <c r="E24" i="3"/>
  <c r="D24" i="3"/>
  <c r="T23" i="3"/>
  <c r="S23" i="3"/>
  <c r="R23" i="3"/>
  <c r="Q23" i="3"/>
  <c r="P23" i="3"/>
  <c r="O23" i="3"/>
  <c r="M23" i="3"/>
  <c r="L23" i="3"/>
  <c r="N23" i="3" s="1"/>
  <c r="K23" i="3"/>
  <c r="J23" i="3"/>
  <c r="E23" i="3"/>
  <c r="D23" i="3"/>
  <c r="T22" i="3"/>
  <c r="S22" i="3"/>
  <c r="R22" i="3"/>
  <c r="Q22" i="3"/>
  <c r="P22" i="3"/>
  <c r="O22" i="3"/>
  <c r="M22" i="3"/>
  <c r="L22" i="3"/>
  <c r="N22" i="3" s="1"/>
  <c r="K22" i="3"/>
  <c r="J22" i="3"/>
  <c r="E22" i="3"/>
  <c r="D22" i="3"/>
  <c r="T21" i="3"/>
  <c r="S21" i="3"/>
  <c r="R21" i="3"/>
  <c r="Q21" i="3"/>
  <c r="P21" i="3"/>
  <c r="O21" i="3"/>
  <c r="M21" i="3"/>
  <c r="L21" i="3"/>
  <c r="N21" i="3" s="1"/>
  <c r="K21" i="3"/>
  <c r="J21" i="3"/>
  <c r="E21" i="3"/>
  <c r="D21" i="3"/>
  <c r="T20" i="3"/>
  <c r="S20" i="3"/>
  <c r="R20" i="3"/>
  <c r="Q20" i="3"/>
  <c r="P20" i="3"/>
  <c r="O20" i="3"/>
  <c r="M20" i="3"/>
  <c r="L20" i="3"/>
  <c r="N20" i="3" s="1"/>
  <c r="K20" i="3"/>
  <c r="J20" i="3"/>
  <c r="E20" i="3"/>
  <c r="D20" i="3"/>
  <c r="T19" i="3"/>
  <c r="S19" i="3"/>
  <c r="R19" i="3"/>
  <c r="Q19" i="3"/>
  <c r="P19" i="3"/>
  <c r="O19" i="3"/>
  <c r="M19" i="3"/>
  <c r="L19" i="3"/>
  <c r="N19" i="3" s="1"/>
  <c r="K19" i="3"/>
  <c r="J19" i="3"/>
  <c r="E19" i="3"/>
  <c r="D19" i="3"/>
  <c r="T18" i="3"/>
  <c r="S18" i="3"/>
  <c r="R18" i="3"/>
  <c r="Q18" i="3"/>
  <c r="P18" i="3"/>
  <c r="O18" i="3"/>
  <c r="M18" i="3"/>
  <c r="L18" i="3"/>
  <c r="N18" i="3" s="1"/>
  <c r="K18" i="3"/>
  <c r="J18" i="3"/>
  <c r="E18" i="3"/>
  <c r="D18" i="3"/>
  <c r="T17" i="3"/>
  <c r="S17" i="3"/>
  <c r="R17" i="3"/>
  <c r="Q17" i="3"/>
  <c r="P17" i="3"/>
  <c r="O17" i="3"/>
  <c r="M17" i="3"/>
  <c r="L17" i="3"/>
  <c r="N17" i="3" s="1"/>
  <c r="K17" i="3"/>
  <c r="J17" i="3"/>
  <c r="E17" i="3"/>
  <c r="D17" i="3"/>
  <c r="T16" i="3"/>
  <c r="S16" i="3"/>
  <c r="R16" i="3"/>
  <c r="Q16" i="3"/>
  <c r="P16" i="3"/>
  <c r="O16" i="3"/>
  <c r="M16" i="3"/>
  <c r="L16" i="3"/>
  <c r="N16" i="3" s="1"/>
  <c r="K16" i="3"/>
  <c r="J16" i="3"/>
  <c r="E16" i="3"/>
  <c r="D16" i="3"/>
  <c r="T15" i="3"/>
  <c r="S15" i="3"/>
  <c r="R15" i="3"/>
  <c r="Q15" i="3"/>
  <c r="P15" i="3"/>
  <c r="O15" i="3"/>
  <c r="M15" i="3"/>
  <c r="L15" i="3"/>
  <c r="N15" i="3" s="1"/>
  <c r="K15" i="3"/>
  <c r="J15" i="3"/>
  <c r="E15" i="3"/>
  <c r="D15" i="3"/>
  <c r="T14" i="3"/>
  <c r="S14" i="3"/>
  <c r="R14" i="3"/>
  <c r="Q14" i="3"/>
  <c r="P14" i="3"/>
  <c r="O14" i="3"/>
  <c r="M14" i="3"/>
  <c r="L14" i="3"/>
  <c r="N14" i="3" s="1"/>
  <c r="K14" i="3"/>
  <c r="J14" i="3"/>
  <c r="E14" i="3"/>
  <c r="D14" i="3"/>
  <c r="T13" i="3"/>
  <c r="S13" i="3"/>
  <c r="R13" i="3"/>
  <c r="Q13" i="3"/>
  <c r="P13" i="3"/>
  <c r="O13" i="3"/>
  <c r="M13" i="3"/>
  <c r="L13" i="3"/>
  <c r="N13" i="3" s="1"/>
  <c r="K13" i="3"/>
  <c r="J13" i="3"/>
  <c r="E13" i="3"/>
  <c r="D13" i="3"/>
  <c r="S12" i="3"/>
  <c r="R12" i="3"/>
  <c r="O12" i="3"/>
  <c r="L12" i="3"/>
  <c r="N12" i="3" s="1"/>
  <c r="E12" i="3"/>
  <c r="D12" i="3"/>
  <c r="S10" i="3"/>
  <c r="J10" i="3"/>
  <c r="S9" i="3"/>
  <c r="O9" i="3"/>
  <c r="J9" i="3"/>
  <c r="M8" i="3"/>
  <c r="J8" i="3"/>
  <c r="Q7" i="3"/>
  <c r="M7" i="3"/>
  <c r="D7" i="3"/>
  <c r="T5" i="3"/>
  <c r="P5" i="3"/>
  <c r="M5" i="3"/>
  <c r="E5" i="3"/>
  <c r="R4" i="3"/>
  <c r="O4" i="3"/>
  <c r="D9" i="3" l="1"/>
  <c r="D8" i="3"/>
  <c r="K7" i="3"/>
  <c r="L7" i="3" s="1"/>
  <c r="N7" i="3" s="1"/>
  <c r="E7" i="3"/>
  <c r="D6" i="3"/>
  <c r="L5" i="3"/>
  <c r="N5" i="3" s="1"/>
  <c r="D4" i="3"/>
  <c r="K9" i="3" l="1"/>
  <c r="L9" i="3" s="1"/>
  <c r="N9" i="3" s="1"/>
  <c r="E9" i="3"/>
  <c r="E8" i="3"/>
  <c r="K8" i="3"/>
  <c r="L8" i="3" s="1"/>
  <c r="N8" i="3" s="1"/>
  <c r="E6" i="3"/>
  <c r="K6" i="3"/>
  <c r="L6" i="3" s="1"/>
  <c r="N6" i="3" s="1"/>
  <c r="K4" i="3"/>
  <c r="L4" i="3" s="1"/>
  <c r="N4" i="3" s="1"/>
  <c r="E4" i="3"/>
</calcChain>
</file>

<file path=xl/sharedStrings.xml><?xml version="1.0" encoding="utf-8"?>
<sst xmlns="http://schemas.openxmlformats.org/spreadsheetml/2006/main" count="142" uniqueCount="101">
  <si>
    <t>Enregistrement : Contrôle métrologique des poids
(production)</t>
  </si>
  <si>
    <t>EN051-Q</t>
  </si>
  <si>
    <t>Approbateur : DR</t>
  </si>
  <si>
    <t>Date de création : 08/06/18</t>
  </si>
  <si>
    <t>Date de MAJ : 08/02/22</t>
  </si>
  <si>
    <t>Version 6</t>
  </si>
  <si>
    <t>Produit</t>
  </si>
  <si>
    <t>cranberries</t>
  </si>
  <si>
    <t>multi wazabe</t>
  </si>
  <si>
    <t>cocos</t>
  </si>
  <si>
    <t>gingembre</t>
  </si>
  <si>
    <r>
      <rPr>
        <b/>
        <sz val="11"/>
        <color rgb="FF000000"/>
        <rFont val="Calibri"/>
        <family val="2"/>
        <charset val="1"/>
      </rPr>
      <t xml:space="preserve">Emballage
</t>
    </r>
    <r>
      <rPr>
        <sz val="10"/>
        <color rgb="FF000000"/>
        <rFont val="Calibri"/>
        <family val="2"/>
        <charset val="1"/>
      </rPr>
      <t>vrac xkg / cts-plt x sachets</t>
    </r>
  </si>
  <si>
    <r>
      <rPr>
        <b/>
        <sz val="11"/>
        <color rgb="FF000000"/>
        <rFont val="Calibri"/>
        <family val="2"/>
        <charset val="1"/>
      </rPr>
      <t xml:space="preserve">Quantité produite
</t>
    </r>
    <r>
      <rPr>
        <sz val="9"/>
        <color rgb="FF000000"/>
        <rFont val="Calibri"/>
        <family val="2"/>
        <charset val="1"/>
      </rPr>
      <t>nombre cts / plt</t>
    </r>
  </si>
  <si>
    <t>Lot</t>
  </si>
  <si>
    <t>28046</t>
  </si>
  <si>
    <t>Poids en kg</t>
  </si>
  <si>
    <t>Nbre échantillons</t>
  </si>
  <si>
    <t>0 ,514</t>
  </si>
  <si>
    <t>Moyenne</t>
  </si>
  <si>
    <t>Écart-type</t>
  </si>
  <si>
    <t>Archive</t>
  </si>
  <si>
    <t>Date</t>
  </si>
  <si>
    <t>Emballage</t>
  </si>
  <si>
    <t>Quantité</t>
  </si>
  <si>
    <t>Poids (kg)</t>
  </si>
  <si>
    <t>Ecart-type</t>
  </si>
  <si>
    <t xml:space="preserve">Poids par échantillonnage (hors trieuse pondérale) : Fruits secs + vrac </t>
  </si>
  <si>
    <t>EN080-Q</t>
  </si>
  <si>
    <t>N° Lot</t>
  </si>
  <si>
    <t>Poids tare (kg)</t>
  </si>
  <si>
    <t xml:space="preserve"> Ms : seuil de centrage (kg)</t>
  </si>
  <si>
    <t>Objectif poids max (kg)</t>
  </si>
  <si>
    <t xml:space="preserve">Nombre de mesure </t>
  </si>
  <si>
    <t>Nombre d'échantillons objectifs</t>
  </si>
  <si>
    <t>X : Poids moyen sachets échantillon</t>
  </si>
  <si>
    <t xml:space="preserve"> S : Ecart-type sachets conformes</t>
  </si>
  <si>
    <t>G : selon table en annexe</t>
  </si>
  <si>
    <t>Ms + G*S</t>
  </si>
  <si>
    <t>Conformité</t>
  </si>
  <si>
    <t>Nb ctrl</t>
  </si>
  <si>
    <t>Nb C</t>
  </si>
  <si>
    <t>Contrôle des dépassements des poids</t>
  </si>
  <si>
    <t>Version 3</t>
  </si>
  <si>
    <t>Approbateur: DR</t>
  </si>
  <si>
    <t xml:space="preserve">Date de création: 07/11/2020 </t>
  </si>
  <si>
    <t>Date de mise à jour : 09/01/23</t>
  </si>
  <si>
    <t>Page 1 sur 2</t>
  </si>
  <si>
    <t>Contrôle par échantillonnage sans utilisation du signe "e"</t>
  </si>
  <si>
    <t>Poids produit</t>
  </si>
  <si>
    <t>Tare appliquée en g</t>
  </si>
  <si>
    <t>Selon guide de bonnes pratiques concernant les modalités de contrôle métrologique interne à réaliser par emplisseurs et importateurs, de produits préemballés (NOR : ERNC1415921X de la DGCCRF)</t>
  </si>
  <si>
    <t>Définitions</t>
  </si>
  <si>
    <t>x =  moyenne de l'échantillon</t>
  </si>
  <si>
    <t>ms = seuil de centrage soit masse du produit théorique + tare du sachet</t>
  </si>
  <si>
    <t>n = effectif de l'échantillon</t>
  </si>
  <si>
    <t>s = écart type de l'échantillon</t>
  </si>
  <si>
    <t>g = seuil de confiance = valeur donnée par table annexe 3 selon la quantité de l'échantillon</t>
  </si>
  <si>
    <t xml:space="preserve">Echantillon conforme si </t>
  </si>
  <si>
    <t>x &gt; ou = ms + g*s</t>
  </si>
  <si>
    <t>EXEMPLES</t>
  </si>
  <si>
    <t>Abri 3</t>
  </si>
  <si>
    <t>poids produit</t>
  </si>
  <si>
    <t>tare</t>
  </si>
  <si>
    <t>ms =</t>
  </si>
  <si>
    <t>s =</t>
  </si>
  <si>
    <t>x =</t>
  </si>
  <si>
    <t>g =</t>
  </si>
  <si>
    <t xml:space="preserve"> ms + g*s =</t>
  </si>
  <si>
    <t>&lt;</t>
  </si>
  <si>
    <t xml:space="preserve"> à x donc </t>
  </si>
  <si>
    <t>conforme</t>
  </si>
  <si>
    <t>den igp 4/5</t>
  </si>
  <si>
    <t>08014-1</t>
  </si>
  <si>
    <t>Effectif échantillon</t>
  </si>
  <si>
    <t>Valeur de G</t>
  </si>
  <si>
    <t>CONTRÔLE PAR ECHANTILLONNAGE</t>
  </si>
  <si>
    <t>Tous les lots de préemballés doivent faire l’objet d’un contrôle de masses.</t>
  </si>
  <si>
    <t>Pour les sachets pruneaux, abricots et figues, un contrôle systématique du poids est effectué avec la trieuse pondérale et les sachets non conformes sont éjectés.</t>
  </si>
  <si>
    <t>Pour les autres produits, le contrôle est effectué par échantillonnage selon le guide de bonnes pratiques NOR :ERNC1415921X.</t>
  </si>
  <si>
    <t>Le nombre d’échantillons à contrôler est défini en fonction de la taille du lot et doit être prélevé au hasard dans le lot, au minimum à trois moments différents (début, milieu et fin de lot).</t>
  </si>
  <si>
    <t>Effectif du lot (x)</t>
  </si>
  <si>
    <t>Effectif de l’échantillon</t>
  </si>
  <si>
    <t xml:space="preserve"> x ≤ 500</t>
  </si>
  <si>
    <t>500 &lt; x ≤ 3200</t>
  </si>
  <si>
    <t>3200 &lt; x</t>
  </si>
  <si>
    <t>Tableau 1 : Effectif de l’échantillon en fonction de l’effectif du lot</t>
  </si>
  <si>
    <t>Les produits doivent être pesés AVEC leur emballage primaire. Ce qui signifie qu’AUCUNE tare ne doit être réalisée.</t>
  </si>
  <si>
    <t xml:space="preserve">Les résultats des pesées doivent être récupérés et analysés, chaque jour, par le service qualité </t>
  </si>
  <si>
    <t>Guide de bonnes pratiques - contrôle métrologique interne</t>
  </si>
  <si>
    <t>Annexe 5</t>
  </si>
  <si>
    <r>
      <rPr>
        <b/>
        <sz val="14"/>
        <color rgb="FF000000"/>
        <rFont val="Calibri"/>
        <family val="2"/>
        <charset val="1"/>
      </rPr>
      <t xml:space="preserve">Contenu nominale "QN"
</t>
    </r>
    <r>
      <rPr>
        <sz val="11"/>
        <color rgb="FF000000"/>
        <rFont val="Calibri"/>
        <family val="2"/>
        <charset val="1"/>
      </rPr>
      <t>(en kg)</t>
    </r>
  </si>
  <si>
    <t>Données utilisées</t>
  </si>
  <si>
    <t>Erreurs en moins</t>
  </si>
  <si>
    <t>En pourcentage de "QN"</t>
  </si>
  <si>
    <t>en gr ou ml</t>
  </si>
  <si>
    <t>Min</t>
  </si>
  <si>
    <t>Max</t>
  </si>
  <si>
    <t>Version 4</t>
  </si>
  <si>
    <t>Paprika</t>
  </si>
  <si>
    <t>5897</t>
  </si>
  <si>
    <t>2358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</si>
</sst>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9">
    <font>
      <sz val="11"/>
      <color rgb="FF000000"/>
      <name val="Liberation Sans1"/>
      <charset val="1"/>
    </font>
    <font>
      <sz val="10"/>
      <color rgb="FFFFFFFF"/>
      <name val="Liberation Sans1"/>
      <charset val="1"/>
    </font>
    <font>
      <b/>
      <sz val="10"/>
      <color rgb="FF000000"/>
      <name val="Liberation Sans1"/>
      <charset val="1"/>
    </font>
    <font>
      <sz val="10"/>
      <color rgb="FFCC0000"/>
      <name val="Liberation Sans1"/>
      <charset val="1"/>
    </font>
    <font>
      <b/>
      <sz val="11"/>
      <color rgb="FFFF0000"/>
      <name val="Liberation Sans1"/>
      <charset val="1"/>
    </font>
    <font>
      <b/>
      <sz val="10"/>
      <color rgb="FFFFFFFF"/>
      <name val="Liberation Sans1"/>
      <charset val="1"/>
    </font>
    <font>
      <i/>
      <sz val="10"/>
      <color rgb="FF808080"/>
      <name val="Liberation Sans1"/>
      <charset val="1"/>
    </font>
    <font>
      <sz val="10"/>
      <color rgb="FF006600"/>
      <name val="Liberation Sans1"/>
      <charset val="1"/>
    </font>
    <font>
      <sz val="18"/>
      <color rgb="FF000000"/>
      <name val="Liberation Sans1"/>
      <charset val="1"/>
    </font>
    <font>
      <b/>
      <sz val="24"/>
      <color rgb="FF000000"/>
      <name val="Liberation Sans1"/>
      <charset val="1"/>
    </font>
    <font>
      <sz val="12"/>
      <color rgb="FF000000"/>
      <name val="Liberation Sans1"/>
      <charset val="1"/>
    </font>
    <font>
      <u/>
      <sz val="10"/>
      <color rgb="FF0000EE"/>
      <name val="Liberation Sans1"/>
      <charset val="1"/>
    </font>
    <font>
      <sz val="10"/>
      <color rgb="FF996600"/>
      <name val="Liberation Sans1"/>
      <charset val="1"/>
    </font>
    <font>
      <sz val="11"/>
      <color rgb="FF000000"/>
      <name val="Calibri"/>
      <family val="2"/>
      <charset val="1"/>
    </font>
    <font>
      <b/>
      <i/>
      <u/>
      <sz val="11"/>
      <color rgb="FF000000"/>
      <name val="Liberation Sans1"/>
      <charset val="1"/>
    </font>
    <font>
      <sz val="11"/>
      <color rgb="FF000000"/>
      <name val="Times New Roman"/>
      <family val="1"/>
      <charset val="1"/>
    </font>
    <font>
      <sz val="14"/>
      <color rgb="FF000000"/>
      <name val="Times New Roman"/>
      <family val="1"/>
      <charset val="1"/>
    </font>
    <font>
      <sz val="9"/>
      <color rgb="FF000000"/>
      <name val="Times New Roman"/>
      <family val="1"/>
      <charset val="1"/>
    </font>
    <font>
      <sz val="12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b/>
      <sz val="11"/>
      <color rgb="FFC00000"/>
      <name val="Calibri"/>
      <family val="2"/>
      <charset val="1"/>
    </font>
    <font>
      <sz val="10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/>
      <sz val="12"/>
      <name val="Calibri"/>
      <family val="2"/>
      <charset val="1"/>
    </font>
    <font>
      <sz val="16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rgb="FF006100"/>
      <name val="Calibri"/>
      <family val="2"/>
      <charset val="1"/>
    </font>
    <font>
      <b/>
      <sz val="20"/>
      <color rgb="FF000000"/>
      <name val="Calibri"/>
      <family val="2"/>
      <charset val="1"/>
    </font>
    <font>
      <b/>
      <sz val="12"/>
      <color rgb="FF000000"/>
      <name val="Arial"/>
      <family val="2"/>
      <charset val="1"/>
    </font>
    <font>
      <i/>
      <sz val="11"/>
      <color rgb="FF000000"/>
      <name val="Calibri"/>
      <family val="2"/>
      <charset val="1"/>
    </font>
    <font>
      <b/>
      <sz val="11"/>
      <color rgb="FF000000"/>
      <name val="Arial"/>
      <family val="2"/>
      <charset val="1"/>
    </font>
    <font>
      <b/>
      <sz val="16"/>
      <color rgb="FF000000"/>
      <name val="Liberation Sans1"/>
      <charset val="1"/>
    </font>
    <font>
      <b/>
      <sz val="11"/>
      <color rgb="FF000000"/>
      <name val="Liberation Sans1"/>
      <charset val="1"/>
    </font>
    <font>
      <i/>
      <sz val="11"/>
      <color rgb="FF000000"/>
      <name val="Liberation Sans1"/>
      <charset val="1"/>
    </font>
    <font>
      <b/>
      <sz val="14"/>
      <color rgb="FF000000"/>
      <name val="Calibri"/>
      <family val="2"/>
      <charset val="1"/>
    </font>
    <font>
      <i/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1"/>
      <color rgb="FF000000"/>
      <name val="Liberation Sans1"/>
      <charset val="1"/>
    </font>
    <font>
      <b/>
      <sz val="16"/>
      <color rgb="FFC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000000"/>
        <bgColor rgb="FF00008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E6E0EC"/>
      </patternFill>
    </fill>
    <fill>
      <patternFill patternType="solid">
        <fgColor rgb="FFFFCCCC"/>
        <bgColor rgb="FFF9DED9"/>
      </patternFill>
    </fill>
    <fill>
      <patternFill patternType="solid">
        <fgColor rgb="FFFBF7FF"/>
        <bgColor rgb="FFFBF9FD"/>
      </patternFill>
    </fill>
    <fill>
      <patternFill patternType="solid">
        <fgColor rgb="FFF6C6A2"/>
        <bgColor rgb="FFFFCCCC"/>
      </patternFill>
    </fill>
    <fill>
      <patternFill patternType="solid">
        <fgColor rgb="FFF9DED9"/>
        <bgColor rgb="FFE6E0EC"/>
      </patternFill>
    </fill>
    <fill>
      <patternFill patternType="solid">
        <fgColor rgb="FFCC0000"/>
        <bgColor rgb="FFC00000"/>
      </patternFill>
    </fill>
    <fill>
      <patternFill patternType="solid">
        <fgColor rgb="FFCCFFCC"/>
        <bgColor rgb="FFC6EFCE"/>
      </patternFill>
    </fill>
    <fill>
      <patternFill patternType="solid">
        <fgColor rgb="FFFFFFCC"/>
        <bgColor rgb="FFFFF2CC"/>
      </patternFill>
    </fill>
    <fill>
      <patternFill patternType="solid">
        <fgColor rgb="FFC6EFCE"/>
        <bgColor rgb="FFCCFFCC"/>
      </patternFill>
    </fill>
    <fill>
      <patternFill patternType="solid">
        <fgColor rgb="FFFBF9FD"/>
        <bgColor rgb="FFFBF7FF"/>
      </patternFill>
    </fill>
    <fill>
      <patternFill patternType="solid">
        <fgColor rgb="FFF2F2F2"/>
        <bgColor rgb="FFFBF7FF"/>
      </patternFill>
    </fill>
    <fill>
      <patternFill patternType="solid">
        <fgColor rgb="FFE6E0EC"/>
        <bgColor rgb="FFE7E6E6"/>
      </patternFill>
    </fill>
    <fill>
      <patternFill patternType="solid">
        <fgColor rgb="FFFFFF00"/>
        <bgColor rgb="FFFFFFCC"/>
      </patternFill>
    </fill>
    <fill>
      <patternFill patternType="solid">
        <fgColor rgb="FFE2F0D9"/>
        <bgColor rgb="FFE2EFDA"/>
      </patternFill>
    </fill>
    <fill>
      <patternFill patternType="solid">
        <fgColor rgb="FFE2EFDA"/>
        <bgColor rgb="FFE2F0D9"/>
      </patternFill>
    </fill>
    <fill>
      <patternFill patternType="solid">
        <fgColor rgb="FFE7E6E6"/>
        <bgColor rgb="FFE6E0EC"/>
      </patternFill>
    </fill>
    <fill>
      <patternFill patternType="solid">
        <fgColor rgb="FFFFFFFF"/>
        <bgColor rgb="FFFBF9FD"/>
      </patternFill>
    </fill>
    <fill>
      <patternFill patternType="solid">
        <fgColor rgb="FFD9E1F2"/>
        <bgColor rgb="FFE6E0EC"/>
      </patternFill>
    </fill>
    <fill>
      <patternFill patternType="solid">
        <fgColor rgb="FFFFF2CC"/>
        <bgColor rgb="FFFFFFCC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1">
    <xf numFmtId="0" fontId="0" fillId="0" borderId="0"/>
    <xf numFmtId="0" fontId="1" fillId="2" borderId="0" applyBorder="0" applyProtection="0"/>
    <xf numFmtId="0" fontId="1" fillId="3" borderId="0" applyBorder="0" applyProtection="0"/>
    <xf numFmtId="0" fontId="2" fillId="4" borderId="0" applyBorder="0" applyProtection="0"/>
    <xf numFmtId="0" fontId="2" fillId="0" borderId="0" applyBorder="0" applyProtection="0"/>
    <xf numFmtId="0" fontId="3" fillId="5" borderId="0" applyBorder="0" applyProtection="0"/>
    <xf numFmtId="0" fontId="37" fillId="6" borderId="0" applyBorder="0" applyProtection="0"/>
    <xf numFmtId="0" fontId="4" fillId="7" borderId="0" applyBorder="0" applyProtection="0"/>
    <xf numFmtId="0" fontId="37" fillId="6" borderId="0" applyBorder="0" applyProtection="0"/>
    <xf numFmtId="0" fontId="37" fillId="6" borderId="0" applyBorder="0" applyProtection="0"/>
    <xf numFmtId="0" fontId="37" fillId="6" borderId="0" applyBorder="0" applyProtection="0"/>
    <xf numFmtId="0" fontId="37" fillId="6" borderId="0" applyBorder="0" applyProtection="0"/>
    <xf numFmtId="0" fontId="37" fillId="6" borderId="0" applyBorder="0" applyProtection="0"/>
    <xf numFmtId="0" fontId="37" fillId="6" borderId="0" applyBorder="0" applyProtection="0"/>
    <xf numFmtId="0" fontId="4" fillId="8" borderId="0" applyBorder="0" applyProtection="0"/>
    <xf numFmtId="0" fontId="37" fillId="6" borderId="0" applyBorder="0" applyProtection="0"/>
    <xf numFmtId="0" fontId="5" fillId="9" borderId="0" applyBorder="0" applyProtection="0"/>
    <xf numFmtId="0" fontId="6" fillId="0" borderId="0" applyBorder="0" applyProtection="0"/>
    <xf numFmtId="0" fontId="7" fillId="10" borderId="0" applyBorder="0" applyProtection="0"/>
    <xf numFmtId="0" fontId="8" fillId="0" borderId="0" applyBorder="0" applyProtection="0"/>
    <xf numFmtId="0" fontId="9" fillId="0" borderId="0" applyBorder="0" applyProtection="0"/>
    <xf numFmtId="0" fontId="10" fillId="0" borderId="0" applyBorder="0" applyProtection="0"/>
    <xf numFmtId="0" fontId="11" fillId="0" borderId="0" applyBorder="0" applyProtection="0"/>
    <xf numFmtId="0" fontId="12" fillId="11" borderId="0" applyBorder="0" applyProtection="0"/>
    <xf numFmtId="0" fontId="13" fillId="0" borderId="0" applyBorder="0" applyProtection="0"/>
    <xf numFmtId="0" fontId="37" fillId="0" borderId="0" applyBorder="0" applyProtection="0"/>
    <xf numFmtId="0" fontId="14" fillId="0" borderId="0" applyBorder="0" applyProtection="0"/>
    <xf numFmtId="0" fontId="37" fillId="0" borderId="0" applyBorder="0" applyProtection="0"/>
    <xf numFmtId="0" fontId="37" fillId="0" borderId="0" applyBorder="0" applyProtection="0"/>
    <xf numFmtId="0" fontId="3" fillId="0" borderId="0" applyBorder="0" applyProtection="0"/>
    <xf numFmtId="0" fontId="26" fillId="12" borderId="0" applyBorder="0" applyProtection="0"/>
  </cellStyleXfs>
  <cellXfs count="113">
    <xf numFmtId="0" fontId="0" fillId="0" borderId="0" xfId="0"/>
    <xf numFmtId="0" fontId="13" fillId="0" borderId="16" xfId="24" applyBorder="1" applyAlignment="1" applyProtection="1">
      <alignment horizontal="center" vertical="center"/>
    </xf>
    <xf numFmtId="0" fontId="18" fillId="13" borderId="2" xfId="0" applyFont="1" applyFill="1" applyBorder="1" applyAlignment="1">
      <alignment vertical="center"/>
    </xf>
    <xf numFmtId="0" fontId="15" fillId="13" borderId="1" xfId="0" applyFont="1" applyFill="1" applyBorder="1" applyAlignment="1">
      <alignment vertical="center" wrapText="1"/>
    </xf>
    <xf numFmtId="0" fontId="16" fillId="13" borderId="2" xfId="0" applyFont="1" applyFill="1" applyBorder="1" applyAlignment="1">
      <alignment vertical="center"/>
    </xf>
    <xf numFmtId="0" fontId="17" fillId="13" borderId="1" xfId="0" applyFont="1" applyFill="1" applyBorder="1" applyAlignment="1">
      <alignment vertical="center" wrapText="1"/>
    </xf>
    <xf numFmtId="0" fontId="17" fillId="14" borderId="3" xfId="0" applyFont="1" applyFill="1" applyBorder="1" applyAlignment="1">
      <alignment vertical="center" wrapText="1"/>
    </xf>
    <xf numFmtId="0" fontId="18" fillId="14" borderId="3" xfId="0" applyFont="1" applyFill="1" applyBorder="1" applyAlignment="1">
      <alignment vertical="center"/>
    </xf>
    <xf numFmtId="0" fontId="18" fillId="14" borderId="3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9" fillId="15" borderId="4" xfId="0" applyFont="1" applyFill="1" applyBorder="1" applyAlignment="1">
      <alignment horizontal="center"/>
    </xf>
    <xf numFmtId="0" fontId="20" fillId="15" borderId="4" xfId="0" applyFont="1" applyFill="1" applyBorder="1" applyAlignment="1" applyProtection="1">
      <alignment horizontal="center"/>
      <protection locked="0"/>
    </xf>
    <xf numFmtId="0" fontId="20" fillId="15" borderId="2" xfId="0" applyFont="1" applyFill="1" applyBorder="1" applyAlignment="1" applyProtection="1">
      <alignment horizontal="center"/>
      <protection locked="0"/>
    </xf>
    <xf numFmtId="0" fontId="19" fillId="15" borderId="5" xfId="0" applyFont="1" applyFill="1" applyBorder="1" applyAlignment="1">
      <alignment horizontal="center" wrapText="1"/>
    </xf>
    <xf numFmtId="0" fontId="20" fillId="15" borderId="4" xfId="0" applyFont="1" applyFill="1" applyBorder="1" applyAlignment="1" applyProtection="1">
      <alignment horizontal="center" vertical="center"/>
      <protection locked="0"/>
    </xf>
    <xf numFmtId="0" fontId="19" fillId="15" borderId="5" xfId="0" applyFont="1" applyFill="1" applyBorder="1" applyAlignment="1">
      <alignment horizontal="center"/>
    </xf>
    <xf numFmtId="49" fontId="20" fillId="15" borderId="4" xfId="0" applyNumberFormat="1" applyFont="1" applyFill="1" applyBorder="1" applyAlignment="1" applyProtection="1">
      <alignment horizontal="center"/>
      <protection locked="0"/>
    </xf>
    <xf numFmtId="4" fontId="19" fillId="15" borderId="5" xfId="0" applyNumberFormat="1" applyFont="1" applyFill="1" applyBorder="1" applyAlignment="1">
      <alignment horizontal="center"/>
    </xf>
    <xf numFmtId="4" fontId="20" fillId="15" borderId="4" xfId="0" applyNumberFormat="1" applyFont="1" applyFill="1" applyBorder="1" applyAlignment="1" applyProtection="1">
      <alignment horizontal="center"/>
      <protection locked="0"/>
    </xf>
    <xf numFmtId="4" fontId="20" fillId="15" borderId="2" xfId="0" applyNumberFormat="1" applyFont="1" applyFill="1" applyBorder="1" applyAlignment="1" applyProtection="1">
      <alignment horizontal="center"/>
      <protection locked="0"/>
    </xf>
    <xf numFmtId="4" fontId="19" fillId="16" borderId="5" xfId="0" applyNumberFormat="1" applyFont="1" applyFill="1" applyBorder="1" applyAlignment="1">
      <alignment horizontal="center"/>
    </xf>
    <xf numFmtId="3" fontId="23" fillId="16" borderId="4" xfId="0" applyNumberFormat="1" applyFont="1" applyFill="1" applyBorder="1" applyAlignment="1">
      <alignment horizontal="center"/>
    </xf>
    <xf numFmtId="3" fontId="23" fillId="16" borderId="2" xfId="0" applyNumberFormat="1" applyFon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13" borderId="2" xfId="0" applyNumberFormat="1" applyFill="1" applyBorder="1" applyAlignment="1">
      <alignment horizontal="center"/>
    </xf>
    <xf numFmtId="0" fontId="13" fillId="0" borderId="0" xfId="0" applyFont="1"/>
    <xf numFmtId="0" fontId="19" fillId="17" borderId="2" xfId="0" applyFont="1" applyFill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3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center"/>
    </xf>
    <xf numFmtId="49" fontId="21" fillId="0" borderId="6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49" fontId="21" fillId="18" borderId="0" xfId="0" applyNumberFormat="1" applyFont="1" applyFill="1" applyAlignment="1">
      <alignment horizontal="center"/>
    </xf>
    <xf numFmtId="0" fontId="25" fillId="18" borderId="8" xfId="0" applyFont="1" applyFill="1" applyBorder="1" applyAlignment="1">
      <alignment horizontal="center" vertical="center" wrapText="1"/>
    </xf>
    <xf numFmtId="0" fontId="25" fillId="18" borderId="9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10" xfId="0" applyFont="1" applyFill="1" applyBorder="1" applyAlignment="1">
      <alignment horizontal="center" vertical="center" wrapText="1"/>
    </xf>
    <xf numFmtId="49" fontId="25" fillId="18" borderId="11" xfId="0" applyNumberFormat="1" applyFont="1" applyFill="1" applyBorder="1" applyAlignment="1">
      <alignment horizontal="center" vertical="center"/>
    </xf>
    <xf numFmtId="0" fontId="25" fillId="18" borderId="2" xfId="30" applyFont="1" applyFill="1" applyBorder="1" applyAlignment="1" applyProtection="1">
      <alignment horizontal="center" vertical="center" wrapText="1"/>
    </xf>
    <xf numFmtId="0" fontId="25" fillId="18" borderId="4" xfId="30" applyFont="1" applyFill="1" applyBorder="1" applyAlignment="1" applyProtection="1">
      <alignment horizontal="center" vertical="center" wrapText="1"/>
    </xf>
    <xf numFmtId="0" fontId="25" fillId="18" borderId="12" xfId="30" applyFont="1" applyFill="1" applyBorder="1" applyAlignment="1" applyProtection="1">
      <alignment horizontal="center" vertical="center" wrapText="1"/>
    </xf>
    <xf numFmtId="0" fontId="21" fillId="19" borderId="2" xfId="0" applyFont="1" applyFill="1" applyBorder="1" applyAlignment="1">
      <alignment horizontal="center"/>
    </xf>
    <xf numFmtId="165" fontId="21" fillId="19" borderId="13" xfId="0" applyNumberFormat="1" applyFont="1" applyFill="1" applyBorder="1" applyAlignment="1">
      <alignment horizontal="center"/>
    </xf>
    <xf numFmtId="2" fontId="21" fillId="19" borderId="2" xfId="0" applyNumberFormat="1" applyFont="1" applyFill="1" applyBorder="1" applyAlignment="1">
      <alignment horizontal="center"/>
    </xf>
    <xf numFmtId="165" fontId="21" fillId="19" borderId="2" xfId="0" applyNumberFormat="1" applyFont="1" applyFill="1" applyBorder="1" applyAlignment="1">
      <alignment horizontal="center"/>
    </xf>
    <xf numFmtId="164" fontId="21" fillId="19" borderId="2" xfId="0" applyNumberFormat="1" applyFont="1" applyFill="1" applyBorder="1" applyAlignment="1">
      <alignment horizontal="center"/>
    </xf>
    <xf numFmtId="0" fontId="21" fillId="19" borderId="4" xfId="0" applyFont="1" applyFill="1" applyBorder="1" applyAlignment="1">
      <alignment horizontal="center"/>
    </xf>
    <xf numFmtId="0" fontId="21" fillId="19" borderId="12" xfId="0" applyFont="1" applyFill="1" applyBorder="1" applyAlignment="1">
      <alignment horizontal="center"/>
    </xf>
    <xf numFmtId="0" fontId="13" fillId="0" borderId="0" xfId="24" applyBorder="1" applyProtection="1"/>
    <xf numFmtId="0" fontId="13" fillId="0" borderId="15" xfId="24" applyBorder="1" applyAlignment="1" applyProtection="1">
      <alignment horizontal="center" vertical="center"/>
    </xf>
    <xf numFmtId="0" fontId="28" fillId="0" borderId="0" xfId="24" applyFont="1" applyBorder="1" applyProtection="1"/>
    <xf numFmtId="0" fontId="13" fillId="16" borderId="2" xfId="24" applyFill="1" applyBorder="1" applyAlignment="1" applyProtection="1">
      <alignment horizontal="center"/>
    </xf>
    <xf numFmtId="0" fontId="13" fillId="16" borderId="2" xfId="24" applyFill="1" applyBorder="1" applyProtection="1"/>
    <xf numFmtId="4" fontId="13" fillId="16" borderId="2" xfId="24" applyNumberFormat="1" applyFill="1" applyBorder="1" applyAlignment="1" applyProtection="1">
      <alignment horizontal="center"/>
    </xf>
    <xf numFmtId="4" fontId="13" fillId="16" borderId="21" xfId="24" applyNumberFormat="1" applyFill="1" applyBorder="1" applyAlignment="1" applyProtection="1">
      <alignment horizontal="center"/>
    </xf>
    <xf numFmtId="0" fontId="13" fillId="16" borderId="21" xfId="24" applyFill="1" applyBorder="1" applyAlignment="1" applyProtection="1">
      <alignment horizontal="center"/>
    </xf>
    <xf numFmtId="0" fontId="30" fillId="0" borderId="0" xfId="24" applyFont="1" applyBorder="1" applyProtection="1"/>
    <xf numFmtId="0" fontId="19" fillId="15" borderId="4" xfId="25" applyFont="1" applyFill="1" applyBorder="1" applyAlignment="1" applyProtection="1">
      <alignment horizontal="center"/>
    </xf>
    <xf numFmtId="0" fontId="20" fillId="15" borderId="4" xfId="25" applyFont="1" applyFill="1" applyBorder="1" applyAlignment="1" applyProtection="1">
      <alignment horizontal="center"/>
    </xf>
    <xf numFmtId="0" fontId="13" fillId="0" borderId="2" xfId="24" applyBorder="1" applyProtection="1"/>
    <xf numFmtId="0" fontId="19" fillId="15" borderId="5" xfId="25" applyFont="1" applyFill="1" applyBorder="1" applyAlignment="1" applyProtection="1">
      <alignment horizontal="center"/>
    </xf>
    <xf numFmtId="4" fontId="19" fillId="15" borderId="5" xfId="25" applyNumberFormat="1" applyFont="1" applyFill="1" applyBorder="1" applyAlignment="1" applyProtection="1">
      <alignment horizontal="center"/>
    </xf>
    <xf numFmtId="4" fontId="20" fillId="15" borderId="4" xfId="25" applyNumberFormat="1" applyFont="1" applyFill="1" applyBorder="1" applyAlignment="1" applyProtection="1">
      <alignment horizontal="center"/>
    </xf>
    <xf numFmtId="0" fontId="13" fillId="0" borderId="2" xfId="24" applyBorder="1" applyAlignment="1" applyProtection="1">
      <alignment horizontal="right"/>
    </xf>
    <xf numFmtId="1" fontId="37" fillId="13" borderId="2" xfId="25" applyNumberFormat="1" applyFill="1" applyBorder="1" applyAlignment="1" applyProtection="1">
      <alignment horizontal="center"/>
    </xf>
    <xf numFmtId="164" fontId="37" fillId="13" borderId="2" xfId="25" applyNumberFormat="1" applyFill="1" applyBorder="1" applyAlignment="1" applyProtection="1">
      <alignment horizontal="center"/>
    </xf>
    <xf numFmtId="0" fontId="13" fillId="0" borderId="9" xfId="24" applyBorder="1" applyAlignment="1" applyProtection="1">
      <alignment horizontal="right"/>
    </xf>
    <xf numFmtId="164" fontId="13" fillId="0" borderId="9" xfId="24" applyNumberFormat="1" applyBorder="1" applyProtection="1"/>
    <xf numFmtId="0" fontId="13" fillId="0" borderId="1" xfId="24" applyBorder="1" applyAlignment="1" applyProtection="1">
      <alignment horizontal="right"/>
    </xf>
    <xf numFmtId="0" fontId="13" fillId="0" borderId="1" xfId="24" applyBorder="1" applyProtection="1"/>
    <xf numFmtId="0" fontId="13" fillId="0" borderId="4" xfId="24" applyBorder="1" applyAlignment="1" applyProtection="1">
      <alignment horizontal="right"/>
    </xf>
    <xf numFmtId="0" fontId="13" fillId="0" borderId="11" xfId="24" applyBorder="1" applyProtection="1"/>
    <xf numFmtId="0" fontId="13" fillId="0" borderId="11" xfId="24" applyBorder="1" applyAlignment="1" applyProtection="1">
      <alignment horizontal="center"/>
    </xf>
    <xf numFmtId="0" fontId="13" fillId="0" borderId="13" xfId="24" applyBorder="1" applyProtection="1"/>
    <xf numFmtId="164" fontId="37" fillId="20" borderId="2" xfId="25" applyNumberFormat="1" applyFill="1" applyBorder="1" applyAlignment="1" applyProtection="1">
      <alignment horizontal="center"/>
    </xf>
    <xf numFmtId="0" fontId="13" fillId="0" borderId="0" xfId="24" applyBorder="1" applyAlignment="1" applyProtection="1">
      <alignment horizontal="center"/>
    </xf>
    <xf numFmtId="0" fontId="32" fillId="0" borderId="0" xfId="0" applyFont="1"/>
    <xf numFmtId="0" fontId="32" fillId="21" borderId="2" xfId="0" applyFont="1" applyFill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/>
    <xf numFmtId="0" fontId="34" fillId="0" borderId="0" xfId="0" applyFont="1"/>
    <xf numFmtId="0" fontId="36" fillId="0" borderId="2" xfId="0" applyFont="1" applyBorder="1" applyAlignment="1">
      <alignment horizontal="center" vertical="center" wrapText="1"/>
    </xf>
    <xf numFmtId="164" fontId="13" fillId="14" borderId="2" xfId="0" applyNumberFormat="1" applyFont="1" applyFill="1" applyBorder="1" applyAlignment="1">
      <alignment horizontal="center"/>
    </xf>
    <xf numFmtId="164" fontId="13" fillId="22" borderId="2" xfId="0" applyNumberFormat="1" applyFont="1" applyFill="1" applyBorder="1" applyAlignment="1">
      <alignment horizontal="center"/>
    </xf>
    <xf numFmtId="49" fontId="13" fillId="14" borderId="2" xfId="0" applyNumberFormat="1" applyFont="1" applyFill="1" applyBorder="1" applyAlignment="1">
      <alignment horizontal="center"/>
    </xf>
    <xf numFmtId="165" fontId="13" fillId="22" borderId="2" xfId="0" applyNumberFormat="1" applyFont="1" applyFill="1" applyBorder="1" applyAlignment="1">
      <alignment horizontal="center"/>
    </xf>
    <xf numFmtId="0" fontId="20" fillId="15" borderId="4" xfId="0" applyFont="1" applyFill="1" applyBorder="1" applyAlignment="1">
      <alignment horizontal="center"/>
    </xf>
    <xf numFmtId="0" fontId="20" fillId="15" borderId="2" xfId="0" applyFont="1" applyFill="1" applyBorder="1" applyAlignment="1">
      <alignment horizontal="center"/>
    </xf>
    <xf numFmtId="4" fontId="20" fillId="15" borderId="4" xfId="0" applyNumberFormat="1" applyFont="1" applyFill="1" applyBorder="1" applyAlignment="1">
      <alignment horizontal="center"/>
    </xf>
    <xf numFmtId="4" fontId="20" fillId="15" borderId="2" xfId="0" applyNumberFormat="1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 vertical="center" wrapText="1"/>
    </xf>
    <xf numFmtId="0" fontId="18" fillId="13" borderId="2" xfId="0" applyFont="1" applyFill="1" applyBorder="1" applyAlignment="1">
      <alignment vertical="center"/>
    </xf>
    <xf numFmtId="0" fontId="18" fillId="13" borderId="2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/>
    </xf>
    <xf numFmtId="0" fontId="13" fillId="0" borderId="19" xfId="24" applyBorder="1" applyAlignment="1" applyProtection="1">
      <alignment horizontal="center" vertical="center"/>
    </xf>
    <xf numFmtId="0" fontId="29" fillId="0" borderId="20" xfId="24" applyFont="1" applyBorder="1" applyAlignment="1" applyProtection="1">
      <alignment wrapText="1"/>
    </xf>
    <xf numFmtId="0" fontId="0" fillId="0" borderId="14" xfId="0" applyBorder="1"/>
    <xf numFmtId="0" fontId="27" fillId="0" borderId="15" xfId="24" applyFont="1" applyBorder="1" applyAlignment="1" applyProtection="1">
      <alignment horizontal="center" vertical="center"/>
    </xf>
    <xf numFmtId="0" fontId="13" fillId="0" borderId="17" xfId="24" applyBorder="1" applyAlignment="1" applyProtection="1">
      <alignment horizontal="center" vertical="top" wrapText="1"/>
    </xf>
    <xf numFmtId="0" fontId="13" fillId="0" borderId="18" xfId="24" applyBorder="1" applyAlignment="1" applyProtection="1">
      <alignment horizontal="center" vertical="center"/>
    </xf>
    <xf numFmtId="0" fontId="13" fillId="0" borderId="16" xfId="24" applyBorder="1" applyAlignment="1" applyProtection="1">
      <alignment horizontal="center" vertical="center"/>
    </xf>
    <xf numFmtId="0" fontId="31" fillId="0" borderId="0" xfId="0" applyFont="1" applyAlignment="1">
      <alignment horizontal="center" vertical="center"/>
    </xf>
    <xf numFmtId="0" fontId="34" fillId="0" borderId="2" xfId="0" applyFont="1" applyBorder="1" applyAlignment="1">
      <alignment horizontal="center" vertical="center" wrapText="1"/>
    </xf>
    <xf numFmtId="0" fontId="35" fillId="22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</cellXfs>
  <cellStyles count="3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8" xfId="5" xr:uid="{00000000-0005-0000-0000-00000A000000}"/>
    <cellStyle name="cf1" xfId="6" xr:uid="{00000000-0005-0000-0000-00000B000000}"/>
    <cellStyle name="cf10" xfId="7" xr:uid="{00000000-0005-0000-0000-00000C000000}"/>
    <cellStyle name="cf2" xfId="8" xr:uid="{00000000-0005-0000-0000-00000D000000}"/>
    <cellStyle name="cf3" xfId="9" xr:uid="{00000000-0005-0000-0000-00000E000000}"/>
    <cellStyle name="cf4" xfId="10" xr:uid="{00000000-0005-0000-0000-00000F000000}"/>
    <cellStyle name="cf5" xfId="11" xr:uid="{00000000-0005-0000-0000-000010000000}"/>
    <cellStyle name="cf6" xfId="12" xr:uid="{00000000-0005-0000-0000-000011000000}"/>
    <cellStyle name="cf7" xfId="13" xr:uid="{00000000-0005-0000-0000-000012000000}"/>
    <cellStyle name="cf8" xfId="14" xr:uid="{00000000-0005-0000-0000-000013000000}"/>
    <cellStyle name="cf9" xfId="15" xr:uid="{00000000-0005-0000-0000-000014000000}"/>
    <cellStyle name="Error 9" xfId="16" xr:uid="{00000000-0005-0000-0000-000015000000}"/>
    <cellStyle name="Excel Built-in Good" xfId="30" xr:uid="{00000000-0005-0000-0000-000023000000}"/>
    <cellStyle name="Footnote 10" xfId="17" xr:uid="{00000000-0005-0000-0000-000016000000}"/>
    <cellStyle name="Good 11" xfId="18" xr:uid="{00000000-0005-0000-0000-000017000000}"/>
    <cellStyle name="Heading 1 13" xfId="19" xr:uid="{00000000-0005-0000-0000-000018000000}"/>
    <cellStyle name="Heading 12" xfId="20" xr:uid="{00000000-0005-0000-0000-000019000000}"/>
    <cellStyle name="Heading 2 14" xfId="21" xr:uid="{00000000-0005-0000-0000-00001A000000}"/>
    <cellStyle name="Hyperlink 15" xfId="22" xr:uid="{00000000-0005-0000-0000-00001B000000}"/>
    <cellStyle name="Neutral 16" xfId="23" xr:uid="{00000000-0005-0000-0000-00001C000000}"/>
    <cellStyle name="Normal" xfId="0" builtinId="0"/>
    <cellStyle name="Normal 2" xfId="24" xr:uid="{00000000-0005-0000-0000-00001D000000}"/>
    <cellStyle name="Normal 2 2" xfId="25" xr:uid="{00000000-0005-0000-0000-00001E000000}"/>
    <cellStyle name="Result 17" xfId="26" xr:uid="{00000000-0005-0000-0000-00001F000000}"/>
    <cellStyle name="Status 18" xfId="27" xr:uid="{00000000-0005-0000-0000-000020000000}"/>
    <cellStyle name="Text 19" xfId="28" xr:uid="{00000000-0005-0000-0000-000021000000}"/>
    <cellStyle name="Warning 20" xfId="29" xr:uid="{00000000-0005-0000-0000-000022000000}"/>
  </cellStyles>
  <dxfs count="2">
    <dxf>
      <font>
        <color rgb="FF000000"/>
      </font>
      <fill>
        <patternFill>
          <bgColor rgb="FFFBF7FF"/>
        </patternFill>
      </fill>
    </dxf>
    <dxf>
      <font>
        <b/>
        <color rgb="FFFF0000"/>
      </font>
      <fill>
        <patternFill>
          <bgColor rgb="FFF6C6A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EE"/>
      <rgbColor rgb="FFFFFF00"/>
      <rgbColor rgb="FFFF00FF"/>
      <rgbColor rgb="FF00FFFF"/>
      <rgbColor rgb="FFC00000"/>
      <rgbColor rgb="FF006600"/>
      <rgbColor rgb="FF000080"/>
      <rgbColor rgb="FF996600"/>
      <rgbColor rgb="FF800080"/>
      <rgbColor rgb="FF008080"/>
      <rgbColor rgb="FFDDDDDD"/>
      <rgbColor rgb="FF808080"/>
      <rgbColor rgb="FFE7E6E6"/>
      <rgbColor rgb="FF7030A0"/>
      <rgbColor rgb="FFFFFFCC"/>
      <rgbColor rgb="FFC6EFCE"/>
      <rgbColor rgb="FF660066"/>
      <rgbColor rgb="FFFBF9FD"/>
      <rgbColor rgb="FF0066CC"/>
      <rgbColor rgb="FFD9E1F2"/>
      <rgbColor rgb="FF000080"/>
      <rgbColor rgb="FFFF00FF"/>
      <rgbColor rgb="FFE2EFDA"/>
      <rgbColor rgb="FF00FFFF"/>
      <rgbColor rgb="FF800080"/>
      <rgbColor rgb="FFCC0000"/>
      <rgbColor rgb="FF008080"/>
      <rgbColor rgb="FF0000FF"/>
      <rgbColor rgb="FF00CCFF"/>
      <rgbColor rgb="FFE2F0D9"/>
      <rgbColor rgb="FFCCFFCC"/>
      <rgbColor rgb="FFFFF2CC"/>
      <rgbColor rgb="FFE6E0EC"/>
      <rgbColor rgb="FFFFCCCC"/>
      <rgbColor rgb="FFF9DED9"/>
      <rgbColor rgb="FFF6C6A2"/>
      <rgbColor rgb="FF3366FF"/>
      <rgbColor rgb="FF33CCCC"/>
      <rgbColor rgb="FF99CC00"/>
      <rgbColor rgb="FFF2F2F2"/>
      <rgbColor rgb="FFFF9900"/>
      <rgbColor rgb="FFFF6600"/>
      <rgbColor rgb="FF666699"/>
      <rgbColor rgb="FFFBF7FF"/>
      <rgbColor rgb="FF003366"/>
      <rgbColor rgb="FF339966"/>
      <rgbColor rgb="FF0061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3</xdr:row>
          <xdr:rowOff>114300</xdr:rowOff>
        </xdr:from>
        <xdr:to>
          <xdr:col>9</xdr:col>
          <xdr:colOff>676275</xdr:colOff>
          <xdr:row>6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C00000"/>
                  </a:solidFill>
                  <a:latin typeface="Calibri"/>
                  <a:ea typeface="Calibri"/>
                  <a:cs typeface="Calibri"/>
                </a:rPr>
                <a:t>Archiver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0"/>
  <dimension ref="A1:I91"/>
  <sheetViews>
    <sheetView tabSelected="1" zoomScale="75" zoomScaleNormal="75" workbookViewId="0">
      <selection activeCell="B10" sqref="B10"/>
    </sheetView>
  </sheetViews>
  <sheetFormatPr baseColWidth="10" defaultColWidth="11.25" defaultRowHeight="14.25"/>
  <cols>
    <col min="1" max="1" width="20.625" customWidth="1"/>
    <col min="2" max="7" width="13.625" customWidth="1"/>
  </cols>
  <sheetData>
    <row r="1" spans="1:9" ht="18.75" customHeight="1">
      <c r="A1" s="3"/>
      <c r="B1" s="97" t="s">
        <v>0</v>
      </c>
      <c r="C1" s="97"/>
      <c r="D1" s="97"/>
      <c r="E1" s="97"/>
      <c r="F1" s="97"/>
      <c r="G1" s="4" t="s">
        <v>1</v>
      </c>
    </row>
    <row r="2" spans="1:9" ht="15.75">
      <c r="A2" s="5" t="s">
        <v>2</v>
      </c>
      <c r="B2" s="98" t="s">
        <v>3</v>
      </c>
      <c r="C2" s="98"/>
      <c r="D2" s="99" t="s">
        <v>4</v>
      </c>
      <c r="E2" s="99"/>
      <c r="F2" s="99"/>
      <c r="G2" s="2" t="s">
        <v>5</v>
      </c>
    </row>
    <row r="3" spans="1:9" ht="15.75">
      <c r="A3" s="6"/>
      <c r="B3" s="7"/>
      <c r="C3" s="7"/>
      <c r="D3" s="8"/>
      <c r="E3" s="8"/>
      <c r="F3" s="8"/>
      <c r="G3" s="7"/>
      <c r="H3" s="9"/>
      <c r="I3" s="9"/>
    </row>
    <row r="4" spans="1:9" ht="15">
      <c r="A4" s="10" t="s">
        <v>6</v>
      </c>
      <c r="B4" s="11"/>
      <c r="C4" s="11"/>
      <c r="D4" s="11"/>
      <c r="E4" s="11"/>
      <c r="F4" s="12"/>
      <c r="G4" s="12"/>
      <c r="H4" s="9"/>
      <c r="I4" s="9"/>
    </row>
    <row r="5" spans="1:9" ht="28.5">
      <c r="A5" s="13" t="s">
        <v>11</v>
      </c>
      <c r="B5" s="14"/>
      <c r="C5" s="11"/>
      <c r="D5" s="11"/>
      <c r="E5" s="11"/>
      <c r="F5" s="11"/>
      <c r="G5" s="12"/>
      <c r="H5" s="9"/>
      <c r="I5" s="9"/>
    </row>
    <row r="6" spans="1:9" ht="27.75">
      <c r="A6" s="13" t="s">
        <v>12</v>
      </c>
      <c r="B6" s="14"/>
      <c r="C6" s="11"/>
      <c r="D6" s="11"/>
      <c r="E6" s="11"/>
      <c r="F6" s="12"/>
      <c r="G6" s="12"/>
      <c r="H6" s="9"/>
      <c r="I6" s="9"/>
    </row>
    <row r="7" spans="1:9" ht="15">
      <c r="A7" s="15" t="s">
        <v>13</v>
      </c>
      <c r="B7" s="16"/>
      <c r="C7" s="11"/>
      <c r="D7" s="11"/>
      <c r="E7" s="11"/>
      <c r="F7" s="12"/>
      <c r="G7" s="12"/>
    </row>
    <row r="8" spans="1:9" ht="15">
      <c r="A8" s="17" t="s">
        <v>15</v>
      </c>
      <c r="B8" s="18"/>
      <c r="C8" s="18"/>
      <c r="D8" s="18"/>
      <c r="E8" s="18"/>
      <c r="F8" s="19"/>
      <c r="G8" s="19"/>
    </row>
    <row r="9" spans="1:9" ht="15.75">
      <c r="A9" s="20" t="s">
        <v>16</v>
      </c>
      <c r="B9" s="21" t="str">
        <f t="shared" ref="B9:G9" si="0">IF(B6="","",IF(B5*B6&lt;=500,20,IF(B5*B6&gt;3200,80,60)))</f>
        <v/>
      </c>
      <c r="C9" s="21" t="str">
        <f t="shared" si="0"/>
        <v/>
      </c>
      <c r="D9" s="21" t="str">
        <f t="shared" si="0"/>
        <v/>
      </c>
      <c r="E9" s="21" t="str">
        <f t="shared" si="0"/>
        <v/>
      </c>
      <c r="F9" s="21" t="str">
        <f t="shared" si="0"/>
        <v/>
      </c>
      <c r="G9" s="22" t="str">
        <f t="shared" si="0"/>
        <v/>
      </c>
    </row>
    <row r="10" spans="1:9">
      <c r="A10" s="23">
        <v>1</v>
      </c>
      <c r="B10" s="24"/>
      <c r="C10" s="24"/>
      <c r="D10" s="24"/>
      <c r="E10" s="24"/>
      <c r="F10" s="24"/>
      <c r="G10" s="24"/>
    </row>
    <row r="11" spans="1:9">
      <c r="A11" s="23">
        <v>2</v>
      </c>
      <c r="B11" s="24"/>
      <c r="C11" s="24"/>
      <c r="D11" s="24"/>
      <c r="E11" s="24"/>
      <c r="F11" s="24"/>
      <c r="G11" s="24"/>
    </row>
    <row r="12" spans="1:9">
      <c r="A12" s="23">
        <v>3</v>
      </c>
      <c r="B12" s="24"/>
      <c r="C12" s="24"/>
      <c r="D12" s="24"/>
      <c r="E12" s="24"/>
      <c r="F12" s="24"/>
      <c r="G12" s="24"/>
    </row>
    <row r="13" spans="1:9">
      <c r="A13" s="23">
        <v>4</v>
      </c>
      <c r="B13" s="24"/>
      <c r="C13" s="24"/>
      <c r="D13" s="24"/>
      <c r="E13" s="24"/>
      <c r="F13" s="24"/>
      <c r="G13" s="24"/>
    </row>
    <row r="14" spans="1:9">
      <c r="A14" s="23">
        <v>5</v>
      </c>
      <c r="B14" s="24"/>
      <c r="C14" s="24"/>
      <c r="D14" s="24"/>
      <c r="E14" s="24"/>
      <c r="F14" s="24"/>
      <c r="G14" s="24"/>
    </row>
    <row r="15" spans="1:9">
      <c r="A15" s="23">
        <v>6</v>
      </c>
      <c r="B15" s="24"/>
      <c r="C15" s="24"/>
      <c r="D15" s="24"/>
      <c r="E15" s="24"/>
      <c r="F15" s="24"/>
      <c r="G15" s="24"/>
    </row>
    <row r="16" spans="1:9">
      <c r="A16" s="23">
        <v>7</v>
      </c>
      <c r="B16" s="24"/>
      <c r="C16" s="24"/>
      <c r="D16" s="24"/>
      <c r="E16" s="24"/>
      <c r="F16" s="24"/>
      <c r="G16" s="24"/>
    </row>
    <row r="17" spans="1:7">
      <c r="A17" s="23">
        <v>8</v>
      </c>
      <c r="B17" s="24"/>
      <c r="C17" s="24"/>
      <c r="D17" s="24"/>
      <c r="E17" s="24"/>
      <c r="F17" s="24"/>
      <c r="G17" s="24"/>
    </row>
    <row r="18" spans="1:7">
      <c r="A18" s="23">
        <v>9</v>
      </c>
      <c r="B18" s="24"/>
      <c r="C18" s="24"/>
      <c r="D18" s="24"/>
      <c r="E18" s="24"/>
      <c r="F18" s="24"/>
      <c r="G18" s="24"/>
    </row>
    <row r="19" spans="1:7">
      <c r="A19" s="23">
        <v>10</v>
      </c>
      <c r="B19" s="24"/>
      <c r="C19" s="24"/>
      <c r="D19" s="24"/>
      <c r="E19" s="24"/>
      <c r="F19" s="24"/>
      <c r="G19" s="24"/>
    </row>
    <row r="20" spans="1:7">
      <c r="A20" s="23">
        <v>11</v>
      </c>
      <c r="B20" s="24"/>
      <c r="C20" s="24"/>
      <c r="D20" s="24"/>
      <c r="E20" s="24"/>
      <c r="F20" s="24"/>
      <c r="G20" s="24"/>
    </row>
    <row r="21" spans="1:7">
      <c r="A21" s="23">
        <v>12</v>
      </c>
      <c r="B21" s="24"/>
      <c r="C21" s="24"/>
      <c r="D21" s="24"/>
      <c r="E21" s="24"/>
      <c r="F21" s="24"/>
      <c r="G21" s="24"/>
    </row>
    <row r="22" spans="1:7">
      <c r="A22" s="23">
        <v>13</v>
      </c>
      <c r="B22" s="24"/>
      <c r="C22" s="24"/>
      <c r="D22" s="24"/>
      <c r="E22" s="24"/>
      <c r="F22" s="24"/>
      <c r="G22" s="24"/>
    </row>
    <row r="23" spans="1:7">
      <c r="A23" s="23">
        <v>14</v>
      </c>
      <c r="B23" s="24"/>
      <c r="C23" s="24"/>
      <c r="D23" s="24"/>
      <c r="E23" s="24"/>
      <c r="F23" s="24"/>
      <c r="G23" s="24"/>
    </row>
    <row r="24" spans="1:7">
      <c r="A24" s="23">
        <v>15</v>
      </c>
      <c r="B24" s="24"/>
      <c r="C24" s="24"/>
      <c r="D24" s="24"/>
      <c r="E24" s="24"/>
      <c r="F24" s="24"/>
      <c r="G24" s="24"/>
    </row>
    <row r="25" spans="1:7">
      <c r="A25" s="23">
        <v>16</v>
      </c>
      <c r="B25" s="24"/>
      <c r="C25" s="24"/>
      <c r="D25" s="24"/>
      <c r="E25" s="24"/>
      <c r="F25" s="24"/>
      <c r="G25" s="24"/>
    </row>
    <row r="26" spans="1:7">
      <c r="A26" s="23">
        <v>17</v>
      </c>
      <c r="B26" s="24"/>
      <c r="C26" s="24"/>
      <c r="D26" s="24"/>
      <c r="E26" s="24"/>
      <c r="F26" s="24"/>
      <c r="G26" s="24"/>
    </row>
    <row r="27" spans="1:7">
      <c r="A27" s="23">
        <v>18</v>
      </c>
      <c r="B27" s="24"/>
      <c r="C27" s="24"/>
      <c r="D27" s="24"/>
      <c r="E27" s="24"/>
      <c r="F27" s="24"/>
      <c r="G27" s="24"/>
    </row>
    <row r="28" spans="1:7">
      <c r="A28" s="23">
        <v>19</v>
      </c>
      <c r="B28" s="24"/>
      <c r="C28" s="24"/>
      <c r="D28" s="24"/>
      <c r="E28" s="24"/>
      <c r="F28" s="24"/>
      <c r="G28" s="24"/>
    </row>
    <row r="29" spans="1:7">
      <c r="A29" s="23">
        <v>20</v>
      </c>
      <c r="B29" s="24"/>
      <c r="C29" s="24"/>
      <c r="D29" s="24"/>
      <c r="E29" s="24"/>
      <c r="F29" s="24"/>
      <c r="G29" s="24"/>
    </row>
    <row r="30" spans="1:7">
      <c r="A30" s="23">
        <v>21</v>
      </c>
      <c r="B30" s="24"/>
      <c r="C30" s="24"/>
      <c r="D30" s="24"/>
      <c r="E30" s="24"/>
      <c r="F30" s="24"/>
      <c r="G30" s="24"/>
    </row>
    <row r="31" spans="1:7">
      <c r="A31" s="23">
        <v>22</v>
      </c>
      <c r="B31" s="24"/>
      <c r="C31" s="24"/>
      <c r="D31" s="24"/>
      <c r="E31" s="24"/>
      <c r="F31" s="24"/>
      <c r="G31" s="24"/>
    </row>
    <row r="32" spans="1:7">
      <c r="A32" s="23">
        <v>23</v>
      </c>
      <c r="B32" s="24"/>
      <c r="C32" s="24"/>
      <c r="D32" s="24"/>
      <c r="E32" s="24"/>
      <c r="F32" s="24"/>
      <c r="G32" s="24"/>
    </row>
    <row r="33" spans="1:7">
      <c r="A33" s="23">
        <v>24</v>
      </c>
      <c r="B33" s="24"/>
      <c r="C33" s="24"/>
      <c r="D33" s="24"/>
      <c r="E33" s="24"/>
      <c r="F33" s="24"/>
      <c r="G33" s="24"/>
    </row>
    <row r="34" spans="1:7">
      <c r="A34" s="23">
        <v>25</v>
      </c>
      <c r="B34" s="24"/>
      <c r="C34" s="24"/>
      <c r="D34" s="24"/>
      <c r="E34" s="24"/>
      <c r="F34" s="24"/>
      <c r="G34" s="24"/>
    </row>
    <row r="35" spans="1:7">
      <c r="A35" s="23">
        <v>26</v>
      </c>
      <c r="B35" s="24"/>
      <c r="C35" s="24"/>
      <c r="D35" s="24"/>
      <c r="E35" s="24"/>
      <c r="F35" s="24"/>
      <c r="G35" s="24"/>
    </row>
    <row r="36" spans="1:7">
      <c r="A36" s="23">
        <v>27</v>
      </c>
      <c r="B36" s="24"/>
      <c r="C36" s="24"/>
      <c r="D36" s="24"/>
      <c r="E36" s="24"/>
      <c r="F36" s="24"/>
      <c r="G36" s="24"/>
    </row>
    <row r="37" spans="1:7">
      <c r="A37" s="23">
        <v>28</v>
      </c>
      <c r="B37" s="24"/>
      <c r="C37" s="24"/>
      <c r="D37" s="24"/>
      <c r="E37" s="24"/>
      <c r="F37" s="24"/>
      <c r="G37" s="24"/>
    </row>
    <row r="38" spans="1:7">
      <c r="A38" s="23">
        <v>29</v>
      </c>
      <c r="B38" s="24"/>
      <c r="C38" s="24"/>
      <c r="D38" s="24"/>
      <c r="E38" s="24"/>
      <c r="F38" s="24"/>
      <c r="G38" s="24"/>
    </row>
    <row r="39" spans="1:7">
      <c r="A39" s="23">
        <v>30</v>
      </c>
      <c r="B39" s="24"/>
      <c r="C39" s="24"/>
      <c r="D39" s="24"/>
      <c r="E39" s="24"/>
      <c r="F39" s="24"/>
      <c r="G39" s="24"/>
    </row>
    <row r="40" spans="1:7">
      <c r="A40" s="23">
        <v>31</v>
      </c>
      <c r="B40" s="24"/>
      <c r="C40" s="24"/>
      <c r="D40" s="24"/>
      <c r="E40" s="24"/>
      <c r="F40" s="24"/>
      <c r="G40" s="24"/>
    </row>
    <row r="41" spans="1:7">
      <c r="A41" s="23">
        <v>32</v>
      </c>
      <c r="B41" s="24"/>
      <c r="C41" s="24"/>
      <c r="D41" s="24"/>
      <c r="E41" s="24"/>
      <c r="F41" s="24"/>
      <c r="G41" s="24"/>
    </row>
    <row r="42" spans="1:7">
      <c r="A42" s="23">
        <v>33</v>
      </c>
      <c r="B42" s="24"/>
      <c r="C42" s="24"/>
      <c r="D42" s="24"/>
      <c r="E42" s="24"/>
      <c r="F42" s="24"/>
      <c r="G42" s="24"/>
    </row>
    <row r="43" spans="1:7">
      <c r="A43" s="23">
        <v>34</v>
      </c>
      <c r="B43" s="24"/>
      <c r="C43" s="24"/>
      <c r="D43" s="24"/>
      <c r="E43" s="24"/>
      <c r="F43" s="24"/>
      <c r="G43" s="24"/>
    </row>
    <row r="44" spans="1:7">
      <c r="A44" s="23">
        <v>35</v>
      </c>
      <c r="B44" s="24"/>
      <c r="C44" s="24"/>
      <c r="D44" s="24"/>
      <c r="E44" s="24"/>
      <c r="F44" s="24"/>
      <c r="G44" s="24"/>
    </row>
    <row r="45" spans="1:7">
      <c r="A45" s="23">
        <v>36</v>
      </c>
      <c r="B45" s="24"/>
      <c r="C45" s="24"/>
      <c r="D45" s="24"/>
      <c r="E45" s="24"/>
      <c r="F45" s="24"/>
      <c r="G45" s="24"/>
    </row>
    <row r="46" spans="1:7">
      <c r="A46" s="23">
        <v>37</v>
      </c>
      <c r="B46" s="24"/>
      <c r="C46" s="24"/>
      <c r="D46" s="24"/>
      <c r="E46" s="24"/>
      <c r="F46" s="24"/>
      <c r="G46" s="24"/>
    </row>
    <row r="47" spans="1:7">
      <c r="A47" s="23">
        <v>38</v>
      </c>
      <c r="B47" s="24"/>
      <c r="C47" s="24"/>
      <c r="D47" s="24"/>
      <c r="E47" s="24"/>
      <c r="F47" s="24"/>
      <c r="G47" s="24"/>
    </row>
    <row r="48" spans="1:7">
      <c r="A48" s="23">
        <v>39</v>
      </c>
      <c r="B48" s="24"/>
      <c r="C48" s="24"/>
      <c r="D48" s="24"/>
      <c r="E48" s="24"/>
      <c r="F48" s="24"/>
      <c r="G48" s="24"/>
    </row>
    <row r="49" spans="1:7">
      <c r="A49" s="23">
        <v>40</v>
      </c>
      <c r="B49" s="24"/>
      <c r="C49" s="24"/>
      <c r="D49" s="24"/>
      <c r="E49" s="24"/>
      <c r="F49" s="24"/>
      <c r="G49" s="24"/>
    </row>
    <row r="50" spans="1:7">
      <c r="A50" s="23">
        <v>41</v>
      </c>
      <c r="B50" s="24"/>
      <c r="C50" s="24"/>
      <c r="D50" s="24"/>
      <c r="E50" s="24"/>
      <c r="F50" s="24"/>
      <c r="G50" s="24"/>
    </row>
    <row r="51" spans="1:7">
      <c r="A51" s="23">
        <v>42</v>
      </c>
      <c r="B51" s="24"/>
      <c r="C51" s="24"/>
      <c r="D51" s="24"/>
      <c r="E51" s="24"/>
      <c r="F51" s="24"/>
      <c r="G51" s="24"/>
    </row>
    <row r="52" spans="1:7">
      <c r="A52" s="23">
        <v>43</v>
      </c>
      <c r="B52" s="24"/>
      <c r="C52" s="24"/>
      <c r="D52" s="24"/>
      <c r="E52" s="24"/>
      <c r="F52" s="24"/>
      <c r="G52" s="24"/>
    </row>
    <row r="53" spans="1:7">
      <c r="A53" s="23">
        <v>44</v>
      </c>
      <c r="B53" s="24"/>
      <c r="C53" s="24"/>
      <c r="D53" s="24"/>
      <c r="E53" s="24"/>
      <c r="F53" s="24"/>
      <c r="G53" s="24"/>
    </row>
    <row r="54" spans="1:7">
      <c r="A54" s="23">
        <v>45</v>
      </c>
      <c r="B54" s="24"/>
      <c r="C54" s="24"/>
      <c r="D54" s="24"/>
      <c r="E54" s="24"/>
      <c r="F54" s="24"/>
      <c r="G54" s="24"/>
    </row>
    <row r="55" spans="1:7">
      <c r="A55" s="23">
        <v>46</v>
      </c>
      <c r="B55" s="24"/>
      <c r="C55" s="24"/>
      <c r="D55" s="24"/>
      <c r="E55" s="24"/>
      <c r="F55" s="24"/>
      <c r="G55" s="24"/>
    </row>
    <row r="56" spans="1:7">
      <c r="A56" s="23">
        <v>47</v>
      </c>
      <c r="B56" s="24"/>
      <c r="C56" s="24"/>
      <c r="D56" s="24"/>
      <c r="E56" s="24"/>
      <c r="F56" s="24"/>
      <c r="G56" s="24"/>
    </row>
    <row r="57" spans="1:7">
      <c r="A57" s="23">
        <v>48</v>
      </c>
      <c r="B57" s="24"/>
      <c r="C57" s="24"/>
      <c r="D57" s="24"/>
      <c r="E57" s="24"/>
      <c r="F57" s="24"/>
      <c r="G57" s="24"/>
    </row>
    <row r="58" spans="1:7">
      <c r="A58" s="23">
        <v>49</v>
      </c>
      <c r="B58" s="24"/>
      <c r="C58" s="24"/>
      <c r="D58" s="24"/>
      <c r="E58" s="24"/>
      <c r="F58" s="24"/>
      <c r="G58" s="24"/>
    </row>
    <row r="59" spans="1:7">
      <c r="A59" s="23">
        <v>50</v>
      </c>
      <c r="B59" s="24"/>
      <c r="C59" s="24"/>
      <c r="D59" s="24"/>
      <c r="E59" s="24"/>
      <c r="F59" s="24"/>
      <c r="G59" s="24"/>
    </row>
    <row r="60" spans="1:7">
      <c r="A60" s="23">
        <v>51</v>
      </c>
      <c r="B60" s="24"/>
      <c r="C60" s="24"/>
      <c r="D60" s="24"/>
      <c r="E60" s="24"/>
      <c r="F60" s="24"/>
      <c r="G60" s="24"/>
    </row>
    <row r="61" spans="1:7">
      <c r="A61" s="23">
        <v>52</v>
      </c>
      <c r="B61" s="24"/>
      <c r="C61" s="24"/>
      <c r="D61" s="24"/>
      <c r="E61" s="24"/>
      <c r="F61" s="24"/>
      <c r="G61" s="24"/>
    </row>
    <row r="62" spans="1:7">
      <c r="A62" s="23">
        <v>53</v>
      </c>
      <c r="B62" s="24"/>
      <c r="C62" s="24"/>
      <c r="D62" s="24"/>
      <c r="E62" s="24"/>
      <c r="F62" s="24"/>
      <c r="G62" s="24"/>
    </row>
    <row r="63" spans="1:7">
      <c r="A63" s="23">
        <v>54</v>
      </c>
      <c r="B63" s="24"/>
      <c r="C63" s="24"/>
      <c r="D63" s="24"/>
      <c r="E63" s="24"/>
      <c r="F63" s="24"/>
      <c r="G63" s="24"/>
    </row>
    <row r="64" spans="1:7">
      <c r="A64" s="23">
        <v>55</v>
      </c>
      <c r="B64" s="24"/>
      <c r="C64" s="24"/>
      <c r="D64" s="24"/>
      <c r="E64" s="24"/>
      <c r="F64" s="24"/>
      <c r="G64" s="24"/>
    </row>
    <row r="65" spans="1:7">
      <c r="A65" s="23">
        <v>56</v>
      </c>
      <c r="B65" s="24"/>
      <c r="C65" s="24"/>
      <c r="D65" s="24"/>
      <c r="E65" s="24"/>
      <c r="F65" s="24"/>
      <c r="G65" s="24"/>
    </row>
    <row r="66" spans="1:7">
      <c r="A66" s="23">
        <v>57</v>
      </c>
      <c r="B66" s="24"/>
      <c r="C66" s="24"/>
      <c r="D66" s="24"/>
      <c r="E66" s="24"/>
      <c r="F66" s="24"/>
      <c r="G66" s="24"/>
    </row>
    <row r="67" spans="1:7">
      <c r="A67" s="23">
        <v>58</v>
      </c>
      <c r="B67" s="24"/>
      <c r="C67" s="24"/>
      <c r="D67" s="24"/>
      <c r="E67" s="24"/>
      <c r="F67" s="24"/>
      <c r="G67" s="24"/>
    </row>
    <row r="68" spans="1:7">
      <c r="A68" s="23">
        <v>59</v>
      </c>
      <c r="B68" s="24"/>
      <c r="C68" s="24"/>
      <c r="D68" s="24"/>
      <c r="E68" s="24"/>
      <c r="F68" s="24"/>
      <c r="G68" s="24"/>
    </row>
    <row r="69" spans="1:7">
      <c r="A69" s="23">
        <v>60</v>
      </c>
      <c r="B69" s="24"/>
      <c r="C69" s="24"/>
      <c r="D69" s="24"/>
      <c r="E69" s="24"/>
      <c r="F69" s="24"/>
      <c r="G69" s="24"/>
    </row>
    <row r="70" spans="1:7">
      <c r="A70" s="23">
        <v>61</v>
      </c>
      <c r="B70" s="24"/>
      <c r="C70" s="24"/>
      <c r="D70" s="24"/>
      <c r="E70" s="24"/>
      <c r="F70" s="24"/>
      <c r="G70" s="24"/>
    </row>
    <row r="71" spans="1:7">
      <c r="A71" s="23">
        <v>62</v>
      </c>
      <c r="B71" s="24"/>
      <c r="C71" s="24"/>
      <c r="D71" s="24"/>
      <c r="E71" s="24"/>
      <c r="F71" s="24"/>
      <c r="G71" s="24"/>
    </row>
    <row r="72" spans="1:7">
      <c r="A72" s="23">
        <v>63</v>
      </c>
      <c r="B72" s="24"/>
      <c r="C72" s="24"/>
      <c r="D72" s="24"/>
      <c r="E72" s="24"/>
      <c r="F72" s="24"/>
      <c r="G72" s="24"/>
    </row>
    <row r="73" spans="1:7">
      <c r="A73" s="23">
        <v>64</v>
      </c>
      <c r="B73" s="24"/>
      <c r="C73" s="24"/>
      <c r="D73" s="24"/>
      <c r="E73" s="24"/>
      <c r="F73" s="24"/>
      <c r="G73" s="24"/>
    </row>
    <row r="74" spans="1:7">
      <c r="A74" s="23">
        <v>65</v>
      </c>
      <c r="B74" s="24"/>
      <c r="C74" s="24"/>
      <c r="D74" s="24"/>
      <c r="E74" s="24"/>
      <c r="F74" s="24"/>
      <c r="G74" s="24"/>
    </row>
    <row r="75" spans="1:7">
      <c r="A75" s="23">
        <v>66</v>
      </c>
      <c r="B75" s="24"/>
      <c r="C75" s="24"/>
      <c r="D75" s="24"/>
      <c r="E75" s="24"/>
      <c r="F75" s="24"/>
      <c r="G75" s="24"/>
    </row>
    <row r="76" spans="1:7">
      <c r="A76" s="23">
        <v>67</v>
      </c>
      <c r="B76" s="24"/>
      <c r="C76" s="24"/>
      <c r="D76" s="24"/>
      <c r="E76" s="24"/>
      <c r="F76" s="24"/>
      <c r="G76" s="24"/>
    </row>
    <row r="77" spans="1:7">
      <c r="A77" s="23">
        <v>68</v>
      </c>
      <c r="B77" s="24"/>
      <c r="C77" s="24"/>
      <c r="D77" s="24"/>
      <c r="E77" s="24"/>
      <c r="F77" s="24"/>
      <c r="G77" s="24"/>
    </row>
    <row r="78" spans="1:7">
      <c r="A78" s="23">
        <v>69</v>
      </c>
      <c r="B78" s="24"/>
      <c r="C78" s="24"/>
      <c r="D78" s="24"/>
      <c r="E78" s="24"/>
      <c r="F78" s="24"/>
      <c r="G78" s="24"/>
    </row>
    <row r="79" spans="1:7">
      <c r="A79" s="23">
        <v>70</v>
      </c>
      <c r="B79" s="24"/>
      <c r="C79" s="24"/>
      <c r="D79" s="24"/>
      <c r="E79" s="24"/>
      <c r="F79" s="24"/>
      <c r="G79" s="24"/>
    </row>
    <row r="80" spans="1:7">
      <c r="A80" s="23">
        <v>71</v>
      </c>
      <c r="B80" s="24"/>
      <c r="C80" s="24"/>
      <c r="D80" s="24"/>
      <c r="E80" s="24"/>
      <c r="F80" s="24"/>
      <c r="G80" s="24"/>
    </row>
    <row r="81" spans="1:7">
      <c r="A81" s="23">
        <v>72</v>
      </c>
      <c r="B81" s="24"/>
      <c r="C81" s="24"/>
      <c r="D81" s="24"/>
      <c r="E81" s="24"/>
      <c r="F81" s="24"/>
      <c r="G81" s="24"/>
    </row>
    <row r="82" spans="1:7">
      <c r="A82" s="23">
        <v>73</v>
      </c>
      <c r="B82" s="24"/>
      <c r="C82" s="24"/>
      <c r="D82" s="24"/>
      <c r="E82" s="24"/>
      <c r="F82" s="24"/>
      <c r="G82" s="24"/>
    </row>
    <row r="83" spans="1:7">
      <c r="A83" s="23">
        <v>74</v>
      </c>
      <c r="B83" s="24"/>
      <c r="C83" s="24"/>
      <c r="D83" s="24"/>
      <c r="E83" s="24"/>
      <c r="F83" s="24"/>
      <c r="G83" s="24"/>
    </row>
    <row r="84" spans="1:7">
      <c r="A84" s="23">
        <v>75</v>
      </c>
      <c r="B84" s="24"/>
      <c r="C84" s="24"/>
      <c r="D84" s="24"/>
      <c r="E84" s="24"/>
      <c r="F84" s="24"/>
      <c r="G84" s="24"/>
    </row>
    <row r="85" spans="1:7">
      <c r="A85" s="23">
        <v>76</v>
      </c>
      <c r="B85" s="24"/>
      <c r="C85" s="24"/>
      <c r="D85" s="24"/>
      <c r="E85" s="24"/>
      <c r="F85" s="24"/>
      <c r="G85" s="24"/>
    </row>
    <row r="86" spans="1:7">
      <c r="A86" s="23">
        <v>77</v>
      </c>
      <c r="B86" s="24"/>
      <c r="C86" s="24"/>
      <c r="D86" s="24"/>
      <c r="E86" s="24"/>
      <c r="F86" s="24"/>
      <c r="G86" s="24"/>
    </row>
    <row r="87" spans="1:7">
      <c r="A87" s="23">
        <v>78</v>
      </c>
      <c r="B87" s="24"/>
      <c r="C87" s="24"/>
      <c r="D87" s="24"/>
      <c r="E87" s="24"/>
      <c r="F87" s="24"/>
      <c r="G87" s="24"/>
    </row>
    <row r="88" spans="1:7">
      <c r="A88" s="23">
        <v>79</v>
      </c>
      <c r="B88" s="24"/>
      <c r="C88" s="24"/>
      <c r="D88" s="24"/>
      <c r="E88" s="24"/>
      <c r="F88" s="24"/>
      <c r="G88" s="24"/>
    </row>
    <row r="89" spans="1:7">
      <c r="A89" s="23">
        <v>80</v>
      </c>
      <c r="B89" s="24"/>
      <c r="C89" s="24"/>
      <c r="D89" s="24"/>
      <c r="E89" s="24"/>
      <c r="F89" s="24"/>
      <c r="G89" s="24"/>
    </row>
    <row r="90" spans="1:7">
      <c r="A90" s="25" t="s">
        <v>18</v>
      </c>
      <c r="B90" s="25" t="e">
        <f t="shared" ref="B90:G90" si="1">AVERAGE(B10:B89)</f>
        <v>#DIV/0!</v>
      </c>
      <c r="C90" s="25" t="e">
        <f t="shared" si="1"/>
        <v>#DIV/0!</v>
      </c>
      <c r="D90" s="25" t="e">
        <f t="shared" si="1"/>
        <v>#DIV/0!</v>
      </c>
      <c r="E90" s="25" t="e">
        <f t="shared" si="1"/>
        <v>#DIV/0!</v>
      </c>
      <c r="F90" s="25" t="e">
        <f t="shared" si="1"/>
        <v>#DIV/0!</v>
      </c>
      <c r="G90" s="25" t="e">
        <f t="shared" si="1"/>
        <v>#DIV/0!</v>
      </c>
    </row>
    <row r="91" spans="1:7">
      <c r="A91" s="25" t="s">
        <v>19</v>
      </c>
      <c r="B91" s="25" t="e">
        <f>_xlfn.STDEV.S(B10:INDEX(B10:B89,COUNTA(B10:B89)))</f>
        <v>#DIV/0!</v>
      </c>
      <c r="C91" s="25" t="e">
        <f>_xlfn.STDEV.S(C10:INDEX(C10:C89,COUNTA(C10:C89)))</f>
        <v>#DIV/0!</v>
      </c>
      <c r="D91" s="25" t="e">
        <f>_xlfn.STDEV.S(D10:INDEX(D10:D89,COUNTA(D10:D89)))</f>
        <v>#DIV/0!</v>
      </c>
      <c r="E91" s="25" t="e">
        <f>_xlfn.STDEV.S(E10:INDEX(E10:E89,COUNTA(E10:E89)))</f>
        <v>#DIV/0!</v>
      </c>
      <c r="F91" s="25" t="e">
        <f>_xlfn.STDEV.S(F10:INDEX(F10:F89,COUNTA(F10:F89)))</f>
        <v>#DIV/0!</v>
      </c>
      <c r="G91" s="25" t="e">
        <f>_xlfn.STDEV.S(G10:INDEX(G10:G89,COUNTA(G10:G89)))</f>
        <v>#DIV/0!</v>
      </c>
    </row>
  </sheetData>
  <sheetProtection algorithmName="SHA-512" hashValue="dlkeioE2ou7SGeLnorYxZub5vcRVsl8Lf1lc9z8yqlmntN9Gmr7XzAITvz8rSb7rN4vq8KL9+ouQlxWHLWWa3Q==" saltValue="Hx6B8tYC3mECYFojvP72bw==" spinCount="100000" sheet="1" objects="1" scenarios="1" selectLockedCells="1"/>
  <mergeCells count="3">
    <mergeCell ref="B1:F1"/>
    <mergeCell ref="B2:C2"/>
    <mergeCell ref="D2:F2"/>
  </mergeCells>
  <pageMargins left="0" right="0" top="0.39374999999999999" bottom="0.39374999999999999" header="0" footer="0"/>
  <pageSetup paperSize="9" orientation="portrait" horizontalDpi="300" verticalDpi="300"/>
  <headerFooter>
    <oddHeader>&amp;C&amp;A</oddHeader>
    <oddFooter>&amp;CPage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rchiver_Produits_Avec_Date">
                <anchor moveWithCells="1" sizeWithCells="1">
                  <from>
                    <xdr:col>8</xdr:col>
                    <xdr:colOff>123825</xdr:colOff>
                    <xdr:row>3</xdr:row>
                    <xdr:rowOff>114300</xdr:rowOff>
                  </from>
                  <to>
                    <xdr:col>9</xdr:col>
                    <xdr:colOff>676275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liste!$A$2:$A$28</xm:f>
          </x14:formula1>
          <x14:formula2>
            <xm:f>0</xm:f>
          </x14:formula2>
          <xm:sqref>B5:G5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/>
  <dimension ref="A1:AMJ1003"/>
  <sheetViews>
    <sheetView zoomScale="75" zoomScaleNormal="75" workbookViewId="0">
      <selection activeCell="CJ8" sqref="CJ8:CK8"/>
    </sheetView>
  </sheetViews>
  <sheetFormatPr baseColWidth="10" defaultColWidth="11" defaultRowHeight="15"/>
  <cols>
    <col min="1" max="1" width="11" style="26"/>
    <col min="2" max="2" width="10.625" style="26" customWidth="1"/>
    <col min="3" max="3" width="12.875" style="26" customWidth="1"/>
    <col min="4" max="4" width="11.75" style="26" customWidth="1"/>
    <col min="5" max="5" width="11" style="26"/>
    <col min="6" max="6" width="12.5" style="26" customWidth="1"/>
    <col min="7" max="7" width="18.625" style="26" customWidth="1"/>
    <col min="8" max="1024" width="11" style="26"/>
  </cols>
  <sheetData>
    <row r="1" spans="1:89">
      <c r="A1" s="26" t="s">
        <v>20</v>
      </c>
    </row>
    <row r="3" spans="1:89" s="29" customFormat="1" ht="24.75" customHeight="1">
      <c r="A3" s="27" t="s">
        <v>21</v>
      </c>
      <c r="B3" s="27" t="s">
        <v>6</v>
      </c>
      <c r="C3" s="27" t="s">
        <v>22</v>
      </c>
      <c r="D3" s="27" t="s">
        <v>23</v>
      </c>
      <c r="E3" s="27" t="s">
        <v>13</v>
      </c>
      <c r="F3" s="27" t="s">
        <v>24</v>
      </c>
      <c r="G3" s="27" t="s">
        <v>16</v>
      </c>
      <c r="H3" s="28">
        <v>1</v>
      </c>
      <c r="I3" s="28">
        <v>2</v>
      </c>
      <c r="J3" s="28">
        <v>3</v>
      </c>
      <c r="K3" s="28">
        <v>4</v>
      </c>
      <c r="L3" s="28">
        <v>5</v>
      </c>
      <c r="M3" s="28">
        <v>6</v>
      </c>
      <c r="N3" s="28">
        <v>7</v>
      </c>
      <c r="O3" s="28">
        <v>8</v>
      </c>
      <c r="P3" s="28">
        <v>9</v>
      </c>
      <c r="Q3" s="28">
        <v>10</v>
      </c>
      <c r="R3" s="28">
        <v>11</v>
      </c>
      <c r="S3" s="28">
        <v>12</v>
      </c>
      <c r="T3" s="28">
        <v>13</v>
      </c>
      <c r="U3" s="28">
        <v>14</v>
      </c>
      <c r="V3" s="28">
        <v>15</v>
      </c>
      <c r="W3" s="28">
        <v>16</v>
      </c>
      <c r="X3" s="28">
        <v>17</v>
      </c>
      <c r="Y3" s="28">
        <v>18</v>
      </c>
      <c r="Z3" s="28">
        <v>19</v>
      </c>
      <c r="AA3" s="28">
        <v>20</v>
      </c>
      <c r="AB3" s="28">
        <v>21</v>
      </c>
      <c r="AC3" s="28">
        <v>22</v>
      </c>
      <c r="AD3" s="28">
        <v>23</v>
      </c>
      <c r="AE3" s="28">
        <v>24</v>
      </c>
      <c r="AF3" s="28">
        <v>25</v>
      </c>
      <c r="AG3" s="28">
        <v>26</v>
      </c>
      <c r="AH3" s="28">
        <v>27</v>
      </c>
      <c r="AI3" s="28">
        <v>28</v>
      </c>
      <c r="AJ3" s="28">
        <v>29</v>
      </c>
      <c r="AK3" s="28">
        <v>30</v>
      </c>
      <c r="AL3" s="28">
        <v>31</v>
      </c>
      <c r="AM3" s="28">
        <v>32</v>
      </c>
      <c r="AN3" s="28">
        <v>33</v>
      </c>
      <c r="AO3" s="28">
        <v>34</v>
      </c>
      <c r="AP3" s="28">
        <v>35</v>
      </c>
      <c r="AQ3" s="28">
        <v>36</v>
      </c>
      <c r="AR3" s="28">
        <v>37</v>
      </c>
      <c r="AS3" s="28">
        <v>38</v>
      </c>
      <c r="AT3" s="28">
        <v>39</v>
      </c>
      <c r="AU3" s="28">
        <v>40</v>
      </c>
      <c r="AV3" s="28">
        <v>41</v>
      </c>
      <c r="AW3" s="28">
        <v>42</v>
      </c>
      <c r="AX3" s="28">
        <v>43</v>
      </c>
      <c r="AY3" s="28">
        <v>44</v>
      </c>
      <c r="AZ3" s="28">
        <v>45</v>
      </c>
      <c r="BA3" s="28">
        <v>46</v>
      </c>
      <c r="BB3" s="28">
        <v>47</v>
      </c>
      <c r="BC3" s="28">
        <v>48</v>
      </c>
      <c r="BD3" s="28">
        <v>49</v>
      </c>
      <c r="BE3" s="28">
        <v>50</v>
      </c>
      <c r="BF3" s="28">
        <v>51</v>
      </c>
      <c r="BG3" s="28">
        <v>52</v>
      </c>
      <c r="BH3" s="28">
        <v>53</v>
      </c>
      <c r="BI3" s="28">
        <v>54</v>
      </c>
      <c r="BJ3" s="28">
        <v>55</v>
      </c>
      <c r="BK3" s="28">
        <v>56</v>
      </c>
      <c r="BL3" s="28">
        <v>57</v>
      </c>
      <c r="BM3" s="28">
        <v>58</v>
      </c>
      <c r="BN3" s="28">
        <v>59</v>
      </c>
      <c r="BO3" s="28">
        <v>60</v>
      </c>
      <c r="BP3" s="28">
        <v>61</v>
      </c>
      <c r="BQ3" s="28">
        <v>62</v>
      </c>
      <c r="BR3" s="28">
        <v>63</v>
      </c>
      <c r="BS3" s="28">
        <v>64</v>
      </c>
      <c r="BT3" s="28">
        <v>65</v>
      </c>
      <c r="BU3" s="28">
        <v>66</v>
      </c>
      <c r="BV3" s="28">
        <v>67</v>
      </c>
      <c r="BW3" s="28">
        <v>68</v>
      </c>
      <c r="BX3" s="28">
        <v>69</v>
      </c>
      <c r="BY3" s="28">
        <v>70</v>
      </c>
      <c r="BZ3" s="28">
        <v>71</v>
      </c>
      <c r="CA3" s="28">
        <v>72</v>
      </c>
      <c r="CB3" s="28">
        <v>73</v>
      </c>
      <c r="CC3" s="28">
        <v>74</v>
      </c>
      <c r="CD3" s="28">
        <v>75</v>
      </c>
      <c r="CE3" s="28">
        <v>76</v>
      </c>
      <c r="CF3" s="28">
        <v>77</v>
      </c>
      <c r="CG3" s="28">
        <v>78</v>
      </c>
      <c r="CH3" s="28">
        <v>79</v>
      </c>
      <c r="CI3" s="28">
        <v>80</v>
      </c>
      <c r="CJ3" s="27" t="s">
        <v>18</v>
      </c>
      <c r="CK3" s="27" t="s">
        <v>25</v>
      </c>
    </row>
    <row r="4" spans="1:89" s="34" customFormat="1">
      <c r="A4" s="30">
        <v>46174</v>
      </c>
      <c r="B4" s="31" t="s">
        <v>7</v>
      </c>
      <c r="C4" s="31"/>
      <c r="D4" s="31">
        <v>5</v>
      </c>
      <c r="E4" s="32" t="s">
        <v>14</v>
      </c>
      <c r="F4" s="31">
        <v>0.5</v>
      </c>
      <c r="G4" s="31">
        <v>20</v>
      </c>
      <c r="H4" s="33">
        <v>0.51849999999999996</v>
      </c>
      <c r="I4" s="33">
        <v>0.54449999999999998</v>
      </c>
      <c r="J4" s="33">
        <v>0.54300000000000004</v>
      </c>
      <c r="K4" s="33">
        <v>0.51900000000000002</v>
      </c>
      <c r="L4" s="33">
        <v>0.52149999999999996</v>
      </c>
      <c r="M4" s="33">
        <v>0.51200000000000001</v>
      </c>
      <c r="N4" s="33">
        <v>0.54</v>
      </c>
      <c r="O4" s="33">
        <v>0.52149999999999996</v>
      </c>
      <c r="P4" s="33">
        <v>0.52549999999999997</v>
      </c>
      <c r="Q4" s="33">
        <v>0.52649999999999997</v>
      </c>
      <c r="R4" s="33">
        <v>0.54</v>
      </c>
      <c r="S4" s="33">
        <v>0.51749999999999996</v>
      </c>
      <c r="T4" s="33">
        <v>0.51749999999999996</v>
      </c>
      <c r="U4" s="33">
        <v>0.51200000000000001</v>
      </c>
      <c r="V4" s="33">
        <v>0.51549999999999996</v>
      </c>
      <c r="W4" s="33">
        <v>0.52549999999999997</v>
      </c>
      <c r="X4" s="33">
        <v>0.52249999999999996</v>
      </c>
      <c r="Y4" s="33">
        <v>0.52349999999999997</v>
      </c>
      <c r="Z4" s="33">
        <v>0.51200000000000001</v>
      </c>
      <c r="AA4" s="33">
        <v>0.51549999999999996</v>
      </c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>
        <v>0.523675</v>
      </c>
      <c r="CK4" s="33">
        <v>1.0344430232840547E-2</v>
      </c>
    </row>
    <row r="5" spans="1:89" s="34" customFormat="1">
      <c r="A5" s="30">
        <v>46174</v>
      </c>
      <c r="B5" s="31" t="s">
        <v>8</v>
      </c>
      <c r="C5" s="31">
        <v>10</v>
      </c>
      <c r="D5" s="31">
        <v>100</v>
      </c>
      <c r="E5" s="32">
        <v>4056</v>
      </c>
      <c r="F5" s="31">
        <v>0.5</v>
      </c>
      <c r="G5" s="31">
        <v>60</v>
      </c>
      <c r="H5" s="33">
        <v>0.50149999999999995</v>
      </c>
      <c r="I5" s="33">
        <v>0.51749999999999996</v>
      </c>
      <c r="J5" s="33">
        <v>0.51500000000000001</v>
      </c>
      <c r="K5" s="33">
        <v>0.50849999999999995</v>
      </c>
      <c r="L5" s="33">
        <v>0.50449999999999995</v>
      </c>
      <c r="M5" s="33">
        <v>0.51149999999999995</v>
      </c>
      <c r="N5" s="33">
        <v>0.51600000000000001</v>
      </c>
      <c r="O5" s="33">
        <v>0.51600000000000001</v>
      </c>
      <c r="P5" s="33">
        <v>0.51049999999999995</v>
      </c>
      <c r="Q5" s="33">
        <v>0.51549999999999996</v>
      </c>
      <c r="R5" s="33">
        <v>0.51100000000000001</v>
      </c>
      <c r="S5" s="33">
        <v>0.50549999999999995</v>
      </c>
      <c r="T5" s="33">
        <v>0.51749999999999996</v>
      </c>
      <c r="U5" s="33">
        <v>0.51149999999999995</v>
      </c>
      <c r="V5" s="33">
        <v>0.51500000000000001</v>
      </c>
      <c r="W5" s="33">
        <v>0.51600000000000001</v>
      </c>
      <c r="X5" s="33">
        <v>0.50449999999999995</v>
      </c>
      <c r="Y5" s="33">
        <v>0.51749999999999996</v>
      </c>
      <c r="Z5" s="33">
        <v>0.51100000000000001</v>
      </c>
      <c r="AA5" s="33">
        <v>0.51200000000000001</v>
      </c>
      <c r="AB5" s="33">
        <v>0.51549999999999996</v>
      </c>
      <c r="AC5" s="33">
        <v>0.51100000000000001</v>
      </c>
      <c r="AD5" s="33">
        <v>0.50449999999999995</v>
      </c>
      <c r="AE5" s="33">
        <v>0.50449999999999995</v>
      </c>
      <c r="AF5" s="33">
        <v>0.51100000000000001</v>
      </c>
      <c r="AG5" s="33">
        <v>0.50549999999999995</v>
      </c>
      <c r="AH5" s="33">
        <v>0.51749999999999996</v>
      </c>
      <c r="AI5" s="33">
        <v>0.51649999999999996</v>
      </c>
      <c r="AJ5" s="33">
        <v>0.51200000000000001</v>
      </c>
      <c r="AK5" s="33">
        <v>0.50449999999999995</v>
      </c>
      <c r="AL5" s="33">
        <v>0.51100000000000001</v>
      </c>
      <c r="AM5" s="33">
        <v>0.51749999999999996</v>
      </c>
      <c r="AN5" s="33">
        <v>0.51749999999999996</v>
      </c>
      <c r="AO5" s="33">
        <v>0.51600000000000001</v>
      </c>
      <c r="AP5" s="33">
        <v>0.50549999999999995</v>
      </c>
      <c r="AQ5" s="33">
        <v>0.51149999999999995</v>
      </c>
      <c r="AR5" s="33">
        <v>0.51149999999999995</v>
      </c>
      <c r="AS5" s="33">
        <v>0.51749999999999996</v>
      </c>
      <c r="AT5" s="33">
        <v>0.51100000000000001</v>
      </c>
      <c r="AU5" s="33">
        <v>0.50549999999999995</v>
      </c>
      <c r="AV5" s="33">
        <v>0.51400000000000001</v>
      </c>
      <c r="AW5" s="33">
        <v>0.51200000000000001</v>
      </c>
      <c r="AX5" s="33">
        <v>0.51200000000000001</v>
      </c>
      <c r="AY5" s="33">
        <v>0.51200000000000001</v>
      </c>
      <c r="AZ5" s="33">
        <v>0.51200000000000001</v>
      </c>
      <c r="BA5" s="33">
        <v>0.51600000000000001</v>
      </c>
      <c r="BB5" s="33" t="s">
        <v>17</v>
      </c>
      <c r="BC5" s="33" t="s">
        <v>17</v>
      </c>
      <c r="BD5" s="33">
        <v>0.51</v>
      </c>
      <c r="BE5" s="33" t="s">
        <v>17</v>
      </c>
      <c r="BF5" s="33">
        <v>0.502</v>
      </c>
      <c r="BG5" s="33">
        <v>0.504</v>
      </c>
      <c r="BH5" s="33">
        <v>0.50800000000000001</v>
      </c>
      <c r="BI5" s="33">
        <v>0.50600000000000001</v>
      </c>
      <c r="BJ5" s="33">
        <v>0.503</v>
      </c>
      <c r="BK5" s="33">
        <v>0.501</v>
      </c>
      <c r="BL5" s="33">
        <v>0.50800000000000001</v>
      </c>
      <c r="BM5" s="33">
        <v>0.50700000000000001</v>
      </c>
      <c r="BN5" s="33">
        <v>0.504</v>
      </c>
      <c r="BO5" s="33">
        <v>0.50600000000000001</v>
      </c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>
        <v>0.51056140350877199</v>
      </c>
      <c r="CK5" s="33">
        <v>4.9741027326531458E-3</v>
      </c>
    </row>
    <row r="6" spans="1:89" s="34" customFormat="1">
      <c r="A6" s="30">
        <v>46174</v>
      </c>
      <c r="B6" s="31" t="s">
        <v>9</v>
      </c>
      <c r="C6" s="31">
        <v>4</v>
      </c>
      <c r="D6" s="31">
        <v>3</v>
      </c>
      <c r="E6" s="32">
        <v>5056</v>
      </c>
      <c r="F6" s="31">
        <v>0.25</v>
      </c>
      <c r="G6" s="31">
        <v>20</v>
      </c>
      <c r="H6" s="33">
        <v>0.26050000000000001</v>
      </c>
      <c r="I6" s="33">
        <v>0.26</v>
      </c>
      <c r="J6" s="33">
        <v>0.26400000000000001</v>
      </c>
      <c r="K6" s="33">
        <v>0.25800000000000001</v>
      </c>
      <c r="L6" s="33">
        <v>0.25850000000000001</v>
      </c>
      <c r="M6" s="33">
        <v>0.2555</v>
      </c>
      <c r="N6" s="33">
        <v>0.26700000000000002</v>
      </c>
      <c r="O6" s="33">
        <v>0.26150000000000001</v>
      </c>
      <c r="P6" s="33">
        <v>0.26150000000000001</v>
      </c>
      <c r="Q6" s="33">
        <v>0.25600000000000001</v>
      </c>
      <c r="R6" s="33">
        <v>0.25750000000000001</v>
      </c>
      <c r="S6" s="33">
        <v>0.2555</v>
      </c>
      <c r="T6" s="33">
        <v>0.26600000000000001</v>
      </c>
      <c r="U6" s="33">
        <v>0.26050000000000001</v>
      </c>
      <c r="V6" s="33">
        <v>0.26700000000000002</v>
      </c>
      <c r="W6" s="33">
        <v>0.26150000000000001</v>
      </c>
      <c r="X6" s="33">
        <v>0.26150000000000001</v>
      </c>
      <c r="Y6" s="33">
        <v>0.26700000000000002</v>
      </c>
      <c r="Z6" s="33">
        <v>0.25850000000000001</v>
      </c>
      <c r="AA6" s="33">
        <v>0.26150000000000001</v>
      </c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>
        <v>0.26094999999999996</v>
      </c>
      <c r="CK6" s="33">
        <v>3.7272114594100935E-3</v>
      </c>
    </row>
    <row r="7" spans="1:89" s="34" customFormat="1">
      <c r="A7" s="30">
        <v>46174</v>
      </c>
      <c r="B7" s="31" t="s">
        <v>10</v>
      </c>
      <c r="C7" s="31">
        <v>4</v>
      </c>
      <c r="D7" s="31">
        <v>4</v>
      </c>
      <c r="E7" s="32">
        <v>5056</v>
      </c>
      <c r="F7" s="31">
        <v>0.25</v>
      </c>
      <c r="G7" s="31">
        <v>20</v>
      </c>
      <c r="H7" s="33">
        <v>0.28249999999999997</v>
      </c>
      <c r="I7" s="33">
        <v>0.26100000000000001</v>
      </c>
      <c r="J7" s="33">
        <v>0.26</v>
      </c>
      <c r="K7" s="33">
        <v>0.28949999999999998</v>
      </c>
      <c r="L7" s="33">
        <v>0.26250000000000001</v>
      </c>
      <c r="M7" s="33">
        <v>0.25700000000000001</v>
      </c>
      <c r="N7" s="33">
        <v>0.26</v>
      </c>
      <c r="O7" s="33">
        <v>0.26750000000000002</v>
      </c>
      <c r="P7" s="33">
        <v>0.26600000000000001</v>
      </c>
      <c r="Q7" s="33">
        <v>0.27550000000000002</v>
      </c>
      <c r="R7" s="33">
        <v>0.26100000000000001</v>
      </c>
      <c r="S7" s="33">
        <v>0.26150000000000001</v>
      </c>
      <c r="T7" s="33">
        <v>0.26200000000000001</v>
      </c>
      <c r="U7" s="33">
        <v>0.26250000000000001</v>
      </c>
      <c r="V7" s="33">
        <v>0.253</v>
      </c>
      <c r="W7" s="33">
        <v>0.26850000000000002</v>
      </c>
      <c r="X7" s="33">
        <v>0.28949999999999998</v>
      </c>
      <c r="Y7" s="33">
        <v>0.26</v>
      </c>
      <c r="Z7" s="33">
        <v>0.25700000000000001</v>
      </c>
      <c r="AA7" s="33">
        <v>0.26250000000000001</v>
      </c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>
        <v>0.26595000000000002</v>
      </c>
      <c r="CK7" s="33">
        <v>1.035539523757136E-2</v>
      </c>
    </row>
    <row r="8" spans="1:89" s="34" customFormat="1">
      <c r="A8" s="30">
        <v>46175</v>
      </c>
      <c r="B8" s="31" t="s">
        <v>98</v>
      </c>
      <c r="C8" s="31">
        <v>3.5</v>
      </c>
      <c r="D8" s="31">
        <v>200</v>
      </c>
      <c r="E8" s="32" t="s">
        <v>99</v>
      </c>
      <c r="F8" s="31">
        <v>0.2</v>
      </c>
      <c r="G8" s="31">
        <v>60</v>
      </c>
      <c r="H8" s="33">
        <v>0.2</v>
      </c>
      <c r="I8" s="33">
        <v>0.2</v>
      </c>
      <c r="J8" s="33">
        <v>0.2</v>
      </c>
      <c r="K8" s="33">
        <v>0.2</v>
      </c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>
        <v>0.2</v>
      </c>
      <c r="CK8" s="33">
        <v>0</v>
      </c>
    </row>
    <row r="9" spans="1:89" s="34" customFormat="1">
      <c r="A9" s="30">
        <v>46175</v>
      </c>
      <c r="B9" s="31" t="s">
        <v>98</v>
      </c>
      <c r="C9" s="31">
        <v>3</v>
      </c>
      <c r="D9" s="31">
        <v>10</v>
      </c>
      <c r="E9" s="32" t="s">
        <v>100</v>
      </c>
      <c r="F9" s="31">
        <v>0.1</v>
      </c>
      <c r="G9" s="31">
        <v>20</v>
      </c>
      <c r="H9" s="33">
        <v>0.1</v>
      </c>
      <c r="I9" s="33">
        <v>0.1</v>
      </c>
      <c r="J9" s="33">
        <v>0.1</v>
      </c>
      <c r="K9" s="33">
        <v>0.1</v>
      </c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>
        <v>0.1</v>
      </c>
      <c r="CK9" s="33">
        <v>0</v>
      </c>
    </row>
    <row r="10" spans="1:89" s="34" customFormat="1">
      <c r="A10" s="30"/>
      <c r="B10" s="31"/>
      <c r="C10" s="31"/>
      <c r="D10" s="31"/>
      <c r="E10" s="32"/>
      <c r="F10" s="31"/>
      <c r="G10" s="31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</row>
    <row r="11" spans="1:89" s="34" customFormat="1">
      <c r="A11" s="30"/>
      <c r="B11" s="31"/>
      <c r="C11" s="31"/>
      <c r="D11" s="31"/>
      <c r="E11" s="32"/>
      <c r="F11" s="31"/>
      <c r="G11" s="31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</row>
    <row r="12" spans="1:89" s="34" customFormat="1">
      <c r="A12" s="30"/>
      <c r="B12" s="31"/>
      <c r="C12" s="31"/>
      <c r="D12" s="31"/>
      <c r="E12" s="32"/>
      <c r="F12" s="31"/>
      <c r="G12" s="31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</row>
    <row r="13" spans="1:89" s="34" customFormat="1">
      <c r="A13" s="30"/>
      <c r="B13" s="31"/>
      <c r="C13" s="31"/>
      <c r="D13" s="31"/>
      <c r="E13" s="32"/>
      <c r="F13" s="31"/>
      <c r="G13" s="31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</row>
    <row r="14" spans="1:89" s="34" customFormat="1">
      <c r="A14" s="30"/>
      <c r="B14" s="31"/>
      <c r="C14" s="31"/>
      <c r="D14" s="31"/>
      <c r="E14" s="32"/>
      <c r="F14" s="31"/>
      <c r="G14" s="31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</row>
    <row r="15" spans="1:89" s="34" customFormat="1">
      <c r="A15" s="30"/>
      <c r="B15" s="31"/>
      <c r="C15" s="31"/>
      <c r="D15" s="31"/>
      <c r="E15" s="32"/>
      <c r="F15" s="31"/>
      <c r="G15" s="31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</row>
    <row r="16" spans="1:89" s="34" customFormat="1">
      <c r="A16" s="30"/>
      <c r="B16" s="31"/>
      <c r="C16" s="31"/>
      <c r="D16" s="31"/>
      <c r="E16" s="32"/>
      <c r="F16" s="31"/>
      <c r="G16" s="31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</row>
    <row r="17" spans="1:89" s="34" customFormat="1">
      <c r="A17" s="30"/>
      <c r="B17" s="31"/>
      <c r="C17" s="31"/>
      <c r="D17" s="31"/>
      <c r="E17" s="32"/>
      <c r="F17" s="31"/>
      <c r="G17" s="31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</row>
    <row r="18" spans="1:89" s="34" customFormat="1">
      <c r="A18" s="30"/>
      <c r="B18" s="31"/>
      <c r="C18" s="31"/>
      <c r="D18" s="31"/>
      <c r="E18" s="32"/>
      <c r="F18" s="31"/>
      <c r="G18" s="31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</row>
    <row r="19" spans="1:89" s="34" customFormat="1">
      <c r="A19" s="30"/>
      <c r="B19" s="31"/>
      <c r="C19" s="31"/>
      <c r="D19" s="31"/>
      <c r="E19" s="32"/>
      <c r="F19" s="31"/>
      <c r="G19" s="31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</row>
    <row r="20" spans="1:89" s="34" customFormat="1">
      <c r="A20" s="30"/>
      <c r="B20" s="31"/>
      <c r="C20" s="31"/>
      <c r="D20" s="31"/>
      <c r="E20" s="31"/>
      <c r="F20" s="31"/>
      <c r="G20" s="31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</row>
    <row r="21" spans="1:89" s="34" customFormat="1">
      <c r="A21" s="30"/>
      <c r="B21" s="31"/>
      <c r="C21" s="31"/>
      <c r="D21" s="31"/>
      <c r="E21" s="31"/>
      <c r="F21" s="31"/>
      <c r="G21" s="31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</row>
    <row r="22" spans="1:89" s="34" customFormat="1">
      <c r="A22" s="30"/>
      <c r="B22" s="31"/>
      <c r="C22" s="31"/>
      <c r="D22" s="31"/>
      <c r="E22" s="31"/>
      <c r="F22" s="31"/>
      <c r="G22" s="31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</row>
    <row r="23" spans="1:89" s="34" customFormat="1">
      <c r="A23" s="30"/>
      <c r="B23" s="31"/>
      <c r="C23" s="31"/>
      <c r="D23" s="31"/>
      <c r="E23" s="31"/>
      <c r="F23" s="31"/>
      <c r="G23" s="31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</row>
    <row r="24" spans="1:89" s="34" customFormat="1">
      <c r="A24" s="30"/>
      <c r="B24" s="31"/>
      <c r="C24" s="31"/>
      <c r="D24" s="31"/>
      <c r="E24" s="31"/>
      <c r="F24" s="31"/>
      <c r="G24" s="31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</row>
    <row r="25" spans="1:89" s="34" customFormat="1">
      <c r="A25" s="30"/>
      <c r="B25" s="31"/>
      <c r="C25" s="31"/>
      <c r="D25" s="31"/>
      <c r="E25" s="31"/>
      <c r="F25" s="31"/>
      <c r="G25" s="31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</row>
    <row r="26" spans="1:89" s="34" customFormat="1">
      <c r="A26" s="30"/>
      <c r="B26" s="31"/>
      <c r="C26" s="31"/>
      <c r="D26" s="31"/>
      <c r="E26" s="31"/>
      <c r="F26" s="31"/>
      <c r="G26" s="31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</row>
    <row r="27" spans="1:89" s="34" customFormat="1">
      <c r="A27" s="30"/>
      <c r="B27" s="31"/>
      <c r="C27" s="31"/>
      <c r="D27" s="31"/>
      <c r="E27" s="31"/>
      <c r="F27" s="31"/>
      <c r="G27" s="31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</row>
    <row r="28" spans="1:89" s="34" customFormat="1">
      <c r="A28" s="30"/>
      <c r="B28" s="31"/>
      <c r="C28" s="31"/>
      <c r="D28" s="31"/>
      <c r="E28" s="31"/>
      <c r="F28" s="31"/>
      <c r="G28" s="31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</row>
    <row r="29" spans="1:89" s="34" customFormat="1">
      <c r="A29" s="30"/>
      <c r="B29" s="31"/>
      <c r="C29" s="31"/>
      <c r="D29" s="31"/>
      <c r="E29" s="31"/>
      <c r="F29" s="31"/>
      <c r="G29" s="31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</row>
    <row r="30" spans="1:89" s="34" customFormat="1">
      <c r="A30" s="30"/>
      <c r="B30" s="31"/>
      <c r="C30" s="31"/>
      <c r="D30" s="31"/>
      <c r="E30" s="31"/>
      <c r="F30" s="31"/>
      <c r="G30" s="31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</row>
    <row r="31" spans="1:89" s="34" customFormat="1">
      <c r="A31" s="30"/>
      <c r="B31" s="31"/>
      <c r="C31" s="31"/>
      <c r="D31" s="31"/>
      <c r="E31" s="31"/>
      <c r="F31" s="31"/>
      <c r="G31" s="31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</row>
    <row r="32" spans="1:89" s="34" customFormat="1">
      <c r="A32" s="30"/>
      <c r="B32" s="31"/>
      <c r="C32" s="31"/>
      <c r="D32" s="31"/>
      <c r="E32" s="31"/>
      <c r="F32" s="31"/>
      <c r="G32" s="31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</row>
    <row r="33" spans="1:89" s="34" customFormat="1">
      <c r="A33" s="30"/>
      <c r="B33" s="31"/>
      <c r="C33" s="31"/>
      <c r="D33" s="31"/>
      <c r="E33" s="31"/>
      <c r="F33" s="31"/>
      <c r="G33" s="31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</row>
    <row r="34" spans="1:89" s="34" customFormat="1">
      <c r="A34" s="30"/>
      <c r="B34" s="31"/>
      <c r="C34" s="31"/>
      <c r="D34" s="31"/>
      <c r="E34" s="31"/>
      <c r="F34" s="31"/>
      <c r="G34" s="31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</row>
    <row r="35" spans="1:89" s="34" customFormat="1">
      <c r="A35" s="30"/>
      <c r="B35" s="31"/>
      <c r="C35" s="31"/>
      <c r="D35" s="31"/>
      <c r="E35" s="31"/>
      <c r="F35" s="31"/>
      <c r="G35" s="31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</row>
    <row r="36" spans="1:89" s="34" customFormat="1">
      <c r="A36" s="30"/>
      <c r="B36" s="31"/>
      <c r="C36" s="31"/>
      <c r="D36" s="31"/>
      <c r="E36" s="31"/>
      <c r="F36" s="31"/>
      <c r="G36" s="31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</row>
    <row r="37" spans="1:89" s="34" customFormat="1">
      <c r="A37" s="30"/>
      <c r="B37" s="31"/>
      <c r="C37" s="31"/>
      <c r="D37" s="31"/>
      <c r="E37" s="31"/>
      <c r="F37" s="31"/>
      <c r="G37" s="31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</row>
    <row r="38" spans="1:89" s="34" customFormat="1">
      <c r="A38" s="30"/>
      <c r="B38" s="31"/>
      <c r="C38" s="31"/>
      <c r="D38" s="31"/>
      <c r="E38" s="31"/>
      <c r="F38" s="31"/>
      <c r="G38" s="31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</row>
    <row r="39" spans="1:89" s="34" customFormat="1">
      <c r="A39" s="30"/>
      <c r="B39" s="31"/>
      <c r="C39" s="31"/>
      <c r="D39" s="31"/>
      <c r="E39" s="31"/>
      <c r="F39" s="31"/>
      <c r="G39" s="31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</row>
    <row r="40" spans="1:89" s="34" customFormat="1">
      <c r="A40" s="30"/>
      <c r="B40" s="31"/>
      <c r="C40" s="31"/>
      <c r="D40" s="31"/>
      <c r="E40" s="31"/>
      <c r="F40" s="31"/>
      <c r="G40" s="31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</row>
    <row r="41" spans="1:89" s="34" customFormat="1">
      <c r="A41" s="30"/>
      <c r="B41" s="31"/>
      <c r="C41" s="31"/>
      <c r="D41" s="31"/>
      <c r="E41" s="31"/>
      <c r="F41" s="31"/>
      <c r="G41" s="31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</row>
    <row r="42" spans="1:89" s="34" customFormat="1">
      <c r="A42" s="30"/>
      <c r="B42" s="31"/>
      <c r="C42" s="31"/>
      <c r="D42" s="31"/>
      <c r="E42" s="31"/>
      <c r="F42" s="31"/>
      <c r="G42" s="31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</row>
    <row r="43" spans="1:89" s="34" customFormat="1">
      <c r="A43" s="30"/>
      <c r="B43" s="31"/>
      <c r="C43" s="31"/>
      <c r="D43" s="31"/>
      <c r="E43" s="31"/>
      <c r="F43" s="31"/>
      <c r="G43" s="31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</row>
    <row r="44" spans="1:89" s="34" customFormat="1">
      <c r="A44" s="30"/>
      <c r="B44" s="31"/>
      <c r="C44" s="31"/>
      <c r="D44" s="31"/>
      <c r="E44" s="31"/>
      <c r="F44" s="31"/>
      <c r="G44" s="31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</row>
    <row r="45" spans="1:89" s="34" customFormat="1">
      <c r="A45" s="30"/>
      <c r="B45" s="31"/>
      <c r="C45" s="31"/>
      <c r="D45" s="31"/>
      <c r="E45" s="31"/>
      <c r="F45" s="31"/>
      <c r="G45" s="31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</row>
    <row r="46" spans="1:89" s="34" customFormat="1">
      <c r="A46" s="30"/>
      <c r="B46" s="31"/>
      <c r="C46" s="31"/>
      <c r="D46" s="31"/>
      <c r="E46" s="31"/>
      <c r="F46" s="31"/>
      <c r="G46" s="31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</row>
    <row r="47" spans="1:89" s="34" customFormat="1">
      <c r="A47" s="30"/>
      <c r="B47" s="31"/>
      <c r="C47" s="31"/>
      <c r="D47" s="31"/>
      <c r="E47" s="31"/>
      <c r="F47" s="31"/>
      <c r="G47" s="31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</row>
    <row r="48" spans="1:89" s="34" customFormat="1">
      <c r="A48" s="30"/>
      <c r="B48" s="31"/>
      <c r="C48" s="31"/>
      <c r="D48" s="31"/>
      <c r="E48" s="31"/>
      <c r="F48" s="31"/>
      <c r="G48" s="31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</row>
    <row r="49" spans="1:89" s="34" customFormat="1">
      <c r="A49" s="30"/>
      <c r="B49" s="31"/>
      <c r="C49" s="31"/>
      <c r="D49" s="31"/>
      <c r="E49" s="31"/>
      <c r="F49" s="31"/>
      <c r="G49" s="31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</row>
    <row r="50" spans="1:89" s="34" customFormat="1">
      <c r="A50" s="30"/>
      <c r="B50" s="31"/>
      <c r="C50" s="31"/>
      <c r="D50" s="31"/>
      <c r="E50" s="31"/>
      <c r="F50" s="31"/>
      <c r="G50" s="31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</row>
    <row r="51" spans="1:89" s="34" customFormat="1">
      <c r="A51" s="30"/>
      <c r="B51" s="31"/>
      <c r="C51" s="31"/>
      <c r="D51" s="31"/>
      <c r="E51" s="31"/>
      <c r="F51" s="31"/>
      <c r="G51" s="31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</row>
    <row r="52" spans="1:89" s="34" customFormat="1">
      <c r="A52" s="30"/>
      <c r="B52" s="31"/>
      <c r="C52" s="31"/>
      <c r="D52" s="31"/>
      <c r="E52" s="31"/>
      <c r="F52" s="31"/>
      <c r="G52" s="31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</row>
    <row r="53" spans="1:89" s="34" customFormat="1">
      <c r="A53" s="30"/>
      <c r="B53" s="31"/>
      <c r="C53" s="31"/>
      <c r="D53" s="31"/>
      <c r="E53" s="31"/>
      <c r="F53" s="31"/>
      <c r="G53" s="31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</row>
    <row r="54" spans="1:89" s="34" customFormat="1">
      <c r="A54" s="30"/>
      <c r="B54" s="31"/>
      <c r="C54" s="31"/>
      <c r="D54" s="31"/>
      <c r="E54" s="31"/>
      <c r="F54" s="31"/>
      <c r="G54" s="31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</row>
    <row r="55" spans="1:89" s="34" customFormat="1">
      <c r="A55" s="30"/>
      <c r="B55" s="31"/>
      <c r="C55" s="31"/>
      <c r="D55" s="31"/>
      <c r="E55" s="31"/>
      <c r="F55" s="31"/>
      <c r="G55" s="31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</row>
    <row r="56" spans="1:89" s="34" customFormat="1">
      <c r="A56" s="30"/>
      <c r="B56" s="31"/>
      <c r="C56" s="31"/>
      <c r="D56" s="31"/>
      <c r="E56" s="31"/>
      <c r="F56" s="31"/>
      <c r="G56" s="31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</row>
    <row r="57" spans="1:89" s="34" customFormat="1">
      <c r="A57" s="30"/>
      <c r="B57" s="31"/>
      <c r="C57" s="31"/>
      <c r="D57" s="31"/>
      <c r="E57" s="31"/>
      <c r="F57" s="31"/>
      <c r="G57" s="31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</row>
    <row r="58" spans="1:89" s="34" customFormat="1">
      <c r="A58" s="30"/>
      <c r="B58" s="31"/>
      <c r="C58" s="31"/>
      <c r="D58" s="31"/>
      <c r="E58" s="31"/>
      <c r="F58" s="31"/>
      <c r="G58" s="31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</row>
    <row r="59" spans="1:89" s="34" customFormat="1">
      <c r="A59" s="30"/>
      <c r="B59" s="31"/>
      <c r="C59" s="31"/>
      <c r="D59" s="31"/>
      <c r="E59" s="31"/>
      <c r="F59" s="31"/>
      <c r="G59" s="31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</row>
    <row r="60" spans="1:89" s="34" customFormat="1">
      <c r="A60" s="30"/>
      <c r="B60" s="31"/>
      <c r="C60" s="31"/>
      <c r="D60" s="31"/>
      <c r="E60" s="31"/>
      <c r="F60" s="31"/>
      <c r="G60" s="31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</row>
    <row r="61" spans="1:89" s="34" customFormat="1">
      <c r="A61" s="30"/>
      <c r="B61" s="31"/>
      <c r="C61" s="31"/>
      <c r="D61" s="31"/>
      <c r="E61" s="31"/>
      <c r="F61" s="31"/>
      <c r="G61" s="31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  <c r="CJ61" s="33"/>
      <c r="CK61" s="33"/>
    </row>
    <row r="62" spans="1:89" s="34" customFormat="1">
      <c r="A62" s="30"/>
      <c r="B62" s="31"/>
      <c r="C62" s="31"/>
      <c r="D62" s="31"/>
      <c r="E62" s="31"/>
      <c r="F62" s="31"/>
      <c r="G62" s="31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</row>
    <row r="63" spans="1:89" s="34" customFormat="1">
      <c r="A63" s="30"/>
      <c r="B63" s="31"/>
      <c r="C63" s="31"/>
      <c r="D63" s="31"/>
      <c r="E63" s="31"/>
      <c r="F63" s="31"/>
      <c r="G63" s="31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</row>
    <row r="64" spans="1:89" s="34" customFormat="1">
      <c r="A64" s="30"/>
      <c r="B64" s="31"/>
      <c r="C64" s="31"/>
      <c r="D64" s="31"/>
      <c r="E64" s="31"/>
      <c r="F64" s="31"/>
      <c r="G64" s="31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s="33"/>
      <c r="CE64" s="33"/>
      <c r="CF64" s="33"/>
      <c r="CG64" s="33"/>
      <c r="CH64" s="33"/>
      <c r="CI64" s="33"/>
      <c r="CJ64" s="33"/>
      <c r="CK64" s="33"/>
    </row>
    <row r="65" spans="1:89" s="34" customFormat="1">
      <c r="A65" s="30"/>
      <c r="B65" s="31"/>
      <c r="C65" s="31"/>
      <c r="D65" s="31"/>
      <c r="E65" s="31"/>
      <c r="F65" s="31"/>
      <c r="G65" s="31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</row>
    <row r="66" spans="1:89" s="34" customFormat="1">
      <c r="A66" s="30"/>
      <c r="B66" s="31"/>
      <c r="C66" s="31"/>
      <c r="D66" s="31"/>
      <c r="E66" s="31"/>
      <c r="F66" s="31"/>
      <c r="G66" s="31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</row>
    <row r="67" spans="1:89" s="34" customFormat="1">
      <c r="A67" s="30"/>
      <c r="B67" s="31"/>
      <c r="C67" s="31"/>
      <c r="D67" s="31"/>
      <c r="E67" s="31"/>
      <c r="F67" s="31"/>
      <c r="G67" s="31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</row>
    <row r="68" spans="1:89" s="34" customFormat="1">
      <c r="A68" s="30"/>
      <c r="B68" s="31"/>
      <c r="C68" s="31"/>
      <c r="D68" s="31"/>
      <c r="E68" s="31"/>
      <c r="F68" s="31"/>
      <c r="G68" s="31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</row>
    <row r="69" spans="1:89" s="34" customFormat="1">
      <c r="A69" s="30"/>
      <c r="B69" s="31"/>
      <c r="C69" s="31"/>
      <c r="D69" s="31"/>
      <c r="E69" s="31"/>
      <c r="F69" s="31"/>
      <c r="G69" s="31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</row>
    <row r="70" spans="1:89" s="34" customFormat="1">
      <c r="A70" s="30"/>
      <c r="B70" s="31"/>
      <c r="C70" s="31"/>
      <c r="D70" s="31"/>
      <c r="E70" s="31"/>
      <c r="F70" s="31"/>
      <c r="G70" s="31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s="33"/>
      <c r="CE70" s="33"/>
      <c r="CF70" s="33"/>
      <c r="CG70" s="33"/>
      <c r="CH70" s="33"/>
      <c r="CI70" s="33"/>
      <c r="CJ70" s="33"/>
      <c r="CK70" s="33"/>
    </row>
    <row r="71" spans="1:89" s="34" customFormat="1">
      <c r="A71" s="30"/>
      <c r="B71" s="31"/>
      <c r="C71" s="31"/>
      <c r="D71" s="31"/>
      <c r="E71" s="31"/>
      <c r="F71" s="31"/>
      <c r="G71" s="31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</row>
    <row r="72" spans="1:89" s="34" customFormat="1">
      <c r="A72" s="30"/>
      <c r="B72" s="31"/>
      <c r="C72" s="31"/>
      <c r="D72" s="31"/>
      <c r="E72" s="31"/>
      <c r="F72" s="31"/>
      <c r="G72" s="31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</row>
    <row r="73" spans="1:89" s="34" customFormat="1">
      <c r="A73" s="30"/>
      <c r="B73" s="31"/>
      <c r="C73" s="31"/>
      <c r="D73" s="31"/>
      <c r="E73" s="31"/>
      <c r="F73" s="31"/>
      <c r="G73" s="31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</row>
    <row r="74" spans="1:89" s="34" customFormat="1">
      <c r="A74" s="30"/>
      <c r="B74" s="31"/>
      <c r="C74" s="31"/>
      <c r="D74" s="31"/>
      <c r="E74" s="31"/>
      <c r="F74" s="31"/>
      <c r="G74" s="31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</row>
    <row r="75" spans="1:89" s="34" customFormat="1">
      <c r="A75" s="30"/>
      <c r="B75" s="31"/>
      <c r="C75" s="31"/>
      <c r="D75" s="31"/>
      <c r="E75" s="31"/>
      <c r="F75" s="31"/>
      <c r="G75" s="31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</row>
    <row r="76" spans="1:89" s="34" customFormat="1">
      <c r="A76" s="30"/>
      <c r="B76" s="31"/>
      <c r="C76" s="31"/>
      <c r="D76" s="31"/>
      <c r="E76" s="31"/>
      <c r="F76" s="31"/>
      <c r="G76" s="31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</row>
    <row r="77" spans="1:89" s="34" customFormat="1">
      <c r="A77" s="30"/>
      <c r="B77" s="31"/>
      <c r="C77" s="31"/>
      <c r="D77" s="31"/>
      <c r="E77" s="31"/>
      <c r="F77" s="31"/>
      <c r="G77" s="31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</row>
    <row r="78" spans="1:89" s="34" customFormat="1">
      <c r="A78" s="30"/>
      <c r="B78" s="31"/>
      <c r="C78" s="31"/>
      <c r="D78" s="31"/>
      <c r="E78" s="31"/>
      <c r="F78" s="31"/>
      <c r="G78" s="31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</row>
    <row r="79" spans="1:89" s="34" customFormat="1">
      <c r="A79" s="30"/>
      <c r="B79" s="31"/>
      <c r="C79" s="31"/>
      <c r="D79" s="31"/>
      <c r="E79" s="31"/>
      <c r="F79" s="31"/>
      <c r="G79" s="31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</row>
    <row r="80" spans="1:89" s="34" customFormat="1">
      <c r="A80" s="30"/>
      <c r="B80" s="31"/>
      <c r="C80" s="31"/>
      <c r="D80" s="31"/>
      <c r="E80" s="31"/>
      <c r="F80" s="31"/>
      <c r="G80" s="31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</row>
    <row r="81" spans="1:89" s="34" customFormat="1">
      <c r="A81" s="30"/>
      <c r="B81" s="31"/>
      <c r="C81" s="31"/>
      <c r="D81" s="31"/>
      <c r="E81" s="31"/>
      <c r="F81" s="31"/>
      <c r="G81" s="31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</row>
    <row r="82" spans="1:89" s="34" customFormat="1">
      <c r="A82" s="30"/>
      <c r="B82" s="31"/>
      <c r="C82" s="31"/>
      <c r="D82" s="31"/>
      <c r="E82" s="31"/>
      <c r="F82" s="31"/>
      <c r="G82" s="31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</row>
    <row r="83" spans="1:89" s="34" customFormat="1">
      <c r="A83" s="30"/>
      <c r="B83" s="31"/>
      <c r="C83" s="31"/>
      <c r="D83" s="31"/>
      <c r="E83" s="31"/>
      <c r="F83" s="31"/>
      <c r="G83" s="31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</row>
    <row r="84" spans="1:89" s="34" customFormat="1">
      <c r="A84" s="30"/>
      <c r="B84" s="31"/>
      <c r="C84" s="31"/>
      <c r="D84" s="31"/>
      <c r="E84" s="31"/>
      <c r="F84" s="31"/>
      <c r="G84" s="31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</row>
    <row r="85" spans="1:89" s="34" customFormat="1">
      <c r="A85" s="30"/>
      <c r="B85" s="31"/>
      <c r="C85" s="31"/>
      <c r="D85" s="31"/>
      <c r="E85" s="31"/>
      <c r="F85" s="31"/>
      <c r="G85" s="31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</row>
    <row r="86" spans="1:89" s="34" customFormat="1">
      <c r="A86" s="30"/>
      <c r="B86" s="31"/>
      <c r="C86" s="31"/>
      <c r="D86" s="31"/>
      <c r="E86" s="31"/>
      <c r="F86" s="31"/>
      <c r="G86" s="31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</row>
    <row r="87" spans="1:89" s="34" customFormat="1">
      <c r="A87" s="30"/>
      <c r="B87" s="31"/>
      <c r="C87" s="31"/>
      <c r="D87" s="31"/>
      <c r="E87" s="31"/>
      <c r="F87" s="31"/>
      <c r="G87" s="31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</row>
    <row r="88" spans="1:89" s="34" customFormat="1">
      <c r="A88" s="30"/>
      <c r="B88" s="31"/>
      <c r="C88" s="31"/>
      <c r="D88" s="31"/>
      <c r="E88" s="31"/>
      <c r="F88" s="31"/>
      <c r="G88" s="31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</row>
    <row r="89" spans="1:89" s="34" customFormat="1">
      <c r="A89" s="30"/>
      <c r="B89" s="31"/>
      <c r="C89" s="31"/>
      <c r="D89" s="31"/>
      <c r="E89" s="31"/>
      <c r="F89" s="31"/>
      <c r="G89" s="31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</row>
    <row r="90" spans="1:89" s="34" customFormat="1">
      <c r="A90" s="30"/>
      <c r="B90" s="31"/>
      <c r="C90" s="31"/>
      <c r="D90" s="31"/>
      <c r="E90" s="31"/>
      <c r="F90" s="31"/>
      <c r="G90" s="31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</row>
    <row r="91" spans="1:89" s="34" customFormat="1">
      <c r="A91" s="30"/>
      <c r="B91" s="31"/>
      <c r="C91" s="31"/>
      <c r="D91" s="31"/>
      <c r="E91" s="31"/>
      <c r="F91" s="31"/>
      <c r="G91" s="31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</row>
    <row r="92" spans="1:89" s="34" customFormat="1">
      <c r="A92" s="30"/>
      <c r="B92" s="31"/>
      <c r="C92" s="31"/>
      <c r="D92" s="31"/>
      <c r="E92" s="31"/>
      <c r="F92" s="31"/>
      <c r="G92" s="31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</row>
    <row r="93" spans="1:89" s="34" customFormat="1">
      <c r="A93" s="30"/>
      <c r="B93" s="31"/>
      <c r="C93" s="31"/>
      <c r="D93" s="31"/>
      <c r="E93" s="31"/>
      <c r="F93" s="31"/>
      <c r="G93" s="31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</row>
    <row r="94" spans="1:89" s="34" customFormat="1">
      <c r="A94" s="30"/>
      <c r="B94" s="31"/>
      <c r="C94" s="31"/>
      <c r="D94" s="31"/>
      <c r="E94" s="31"/>
      <c r="F94" s="31"/>
      <c r="G94" s="31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</row>
    <row r="95" spans="1:89" s="34" customFormat="1">
      <c r="A95" s="30"/>
      <c r="B95" s="31"/>
      <c r="C95" s="31"/>
      <c r="D95" s="31"/>
      <c r="E95" s="31"/>
      <c r="F95" s="31"/>
      <c r="G95" s="31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</row>
    <row r="96" spans="1:89" s="34" customFormat="1">
      <c r="A96" s="30"/>
      <c r="B96" s="31"/>
      <c r="C96" s="31"/>
      <c r="D96" s="31"/>
      <c r="E96" s="31"/>
      <c r="F96" s="31"/>
      <c r="G96" s="31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</row>
    <row r="97" spans="1:89" s="34" customFormat="1">
      <c r="A97" s="30"/>
      <c r="B97" s="31"/>
      <c r="C97" s="31"/>
      <c r="D97" s="31"/>
      <c r="E97" s="31"/>
      <c r="F97" s="31"/>
      <c r="G97" s="31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</row>
    <row r="98" spans="1:89" s="34" customFormat="1">
      <c r="A98" s="30"/>
      <c r="B98" s="31"/>
      <c r="C98" s="31"/>
      <c r="D98" s="31"/>
      <c r="E98" s="31"/>
      <c r="F98" s="31"/>
      <c r="G98" s="31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</row>
    <row r="99" spans="1:89" s="34" customFormat="1">
      <c r="A99" s="30"/>
      <c r="B99" s="31"/>
      <c r="C99" s="31"/>
      <c r="D99" s="31"/>
      <c r="E99" s="31"/>
      <c r="F99" s="31"/>
      <c r="G99" s="31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/>
      <c r="CF99" s="33"/>
      <c r="CG99" s="33"/>
      <c r="CH99" s="33"/>
      <c r="CI99" s="33"/>
      <c r="CJ99" s="33"/>
      <c r="CK99" s="33"/>
    </row>
    <row r="100" spans="1:89" s="34" customFormat="1">
      <c r="A100" s="30"/>
      <c r="B100" s="31"/>
      <c r="C100" s="31"/>
      <c r="D100" s="31"/>
      <c r="E100" s="31"/>
      <c r="F100" s="31"/>
      <c r="G100" s="31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</row>
    <row r="101" spans="1:89" s="34" customFormat="1">
      <c r="A101" s="30"/>
      <c r="B101" s="31"/>
      <c r="C101" s="31"/>
      <c r="D101" s="31"/>
      <c r="E101" s="31"/>
      <c r="F101" s="31"/>
      <c r="G101" s="31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</row>
    <row r="102" spans="1:89" s="34" customFormat="1">
      <c r="A102" s="30"/>
      <c r="B102" s="31"/>
      <c r="C102" s="31"/>
      <c r="D102" s="31"/>
      <c r="E102" s="31"/>
      <c r="F102" s="31"/>
      <c r="G102" s="31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</row>
    <row r="103" spans="1:89" s="34" customFormat="1">
      <c r="A103" s="30"/>
      <c r="B103" s="31"/>
      <c r="C103" s="31"/>
      <c r="D103" s="31"/>
      <c r="E103" s="31"/>
      <c r="F103" s="31"/>
      <c r="G103" s="31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</row>
    <row r="104" spans="1:89" s="34" customFormat="1">
      <c r="A104" s="30"/>
      <c r="B104" s="31"/>
      <c r="C104" s="31"/>
      <c r="D104" s="31"/>
      <c r="E104" s="31"/>
      <c r="F104" s="31"/>
      <c r="G104" s="31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</row>
    <row r="105" spans="1:89" s="34" customFormat="1">
      <c r="A105" s="30"/>
      <c r="B105" s="31"/>
      <c r="C105" s="31"/>
      <c r="D105" s="31"/>
      <c r="E105" s="31"/>
      <c r="F105" s="31"/>
      <c r="G105" s="31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</row>
    <row r="106" spans="1:89" s="34" customFormat="1">
      <c r="A106" s="30"/>
      <c r="B106" s="31"/>
      <c r="C106" s="31"/>
      <c r="D106" s="31"/>
      <c r="E106" s="31"/>
      <c r="F106" s="31"/>
      <c r="G106" s="31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</row>
    <row r="107" spans="1:89" s="34" customFormat="1">
      <c r="A107" s="30"/>
      <c r="B107" s="31"/>
      <c r="C107" s="31"/>
      <c r="D107" s="31"/>
      <c r="E107" s="31"/>
      <c r="F107" s="31"/>
      <c r="G107" s="31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</row>
    <row r="108" spans="1:89" s="34" customFormat="1">
      <c r="A108" s="30"/>
      <c r="B108" s="31"/>
      <c r="C108" s="31"/>
      <c r="D108" s="31"/>
      <c r="E108" s="31"/>
      <c r="F108" s="31"/>
      <c r="G108" s="31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</row>
    <row r="109" spans="1:89" s="34" customFormat="1">
      <c r="A109" s="30"/>
      <c r="B109" s="31"/>
      <c r="C109" s="31"/>
      <c r="D109" s="31"/>
      <c r="E109" s="31"/>
      <c r="F109" s="31"/>
      <c r="G109" s="31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</row>
    <row r="110" spans="1:89" s="34" customFormat="1">
      <c r="A110" s="30"/>
      <c r="B110" s="31"/>
      <c r="C110" s="31"/>
      <c r="D110" s="31"/>
      <c r="E110" s="31"/>
      <c r="F110" s="31"/>
      <c r="G110" s="31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</row>
    <row r="111" spans="1:89" s="34" customFormat="1">
      <c r="A111" s="30"/>
      <c r="B111" s="31"/>
      <c r="C111" s="31"/>
      <c r="D111" s="31"/>
      <c r="E111" s="31"/>
      <c r="F111" s="31"/>
      <c r="G111" s="31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</row>
    <row r="112" spans="1:89" s="34" customFormat="1">
      <c r="A112" s="30"/>
      <c r="B112" s="31"/>
      <c r="C112" s="31"/>
      <c r="D112" s="31"/>
      <c r="E112" s="31"/>
      <c r="F112" s="31"/>
      <c r="G112" s="31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</row>
    <row r="113" spans="1:89" s="34" customFormat="1">
      <c r="A113" s="30"/>
      <c r="B113" s="31"/>
      <c r="C113" s="31"/>
      <c r="D113" s="31"/>
      <c r="E113" s="31"/>
      <c r="F113" s="31"/>
      <c r="G113" s="31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  <c r="CD113" s="33"/>
      <c r="CE113" s="33"/>
      <c r="CF113" s="33"/>
      <c r="CG113" s="33"/>
      <c r="CH113" s="33"/>
      <c r="CI113" s="33"/>
      <c r="CJ113" s="33"/>
      <c r="CK113" s="33"/>
    </row>
    <row r="114" spans="1:89" s="34" customFormat="1">
      <c r="A114" s="30"/>
      <c r="B114" s="31"/>
      <c r="C114" s="31"/>
      <c r="D114" s="31"/>
      <c r="E114" s="31"/>
      <c r="F114" s="31"/>
      <c r="G114" s="31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</row>
    <row r="115" spans="1:89" s="34" customFormat="1">
      <c r="A115" s="30"/>
      <c r="B115" s="31"/>
      <c r="C115" s="31"/>
      <c r="D115" s="31"/>
      <c r="E115" s="31"/>
      <c r="F115" s="31"/>
      <c r="G115" s="31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  <c r="CD115" s="33"/>
      <c r="CE115" s="33"/>
      <c r="CF115" s="33"/>
      <c r="CG115" s="33"/>
      <c r="CH115" s="33"/>
      <c r="CI115" s="33"/>
      <c r="CJ115" s="33"/>
      <c r="CK115" s="33"/>
    </row>
    <row r="116" spans="1:89" s="34" customFormat="1">
      <c r="A116" s="30"/>
      <c r="B116" s="31"/>
      <c r="C116" s="31"/>
      <c r="D116" s="31"/>
      <c r="E116" s="31"/>
      <c r="F116" s="31"/>
      <c r="G116" s="31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</row>
    <row r="117" spans="1:89" s="34" customFormat="1">
      <c r="A117" s="30"/>
      <c r="B117" s="31"/>
      <c r="C117" s="31"/>
      <c r="D117" s="31"/>
      <c r="E117" s="31"/>
      <c r="F117" s="31"/>
      <c r="G117" s="31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</row>
    <row r="118" spans="1:89" s="34" customFormat="1">
      <c r="A118" s="30"/>
      <c r="B118" s="31"/>
      <c r="C118" s="31"/>
      <c r="D118" s="31"/>
      <c r="E118" s="31"/>
      <c r="F118" s="31"/>
      <c r="G118" s="31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</row>
    <row r="119" spans="1:89" s="34" customFormat="1">
      <c r="A119" s="30"/>
      <c r="B119" s="31"/>
      <c r="C119" s="31"/>
      <c r="D119" s="31"/>
      <c r="E119" s="31"/>
      <c r="F119" s="31"/>
      <c r="G119" s="31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</row>
    <row r="120" spans="1:89" s="34" customFormat="1">
      <c r="A120" s="30"/>
      <c r="B120" s="31"/>
      <c r="C120" s="31"/>
      <c r="D120" s="31"/>
      <c r="E120" s="31"/>
      <c r="F120" s="31"/>
      <c r="G120" s="31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</row>
    <row r="121" spans="1:89" s="34" customFormat="1">
      <c r="A121" s="30"/>
      <c r="B121" s="31"/>
      <c r="C121" s="31"/>
      <c r="D121" s="31"/>
      <c r="E121" s="31"/>
      <c r="F121" s="31"/>
      <c r="G121" s="31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</row>
    <row r="122" spans="1:89" s="34" customFormat="1">
      <c r="A122" s="30"/>
      <c r="B122" s="31"/>
      <c r="C122" s="31"/>
      <c r="D122" s="31"/>
      <c r="E122" s="31"/>
      <c r="F122" s="31"/>
      <c r="G122" s="31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</row>
    <row r="123" spans="1:89" s="34" customFormat="1">
      <c r="A123" s="30"/>
      <c r="B123" s="31"/>
      <c r="C123" s="31"/>
      <c r="D123" s="31"/>
      <c r="E123" s="31"/>
      <c r="F123" s="31"/>
      <c r="G123" s="31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</row>
    <row r="124" spans="1:89" s="34" customFormat="1">
      <c r="A124" s="30"/>
      <c r="B124" s="31"/>
      <c r="C124" s="31"/>
      <c r="D124" s="31"/>
      <c r="E124" s="31"/>
      <c r="F124" s="31"/>
      <c r="G124" s="31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</row>
    <row r="125" spans="1:89" s="34" customFormat="1">
      <c r="A125" s="30"/>
      <c r="B125" s="31"/>
      <c r="C125" s="31"/>
      <c r="D125" s="31"/>
      <c r="E125" s="31"/>
      <c r="F125" s="31"/>
      <c r="G125" s="31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</row>
    <row r="126" spans="1:89" s="34" customFormat="1">
      <c r="A126" s="30"/>
      <c r="B126" s="31"/>
      <c r="C126" s="31"/>
      <c r="D126" s="31"/>
      <c r="E126" s="31"/>
      <c r="F126" s="31"/>
      <c r="G126" s="31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</row>
    <row r="127" spans="1:89" s="34" customFormat="1">
      <c r="A127" s="30"/>
      <c r="B127" s="31"/>
      <c r="C127" s="31"/>
      <c r="D127" s="31"/>
      <c r="E127" s="31"/>
      <c r="F127" s="31"/>
      <c r="G127" s="31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</row>
    <row r="128" spans="1:89" s="34" customFormat="1">
      <c r="A128" s="30"/>
      <c r="B128" s="31"/>
      <c r="C128" s="31"/>
      <c r="D128" s="31"/>
      <c r="E128" s="31"/>
      <c r="F128" s="31"/>
      <c r="G128" s="31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</row>
    <row r="129" spans="1:89" s="34" customFormat="1">
      <c r="A129" s="30"/>
      <c r="B129" s="31"/>
      <c r="C129" s="31"/>
      <c r="D129" s="31"/>
      <c r="E129" s="31"/>
      <c r="F129" s="31"/>
      <c r="G129" s="31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</row>
    <row r="130" spans="1:89" s="34" customFormat="1">
      <c r="A130" s="30"/>
      <c r="B130" s="31"/>
      <c r="C130" s="31"/>
      <c r="D130" s="31"/>
      <c r="E130" s="31"/>
      <c r="F130" s="31"/>
      <c r="G130" s="31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</row>
    <row r="131" spans="1:89" s="34" customFormat="1">
      <c r="A131" s="30"/>
      <c r="B131" s="31"/>
      <c r="C131" s="31"/>
      <c r="D131" s="31"/>
      <c r="E131" s="31"/>
      <c r="F131" s="31"/>
      <c r="G131" s="31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</row>
    <row r="132" spans="1:89" s="34" customFormat="1">
      <c r="A132" s="30"/>
      <c r="B132" s="31"/>
      <c r="C132" s="31"/>
      <c r="D132" s="31"/>
      <c r="E132" s="31"/>
      <c r="F132" s="31"/>
      <c r="G132" s="31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</row>
    <row r="133" spans="1:89" s="34" customFormat="1">
      <c r="A133" s="30"/>
      <c r="B133" s="31"/>
      <c r="C133" s="31"/>
      <c r="D133" s="31"/>
      <c r="E133" s="31"/>
      <c r="F133" s="31"/>
      <c r="G133" s="31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</row>
    <row r="134" spans="1:89" s="34" customFormat="1">
      <c r="A134" s="30"/>
      <c r="B134" s="31"/>
      <c r="C134" s="31"/>
      <c r="D134" s="31"/>
      <c r="E134" s="31"/>
      <c r="F134" s="31"/>
      <c r="G134" s="31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</row>
    <row r="135" spans="1:89" s="34" customFormat="1">
      <c r="A135" s="30"/>
      <c r="B135" s="31"/>
      <c r="C135" s="31"/>
      <c r="D135" s="31"/>
      <c r="E135" s="31"/>
      <c r="F135" s="31"/>
      <c r="G135" s="31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</row>
    <row r="136" spans="1:89" s="34" customFormat="1">
      <c r="A136" s="30"/>
      <c r="B136" s="31"/>
      <c r="C136" s="31"/>
      <c r="D136" s="31"/>
      <c r="E136" s="31"/>
      <c r="F136" s="31"/>
      <c r="G136" s="31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</row>
    <row r="137" spans="1:89" s="34" customFormat="1">
      <c r="A137" s="30"/>
      <c r="B137" s="31"/>
      <c r="C137" s="31"/>
      <c r="D137" s="31"/>
      <c r="E137" s="31"/>
      <c r="F137" s="31"/>
      <c r="G137" s="31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</row>
    <row r="138" spans="1:89" s="34" customFormat="1">
      <c r="A138" s="30"/>
      <c r="B138" s="31"/>
      <c r="C138" s="31"/>
      <c r="D138" s="31"/>
      <c r="E138" s="31"/>
      <c r="F138" s="31"/>
      <c r="G138" s="31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</row>
    <row r="139" spans="1:89" s="34" customFormat="1">
      <c r="A139" s="30"/>
      <c r="B139" s="31"/>
      <c r="C139" s="31"/>
      <c r="D139" s="31"/>
      <c r="E139" s="31"/>
      <c r="F139" s="31"/>
      <c r="G139" s="31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</row>
    <row r="140" spans="1:89" s="34" customFormat="1">
      <c r="A140" s="30"/>
      <c r="B140" s="31"/>
      <c r="C140" s="31"/>
      <c r="D140" s="31"/>
      <c r="E140" s="31"/>
      <c r="F140" s="31"/>
      <c r="G140" s="31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</row>
    <row r="141" spans="1:89" s="34" customFormat="1">
      <c r="A141" s="30"/>
      <c r="B141" s="31"/>
      <c r="C141" s="31"/>
      <c r="D141" s="31"/>
      <c r="E141" s="31"/>
      <c r="F141" s="31"/>
      <c r="G141" s="31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</row>
    <row r="142" spans="1:89" s="34" customFormat="1">
      <c r="A142" s="30"/>
      <c r="B142" s="31"/>
      <c r="C142" s="31"/>
      <c r="D142" s="31"/>
      <c r="E142" s="31"/>
      <c r="F142" s="31"/>
      <c r="G142" s="31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</row>
    <row r="143" spans="1:89" s="34" customFormat="1">
      <c r="A143" s="30"/>
      <c r="B143" s="31"/>
      <c r="C143" s="31"/>
      <c r="D143" s="31"/>
      <c r="E143" s="31"/>
      <c r="F143" s="31"/>
      <c r="G143" s="31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</row>
    <row r="144" spans="1:89" s="34" customFormat="1">
      <c r="A144" s="30"/>
      <c r="B144" s="31"/>
      <c r="C144" s="31"/>
      <c r="D144" s="31"/>
      <c r="E144" s="31"/>
      <c r="F144" s="31"/>
      <c r="G144" s="31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</row>
    <row r="145" spans="1:89" s="34" customFormat="1">
      <c r="A145" s="30"/>
      <c r="B145" s="31"/>
      <c r="C145" s="31"/>
      <c r="D145" s="31"/>
      <c r="E145" s="31"/>
      <c r="F145" s="31"/>
      <c r="G145" s="31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</row>
    <row r="146" spans="1:89" s="34" customFormat="1">
      <c r="A146" s="30"/>
      <c r="B146" s="31"/>
      <c r="C146" s="31"/>
      <c r="D146" s="31"/>
      <c r="E146" s="31"/>
      <c r="F146" s="31"/>
      <c r="G146" s="31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</row>
    <row r="147" spans="1:89" s="34" customFormat="1">
      <c r="A147" s="30"/>
      <c r="B147" s="31"/>
      <c r="C147" s="31"/>
      <c r="D147" s="31"/>
      <c r="E147" s="31"/>
      <c r="F147" s="31"/>
      <c r="G147" s="31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</row>
    <row r="148" spans="1:89" s="34" customFormat="1">
      <c r="A148" s="30"/>
      <c r="B148" s="31"/>
      <c r="C148" s="31"/>
      <c r="D148" s="31"/>
      <c r="E148" s="31"/>
      <c r="F148" s="31"/>
      <c r="G148" s="31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</row>
    <row r="149" spans="1:89" s="34" customFormat="1">
      <c r="A149" s="30"/>
      <c r="B149" s="31"/>
      <c r="C149" s="31"/>
      <c r="D149" s="31"/>
      <c r="E149" s="31"/>
      <c r="F149" s="31"/>
      <c r="G149" s="31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</row>
    <row r="150" spans="1:89" s="34" customFormat="1">
      <c r="A150" s="30"/>
      <c r="B150" s="31"/>
      <c r="C150" s="31"/>
      <c r="D150" s="31"/>
      <c r="E150" s="31"/>
      <c r="F150" s="31"/>
      <c r="G150" s="31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</row>
    <row r="151" spans="1:89" s="34" customFormat="1">
      <c r="A151" s="30"/>
      <c r="B151" s="31"/>
      <c r="C151" s="31"/>
      <c r="D151" s="31"/>
      <c r="E151" s="31"/>
      <c r="F151" s="31"/>
      <c r="G151" s="31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</row>
    <row r="152" spans="1:89" s="34" customFormat="1">
      <c r="A152" s="30"/>
      <c r="B152" s="31"/>
      <c r="C152" s="31"/>
      <c r="D152" s="31"/>
      <c r="E152" s="31"/>
      <c r="F152" s="31"/>
      <c r="G152" s="31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</row>
    <row r="153" spans="1:89" s="34" customFormat="1">
      <c r="A153" s="30"/>
      <c r="B153" s="31"/>
      <c r="C153" s="31"/>
      <c r="D153" s="31"/>
      <c r="E153" s="31"/>
      <c r="F153" s="31"/>
      <c r="G153" s="31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</row>
    <row r="154" spans="1:89" s="34" customFormat="1">
      <c r="A154" s="30"/>
      <c r="B154" s="31"/>
      <c r="C154" s="31"/>
      <c r="D154" s="31"/>
      <c r="E154" s="31"/>
      <c r="F154" s="31"/>
      <c r="G154" s="31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</row>
    <row r="155" spans="1:89" s="34" customFormat="1">
      <c r="A155" s="30"/>
      <c r="B155" s="31"/>
      <c r="C155" s="31"/>
      <c r="D155" s="31"/>
      <c r="E155" s="31"/>
      <c r="F155" s="31"/>
      <c r="G155" s="31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</row>
    <row r="156" spans="1:89" s="34" customFormat="1">
      <c r="A156" s="30"/>
      <c r="B156" s="31"/>
      <c r="C156" s="31"/>
      <c r="D156" s="31"/>
      <c r="E156" s="31"/>
      <c r="F156" s="31"/>
      <c r="G156" s="31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</row>
    <row r="157" spans="1:89" s="34" customFormat="1">
      <c r="A157" s="30"/>
      <c r="B157" s="31"/>
      <c r="C157" s="31"/>
      <c r="D157" s="31"/>
      <c r="E157" s="31"/>
      <c r="F157" s="31"/>
      <c r="G157" s="31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</row>
    <row r="158" spans="1:89" s="34" customFormat="1">
      <c r="A158" s="30"/>
      <c r="B158" s="31"/>
      <c r="C158" s="31"/>
      <c r="D158" s="31"/>
      <c r="E158" s="31"/>
      <c r="F158" s="31"/>
      <c r="G158" s="31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</row>
    <row r="159" spans="1:89" s="34" customFormat="1">
      <c r="A159" s="30"/>
      <c r="B159" s="31"/>
      <c r="C159" s="31"/>
      <c r="D159" s="31"/>
      <c r="E159" s="31"/>
      <c r="F159" s="31"/>
      <c r="G159" s="31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</row>
    <row r="160" spans="1:89" s="34" customFormat="1">
      <c r="A160" s="30"/>
      <c r="B160" s="31"/>
      <c r="C160" s="31"/>
      <c r="D160" s="31"/>
      <c r="E160" s="31"/>
      <c r="F160" s="31"/>
      <c r="G160" s="31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</row>
    <row r="161" spans="1:89" s="34" customFormat="1">
      <c r="A161" s="30"/>
      <c r="B161" s="31"/>
      <c r="C161" s="31"/>
      <c r="D161" s="31"/>
      <c r="E161" s="31"/>
      <c r="F161" s="31"/>
      <c r="G161" s="31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</row>
    <row r="162" spans="1:89" s="34" customFormat="1">
      <c r="A162" s="30"/>
      <c r="B162" s="31"/>
      <c r="C162" s="31"/>
      <c r="D162" s="31"/>
      <c r="E162" s="31"/>
      <c r="F162" s="31"/>
      <c r="G162" s="31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</row>
    <row r="163" spans="1:89" s="34" customFormat="1">
      <c r="A163" s="30"/>
      <c r="B163" s="31"/>
      <c r="C163" s="31"/>
      <c r="D163" s="31"/>
      <c r="E163" s="31"/>
      <c r="F163" s="31"/>
      <c r="G163" s="31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</row>
    <row r="164" spans="1:89" s="34" customFormat="1">
      <c r="A164" s="30"/>
      <c r="B164" s="31"/>
      <c r="C164" s="31"/>
      <c r="D164" s="31"/>
      <c r="E164" s="31"/>
      <c r="F164" s="31"/>
      <c r="G164" s="31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</row>
    <row r="165" spans="1:89" s="34" customFormat="1">
      <c r="A165" s="30"/>
      <c r="B165" s="31"/>
      <c r="C165" s="31"/>
      <c r="D165" s="31"/>
      <c r="E165" s="31"/>
      <c r="F165" s="31"/>
      <c r="G165" s="31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</row>
    <row r="166" spans="1:89" s="34" customFormat="1">
      <c r="A166" s="30"/>
      <c r="B166" s="31"/>
      <c r="C166" s="31"/>
      <c r="D166" s="31"/>
      <c r="E166" s="31"/>
      <c r="F166" s="31"/>
      <c r="G166" s="31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</row>
    <row r="167" spans="1:89" s="34" customFormat="1">
      <c r="A167" s="30"/>
      <c r="B167" s="31"/>
      <c r="C167" s="31"/>
      <c r="D167" s="31"/>
      <c r="E167" s="31"/>
      <c r="F167" s="31"/>
      <c r="G167" s="31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</row>
    <row r="168" spans="1:89" s="34" customFormat="1">
      <c r="A168" s="30"/>
      <c r="B168" s="31"/>
      <c r="C168" s="31"/>
      <c r="D168" s="31"/>
      <c r="E168" s="31"/>
      <c r="F168" s="31"/>
      <c r="G168" s="31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</row>
    <row r="169" spans="1:89" s="34" customFormat="1">
      <c r="A169" s="30"/>
      <c r="B169" s="31"/>
      <c r="C169" s="31"/>
      <c r="D169" s="31"/>
      <c r="E169" s="31"/>
      <c r="F169" s="31"/>
      <c r="G169" s="31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</row>
    <row r="170" spans="1:89" s="34" customFormat="1">
      <c r="A170" s="30"/>
      <c r="B170" s="31"/>
      <c r="C170" s="31"/>
      <c r="D170" s="31"/>
      <c r="E170" s="31"/>
      <c r="F170" s="31"/>
      <c r="G170" s="31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</row>
    <row r="171" spans="1:89" s="34" customFormat="1">
      <c r="A171" s="30"/>
      <c r="B171" s="31"/>
      <c r="C171" s="31"/>
      <c r="D171" s="31"/>
      <c r="E171" s="31"/>
      <c r="F171" s="31"/>
      <c r="G171" s="31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</row>
    <row r="172" spans="1:89" s="34" customFormat="1">
      <c r="A172" s="30"/>
      <c r="B172" s="31"/>
      <c r="C172" s="31"/>
      <c r="D172" s="31"/>
      <c r="E172" s="31"/>
      <c r="F172" s="31"/>
      <c r="G172" s="31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</row>
    <row r="173" spans="1:89" s="34" customFormat="1">
      <c r="A173" s="30"/>
      <c r="B173" s="31"/>
      <c r="C173" s="31"/>
      <c r="D173" s="31"/>
      <c r="E173" s="31"/>
      <c r="F173" s="31"/>
      <c r="G173" s="31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</row>
    <row r="174" spans="1:89" s="34" customFormat="1">
      <c r="A174" s="30"/>
      <c r="B174" s="31"/>
      <c r="C174" s="31"/>
      <c r="D174" s="31"/>
      <c r="E174" s="31"/>
      <c r="F174" s="31"/>
      <c r="G174" s="31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</row>
    <row r="175" spans="1:89" s="34" customFormat="1">
      <c r="A175" s="30"/>
      <c r="B175" s="31"/>
      <c r="C175" s="31"/>
      <c r="D175" s="31"/>
      <c r="E175" s="31"/>
      <c r="F175" s="31"/>
      <c r="G175" s="31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</row>
    <row r="176" spans="1:89" s="34" customFormat="1">
      <c r="A176" s="30"/>
      <c r="B176" s="31"/>
      <c r="C176" s="31"/>
      <c r="D176" s="31"/>
      <c r="E176" s="31"/>
      <c r="F176" s="31"/>
      <c r="G176" s="31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</row>
    <row r="177" spans="1:89" s="34" customFormat="1">
      <c r="A177" s="30"/>
      <c r="B177" s="31"/>
      <c r="C177" s="31"/>
      <c r="D177" s="31"/>
      <c r="E177" s="31"/>
      <c r="F177" s="31"/>
      <c r="G177" s="31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</row>
    <row r="178" spans="1:89" s="34" customFormat="1">
      <c r="A178" s="30"/>
      <c r="B178" s="31"/>
      <c r="C178" s="31"/>
      <c r="D178" s="31"/>
      <c r="E178" s="31"/>
      <c r="F178" s="31"/>
      <c r="G178" s="31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</row>
    <row r="179" spans="1:89" s="34" customFormat="1">
      <c r="A179" s="30"/>
      <c r="B179" s="31"/>
      <c r="C179" s="31"/>
      <c r="D179" s="31"/>
      <c r="E179" s="31"/>
      <c r="F179" s="31"/>
      <c r="G179" s="31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</row>
    <row r="180" spans="1:89" s="34" customFormat="1">
      <c r="A180" s="30"/>
      <c r="B180" s="31"/>
      <c r="C180" s="31"/>
      <c r="D180" s="31"/>
      <c r="E180" s="31"/>
      <c r="F180" s="31"/>
      <c r="G180" s="31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</row>
    <row r="181" spans="1:89" s="34" customFormat="1">
      <c r="A181" s="30"/>
      <c r="B181" s="31"/>
      <c r="C181" s="31"/>
      <c r="D181" s="31"/>
      <c r="E181" s="31"/>
      <c r="F181" s="31"/>
      <c r="G181" s="31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</row>
    <row r="182" spans="1:89" s="34" customFormat="1">
      <c r="A182" s="31"/>
      <c r="B182" s="31"/>
      <c r="C182" s="31"/>
      <c r="D182" s="31"/>
      <c r="E182" s="31"/>
      <c r="F182" s="31"/>
      <c r="G182" s="31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</row>
    <row r="183" spans="1:89" s="34" customFormat="1">
      <c r="A183" s="31"/>
      <c r="B183" s="31"/>
      <c r="C183" s="31"/>
      <c r="D183" s="31"/>
      <c r="E183" s="31"/>
      <c r="F183" s="31"/>
      <c r="G183" s="31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  <c r="CJ183" s="33"/>
      <c r="CK183" s="33"/>
    </row>
    <row r="184" spans="1:89" s="34" customFormat="1">
      <c r="A184" s="31"/>
      <c r="B184" s="31"/>
      <c r="C184" s="31"/>
      <c r="D184" s="31"/>
      <c r="E184" s="31"/>
      <c r="F184" s="31"/>
      <c r="G184" s="31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</row>
    <row r="185" spans="1:89" s="34" customFormat="1">
      <c r="A185" s="31"/>
      <c r="B185" s="31"/>
      <c r="C185" s="31"/>
      <c r="D185" s="31"/>
      <c r="E185" s="31"/>
      <c r="F185" s="31"/>
      <c r="G185" s="31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  <c r="CJ185" s="33"/>
      <c r="CK185" s="33"/>
    </row>
    <row r="186" spans="1:89" s="34" customFormat="1">
      <c r="A186" s="31"/>
      <c r="B186" s="31"/>
      <c r="C186" s="31"/>
      <c r="D186" s="31"/>
      <c r="E186" s="31"/>
      <c r="F186" s="31"/>
      <c r="G186" s="31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  <c r="CJ186" s="33"/>
      <c r="CK186" s="33"/>
    </row>
    <row r="187" spans="1:89" s="34" customFormat="1">
      <c r="A187" s="31"/>
      <c r="B187" s="31"/>
      <c r="C187" s="31"/>
      <c r="D187" s="31"/>
      <c r="E187" s="31"/>
      <c r="F187" s="31"/>
      <c r="G187" s="31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  <c r="CJ187" s="33"/>
      <c r="CK187" s="33"/>
    </row>
    <row r="188" spans="1:89" s="34" customFormat="1">
      <c r="A188" s="31"/>
      <c r="B188" s="31"/>
      <c r="C188" s="31"/>
      <c r="D188" s="31"/>
      <c r="E188" s="31"/>
      <c r="F188" s="31"/>
      <c r="G188" s="31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  <c r="CJ188" s="33"/>
      <c r="CK188" s="33"/>
    </row>
    <row r="189" spans="1:89" s="34" customFormat="1">
      <c r="A189" s="31"/>
      <c r="B189" s="31"/>
      <c r="C189" s="31"/>
      <c r="D189" s="31"/>
      <c r="E189" s="31"/>
      <c r="F189" s="31"/>
      <c r="G189" s="31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  <c r="CJ189" s="33"/>
      <c r="CK189" s="33"/>
    </row>
    <row r="190" spans="1:89" s="34" customFormat="1">
      <c r="A190" s="31"/>
      <c r="B190" s="31"/>
      <c r="C190" s="31"/>
      <c r="D190" s="31"/>
      <c r="E190" s="31"/>
      <c r="F190" s="31"/>
      <c r="G190" s="31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  <c r="CJ190" s="33"/>
      <c r="CK190" s="33"/>
    </row>
    <row r="191" spans="1:89" s="34" customFormat="1">
      <c r="A191" s="31"/>
      <c r="B191" s="31"/>
      <c r="C191" s="31"/>
      <c r="D191" s="31"/>
      <c r="E191" s="31"/>
      <c r="F191" s="31"/>
      <c r="G191" s="31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</row>
    <row r="192" spans="1:89" s="34" customFormat="1">
      <c r="A192" s="31"/>
      <c r="B192" s="31"/>
      <c r="C192" s="31"/>
      <c r="D192" s="31"/>
      <c r="E192" s="31"/>
      <c r="F192" s="31"/>
      <c r="G192" s="31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  <c r="CJ192" s="33"/>
      <c r="CK192" s="33"/>
    </row>
    <row r="193" spans="1:89" s="34" customFormat="1">
      <c r="A193" s="31"/>
      <c r="B193" s="31"/>
      <c r="C193" s="31"/>
      <c r="D193" s="31"/>
      <c r="E193" s="31"/>
      <c r="F193" s="31"/>
      <c r="G193" s="31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  <c r="CD193" s="33"/>
      <c r="CE193" s="33"/>
      <c r="CF193" s="33"/>
      <c r="CG193" s="33"/>
      <c r="CH193" s="33"/>
      <c r="CI193" s="33"/>
      <c r="CJ193" s="33"/>
      <c r="CK193" s="33"/>
    </row>
    <row r="194" spans="1:89" s="34" customFormat="1">
      <c r="A194" s="31"/>
      <c r="B194" s="31"/>
      <c r="C194" s="31"/>
      <c r="D194" s="31"/>
      <c r="E194" s="31"/>
      <c r="F194" s="31"/>
      <c r="G194" s="31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  <c r="CJ194" s="33"/>
      <c r="CK194" s="33"/>
    </row>
    <row r="195" spans="1:89" s="34" customFormat="1">
      <c r="A195" s="31"/>
      <c r="B195" s="31"/>
      <c r="C195" s="31"/>
      <c r="D195" s="31"/>
      <c r="E195" s="31"/>
      <c r="F195" s="31"/>
      <c r="G195" s="31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  <c r="CJ195" s="33"/>
      <c r="CK195" s="33"/>
    </row>
    <row r="196" spans="1:89" s="34" customFormat="1">
      <c r="A196" s="31"/>
      <c r="B196" s="31"/>
      <c r="C196" s="31"/>
      <c r="D196" s="31"/>
      <c r="E196" s="31"/>
      <c r="F196" s="31"/>
      <c r="G196" s="31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  <c r="CJ196" s="33"/>
      <c r="CK196" s="33"/>
    </row>
    <row r="197" spans="1:89" s="34" customFormat="1">
      <c r="A197" s="31"/>
      <c r="B197" s="31"/>
      <c r="C197" s="31"/>
      <c r="D197" s="31"/>
      <c r="E197" s="31"/>
      <c r="F197" s="31"/>
      <c r="G197" s="31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</row>
    <row r="198" spans="1:89" s="34" customFormat="1">
      <c r="A198" s="31"/>
      <c r="B198" s="31"/>
      <c r="C198" s="31"/>
      <c r="D198" s="31"/>
      <c r="E198" s="31"/>
      <c r="F198" s="31"/>
      <c r="G198" s="31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  <c r="CJ198" s="33"/>
      <c r="CK198" s="33"/>
    </row>
    <row r="199" spans="1:89" s="34" customFormat="1">
      <c r="A199" s="31"/>
      <c r="B199" s="31"/>
      <c r="C199" s="31"/>
      <c r="D199" s="31"/>
      <c r="E199" s="31"/>
      <c r="F199" s="31"/>
      <c r="G199" s="31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</row>
    <row r="200" spans="1:89" s="34" customFormat="1">
      <c r="A200" s="31"/>
      <c r="B200" s="31"/>
      <c r="C200" s="31"/>
      <c r="D200" s="31"/>
      <c r="E200" s="31"/>
      <c r="F200" s="31"/>
      <c r="G200" s="31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</row>
    <row r="201" spans="1:89" s="34" customFormat="1">
      <c r="A201" s="31"/>
      <c r="B201" s="31"/>
      <c r="C201" s="31"/>
      <c r="D201" s="31"/>
      <c r="E201" s="31"/>
      <c r="F201" s="31"/>
      <c r="G201" s="31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  <c r="CJ201" s="33"/>
      <c r="CK201" s="33"/>
    </row>
    <row r="202" spans="1:89" s="34" customFormat="1">
      <c r="A202" s="31"/>
      <c r="B202" s="31"/>
      <c r="C202" s="31"/>
      <c r="D202" s="31"/>
      <c r="E202" s="31"/>
      <c r="F202" s="31"/>
      <c r="G202" s="31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  <c r="CJ202" s="33"/>
      <c r="CK202" s="33"/>
    </row>
    <row r="203" spans="1:89" s="34" customFormat="1">
      <c r="A203" s="31"/>
      <c r="B203" s="31"/>
      <c r="C203" s="31"/>
      <c r="D203" s="31"/>
      <c r="E203" s="31"/>
      <c r="F203" s="31"/>
      <c r="G203" s="31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  <c r="CJ203" s="33"/>
      <c r="CK203" s="33"/>
    </row>
    <row r="204" spans="1:89" s="34" customFormat="1">
      <c r="A204" s="31"/>
      <c r="B204" s="31"/>
      <c r="C204" s="31"/>
      <c r="D204" s="31"/>
      <c r="E204" s="31"/>
      <c r="F204" s="31"/>
      <c r="G204" s="31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  <c r="CJ204" s="33"/>
      <c r="CK204" s="33"/>
    </row>
    <row r="205" spans="1:89" s="34" customFormat="1">
      <c r="A205" s="31"/>
      <c r="B205" s="31"/>
      <c r="C205" s="31"/>
      <c r="D205" s="31"/>
      <c r="E205" s="31"/>
      <c r="F205" s="31"/>
      <c r="G205" s="31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  <c r="CJ205" s="33"/>
      <c r="CK205" s="33"/>
    </row>
    <row r="206" spans="1:89" s="34" customFormat="1">
      <c r="A206" s="31"/>
      <c r="B206" s="31"/>
      <c r="C206" s="31"/>
      <c r="D206" s="31"/>
      <c r="E206" s="31"/>
      <c r="F206" s="31"/>
      <c r="G206" s="31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  <c r="CJ206" s="33"/>
      <c r="CK206" s="33"/>
    </row>
    <row r="207" spans="1:89" s="34" customFormat="1">
      <c r="A207" s="31"/>
      <c r="B207" s="31"/>
      <c r="C207" s="31"/>
      <c r="D207" s="31"/>
      <c r="E207" s="31"/>
      <c r="F207" s="31"/>
      <c r="G207" s="31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  <c r="CJ207" s="33"/>
      <c r="CK207" s="33"/>
    </row>
    <row r="208" spans="1:89" s="34" customFormat="1">
      <c r="A208" s="31"/>
      <c r="B208" s="31"/>
      <c r="C208" s="31"/>
      <c r="D208" s="31"/>
      <c r="E208" s="31"/>
      <c r="F208" s="31"/>
      <c r="G208" s="31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  <c r="CJ208" s="33"/>
      <c r="CK208" s="33"/>
    </row>
    <row r="209" spans="1:89" s="34" customFormat="1">
      <c r="A209" s="31"/>
      <c r="B209" s="31"/>
      <c r="C209" s="31"/>
      <c r="D209" s="31"/>
      <c r="E209" s="31"/>
      <c r="F209" s="31"/>
      <c r="G209" s="31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  <c r="CJ209" s="33"/>
      <c r="CK209" s="33"/>
    </row>
    <row r="210" spans="1:89" s="34" customFormat="1">
      <c r="A210" s="31"/>
      <c r="B210" s="31"/>
      <c r="C210" s="31"/>
      <c r="D210" s="31"/>
      <c r="E210" s="31"/>
      <c r="F210" s="31"/>
      <c r="G210" s="31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</row>
    <row r="211" spans="1:89" s="34" customFormat="1">
      <c r="A211" s="31"/>
      <c r="B211" s="31"/>
      <c r="C211" s="31"/>
      <c r="D211" s="31"/>
      <c r="E211" s="31"/>
      <c r="F211" s="31"/>
      <c r="G211" s="31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  <c r="CJ211" s="33"/>
      <c r="CK211" s="33"/>
    </row>
    <row r="212" spans="1:89" s="34" customFormat="1">
      <c r="A212" s="31"/>
      <c r="B212" s="31"/>
      <c r="C212" s="31"/>
      <c r="D212" s="31"/>
      <c r="E212" s="31"/>
      <c r="F212" s="31"/>
      <c r="G212" s="31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</row>
    <row r="213" spans="1:89" s="34" customFormat="1">
      <c r="A213" s="31"/>
      <c r="B213" s="31"/>
      <c r="C213" s="31"/>
      <c r="D213" s="31"/>
      <c r="E213" s="31"/>
      <c r="F213" s="31"/>
      <c r="G213" s="31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  <c r="CJ213" s="33"/>
      <c r="CK213" s="33"/>
    </row>
    <row r="214" spans="1:89" s="34" customFormat="1">
      <c r="A214" s="31"/>
      <c r="B214" s="31"/>
      <c r="C214" s="31"/>
      <c r="D214" s="31"/>
      <c r="E214" s="31"/>
      <c r="F214" s="31"/>
      <c r="G214" s="31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</row>
    <row r="215" spans="1:89" s="34" customFormat="1">
      <c r="A215" s="31"/>
      <c r="B215" s="31"/>
      <c r="C215" s="31"/>
      <c r="D215" s="31"/>
      <c r="E215" s="31"/>
      <c r="F215" s="31"/>
      <c r="G215" s="31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  <c r="CJ215" s="33"/>
      <c r="CK215" s="33"/>
    </row>
    <row r="216" spans="1:89" s="34" customFormat="1">
      <c r="A216" s="31"/>
      <c r="B216" s="31"/>
      <c r="C216" s="31"/>
      <c r="D216" s="31"/>
      <c r="E216" s="31"/>
      <c r="F216" s="31"/>
      <c r="G216" s="31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  <c r="CJ216" s="33"/>
      <c r="CK216" s="33"/>
    </row>
    <row r="217" spans="1:89" s="34" customFormat="1">
      <c r="A217" s="31"/>
      <c r="B217" s="31"/>
      <c r="C217" s="31"/>
      <c r="D217" s="31"/>
      <c r="E217" s="31"/>
      <c r="F217" s="31"/>
      <c r="G217" s="31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  <c r="CJ217" s="33"/>
      <c r="CK217" s="33"/>
    </row>
    <row r="218" spans="1:89" s="34" customFormat="1">
      <c r="A218" s="31"/>
      <c r="B218" s="31"/>
      <c r="C218" s="31"/>
      <c r="D218" s="31"/>
      <c r="E218" s="31"/>
      <c r="F218" s="31"/>
      <c r="G218" s="31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</row>
    <row r="219" spans="1:89" s="34" customFormat="1">
      <c r="A219" s="31"/>
      <c r="B219" s="31"/>
      <c r="C219" s="31"/>
      <c r="D219" s="31"/>
      <c r="E219" s="31"/>
      <c r="F219" s="31"/>
      <c r="G219" s="31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</row>
    <row r="220" spans="1:89" s="34" customFormat="1">
      <c r="A220" s="31"/>
      <c r="B220" s="31"/>
      <c r="C220" s="31"/>
      <c r="D220" s="31"/>
      <c r="E220" s="31"/>
      <c r="F220" s="31"/>
      <c r="G220" s="31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</row>
    <row r="221" spans="1:89" s="34" customFormat="1">
      <c r="A221" s="31"/>
      <c r="B221" s="31"/>
      <c r="C221" s="31"/>
      <c r="D221" s="31"/>
      <c r="E221" s="31"/>
      <c r="F221" s="31"/>
      <c r="G221" s="31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  <c r="CJ221" s="33"/>
      <c r="CK221" s="33"/>
    </row>
    <row r="222" spans="1:89" s="34" customFormat="1">
      <c r="A222" s="31"/>
      <c r="B222" s="31"/>
      <c r="C222" s="31"/>
      <c r="D222" s="31"/>
      <c r="E222" s="31"/>
      <c r="F222" s="31"/>
      <c r="G222" s="31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  <c r="CJ222" s="33"/>
      <c r="CK222" s="33"/>
    </row>
    <row r="223" spans="1:89" s="34" customFormat="1">
      <c r="A223" s="31"/>
      <c r="B223" s="31"/>
      <c r="C223" s="31"/>
      <c r="D223" s="31"/>
      <c r="E223" s="31"/>
      <c r="F223" s="31"/>
      <c r="G223" s="31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</row>
    <row r="224" spans="1:89" s="34" customFormat="1">
      <c r="A224" s="31"/>
      <c r="B224" s="31"/>
      <c r="C224" s="31"/>
      <c r="D224" s="31"/>
      <c r="E224" s="31"/>
      <c r="F224" s="31"/>
      <c r="G224" s="31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  <c r="CJ224" s="33"/>
      <c r="CK224" s="33"/>
    </row>
    <row r="225" spans="1:89" s="34" customFormat="1">
      <c r="A225" s="31"/>
      <c r="B225" s="31"/>
      <c r="C225" s="31"/>
      <c r="D225" s="31"/>
      <c r="E225" s="31"/>
      <c r="F225" s="31"/>
      <c r="G225" s="31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  <c r="CJ225" s="33"/>
      <c r="CK225" s="33"/>
    </row>
    <row r="226" spans="1:89" s="34" customFormat="1">
      <c r="A226" s="31"/>
      <c r="B226" s="31"/>
      <c r="C226" s="31"/>
      <c r="D226" s="31"/>
      <c r="E226" s="31"/>
      <c r="F226" s="31"/>
      <c r="G226" s="31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</row>
    <row r="227" spans="1:89" s="34" customFormat="1">
      <c r="A227" s="31"/>
      <c r="B227" s="31"/>
      <c r="C227" s="31"/>
      <c r="D227" s="31"/>
      <c r="E227" s="31"/>
      <c r="F227" s="31"/>
      <c r="G227" s="31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  <c r="CJ227" s="33"/>
      <c r="CK227" s="33"/>
    </row>
    <row r="228" spans="1:89" s="34" customFormat="1">
      <c r="A228" s="31"/>
      <c r="B228" s="31"/>
      <c r="C228" s="31"/>
      <c r="D228" s="31"/>
      <c r="E228" s="31"/>
      <c r="F228" s="31"/>
      <c r="G228" s="31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  <c r="CJ228" s="33"/>
      <c r="CK228" s="33"/>
    </row>
    <row r="229" spans="1:89" s="34" customFormat="1">
      <c r="A229" s="31"/>
      <c r="B229" s="31"/>
      <c r="C229" s="31"/>
      <c r="D229" s="31"/>
      <c r="E229" s="31"/>
      <c r="F229" s="31"/>
      <c r="G229" s="31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  <c r="CJ229" s="33"/>
      <c r="CK229" s="33"/>
    </row>
    <row r="230" spans="1:89" s="34" customFormat="1">
      <c r="A230" s="31"/>
      <c r="B230" s="31"/>
      <c r="C230" s="31"/>
      <c r="D230" s="31"/>
      <c r="E230" s="31"/>
      <c r="F230" s="31"/>
      <c r="G230" s="31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  <c r="CJ230" s="33"/>
      <c r="CK230" s="33"/>
    </row>
    <row r="231" spans="1:89" s="34" customFormat="1">
      <c r="A231" s="31"/>
      <c r="B231" s="31"/>
      <c r="C231" s="31"/>
      <c r="D231" s="31"/>
      <c r="E231" s="31"/>
      <c r="F231" s="31"/>
      <c r="G231" s="31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  <c r="CJ231" s="33"/>
      <c r="CK231" s="33"/>
    </row>
    <row r="232" spans="1:89" s="34" customFormat="1">
      <c r="A232" s="31"/>
      <c r="B232" s="31"/>
      <c r="C232" s="31"/>
      <c r="D232" s="31"/>
      <c r="E232" s="31"/>
      <c r="F232" s="31"/>
      <c r="G232" s="31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  <c r="CJ232" s="33"/>
      <c r="CK232" s="33"/>
    </row>
    <row r="233" spans="1:89" s="34" customFormat="1">
      <c r="A233" s="31"/>
      <c r="B233" s="31"/>
      <c r="C233" s="31"/>
      <c r="D233" s="31"/>
      <c r="E233" s="31"/>
      <c r="F233" s="31"/>
      <c r="G233" s="31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  <c r="CJ233" s="33"/>
      <c r="CK233" s="33"/>
    </row>
    <row r="234" spans="1:89" s="34" customFormat="1">
      <c r="A234" s="31"/>
      <c r="B234" s="31"/>
      <c r="C234" s="31"/>
      <c r="D234" s="31"/>
      <c r="E234" s="31"/>
      <c r="F234" s="31"/>
      <c r="G234" s="31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  <c r="CJ234" s="33"/>
      <c r="CK234" s="33"/>
    </row>
    <row r="235" spans="1:89" s="34" customFormat="1">
      <c r="A235" s="31"/>
      <c r="B235" s="31"/>
      <c r="C235" s="31"/>
      <c r="D235" s="31"/>
      <c r="E235" s="31"/>
      <c r="F235" s="31"/>
      <c r="G235" s="31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  <c r="CJ235" s="33"/>
      <c r="CK235" s="33"/>
    </row>
    <row r="236" spans="1:89" s="34" customFormat="1">
      <c r="A236" s="31"/>
      <c r="B236" s="31"/>
      <c r="C236" s="31"/>
      <c r="D236" s="31"/>
      <c r="E236" s="31"/>
      <c r="F236" s="31"/>
      <c r="G236" s="31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</row>
    <row r="237" spans="1:89" s="34" customFormat="1">
      <c r="A237" s="31"/>
      <c r="B237" s="31"/>
      <c r="C237" s="31"/>
      <c r="D237" s="31"/>
      <c r="E237" s="31"/>
      <c r="F237" s="31"/>
      <c r="G237" s="31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  <c r="CJ237" s="33"/>
      <c r="CK237" s="33"/>
    </row>
    <row r="238" spans="1:89" s="34" customFormat="1">
      <c r="A238" s="31"/>
      <c r="B238" s="31"/>
      <c r="C238" s="31"/>
      <c r="D238" s="31"/>
      <c r="E238" s="31"/>
      <c r="F238" s="31"/>
      <c r="G238" s="31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  <c r="CJ238" s="33"/>
      <c r="CK238" s="33"/>
    </row>
    <row r="239" spans="1:89" s="34" customFormat="1">
      <c r="A239" s="31"/>
      <c r="B239" s="31"/>
      <c r="C239" s="31"/>
      <c r="D239" s="31"/>
      <c r="E239" s="31"/>
      <c r="F239" s="31"/>
      <c r="G239" s="31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  <c r="CJ239" s="33"/>
      <c r="CK239" s="33"/>
    </row>
    <row r="240" spans="1:89" s="34" customFormat="1">
      <c r="A240" s="31"/>
      <c r="B240" s="31"/>
      <c r="C240" s="31"/>
      <c r="D240" s="31"/>
      <c r="E240" s="31"/>
      <c r="F240" s="31"/>
      <c r="G240" s="31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  <c r="CJ240" s="33"/>
      <c r="CK240" s="33"/>
    </row>
    <row r="241" spans="1:89" s="34" customFormat="1">
      <c r="A241" s="31"/>
      <c r="B241" s="31"/>
      <c r="C241" s="31"/>
      <c r="D241" s="31"/>
      <c r="E241" s="31"/>
      <c r="F241" s="31"/>
      <c r="G241" s="31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  <c r="CJ241" s="33"/>
      <c r="CK241" s="33"/>
    </row>
    <row r="242" spans="1:89" s="34" customFormat="1">
      <c r="A242" s="31"/>
      <c r="B242" s="31"/>
      <c r="C242" s="31"/>
      <c r="D242" s="31"/>
      <c r="E242" s="31"/>
      <c r="F242" s="31"/>
      <c r="G242" s="31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  <c r="CJ242" s="33"/>
      <c r="CK242" s="33"/>
    </row>
    <row r="243" spans="1:89" s="34" customFormat="1">
      <c r="A243" s="31"/>
      <c r="B243" s="31"/>
      <c r="C243" s="31"/>
      <c r="D243" s="31"/>
      <c r="E243" s="31"/>
      <c r="F243" s="31"/>
      <c r="G243" s="31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  <c r="CJ243" s="33"/>
      <c r="CK243" s="33"/>
    </row>
    <row r="244" spans="1:89" s="34" customFormat="1">
      <c r="A244" s="31"/>
      <c r="B244" s="31"/>
      <c r="C244" s="31"/>
      <c r="D244" s="31"/>
      <c r="E244" s="31"/>
      <c r="F244" s="31"/>
      <c r="G244" s="31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  <c r="CJ244" s="33"/>
      <c r="CK244" s="33"/>
    </row>
    <row r="245" spans="1:89" s="34" customFormat="1">
      <c r="A245" s="31"/>
      <c r="B245" s="31"/>
      <c r="C245" s="31"/>
      <c r="D245" s="31"/>
      <c r="E245" s="31"/>
      <c r="F245" s="31"/>
      <c r="G245" s="31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  <c r="CJ245" s="33"/>
      <c r="CK245" s="33"/>
    </row>
    <row r="246" spans="1:89" s="34" customFormat="1">
      <c r="A246" s="31"/>
      <c r="B246" s="31"/>
      <c r="C246" s="31"/>
      <c r="D246" s="31"/>
      <c r="E246" s="31"/>
      <c r="F246" s="31"/>
      <c r="G246" s="31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</row>
    <row r="247" spans="1:89" s="34" customFormat="1">
      <c r="A247" s="31"/>
      <c r="B247" s="31"/>
      <c r="C247" s="31"/>
      <c r="D247" s="31"/>
      <c r="E247" s="31"/>
      <c r="F247" s="31"/>
      <c r="G247" s="31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  <c r="CJ247" s="33"/>
      <c r="CK247" s="33"/>
    </row>
    <row r="248" spans="1:89" s="34" customFormat="1">
      <c r="A248" s="31"/>
      <c r="B248" s="31"/>
      <c r="C248" s="31"/>
      <c r="D248" s="31"/>
      <c r="E248" s="31"/>
      <c r="F248" s="31"/>
      <c r="G248" s="31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</row>
    <row r="249" spans="1:89" s="34" customFormat="1">
      <c r="A249" s="31"/>
      <c r="B249" s="31"/>
      <c r="C249" s="31"/>
      <c r="D249" s="31"/>
      <c r="E249" s="31"/>
      <c r="F249" s="31"/>
      <c r="G249" s="31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  <c r="CJ249" s="33"/>
      <c r="CK249" s="33"/>
    </row>
    <row r="250" spans="1:89" s="34" customFormat="1">
      <c r="A250" s="31"/>
      <c r="B250" s="31"/>
      <c r="C250" s="31"/>
      <c r="D250" s="31"/>
      <c r="E250" s="31"/>
      <c r="F250" s="31"/>
      <c r="G250" s="31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  <c r="CJ250" s="33"/>
      <c r="CK250" s="33"/>
    </row>
    <row r="251" spans="1:89" s="34" customFormat="1">
      <c r="A251" s="31"/>
      <c r="B251" s="31"/>
      <c r="C251" s="31"/>
      <c r="D251" s="31"/>
      <c r="E251" s="31"/>
      <c r="F251" s="31"/>
      <c r="G251" s="31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  <c r="CJ251" s="33"/>
      <c r="CK251" s="33"/>
    </row>
    <row r="252" spans="1:89" s="34" customFormat="1">
      <c r="A252" s="31"/>
      <c r="B252" s="31"/>
      <c r="C252" s="31"/>
      <c r="D252" s="31"/>
      <c r="E252" s="31"/>
      <c r="F252" s="31"/>
      <c r="G252" s="31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  <c r="CJ252" s="33"/>
      <c r="CK252" s="33"/>
    </row>
    <row r="253" spans="1:89" s="34" customFormat="1">
      <c r="A253" s="31"/>
      <c r="B253" s="31"/>
      <c r="C253" s="31"/>
      <c r="D253" s="31"/>
      <c r="E253" s="31"/>
      <c r="F253" s="31"/>
      <c r="G253" s="31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  <c r="CJ253" s="33"/>
      <c r="CK253" s="33"/>
    </row>
    <row r="254" spans="1:89" s="34" customFormat="1">
      <c r="A254" s="31"/>
      <c r="B254" s="31"/>
      <c r="C254" s="31"/>
      <c r="D254" s="31"/>
      <c r="E254" s="31"/>
      <c r="F254" s="31"/>
      <c r="G254" s="31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  <c r="CJ254" s="33"/>
      <c r="CK254" s="33"/>
    </row>
    <row r="255" spans="1:89" s="34" customFormat="1">
      <c r="A255" s="31"/>
      <c r="B255" s="31"/>
      <c r="C255" s="31"/>
      <c r="D255" s="31"/>
      <c r="E255" s="31"/>
      <c r="F255" s="31"/>
      <c r="G255" s="31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  <c r="CJ255" s="33"/>
      <c r="CK255" s="33"/>
    </row>
    <row r="256" spans="1:89" s="34" customFormat="1">
      <c r="A256" s="31"/>
      <c r="B256" s="31"/>
      <c r="C256" s="31"/>
      <c r="D256" s="31"/>
      <c r="E256" s="31"/>
      <c r="F256" s="31"/>
      <c r="G256" s="31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  <c r="CJ256" s="33"/>
      <c r="CK256" s="33"/>
    </row>
    <row r="257" spans="1:89" s="34" customFormat="1">
      <c r="A257" s="31"/>
      <c r="B257" s="31"/>
      <c r="C257" s="31"/>
      <c r="D257" s="31"/>
      <c r="E257" s="31"/>
      <c r="F257" s="31"/>
      <c r="G257" s="31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  <c r="CJ257" s="33"/>
      <c r="CK257" s="33"/>
    </row>
    <row r="258" spans="1:89" s="34" customFormat="1">
      <c r="A258" s="31"/>
      <c r="B258" s="31"/>
      <c r="C258" s="31"/>
      <c r="D258" s="31"/>
      <c r="E258" s="31"/>
      <c r="F258" s="31"/>
      <c r="G258" s="31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  <c r="CJ258" s="33"/>
      <c r="CK258" s="33"/>
    </row>
    <row r="259" spans="1:89" s="34" customFormat="1">
      <c r="A259" s="31"/>
      <c r="B259" s="31"/>
      <c r="C259" s="31"/>
      <c r="D259" s="31"/>
      <c r="E259" s="31"/>
      <c r="F259" s="31"/>
      <c r="G259" s="31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  <c r="CJ259" s="33"/>
      <c r="CK259" s="33"/>
    </row>
    <row r="260" spans="1:89" s="34" customFormat="1">
      <c r="A260" s="31"/>
      <c r="B260" s="31"/>
      <c r="C260" s="31"/>
      <c r="D260" s="31"/>
      <c r="E260" s="31"/>
      <c r="F260" s="31"/>
      <c r="G260" s="31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/>
      <c r="CH260" s="33"/>
      <c r="CI260" s="33"/>
      <c r="CJ260" s="33"/>
      <c r="CK260" s="33"/>
    </row>
    <row r="261" spans="1:89" s="34" customFormat="1">
      <c r="A261" s="31"/>
      <c r="B261" s="31"/>
      <c r="C261" s="31"/>
      <c r="D261" s="31"/>
      <c r="E261" s="31"/>
      <c r="F261" s="31"/>
      <c r="G261" s="31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  <c r="CJ261" s="33"/>
      <c r="CK261" s="33"/>
    </row>
    <row r="262" spans="1:89" s="34" customFormat="1">
      <c r="A262" s="31"/>
      <c r="B262" s="31"/>
      <c r="C262" s="31"/>
      <c r="D262" s="31"/>
      <c r="E262" s="31"/>
      <c r="F262" s="31"/>
      <c r="G262" s="31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  <c r="CJ262" s="33"/>
      <c r="CK262" s="33"/>
    </row>
    <row r="263" spans="1:89" s="34" customFormat="1">
      <c r="A263" s="31"/>
      <c r="B263" s="31"/>
      <c r="C263" s="31"/>
      <c r="D263" s="31"/>
      <c r="E263" s="31"/>
      <c r="F263" s="31"/>
      <c r="G263" s="31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</row>
    <row r="264" spans="1:89" s="34" customFormat="1">
      <c r="A264" s="31"/>
      <c r="B264" s="31"/>
      <c r="C264" s="31"/>
      <c r="D264" s="31"/>
      <c r="E264" s="31"/>
      <c r="F264" s="31"/>
      <c r="G264" s="31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</row>
    <row r="265" spans="1:89" s="34" customFormat="1">
      <c r="A265" s="31"/>
      <c r="B265" s="31"/>
      <c r="C265" s="31"/>
      <c r="D265" s="31"/>
      <c r="E265" s="31"/>
      <c r="F265" s="31"/>
      <c r="G265" s="31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  <c r="CD265" s="33"/>
      <c r="CE265" s="33"/>
      <c r="CF265" s="33"/>
      <c r="CG265" s="33"/>
      <c r="CH265" s="33"/>
      <c r="CI265" s="33"/>
      <c r="CJ265" s="33"/>
      <c r="CK265" s="33"/>
    </row>
    <row r="266" spans="1:89" s="34" customFormat="1">
      <c r="A266" s="31"/>
      <c r="B266" s="31"/>
      <c r="C266" s="31"/>
      <c r="D266" s="31"/>
      <c r="E266" s="31"/>
      <c r="F266" s="31"/>
      <c r="G266" s="31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</row>
    <row r="267" spans="1:89" s="34" customFormat="1">
      <c r="A267" s="31"/>
      <c r="B267" s="31"/>
      <c r="C267" s="31"/>
      <c r="D267" s="31"/>
      <c r="E267" s="31"/>
      <c r="F267" s="31"/>
      <c r="G267" s="31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</row>
    <row r="268" spans="1:89" s="34" customFormat="1">
      <c r="A268" s="31"/>
      <c r="B268" s="31"/>
      <c r="C268" s="31"/>
      <c r="D268" s="31"/>
      <c r="E268" s="31"/>
      <c r="F268" s="31"/>
      <c r="G268" s="31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</row>
    <row r="269" spans="1:89" s="34" customFormat="1">
      <c r="A269" s="31"/>
      <c r="B269" s="31"/>
      <c r="C269" s="31"/>
      <c r="D269" s="31"/>
      <c r="E269" s="31"/>
      <c r="F269" s="31"/>
      <c r="G269" s="31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</row>
    <row r="270" spans="1:89" s="34" customFormat="1">
      <c r="A270" s="31"/>
      <c r="B270" s="31"/>
      <c r="C270" s="31"/>
      <c r="D270" s="31"/>
      <c r="E270" s="31"/>
      <c r="F270" s="31"/>
      <c r="G270" s="31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  <c r="CJ270" s="33"/>
      <c r="CK270" s="33"/>
    </row>
    <row r="271" spans="1:89" s="34" customFormat="1">
      <c r="A271" s="31"/>
      <c r="B271" s="31"/>
      <c r="C271" s="31"/>
      <c r="D271" s="31"/>
      <c r="E271" s="31"/>
      <c r="F271" s="31"/>
      <c r="G271" s="31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  <c r="CJ271" s="33"/>
      <c r="CK271" s="33"/>
    </row>
    <row r="272" spans="1:89" s="34" customFormat="1">
      <c r="A272" s="31"/>
      <c r="B272" s="31"/>
      <c r="C272" s="31"/>
      <c r="D272" s="31"/>
      <c r="E272" s="31"/>
      <c r="F272" s="31"/>
      <c r="G272" s="31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  <c r="CJ272" s="33"/>
      <c r="CK272" s="33"/>
    </row>
    <row r="273" spans="1:89" s="34" customFormat="1">
      <c r="A273" s="31"/>
      <c r="B273" s="31"/>
      <c r="C273" s="31"/>
      <c r="D273" s="31"/>
      <c r="E273" s="31"/>
      <c r="F273" s="31"/>
      <c r="G273" s="31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  <c r="CJ273" s="33"/>
      <c r="CK273" s="33"/>
    </row>
    <row r="274" spans="1:89" s="34" customFormat="1">
      <c r="A274" s="31"/>
      <c r="B274" s="31"/>
      <c r="C274" s="31"/>
      <c r="D274" s="31"/>
      <c r="E274" s="31"/>
      <c r="F274" s="31"/>
      <c r="G274" s="31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  <c r="CJ274" s="33"/>
      <c r="CK274" s="33"/>
    </row>
    <row r="275" spans="1:89" s="34" customFormat="1">
      <c r="A275" s="31"/>
      <c r="B275" s="31"/>
      <c r="C275" s="31"/>
      <c r="D275" s="31"/>
      <c r="E275" s="31"/>
      <c r="F275" s="31"/>
      <c r="G275" s="31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  <c r="CJ275" s="33"/>
      <c r="CK275" s="33"/>
    </row>
    <row r="276" spans="1:89" s="34" customFormat="1">
      <c r="A276" s="31"/>
      <c r="B276" s="31"/>
      <c r="C276" s="31"/>
      <c r="D276" s="31"/>
      <c r="E276" s="31"/>
      <c r="F276" s="31"/>
      <c r="G276" s="31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  <c r="CJ276" s="33"/>
      <c r="CK276" s="33"/>
    </row>
    <row r="277" spans="1:89" s="34" customFormat="1">
      <c r="A277" s="31"/>
      <c r="B277" s="31"/>
      <c r="C277" s="31"/>
      <c r="D277" s="31"/>
      <c r="E277" s="31"/>
      <c r="F277" s="31"/>
      <c r="G277" s="31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  <c r="CJ277" s="33"/>
      <c r="CK277" s="33"/>
    </row>
    <row r="278" spans="1:89" s="34" customFormat="1">
      <c r="A278" s="31"/>
      <c r="B278" s="31"/>
      <c r="C278" s="31"/>
      <c r="D278" s="31"/>
      <c r="E278" s="31"/>
      <c r="F278" s="31"/>
      <c r="G278" s="31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</row>
    <row r="279" spans="1:89" s="34" customFormat="1">
      <c r="A279" s="31"/>
      <c r="B279" s="31"/>
      <c r="C279" s="31"/>
      <c r="D279" s="31"/>
      <c r="E279" s="31"/>
      <c r="F279" s="31"/>
      <c r="G279" s="31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</row>
    <row r="280" spans="1:89" s="34" customFormat="1">
      <c r="A280" s="31"/>
      <c r="B280" s="31"/>
      <c r="C280" s="31"/>
      <c r="D280" s="31"/>
      <c r="E280" s="31"/>
      <c r="F280" s="31"/>
      <c r="G280" s="31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</row>
    <row r="281" spans="1:89" s="34" customFormat="1">
      <c r="A281" s="31"/>
      <c r="B281" s="31"/>
      <c r="C281" s="31"/>
      <c r="D281" s="31"/>
      <c r="E281" s="31"/>
      <c r="F281" s="31"/>
      <c r="G281" s="31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  <c r="CJ281" s="33"/>
      <c r="CK281" s="33"/>
    </row>
    <row r="282" spans="1:89" s="34" customFormat="1">
      <c r="A282" s="31"/>
      <c r="B282" s="31"/>
      <c r="C282" s="31"/>
      <c r="D282" s="31"/>
      <c r="E282" s="31"/>
      <c r="F282" s="31"/>
      <c r="G282" s="31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  <c r="CJ282" s="33"/>
      <c r="CK282" s="33"/>
    </row>
    <row r="283" spans="1:89" s="34" customFormat="1">
      <c r="A283" s="31"/>
      <c r="B283" s="31"/>
      <c r="C283" s="31"/>
      <c r="D283" s="31"/>
      <c r="E283" s="31"/>
      <c r="F283" s="31"/>
      <c r="G283" s="31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  <c r="CJ283" s="33"/>
      <c r="CK283" s="33"/>
    </row>
    <row r="284" spans="1:89" s="34" customFormat="1">
      <c r="A284" s="31"/>
      <c r="B284" s="31"/>
      <c r="C284" s="31"/>
      <c r="D284" s="31"/>
      <c r="E284" s="31"/>
      <c r="F284" s="31"/>
      <c r="G284" s="31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  <c r="CJ284" s="33"/>
      <c r="CK284" s="33"/>
    </row>
    <row r="285" spans="1:89" s="34" customFormat="1">
      <c r="A285" s="31"/>
      <c r="B285" s="31"/>
      <c r="C285" s="31"/>
      <c r="D285" s="31"/>
      <c r="E285" s="31"/>
      <c r="F285" s="31"/>
      <c r="G285" s="31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  <c r="CJ285" s="33"/>
      <c r="CK285" s="33"/>
    </row>
    <row r="286" spans="1:89" s="34" customFormat="1">
      <c r="A286" s="31"/>
      <c r="B286" s="31"/>
      <c r="C286" s="31"/>
      <c r="D286" s="31"/>
      <c r="E286" s="31"/>
      <c r="F286" s="31"/>
      <c r="G286" s="31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  <c r="CJ286" s="33"/>
      <c r="CK286" s="33"/>
    </row>
    <row r="287" spans="1:89" s="34" customFormat="1">
      <c r="A287" s="31"/>
      <c r="B287" s="31"/>
      <c r="C287" s="31"/>
      <c r="D287" s="31"/>
      <c r="E287" s="31"/>
      <c r="F287" s="31"/>
      <c r="G287" s="31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  <c r="CJ287" s="33"/>
      <c r="CK287" s="33"/>
    </row>
    <row r="288" spans="1:89" s="34" customFormat="1">
      <c r="A288" s="31"/>
      <c r="B288" s="31"/>
      <c r="C288" s="31"/>
      <c r="D288" s="31"/>
      <c r="E288" s="31"/>
      <c r="F288" s="31"/>
      <c r="G288" s="31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  <c r="CJ288" s="33"/>
      <c r="CK288" s="33"/>
    </row>
    <row r="289" spans="1:89" s="34" customFormat="1">
      <c r="A289" s="31"/>
      <c r="B289" s="31"/>
      <c r="C289" s="31"/>
      <c r="D289" s="31"/>
      <c r="E289" s="31"/>
      <c r="F289" s="31"/>
      <c r="G289" s="31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  <c r="CJ289" s="33"/>
      <c r="CK289" s="33"/>
    </row>
    <row r="290" spans="1:89" s="34" customFormat="1">
      <c r="A290" s="31"/>
      <c r="B290" s="31"/>
      <c r="C290" s="31"/>
      <c r="D290" s="31"/>
      <c r="E290" s="31"/>
      <c r="F290" s="31"/>
      <c r="G290" s="31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  <c r="CJ290" s="33"/>
      <c r="CK290" s="33"/>
    </row>
    <row r="291" spans="1:89" s="34" customFormat="1">
      <c r="A291" s="31"/>
      <c r="B291" s="31"/>
      <c r="C291" s="31"/>
      <c r="D291" s="31"/>
      <c r="E291" s="31"/>
      <c r="F291" s="31"/>
      <c r="G291" s="31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  <c r="CJ291" s="33"/>
      <c r="CK291" s="33"/>
    </row>
    <row r="292" spans="1:89" s="34" customFormat="1">
      <c r="A292" s="31"/>
      <c r="B292" s="31"/>
      <c r="C292" s="31"/>
      <c r="D292" s="31"/>
      <c r="E292" s="31"/>
      <c r="F292" s="31"/>
      <c r="G292" s="31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</row>
    <row r="293" spans="1:89" s="34" customFormat="1">
      <c r="A293" s="31"/>
      <c r="B293" s="31"/>
      <c r="C293" s="31"/>
      <c r="D293" s="31"/>
      <c r="E293" s="31"/>
      <c r="F293" s="31"/>
      <c r="G293" s="31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</row>
    <row r="294" spans="1:89" s="34" customFormat="1">
      <c r="A294" s="31"/>
      <c r="B294" s="31"/>
      <c r="C294" s="31"/>
      <c r="D294" s="31"/>
      <c r="E294" s="31"/>
      <c r="F294" s="31"/>
      <c r="G294" s="31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</row>
    <row r="295" spans="1:89" s="34" customFormat="1">
      <c r="A295" s="31"/>
      <c r="B295" s="31"/>
      <c r="C295" s="31"/>
      <c r="D295" s="31"/>
      <c r="E295" s="31"/>
      <c r="F295" s="31"/>
      <c r="G295" s="31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  <c r="CJ295" s="33"/>
      <c r="CK295" s="33"/>
    </row>
    <row r="296" spans="1:89" s="34" customFormat="1">
      <c r="A296" s="31"/>
      <c r="B296" s="31"/>
      <c r="C296" s="31"/>
      <c r="D296" s="31"/>
      <c r="E296" s="31"/>
      <c r="F296" s="31"/>
      <c r="G296" s="31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  <c r="CJ296" s="33"/>
      <c r="CK296" s="33"/>
    </row>
    <row r="297" spans="1:89" s="34" customFormat="1">
      <c r="A297" s="31"/>
      <c r="B297" s="31"/>
      <c r="C297" s="31"/>
      <c r="D297" s="31"/>
      <c r="E297" s="31"/>
      <c r="F297" s="31"/>
      <c r="G297" s="31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  <c r="CJ297" s="33"/>
      <c r="CK297" s="33"/>
    </row>
    <row r="298" spans="1:89" s="34" customFormat="1">
      <c r="A298" s="31"/>
      <c r="B298" s="31"/>
      <c r="C298" s="31"/>
      <c r="D298" s="31"/>
      <c r="E298" s="31"/>
      <c r="F298" s="31"/>
      <c r="G298" s="31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  <c r="CD298" s="33"/>
      <c r="CE298" s="33"/>
      <c r="CF298" s="33"/>
      <c r="CG298" s="33"/>
      <c r="CH298" s="33"/>
      <c r="CI298" s="33"/>
      <c r="CJ298" s="33"/>
      <c r="CK298" s="33"/>
    </row>
    <row r="299" spans="1:89" s="34" customFormat="1">
      <c r="A299" s="31"/>
      <c r="B299" s="31"/>
      <c r="C299" s="31"/>
      <c r="D299" s="31"/>
      <c r="E299" s="31"/>
      <c r="F299" s="31"/>
      <c r="G299" s="31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  <c r="CJ299" s="33"/>
      <c r="CK299" s="33"/>
    </row>
    <row r="300" spans="1:89" s="34" customFormat="1">
      <c r="A300" s="31"/>
      <c r="B300" s="31"/>
      <c r="C300" s="31"/>
      <c r="D300" s="31"/>
      <c r="E300" s="31"/>
      <c r="F300" s="31"/>
      <c r="G300" s="31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  <c r="CJ300" s="33"/>
      <c r="CK300" s="33"/>
    </row>
    <row r="301" spans="1:89" s="34" customFormat="1">
      <c r="A301" s="31"/>
      <c r="B301" s="31"/>
      <c r="C301" s="31"/>
      <c r="D301" s="31"/>
      <c r="E301" s="31"/>
      <c r="F301" s="31"/>
      <c r="G301" s="31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  <c r="CJ301" s="33"/>
      <c r="CK301" s="33"/>
    </row>
    <row r="302" spans="1:89" s="34" customFormat="1">
      <c r="A302" s="31"/>
      <c r="B302" s="31"/>
      <c r="C302" s="31"/>
      <c r="D302" s="31"/>
      <c r="E302" s="31"/>
      <c r="F302" s="31"/>
      <c r="G302" s="31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  <c r="CJ302" s="33"/>
      <c r="CK302" s="33"/>
    </row>
    <row r="303" spans="1:89" s="34" customFormat="1">
      <c r="A303" s="31"/>
      <c r="B303" s="31"/>
      <c r="C303" s="31"/>
      <c r="D303" s="31"/>
      <c r="E303" s="31"/>
      <c r="F303" s="31"/>
      <c r="G303" s="31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  <c r="CJ303" s="33"/>
      <c r="CK303" s="33"/>
    </row>
    <row r="304" spans="1:89" s="34" customFormat="1">
      <c r="A304" s="31"/>
      <c r="B304" s="31"/>
      <c r="C304" s="31"/>
      <c r="D304" s="31"/>
      <c r="E304" s="31"/>
      <c r="F304" s="31"/>
      <c r="G304" s="31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  <c r="CJ304" s="33"/>
      <c r="CK304" s="33"/>
    </row>
    <row r="305" spans="1:89" s="34" customFormat="1">
      <c r="A305" s="31"/>
      <c r="B305" s="31"/>
      <c r="C305" s="31"/>
      <c r="D305" s="31"/>
      <c r="E305" s="31"/>
      <c r="F305" s="31"/>
      <c r="G305" s="31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  <c r="CJ305" s="33"/>
      <c r="CK305" s="33"/>
    </row>
    <row r="306" spans="1:89" s="34" customFormat="1">
      <c r="A306" s="31"/>
      <c r="B306" s="31"/>
      <c r="C306" s="31"/>
      <c r="D306" s="31"/>
      <c r="E306" s="31"/>
      <c r="F306" s="31"/>
      <c r="G306" s="31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  <c r="CJ306" s="33"/>
      <c r="CK306" s="33"/>
    </row>
    <row r="307" spans="1:89" s="34" customFormat="1">
      <c r="A307" s="31"/>
      <c r="B307" s="31"/>
      <c r="C307" s="31"/>
      <c r="D307" s="31"/>
      <c r="E307" s="31"/>
      <c r="F307" s="31"/>
      <c r="G307" s="31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/>
      <c r="CE307" s="33"/>
      <c r="CF307" s="33"/>
      <c r="CG307" s="33"/>
      <c r="CH307" s="33"/>
      <c r="CI307" s="33"/>
      <c r="CJ307" s="33"/>
      <c r="CK307" s="33"/>
    </row>
    <row r="308" spans="1:89" s="34" customFormat="1">
      <c r="A308" s="31"/>
      <c r="B308" s="31"/>
      <c r="C308" s="31"/>
      <c r="D308" s="31"/>
      <c r="E308" s="31"/>
      <c r="F308" s="31"/>
      <c r="G308" s="31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  <c r="CJ308" s="33"/>
      <c r="CK308" s="33"/>
    </row>
    <row r="309" spans="1:89" s="34" customFormat="1">
      <c r="A309" s="31"/>
      <c r="B309" s="31"/>
      <c r="C309" s="31"/>
      <c r="D309" s="31"/>
      <c r="E309" s="31"/>
      <c r="F309" s="31"/>
      <c r="G309" s="31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  <c r="CJ309" s="33"/>
      <c r="CK309" s="33"/>
    </row>
    <row r="310" spans="1:89" s="34" customFormat="1">
      <c r="A310" s="31"/>
      <c r="B310" s="31"/>
      <c r="C310" s="31"/>
      <c r="D310" s="31"/>
      <c r="E310" s="31"/>
      <c r="F310" s="31"/>
      <c r="G310" s="31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  <c r="CJ310" s="33"/>
      <c r="CK310" s="33"/>
    </row>
    <row r="311" spans="1:89" s="34" customFormat="1">
      <c r="A311" s="31"/>
      <c r="B311" s="31"/>
      <c r="C311" s="31"/>
      <c r="D311" s="31"/>
      <c r="E311" s="31"/>
      <c r="F311" s="31"/>
      <c r="G311" s="31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  <c r="CJ311" s="33"/>
      <c r="CK311" s="33"/>
    </row>
    <row r="312" spans="1:89" s="34" customFormat="1">
      <c r="A312" s="31"/>
      <c r="B312" s="31"/>
      <c r="C312" s="31"/>
      <c r="D312" s="31"/>
      <c r="E312" s="31"/>
      <c r="F312" s="31"/>
      <c r="G312" s="31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  <c r="CJ312" s="33"/>
      <c r="CK312" s="33"/>
    </row>
    <row r="313" spans="1:89" s="34" customFormat="1">
      <c r="A313" s="31"/>
      <c r="B313" s="31"/>
      <c r="C313" s="31"/>
      <c r="D313" s="31"/>
      <c r="E313" s="31"/>
      <c r="F313" s="31"/>
      <c r="G313" s="31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  <c r="CJ313" s="33"/>
      <c r="CK313" s="33"/>
    </row>
    <row r="314" spans="1:89" s="34" customFormat="1">
      <c r="A314" s="31"/>
      <c r="B314" s="31"/>
      <c r="C314" s="31"/>
      <c r="D314" s="31"/>
      <c r="E314" s="31"/>
      <c r="F314" s="31"/>
      <c r="G314" s="31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  <c r="CJ314" s="33"/>
      <c r="CK314" s="33"/>
    </row>
    <row r="315" spans="1:89" s="34" customFormat="1">
      <c r="A315" s="31"/>
      <c r="B315" s="31"/>
      <c r="C315" s="31"/>
      <c r="D315" s="31"/>
      <c r="E315" s="31"/>
      <c r="F315" s="31"/>
      <c r="G315" s="31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  <c r="CJ315" s="33"/>
      <c r="CK315" s="33"/>
    </row>
    <row r="316" spans="1:89" s="34" customFormat="1">
      <c r="A316" s="31"/>
      <c r="B316" s="31"/>
      <c r="C316" s="31"/>
      <c r="D316" s="31"/>
      <c r="E316" s="31"/>
      <c r="F316" s="31"/>
      <c r="G316" s="31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  <c r="CJ316" s="33"/>
      <c r="CK316" s="33"/>
    </row>
    <row r="317" spans="1:89" s="34" customFormat="1">
      <c r="A317" s="31"/>
      <c r="B317" s="31"/>
      <c r="C317" s="31"/>
      <c r="D317" s="31"/>
      <c r="E317" s="31"/>
      <c r="F317" s="31"/>
      <c r="G317" s="31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  <c r="CJ317" s="33"/>
      <c r="CK317" s="33"/>
    </row>
    <row r="318" spans="1:89" s="34" customFormat="1">
      <c r="A318" s="31"/>
      <c r="B318" s="31"/>
      <c r="C318" s="31"/>
      <c r="D318" s="31"/>
      <c r="E318" s="31"/>
      <c r="F318" s="31"/>
      <c r="G318" s="31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  <c r="CJ318" s="33"/>
      <c r="CK318" s="33"/>
    </row>
    <row r="319" spans="1:89" s="34" customFormat="1">
      <c r="A319" s="31"/>
      <c r="B319" s="31"/>
      <c r="C319" s="31"/>
      <c r="D319" s="31"/>
      <c r="E319" s="31"/>
      <c r="F319" s="31"/>
      <c r="G319" s="31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  <c r="CJ319" s="33"/>
      <c r="CK319" s="33"/>
    </row>
    <row r="320" spans="1:89" s="34" customFormat="1">
      <c r="A320" s="31"/>
      <c r="B320" s="31"/>
      <c r="C320" s="31"/>
      <c r="D320" s="31"/>
      <c r="E320" s="31"/>
      <c r="F320" s="31"/>
      <c r="G320" s="31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  <c r="CJ320" s="33"/>
      <c r="CK320" s="33"/>
    </row>
    <row r="321" spans="1:89" s="34" customFormat="1">
      <c r="A321" s="31"/>
      <c r="B321" s="31"/>
      <c r="C321" s="31"/>
      <c r="D321" s="31"/>
      <c r="E321" s="31"/>
      <c r="F321" s="31"/>
      <c r="G321" s="31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  <c r="CJ321" s="33"/>
      <c r="CK321" s="33"/>
    </row>
    <row r="322" spans="1:89" s="34" customFormat="1">
      <c r="A322" s="31"/>
      <c r="B322" s="31"/>
      <c r="C322" s="31"/>
      <c r="D322" s="31"/>
      <c r="E322" s="31"/>
      <c r="F322" s="31"/>
      <c r="G322" s="31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  <c r="CJ322" s="33"/>
      <c r="CK322" s="33"/>
    </row>
    <row r="323" spans="1:89" s="34" customFormat="1">
      <c r="A323" s="31"/>
      <c r="B323" s="31"/>
      <c r="C323" s="31"/>
      <c r="D323" s="31"/>
      <c r="E323" s="31"/>
      <c r="F323" s="31"/>
      <c r="G323" s="31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  <c r="CJ323" s="33"/>
      <c r="CK323" s="33"/>
    </row>
    <row r="324" spans="1:89" s="34" customFormat="1">
      <c r="A324" s="31"/>
      <c r="B324" s="31"/>
      <c r="C324" s="31"/>
      <c r="D324" s="31"/>
      <c r="E324" s="31"/>
      <c r="F324" s="31"/>
      <c r="G324" s="31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  <c r="CJ324" s="33"/>
      <c r="CK324" s="33"/>
    </row>
    <row r="325" spans="1:89" s="34" customFormat="1">
      <c r="A325" s="31"/>
      <c r="B325" s="31"/>
      <c r="C325" s="31"/>
      <c r="D325" s="31"/>
      <c r="E325" s="31"/>
      <c r="F325" s="31"/>
      <c r="G325" s="31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  <c r="CJ325" s="33"/>
      <c r="CK325" s="33"/>
    </row>
    <row r="326" spans="1:89" s="34" customFormat="1">
      <c r="A326" s="31"/>
      <c r="B326" s="31"/>
      <c r="C326" s="31"/>
      <c r="D326" s="31"/>
      <c r="E326" s="31"/>
      <c r="F326" s="31"/>
      <c r="G326" s="31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  <c r="CJ326" s="33"/>
      <c r="CK326" s="33"/>
    </row>
    <row r="327" spans="1:89" s="34" customFormat="1">
      <c r="A327" s="31"/>
      <c r="B327" s="31"/>
      <c r="C327" s="31"/>
      <c r="D327" s="31"/>
      <c r="E327" s="31"/>
      <c r="F327" s="31"/>
      <c r="G327" s="31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  <c r="CJ327" s="33"/>
      <c r="CK327" s="33"/>
    </row>
    <row r="328" spans="1:89" s="34" customFormat="1">
      <c r="A328" s="31"/>
      <c r="B328" s="31"/>
      <c r="C328" s="31"/>
      <c r="D328" s="31"/>
      <c r="E328" s="31"/>
      <c r="F328" s="31"/>
      <c r="G328" s="31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</row>
    <row r="329" spans="1:89" s="34" customFormat="1">
      <c r="A329" s="31"/>
      <c r="B329" s="31"/>
      <c r="C329" s="31"/>
      <c r="D329" s="31"/>
      <c r="E329" s="31"/>
      <c r="F329" s="31"/>
      <c r="G329" s="31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  <c r="CJ329" s="33"/>
      <c r="CK329" s="33"/>
    </row>
    <row r="330" spans="1:89" s="34" customFormat="1">
      <c r="A330" s="31"/>
      <c r="B330" s="31"/>
      <c r="C330" s="31"/>
      <c r="D330" s="31"/>
      <c r="E330" s="31"/>
      <c r="F330" s="31"/>
      <c r="G330" s="31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  <c r="CJ330" s="33"/>
      <c r="CK330" s="33"/>
    </row>
    <row r="331" spans="1:89" s="34" customFormat="1">
      <c r="A331" s="31"/>
      <c r="B331" s="31"/>
      <c r="C331" s="31"/>
      <c r="D331" s="31"/>
      <c r="E331" s="31"/>
      <c r="F331" s="31"/>
      <c r="G331" s="31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  <c r="CJ331" s="33"/>
      <c r="CK331" s="33"/>
    </row>
    <row r="332" spans="1:89" s="34" customFormat="1">
      <c r="A332" s="31"/>
      <c r="B332" s="31"/>
      <c r="C332" s="31"/>
      <c r="D332" s="31"/>
      <c r="E332" s="31"/>
      <c r="F332" s="31"/>
      <c r="G332" s="31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</row>
    <row r="333" spans="1:89" s="34" customFormat="1">
      <c r="A333" s="31"/>
      <c r="B333" s="31"/>
      <c r="C333" s="31"/>
      <c r="D333" s="31"/>
      <c r="E333" s="31"/>
      <c r="F333" s="31"/>
      <c r="G333" s="31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</row>
    <row r="334" spans="1:89" s="34" customFormat="1">
      <c r="A334" s="31"/>
      <c r="B334" s="31"/>
      <c r="C334" s="31"/>
      <c r="D334" s="31"/>
      <c r="E334" s="31"/>
      <c r="F334" s="31"/>
      <c r="G334" s="31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</row>
    <row r="335" spans="1:89" s="34" customFormat="1">
      <c r="A335" s="31"/>
      <c r="B335" s="31"/>
      <c r="C335" s="31"/>
      <c r="D335" s="31"/>
      <c r="E335" s="31"/>
      <c r="F335" s="31"/>
      <c r="G335" s="31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  <c r="CJ335" s="33"/>
      <c r="CK335" s="33"/>
    </row>
    <row r="336" spans="1:89" s="34" customFormat="1">
      <c r="A336" s="31"/>
      <c r="B336" s="31"/>
      <c r="C336" s="31"/>
      <c r="D336" s="31"/>
      <c r="E336" s="31"/>
      <c r="F336" s="31"/>
      <c r="G336" s="31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  <c r="CJ336" s="33"/>
      <c r="CK336" s="33"/>
    </row>
    <row r="337" spans="1:89" s="34" customFormat="1">
      <c r="A337" s="31"/>
      <c r="B337" s="31"/>
      <c r="C337" s="31"/>
      <c r="D337" s="31"/>
      <c r="E337" s="31"/>
      <c r="F337" s="31"/>
      <c r="G337" s="31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  <c r="CJ337" s="33"/>
      <c r="CK337" s="33"/>
    </row>
    <row r="338" spans="1:89" s="34" customFormat="1">
      <c r="A338" s="31"/>
      <c r="B338" s="31"/>
      <c r="C338" s="31"/>
      <c r="D338" s="31"/>
      <c r="E338" s="31"/>
      <c r="F338" s="31"/>
      <c r="G338" s="31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  <c r="CD338" s="33"/>
      <c r="CE338" s="33"/>
      <c r="CF338" s="33"/>
      <c r="CG338" s="33"/>
      <c r="CH338" s="33"/>
      <c r="CI338" s="33"/>
      <c r="CJ338" s="33"/>
      <c r="CK338" s="33"/>
    </row>
    <row r="339" spans="1:89" s="34" customFormat="1">
      <c r="A339" s="31"/>
      <c r="B339" s="31"/>
      <c r="C339" s="31"/>
      <c r="D339" s="31"/>
      <c r="E339" s="31"/>
      <c r="F339" s="31"/>
      <c r="G339" s="31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  <c r="CJ339" s="33"/>
      <c r="CK339" s="33"/>
    </row>
    <row r="340" spans="1:89" s="34" customFormat="1">
      <c r="A340" s="31"/>
      <c r="B340" s="31"/>
      <c r="C340" s="31"/>
      <c r="D340" s="31"/>
      <c r="E340" s="31"/>
      <c r="F340" s="31"/>
      <c r="G340" s="31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  <c r="CJ340" s="33"/>
      <c r="CK340" s="33"/>
    </row>
    <row r="341" spans="1:89" s="34" customFormat="1">
      <c r="A341" s="31"/>
      <c r="B341" s="31"/>
      <c r="C341" s="31"/>
      <c r="D341" s="31"/>
      <c r="E341" s="31"/>
      <c r="F341" s="31"/>
      <c r="G341" s="31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  <c r="CJ341" s="33"/>
      <c r="CK341" s="33"/>
    </row>
    <row r="342" spans="1:89" s="34" customFormat="1">
      <c r="A342" s="31"/>
      <c r="B342" s="31"/>
      <c r="C342" s="31"/>
      <c r="D342" s="31"/>
      <c r="E342" s="31"/>
      <c r="F342" s="31"/>
      <c r="G342" s="31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  <c r="CJ342" s="33"/>
      <c r="CK342" s="33"/>
    </row>
    <row r="343" spans="1:89" s="34" customFormat="1">
      <c r="A343" s="31"/>
      <c r="B343" s="31"/>
      <c r="C343" s="31"/>
      <c r="D343" s="31"/>
      <c r="E343" s="31"/>
      <c r="F343" s="31"/>
      <c r="G343" s="31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  <c r="CJ343" s="33"/>
      <c r="CK343" s="33"/>
    </row>
    <row r="344" spans="1:89" s="34" customFormat="1">
      <c r="A344" s="31"/>
      <c r="B344" s="31"/>
      <c r="C344" s="31"/>
      <c r="D344" s="31"/>
      <c r="E344" s="31"/>
      <c r="F344" s="31"/>
      <c r="G344" s="31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  <c r="CJ344" s="33"/>
      <c r="CK344" s="33"/>
    </row>
    <row r="345" spans="1:89" s="34" customFormat="1">
      <c r="A345" s="31"/>
      <c r="B345" s="31"/>
      <c r="C345" s="31"/>
      <c r="D345" s="31"/>
      <c r="E345" s="31"/>
      <c r="F345" s="31"/>
      <c r="G345" s="31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  <c r="CJ345" s="33"/>
      <c r="CK345" s="33"/>
    </row>
    <row r="346" spans="1:89" s="34" customFormat="1">
      <c r="A346" s="31"/>
      <c r="B346" s="31"/>
      <c r="C346" s="31"/>
      <c r="D346" s="31"/>
      <c r="E346" s="31"/>
      <c r="F346" s="31"/>
      <c r="G346" s="31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  <c r="CJ346" s="33"/>
      <c r="CK346" s="33"/>
    </row>
    <row r="347" spans="1:89" s="34" customFormat="1">
      <c r="A347" s="31"/>
      <c r="B347" s="31"/>
      <c r="C347" s="31"/>
      <c r="D347" s="31"/>
      <c r="E347" s="31"/>
      <c r="F347" s="31"/>
      <c r="G347" s="31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  <c r="CJ347" s="33"/>
      <c r="CK347" s="33"/>
    </row>
    <row r="348" spans="1:89" s="34" customFormat="1">
      <c r="A348" s="31"/>
      <c r="B348" s="31"/>
      <c r="C348" s="31"/>
      <c r="D348" s="31"/>
      <c r="E348" s="31"/>
      <c r="F348" s="31"/>
      <c r="G348" s="31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  <c r="CJ348" s="33"/>
      <c r="CK348" s="33"/>
    </row>
    <row r="349" spans="1:89" s="34" customFormat="1">
      <c r="A349" s="31"/>
      <c r="B349" s="31"/>
      <c r="C349" s="31"/>
      <c r="D349" s="31"/>
      <c r="E349" s="31"/>
      <c r="F349" s="31"/>
      <c r="G349" s="31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  <c r="CJ349" s="33"/>
      <c r="CK349" s="33"/>
    </row>
    <row r="350" spans="1:89" s="34" customFormat="1">
      <c r="A350" s="31"/>
      <c r="B350" s="31"/>
      <c r="C350" s="31"/>
      <c r="D350" s="31"/>
      <c r="E350" s="31"/>
      <c r="F350" s="31"/>
      <c r="G350" s="31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  <c r="CJ350" s="33"/>
      <c r="CK350" s="33"/>
    </row>
    <row r="351" spans="1:89" s="34" customFormat="1">
      <c r="A351" s="31"/>
      <c r="B351" s="31"/>
      <c r="C351" s="31"/>
      <c r="D351" s="31"/>
      <c r="E351" s="31"/>
      <c r="F351" s="31"/>
      <c r="G351" s="31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  <c r="CJ351" s="33"/>
      <c r="CK351" s="33"/>
    </row>
    <row r="352" spans="1:89" s="34" customFormat="1">
      <c r="A352" s="31"/>
      <c r="B352" s="31"/>
      <c r="C352" s="31"/>
      <c r="D352" s="31"/>
      <c r="E352" s="31"/>
      <c r="F352" s="31"/>
      <c r="G352" s="31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  <c r="CJ352" s="33"/>
      <c r="CK352" s="33"/>
    </row>
    <row r="353" spans="1:89" s="34" customFormat="1">
      <c r="A353" s="31"/>
      <c r="B353" s="31"/>
      <c r="C353" s="31"/>
      <c r="D353" s="31"/>
      <c r="E353" s="31"/>
      <c r="F353" s="31"/>
      <c r="G353" s="31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  <c r="CJ353" s="33"/>
      <c r="CK353" s="33"/>
    </row>
    <row r="354" spans="1:89" s="34" customFormat="1">
      <c r="A354" s="31"/>
      <c r="B354" s="31"/>
      <c r="C354" s="31"/>
      <c r="D354" s="31"/>
      <c r="E354" s="31"/>
      <c r="F354" s="31"/>
      <c r="G354" s="31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  <c r="CJ354" s="33"/>
      <c r="CK354" s="33"/>
    </row>
    <row r="355" spans="1:89" s="34" customFormat="1">
      <c r="A355" s="31"/>
      <c r="B355" s="31"/>
      <c r="C355" s="31"/>
      <c r="D355" s="31"/>
      <c r="E355" s="31"/>
      <c r="F355" s="31"/>
      <c r="G355" s="31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  <c r="CJ355" s="33"/>
      <c r="CK355" s="33"/>
    </row>
    <row r="356" spans="1:89" s="34" customFormat="1">
      <c r="A356" s="31"/>
      <c r="B356" s="31"/>
      <c r="C356" s="31"/>
      <c r="D356" s="31"/>
      <c r="E356" s="31"/>
      <c r="F356" s="31"/>
      <c r="G356" s="31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  <c r="CJ356" s="33"/>
      <c r="CK356" s="33"/>
    </row>
    <row r="357" spans="1:89" s="34" customFormat="1">
      <c r="A357" s="31"/>
      <c r="B357" s="31"/>
      <c r="C357" s="31"/>
      <c r="D357" s="31"/>
      <c r="E357" s="31"/>
      <c r="F357" s="31"/>
      <c r="G357" s="31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  <c r="CJ357" s="33"/>
      <c r="CK357" s="33"/>
    </row>
    <row r="358" spans="1:89" s="34" customFormat="1">
      <c r="A358" s="31"/>
      <c r="B358" s="31"/>
      <c r="C358" s="31"/>
      <c r="D358" s="31"/>
      <c r="E358" s="31"/>
      <c r="F358" s="31"/>
      <c r="G358" s="31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  <c r="CJ358" s="33"/>
      <c r="CK358" s="33"/>
    </row>
    <row r="359" spans="1:89" s="34" customFormat="1">
      <c r="A359" s="31"/>
      <c r="B359" s="31"/>
      <c r="C359" s="31"/>
      <c r="D359" s="31"/>
      <c r="E359" s="31"/>
      <c r="F359" s="31"/>
      <c r="G359" s="31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  <c r="CJ359" s="33"/>
      <c r="CK359" s="33"/>
    </row>
    <row r="360" spans="1:89" s="34" customFormat="1">
      <c r="A360" s="31"/>
      <c r="B360" s="31"/>
      <c r="C360" s="31"/>
      <c r="D360" s="31"/>
      <c r="E360" s="31"/>
      <c r="F360" s="31"/>
      <c r="G360" s="31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  <c r="CJ360" s="33"/>
      <c r="CK360" s="33"/>
    </row>
    <row r="361" spans="1:89" s="34" customFormat="1">
      <c r="A361" s="31"/>
      <c r="B361" s="31"/>
      <c r="C361" s="31"/>
      <c r="D361" s="31"/>
      <c r="E361" s="31"/>
      <c r="F361" s="31"/>
      <c r="G361" s="31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  <c r="CJ361" s="33"/>
      <c r="CK361" s="33"/>
    </row>
    <row r="362" spans="1:89" s="34" customFormat="1">
      <c r="A362" s="31"/>
      <c r="B362" s="31"/>
      <c r="C362" s="31"/>
      <c r="D362" s="31"/>
      <c r="E362" s="31"/>
      <c r="F362" s="31"/>
      <c r="G362" s="31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  <c r="CJ362" s="33"/>
      <c r="CK362" s="33"/>
    </row>
    <row r="363" spans="1:89" s="34" customFormat="1">
      <c r="A363" s="31"/>
      <c r="B363" s="31"/>
      <c r="C363" s="31"/>
      <c r="D363" s="31"/>
      <c r="E363" s="31"/>
      <c r="F363" s="31"/>
      <c r="G363" s="31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</row>
    <row r="364" spans="1:89" s="34" customFormat="1">
      <c r="A364" s="31"/>
      <c r="B364" s="31"/>
      <c r="C364" s="31"/>
      <c r="D364" s="31"/>
      <c r="E364" s="31"/>
      <c r="F364" s="31"/>
      <c r="G364" s="31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  <c r="CJ364" s="33"/>
      <c r="CK364" s="33"/>
    </row>
    <row r="365" spans="1:89" s="34" customFormat="1">
      <c r="A365" s="31"/>
      <c r="B365" s="31"/>
      <c r="C365" s="31"/>
      <c r="D365" s="31"/>
      <c r="E365" s="31"/>
      <c r="F365" s="31"/>
      <c r="G365" s="31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  <c r="CJ365" s="33"/>
      <c r="CK365" s="33"/>
    </row>
    <row r="366" spans="1:89" s="34" customFormat="1">
      <c r="A366" s="31"/>
      <c r="B366" s="31"/>
      <c r="C366" s="31"/>
      <c r="D366" s="31"/>
      <c r="E366" s="31"/>
      <c r="F366" s="31"/>
      <c r="G366" s="31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  <c r="CJ366" s="33"/>
      <c r="CK366" s="33"/>
    </row>
    <row r="367" spans="1:89" s="34" customFormat="1">
      <c r="A367" s="31"/>
      <c r="B367" s="31"/>
      <c r="C367" s="31"/>
      <c r="D367" s="31"/>
      <c r="E367" s="31"/>
      <c r="F367" s="31"/>
      <c r="G367" s="31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  <c r="CJ367" s="33"/>
      <c r="CK367" s="33"/>
    </row>
    <row r="368" spans="1:89" s="34" customFormat="1">
      <c r="A368" s="31"/>
      <c r="B368" s="31"/>
      <c r="C368" s="31"/>
      <c r="D368" s="31"/>
      <c r="E368" s="31"/>
      <c r="F368" s="31"/>
      <c r="G368" s="31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  <c r="CJ368" s="33"/>
      <c r="CK368" s="33"/>
    </row>
    <row r="369" spans="1:89" s="34" customFormat="1">
      <c r="A369" s="31"/>
      <c r="B369" s="31"/>
      <c r="C369" s="31"/>
      <c r="D369" s="31"/>
      <c r="E369" s="31"/>
      <c r="F369" s="31"/>
      <c r="G369" s="31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  <c r="CJ369" s="33"/>
      <c r="CK369" s="33"/>
    </row>
    <row r="370" spans="1:89" s="34" customFormat="1">
      <c r="A370" s="31"/>
      <c r="B370" s="31"/>
      <c r="C370" s="31"/>
      <c r="D370" s="31"/>
      <c r="E370" s="31"/>
      <c r="F370" s="31"/>
      <c r="G370" s="31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  <c r="CJ370" s="33"/>
      <c r="CK370" s="33"/>
    </row>
    <row r="371" spans="1:89" s="34" customFormat="1">
      <c r="A371" s="31"/>
      <c r="B371" s="31"/>
      <c r="C371" s="31"/>
      <c r="D371" s="31"/>
      <c r="E371" s="31"/>
      <c r="F371" s="31"/>
      <c r="G371" s="31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  <c r="CJ371" s="33"/>
      <c r="CK371" s="33"/>
    </row>
    <row r="372" spans="1:89" s="34" customFormat="1">
      <c r="A372" s="31"/>
      <c r="B372" s="31"/>
      <c r="C372" s="31"/>
      <c r="D372" s="31"/>
      <c r="E372" s="31"/>
      <c r="F372" s="31"/>
      <c r="G372" s="31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  <c r="CJ372" s="33"/>
      <c r="CK372" s="33"/>
    </row>
    <row r="373" spans="1:89" s="34" customFormat="1">
      <c r="A373" s="31"/>
      <c r="B373" s="31"/>
      <c r="C373" s="31"/>
      <c r="D373" s="31"/>
      <c r="E373" s="31"/>
      <c r="F373" s="31"/>
      <c r="G373" s="31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  <c r="CJ373" s="33"/>
      <c r="CK373" s="33"/>
    </row>
    <row r="374" spans="1:89" s="34" customFormat="1">
      <c r="A374" s="31"/>
      <c r="B374" s="31"/>
      <c r="C374" s="31"/>
      <c r="D374" s="31"/>
      <c r="E374" s="31"/>
      <c r="F374" s="31"/>
      <c r="G374" s="31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/>
      <c r="CI374" s="33"/>
      <c r="CJ374" s="33"/>
      <c r="CK374" s="33"/>
    </row>
    <row r="375" spans="1:89" s="34" customFormat="1">
      <c r="A375" s="31"/>
      <c r="B375" s="31"/>
      <c r="C375" s="31"/>
      <c r="D375" s="31"/>
      <c r="E375" s="31"/>
      <c r="F375" s="31"/>
      <c r="G375" s="31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  <c r="CJ375" s="33"/>
      <c r="CK375" s="33"/>
    </row>
    <row r="376" spans="1:89" s="34" customFormat="1">
      <c r="A376" s="31"/>
      <c r="B376" s="31"/>
      <c r="C376" s="31"/>
      <c r="D376" s="31"/>
      <c r="E376" s="31"/>
      <c r="F376" s="31"/>
      <c r="G376" s="31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  <c r="CJ376" s="33"/>
      <c r="CK376" s="33"/>
    </row>
    <row r="377" spans="1:89" s="34" customFormat="1">
      <c r="A377" s="31"/>
      <c r="B377" s="31"/>
      <c r="C377" s="31"/>
      <c r="D377" s="31"/>
      <c r="E377" s="31"/>
      <c r="F377" s="31"/>
      <c r="G377" s="31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  <c r="CJ377" s="33"/>
      <c r="CK377" s="33"/>
    </row>
    <row r="378" spans="1:89" s="34" customFormat="1">
      <c r="A378" s="31"/>
      <c r="B378" s="31"/>
      <c r="C378" s="31"/>
      <c r="D378" s="31"/>
      <c r="E378" s="31"/>
      <c r="F378" s="31"/>
      <c r="G378" s="31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  <c r="CD378" s="33"/>
      <c r="CE378" s="33"/>
      <c r="CF378" s="33"/>
      <c r="CG378" s="33"/>
      <c r="CH378" s="33"/>
      <c r="CI378" s="33"/>
      <c r="CJ378" s="33"/>
      <c r="CK378" s="33"/>
    </row>
    <row r="379" spans="1:89" s="34" customFormat="1">
      <c r="A379" s="31"/>
      <c r="B379" s="31"/>
      <c r="C379" s="31"/>
      <c r="D379" s="31"/>
      <c r="E379" s="31"/>
      <c r="F379" s="31"/>
      <c r="G379" s="31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  <c r="CJ379" s="33"/>
      <c r="CK379" s="33"/>
    </row>
    <row r="380" spans="1:89" s="34" customFormat="1">
      <c r="A380" s="31"/>
      <c r="B380" s="31"/>
      <c r="C380" s="31"/>
      <c r="D380" s="31"/>
      <c r="E380" s="31"/>
      <c r="F380" s="31"/>
      <c r="G380" s="31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  <c r="CD380" s="33"/>
      <c r="CE380" s="33"/>
      <c r="CF380" s="33"/>
      <c r="CG380" s="33"/>
      <c r="CH380" s="33"/>
      <c r="CI380" s="33"/>
      <c r="CJ380" s="33"/>
      <c r="CK380" s="33"/>
    </row>
    <row r="381" spans="1:89" s="34" customFormat="1">
      <c r="A381" s="31"/>
      <c r="B381" s="31"/>
      <c r="C381" s="31"/>
      <c r="D381" s="31"/>
      <c r="E381" s="31"/>
      <c r="F381" s="31"/>
      <c r="G381" s="31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</row>
    <row r="382" spans="1:89" s="34" customFormat="1">
      <c r="A382" s="31"/>
      <c r="B382" s="31"/>
      <c r="C382" s="31"/>
      <c r="D382" s="31"/>
      <c r="E382" s="31"/>
      <c r="F382" s="31"/>
      <c r="G382" s="31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</row>
    <row r="383" spans="1:89" s="34" customFormat="1">
      <c r="A383" s="31"/>
      <c r="B383" s="31"/>
      <c r="C383" s="31"/>
      <c r="D383" s="31"/>
      <c r="E383" s="31"/>
      <c r="F383" s="31"/>
      <c r="G383" s="31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  <c r="CJ383" s="33"/>
      <c r="CK383" s="33"/>
    </row>
    <row r="384" spans="1:89" s="34" customFormat="1">
      <c r="A384" s="31"/>
      <c r="B384" s="31"/>
      <c r="C384" s="31"/>
      <c r="D384" s="31"/>
      <c r="E384" s="31"/>
      <c r="F384" s="31"/>
      <c r="G384" s="31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  <c r="CJ384" s="33"/>
      <c r="CK384" s="33"/>
    </row>
    <row r="385" spans="1:89" s="34" customFormat="1">
      <c r="A385" s="31"/>
      <c r="B385" s="31"/>
      <c r="C385" s="31"/>
      <c r="D385" s="31"/>
      <c r="E385" s="31"/>
      <c r="F385" s="31"/>
      <c r="G385" s="31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  <c r="CJ385" s="33"/>
      <c r="CK385" s="33"/>
    </row>
    <row r="386" spans="1:89" s="34" customFormat="1">
      <c r="A386" s="31"/>
      <c r="B386" s="31"/>
      <c r="C386" s="31"/>
      <c r="D386" s="31"/>
      <c r="E386" s="31"/>
      <c r="F386" s="31"/>
      <c r="G386" s="31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</row>
    <row r="387" spans="1:89" s="34" customFormat="1">
      <c r="A387" s="31"/>
      <c r="B387" s="31"/>
      <c r="C387" s="31"/>
      <c r="D387" s="31"/>
      <c r="E387" s="31"/>
      <c r="F387" s="31"/>
      <c r="G387" s="31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</row>
    <row r="388" spans="1:89" s="34" customFormat="1">
      <c r="A388" s="31"/>
      <c r="B388" s="31"/>
      <c r="C388" s="31"/>
      <c r="D388" s="31"/>
      <c r="E388" s="31"/>
      <c r="F388" s="31"/>
      <c r="G388" s="31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</row>
    <row r="389" spans="1:89" s="34" customFormat="1">
      <c r="A389" s="31"/>
      <c r="B389" s="31"/>
      <c r="C389" s="31"/>
      <c r="D389" s="31"/>
      <c r="E389" s="31"/>
      <c r="F389" s="31"/>
      <c r="G389" s="31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  <c r="CJ389" s="33"/>
      <c r="CK389" s="33"/>
    </row>
    <row r="390" spans="1:89" s="34" customFormat="1">
      <c r="A390" s="31"/>
      <c r="B390" s="31"/>
      <c r="C390" s="31"/>
      <c r="D390" s="31"/>
      <c r="E390" s="31"/>
      <c r="F390" s="31"/>
      <c r="G390" s="31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  <c r="CD390" s="33"/>
      <c r="CE390" s="33"/>
      <c r="CF390" s="33"/>
      <c r="CG390" s="33"/>
      <c r="CH390" s="33"/>
      <c r="CI390" s="33"/>
      <c r="CJ390" s="33"/>
      <c r="CK390" s="33"/>
    </row>
    <row r="391" spans="1:89" s="34" customFormat="1">
      <c r="A391" s="31"/>
      <c r="B391" s="31"/>
      <c r="C391" s="31"/>
      <c r="D391" s="31"/>
      <c r="E391" s="31"/>
      <c r="F391" s="31"/>
      <c r="G391" s="31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  <c r="CJ391" s="33"/>
      <c r="CK391" s="33"/>
    </row>
    <row r="392" spans="1:89" s="34" customFormat="1">
      <c r="A392" s="31"/>
      <c r="B392" s="31"/>
      <c r="C392" s="31"/>
      <c r="D392" s="31"/>
      <c r="E392" s="31"/>
      <c r="F392" s="31"/>
      <c r="G392" s="31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  <c r="CJ392" s="33"/>
      <c r="CK392" s="33"/>
    </row>
    <row r="393" spans="1:89" s="34" customFormat="1">
      <c r="A393" s="31"/>
      <c r="B393" s="31"/>
      <c r="C393" s="31"/>
      <c r="D393" s="31"/>
      <c r="E393" s="31"/>
      <c r="F393" s="31"/>
      <c r="G393" s="31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  <c r="CJ393" s="33"/>
      <c r="CK393" s="33"/>
    </row>
    <row r="394" spans="1:89" s="34" customFormat="1">
      <c r="A394" s="31"/>
      <c r="B394" s="31"/>
      <c r="C394" s="31"/>
      <c r="D394" s="31"/>
      <c r="E394" s="31"/>
      <c r="F394" s="31"/>
      <c r="G394" s="31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  <c r="CJ394" s="33"/>
      <c r="CK394" s="33"/>
    </row>
    <row r="395" spans="1:89" s="34" customFormat="1">
      <c r="A395" s="31"/>
      <c r="B395" s="31"/>
      <c r="C395" s="31"/>
      <c r="D395" s="31"/>
      <c r="E395" s="31"/>
      <c r="F395" s="31"/>
      <c r="G395" s="31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  <c r="CJ395" s="33"/>
      <c r="CK395" s="33"/>
    </row>
    <row r="396" spans="1:89" s="34" customFormat="1">
      <c r="A396" s="31"/>
      <c r="B396" s="31"/>
      <c r="C396" s="31"/>
      <c r="D396" s="31"/>
      <c r="E396" s="31"/>
      <c r="F396" s="31"/>
      <c r="G396" s="31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  <c r="CJ396" s="33"/>
      <c r="CK396" s="33"/>
    </row>
    <row r="397" spans="1:89" s="34" customFormat="1">
      <c r="A397" s="31"/>
      <c r="B397" s="31"/>
      <c r="C397" s="31"/>
      <c r="D397" s="31"/>
      <c r="E397" s="31"/>
      <c r="F397" s="31"/>
      <c r="G397" s="31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/>
      <c r="CI397" s="33"/>
      <c r="CJ397" s="33"/>
      <c r="CK397" s="33"/>
    </row>
    <row r="398" spans="1:89" s="34" customFormat="1">
      <c r="A398" s="31"/>
      <c r="B398" s="31"/>
      <c r="C398" s="31"/>
      <c r="D398" s="31"/>
      <c r="E398" s="31"/>
      <c r="F398" s="31"/>
      <c r="G398" s="31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  <c r="CJ398" s="33"/>
      <c r="CK398" s="33"/>
    </row>
    <row r="399" spans="1:89" s="34" customFormat="1">
      <c r="A399" s="31"/>
      <c r="B399" s="31"/>
      <c r="C399" s="31"/>
      <c r="D399" s="31"/>
      <c r="E399" s="31"/>
      <c r="F399" s="31"/>
      <c r="G399" s="31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  <c r="CJ399" s="33"/>
      <c r="CK399" s="33"/>
    </row>
    <row r="400" spans="1:89" s="34" customFormat="1">
      <c r="A400" s="31"/>
      <c r="B400" s="31"/>
      <c r="C400" s="31"/>
      <c r="D400" s="31"/>
      <c r="E400" s="31"/>
      <c r="F400" s="31"/>
      <c r="G400" s="31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  <c r="CJ400" s="33"/>
      <c r="CK400" s="33"/>
    </row>
    <row r="401" spans="8:89" s="34" customFormat="1"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</row>
    <row r="402" spans="8:89" s="34" customFormat="1"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</row>
    <row r="403" spans="8:89" s="34" customFormat="1"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</row>
    <row r="404" spans="8:89" s="34" customFormat="1"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</row>
    <row r="405" spans="8:89" s="34" customFormat="1"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</row>
    <row r="406" spans="8:89" s="34" customFormat="1"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</row>
    <row r="407" spans="8:89" s="34" customFormat="1"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</row>
    <row r="408" spans="8:89" s="34" customFormat="1"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</row>
    <row r="409" spans="8:89" s="34" customFormat="1"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</row>
    <row r="410" spans="8:89" s="34" customFormat="1"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</row>
    <row r="411" spans="8:89" s="34" customFormat="1"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</row>
    <row r="412" spans="8:89" s="34" customFormat="1"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</row>
    <row r="413" spans="8:89" s="34" customFormat="1"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</row>
    <row r="414" spans="8:89" s="34" customFormat="1"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</row>
    <row r="415" spans="8:89" s="34" customFormat="1"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</row>
    <row r="416" spans="8:89" s="34" customFormat="1"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</row>
    <row r="417" spans="8:89" s="34" customFormat="1"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</row>
    <row r="418" spans="8:89" s="34" customFormat="1"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</row>
    <row r="419" spans="8:89" s="34" customFormat="1"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</row>
    <row r="420" spans="8:89" s="34" customFormat="1"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</row>
    <row r="421" spans="8:89" s="34" customFormat="1"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</row>
    <row r="422" spans="8:89" s="34" customFormat="1"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</row>
    <row r="423" spans="8:89" s="34" customFormat="1"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</row>
    <row r="424" spans="8:89" s="34" customFormat="1"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</row>
    <row r="425" spans="8:89" s="34" customFormat="1"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</row>
    <row r="426" spans="8:89" s="34" customFormat="1"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</row>
    <row r="427" spans="8:89" s="34" customFormat="1"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</row>
    <row r="428" spans="8:89" s="34" customFormat="1"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</row>
    <row r="429" spans="8:89" s="34" customFormat="1"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</row>
    <row r="430" spans="8:89" s="34" customFormat="1"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</row>
    <row r="431" spans="8:89" s="34" customFormat="1"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</row>
    <row r="432" spans="8:89" s="34" customFormat="1"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</row>
    <row r="433" spans="8:89" s="34" customFormat="1"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</row>
    <row r="434" spans="8:89" s="34" customFormat="1"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</row>
    <row r="435" spans="8:89" s="34" customFormat="1"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</row>
    <row r="436" spans="8:89" s="34" customFormat="1"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</row>
    <row r="437" spans="8:89" s="34" customFormat="1"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</row>
    <row r="438" spans="8:89" s="34" customFormat="1"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</row>
    <row r="439" spans="8:89" s="34" customFormat="1"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</row>
    <row r="440" spans="8:89" s="34" customFormat="1"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</row>
    <row r="441" spans="8:89" s="34" customFormat="1"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</row>
    <row r="442" spans="8:89" s="34" customFormat="1"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</row>
    <row r="443" spans="8:89" s="34" customFormat="1"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</row>
    <row r="444" spans="8:89" s="34" customFormat="1"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</row>
    <row r="445" spans="8:89" s="34" customFormat="1"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</row>
    <row r="446" spans="8:89" s="34" customFormat="1"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</row>
    <row r="447" spans="8:89" s="34" customFormat="1"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</row>
    <row r="448" spans="8:89" s="34" customFormat="1"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</row>
    <row r="449" spans="8:89" s="34" customFormat="1"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</row>
    <row r="450" spans="8:89" s="34" customFormat="1"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</row>
    <row r="451" spans="8:89" s="34" customFormat="1"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</row>
    <row r="452" spans="8:89" s="34" customFormat="1"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</row>
    <row r="453" spans="8:89" s="34" customFormat="1"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</row>
    <row r="454" spans="8:89" s="34" customFormat="1"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</row>
    <row r="455" spans="8:89" s="34" customFormat="1"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</row>
    <row r="456" spans="8:89" s="34" customFormat="1"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</row>
    <row r="457" spans="8:89" s="34" customFormat="1"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</row>
    <row r="458" spans="8:89" s="34" customFormat="1"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</row>
    <row r="459" spans="8:89" s="34" customFormat="1"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</row>
    <row r="460" spans="8:89" s="34" customFormat="1"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</row>
    <row r="461" spans="8:89" s="34" customFormat="1"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</row>
    <row r="462" spans="8:89" s="34" customFormat="1"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</row>
    <row r="463" spans="8:89" s="34" customFormat="1"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</row>
    <row r="464" spans="8:89" s="34" customFormat="1"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</row>
    <row r="465" spans="8:89" s="34" customFormat="1"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</row>
    <row r="466" spans="8:89" s="34" customFormat="1"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</row>
    <row r="467" spans="8:89" s="34" customFormat="1"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</row>
    <row r="468" spans="8:89" s="34" customFormat="1"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</row>
    <row r="469" spans="8:89" s="34" customFormat="1"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</row>
    <row r="470" spans="8:89" s="34" customFormat="1"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</row>
    <row r="471" spans="8:89" s="34" customFormat="1"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</row>
    <row r="472" spans="8:89" s="34" customFormat="1"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</row>
    <row r="473" spans="8:89" s="34" customFormat="1"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</row>
    <row r="474" spans="8:89" s="34" customFormat="1"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</row>
    <row r="475" spans="8:89" s="34" customFormat="1"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</row>
    <row r="476" spans="8:89" s="34" customFormat="1"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</row>
    <row r="477" spans="8:89" s="34" customFormat="1"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</row>
    <row r="478" spans="8:89" s="34" customFormat="1"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</row>
    <row r="479" spans="8:89" s="34" customFormat="1"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</row>
    <row r="480" spans="8:89" s="34" customFormat="1"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</row>
    <row r="481" spans="8:89" s="34" customFormat="1"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</row>
    <row r="482" spans="8:89" s="34" customFormat="1"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</row>
    <row r="483" spans="8:89" s="34" customFormat="1"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</row>
    <row r="484" spans="8:89" s="34" customFormat="1"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</row>
    <row r="485" spans="8:89" s="34" customFormat="1"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</row>
    <row r="486" spans="8:89" s="34" customFormat="1"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</row>
    <row r="487" spans="8:89" s="34" customFormat="1"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</row>
    <row r="488" spans="8:89" s="34" customFormat="1"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</row>
    <row r="489" spans="8:89" s="34" customFormat="1"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</row>
    <row r="490" spans="8:89" s="34" customFormat="1"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</row>
    <row r="491" spans="8:89" s="34" customFormat="1"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/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</row>
    <row r="492" spans="8:89" s="34" customFormat="1"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</row>
    <row r="493" spans="8:89" s="34" customFormat="1"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</row>
    <row r="494" spans="8:89" s="34" customFormat="1"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</row>
    <row r="495" spans="8:89" s="34" customFormat="1"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</row>
    <row r="496" spans="8:89" s="34" customFormat="1"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</row>
    <row r="497" spans="8:89" s="34" customFormat="1"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</row>
    <row r="498" spans="8:89" s="34" customFormat="1"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</row>
    <row r="499" spans="8:89" s="34" customFormat="1"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</row>
    <row r="500" spans="8:89" s="34" customFormat="1"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</row>
    <row r="501" spans="8:89" s="34" customFormat="1"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</row>
    <row r="502" spans="8:89" s="34" customFormat="1"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</row>
    <row r="503" spans="8:89" s="34" customFormat="1"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</row>
    <row r="504" spans="8:89" s="34" customFormat="1"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</row>
    <row r="505" spans="8:89" s="34" customFormat="1"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</row>
    <row r="506" spans="8:89" s="34" customFormat="1"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/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</row>
    <row r="507" spans="8:89" s="34" customFormat="1"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</row>
    <row r="508" spans="8:89" s="34" customFormat="1"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</row>
    <row r="509" spans="8:89" s="34" customFormat="1"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/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</row>
    <row r="510" spans="8:89" s="34" customFormat="1"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</row>
    <row r="511" spans="8:89" s="34" customFormat="1"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</row>
    <row r="512" spans="8:89" s="34" customFormat="1"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/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</row>
    <row r="513" spans="8:89" s="34" customFormat="1"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/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</row>
    <row r="514" spans="8:89" s="34" customFormat="1"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/>
      <c r="CG514" s="35"/>
      <c r="CH514" s="35"/>
      <c r="CI514" s="35"/>
      <c r="CJ514" s="35"/>
      <c r="CK514" s="35"/>
    </row>
    <row r="515" spans="8:89" s="34" customFormat="1"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/>
      <c r="AY515" s="35"/>
      <c r="AZ515" s="35"/>
      <c r="BA515" s="35"/>
      <c r="BB515" s="35"/>
      <c r="BC515" s="35"/>
      <c r="BD515" s="35"/>
      <c r="BE515" s="35"/>
      <c r="BF515" s="35"/>
      <c r="BG515" s="35"/>
      <c r="BH515" s="35"/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/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</row>
    <row r="516" spans="8:89" s="34" customFormat="1"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</row>
    <row r="517" spans="8:89" s="34" customFormat="1"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/>
      <c r="BM517" s="35"/>
      <c r="BN517" s="35"/>
      <c r="BO517" s="35"/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</row>
    <row r="518" spans="8:89" s="34" customFormat="1"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</row>
    <row r="519" spans="8:89" s="34" customFormat="1"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</row>
    <row r="520" spans="8:89" s="34" customFormat="1"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</row>
    <row r="521" spans="8:89" s="34" customFormat="1"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</row>
    <row r="522" spans="8:89" s="34" customFormat="1"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</row>
    <row r="523" spans="8:89" s="34" customFormat="1"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</row>
    <row r="524" spans="8:89" s="34" customFormat="1"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</row>
    <row r="525" spans="8:89" s="34" customFormat="1"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</row>
    <row r="526" spans="8:89" s="34" customFormat="1"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</row>
    <row r="527" spans="8:89" s="34" customFormat="1"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/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</row>
    <row r="528" spans="8:89" s="34" customFormat="1"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</row>
    <row r="529" spans="8:89" s="34" customFormat="1"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</row>
    <row r="530" spans="8:89" s="34" customFormat="1"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</row>
    <row r="531" spans="8:89" s="34" customFormat="1"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</row>
    <row r="532" spans="8:89" s="34" customFormat="1"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/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</row>
    <row r="533" spans="8:89" s="34" customFormat="1"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</row>
    <row r="534" spans="8:89" s="34" customFormat="1"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</row>
    <row r="535" spans="8:89" s="34" customFormat="1"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</row>
    <row r="536" spans="8:89" s="34" customFormat="1"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</row>
    <row r="537" spans="8:89" s="34" customFormat="1"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</row>
    <row r="538" spans="8:89" s="34" customFormat="1"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</row>
    <row r="539" spans="8:89" s="34" customFormat="1"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</row>
    <row r="540" spans="8:89" s="34" customFormat="1"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</row>
    <row r="541" spans="8:89" s="34" customFormat="1"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</row>
    <row r="542" spans="8:89" s="34" customFormat="1"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</row>
    <row r="543" spans="8:89" s="34" customFormat="1"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</row>
    <row r="544" spans="8:89" s="34" customFormat="1"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</row>
    <row r="545" spans="8:89" s="34" customFormat="1"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</row>
    <row r="546" spans="8:89" s="34" customFormat="1"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</row>
    <row r="547" spans="8:89" s="34" customFormat="1"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</row>
    <row r="548" spans="8:89" s="34" customFormat="1"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</row>
    <row r="549" spans="8:89" s="34" customFormat="1"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</row>
    <row r="550" spans="8:89" s="34" customFormat="1"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</row>
    <row r="551" spans="8:89" s="34" customFormat="1"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</row>
    <row r="552" spans="8:89" s="34" customFormat="1"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/>
      <c r="BM552" s="35"/>
      <c r="BN552" s="35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</row>
    <row r="553" spans="8:89" s="34" customFormat="1"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/>
      <c r="BM553" s="35"/>
      <c r="BN553" s="35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</row>
    <row r="554" spans="8:89" s="34" customFormat="1"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/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</row>
    <row r="555" spans="8:89" s="34" customFormat="1"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</row>
    <row r="556" spans="8:89" s="34" customFormat="1"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</row>
    <row r="557" spans="8:89" s="34" customFormat="1"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/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</row>
    <row r="558" spans="8:89" s="34" customFormat="1"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/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</row>
    <row r="559" spans="8:89" s="34" customFormat="1"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</row>
    <row r="560" spans="8:89" s="34" customFormat="1"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</row>
    <row r="561" spans="8:89" s="34" customFormat="1"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</row>
    <row r="562" spans="8:89" s="34" customFormat="1"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</row>
    <row r="563" spans="8:89" s="34" customFormat="1"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</row>
    <row r="564" spans="8:89" s="34" customFormat="1"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</row>
    <row r="565" spans="8:89" s="34" customFormat="1"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/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</row>
    <row r="566" spans="8:89" s="34" customFormat="1"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</row>
    <row r="567" spans="8:89" s="34" customFormat="1"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</row>
    <row r="568" spans="8:89" s="34" customFormat="1"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/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</row>
    <row r="569" spans="8:89" s="34" customFormat="1"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</row>
    <row r="570" spans="8:89" s="34" customFormat="1"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</row>
    <row r="571" spans="8:89" s="34" customFormat="1"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/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</row>
    <row r="572" spans="8:89" s="34" customFormat="1"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</row>
    <row r="573" spans="8:89" s="34" customFormat="1"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</row>
    <row r="574" spans="8:89" s="34" customFormat="1"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</row>
    <row r="575" spans="8:89" s="34" customFormat="1"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</row>
    <row r="576" spans="8:89" s="34" customFormat="1"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</row>
    <row r="577" spans="8:89" s="34" customFormat="1"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</row>
    <row r="578" spans="8:89" s="34" customFormat="1"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/>
      <c r="BP578" s="35"/>
      <c r="BQ578" s="35"/>
      <c r="BR578" s="35"/>
      <c r="BS578" s="35"/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</row>
    <row r="579" spans="8:89" s="34" customFormat="1"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/>
      <c r="BI579" s="35"/>
      <c r="BJ579" s="35"/>
      <c r="BK579" s="35"/>
      <c r="BL579" s="35"/>
      <c r="BM579" s="35"/>
      <c r="BN579" s="35"/>
      <c r="BO579" s="35"/>
      <c r="BP579" s="35"/>
      <c r="BQ579" s="35"/>
      <c r="BR579" s="35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</row>
    <row r="580" spans="8:89" s="34" customFormat="1"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</row>
    <row r="581" spans="8:89" s="34" customFormat="1"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/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/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</row>
    <row r="582" spans="8:89" s="34" customFormat="1"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</row>
    <row r="583" spans="8:89" s="34" customFormat="1"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/>
      <c r="BM583" s="35"/>
      <c r="BN583" s="35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</row>
    <row r="584" spans="8:89" s="34" customFormat="1"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</row>
    <row r="585" spans="8:89" s="34" customFormat="1"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/>
      <c r="BQ585" s="35"/>
      <c r="BR585" s="35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</row>
    <row r="586" spans="8:89" s="34" customFormat="1"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</row>
    <row r="587" spans="8:89" s="34" customFormat="1"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</row>
    <row r="588" spans="8:89" s="34" customFormat="1"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/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</row>
    <row r="589" spans="8:89" s="34" customFormat="1"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</row>
    <row r="590" spans="8:89" s="34" customFormat="1"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</row>
    <row r="591" spans="8:89" s="34" customFormat="1"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</row>
    <row r="592" spans="8:89" s="34" customFormat="1"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</row>
    <row r="593" spans="8:89" s="34" customFormat="1"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</row>
    <row r="594" spans="8:89" s="34" customFormat="1"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/>
      <c r="BU594" s="35"/>
      <c r="BV594" s="35"/>
      <c r="BW594" s="35"/>
      <c r="BX594" s="35"/>
      <c r="BY594" s="35"/>
      <c r="BZ594" s="35"/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</row>
    <row r="595" spans="8:89" s="34" customFormat="1"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</row>
    <row r="596" spans="8:89" s="34" customFormat="1"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</row>
    <row r="597" spans="8:89" s="34" customFormat="1"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/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</row>
    <row r="598" spans="8:89" s="34" customFormat="1"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</row>
    <row r="599" spans="8:89" s="34" customFormat="1"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</row>
    <row r="600" spans="8:89" s="34" customFormat="1"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/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</row>
    <row r="601" spans="8:89" s="34" customFormat="1"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</row>
    <row r="602" spans="8:89" s="34" customFormat="1"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</row>
    <row r="603" spans="8:89" s="34" customFormat="1"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</row>
    <row r="604" spans="8:89" s="34" customFormat="1"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</row>
    <row r="605" spans="8:89" s="34" customFormat="1"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</row>
    <row r="606" spans="8:89" s="34" customFormat="1"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</row>
    <row r="607" spans="8:89" s="34" customFormat="1"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</row>
    <row r="608" spans="8:89" s="34" customFormat="1"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</row>
    <row r="609" spans="8:89" s="34" customFormat="1"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</row>
    <row r="610" spans="8:89" s="34" customFormat="1"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</row>
    <row r="611" spans="8:89" s="34" customFormat="1"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</row>
    <row r="612" spans="8:89" s="34" customFormat="1"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</row>
    <row r="613" spans="8:89" s="34" customFormat="1"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</row>
    <row r="614" spans="8:89" s="34" customFormat="1"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</row>
    <row r="615" spans="8:89" s="34" customFormat="1"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</row>
    <row r="616" spans="8:89" s="34" customFormat="1"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</row>
    <row r="617" spans="8:89" s="34" customFormat="1"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</row>
    <row r="618" spans="8:89" s="34" customFormat="1"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</row>
    <row r="619" spans="8:89" s="34" customFormat="1"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</row>
    <row r="620" spans="8:89" s="34" customFormat="1"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</row>
    <row r="621" spans="8:89" s="34" customFormat="1"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</row>
    <row r="622" spans="8:89" s="34" customFormat="1"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</row>
    <row r="623" spans="8:89" s="34" customFormat="1"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</row>
    <row r="624" spans="8:89" s="34" customFormat="1"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</row>
    <row r="625" spans="8:89" s="34" customFormat="1"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</row>
    <row r="626" spans="8:89" s="34" customFormat="1"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</row>
    <row r="627" spans="8:89" s="34" customFormat="1"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</row>
    <row r="628" spans="8:89" s="34" customFormat="1"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</row>
    <row r="629" spans="8:89" s="34" customFormat="1"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</row>
    <row r="630" spans="8:89" s="34" customFormat="1"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</row>
    <row r="631" spans="8:89" s="34" customFormat="1"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</row>
    <row r="632" spans="8:89" s="34" customFormat="1"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</row>
    <row r="633" spans="8:89" s="34" customFormat="1"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</row>
    <row r="634" spans="8:89" s="34" customFormat="1"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</row>
    <row r="635" spans="8:89" s="34" customFormat="1"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</row>
    <row r="636" spans="8:89" s="34" customFormat="1"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</row>
    <row r="637" spans="8:89" s="34" customFormat="1"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</row>
    <row r="638" spans="8:89" s="34" customFormat="1"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</row>
    <row r="639" spans="8:89" s="34" customFormat="1"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</row>
    <row r="640" spans="8:89" s="34" customFormat="1"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</row>
    <row r="641" spans="8:89" s="34" customFormat="1"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</row>
    <row r="642" spans="8:89" s="34" customFormat="1"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</row>
    <row r="643" spans="8:89" s="34" customFormat="1"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</row>
    <row r="644" spans="8:89" s="34" customFormat="1"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</row>
    <row r="645" spans="8:89" s="34" customFormat="1"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</row>
    <row r="646" spans="8:89" s="34" customFormat="1"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</row>
    <row r="647" spans="8:89" s="34" customFormat="1"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</row>
    <row r="648" spans="8:89" s="34" customFormat="1"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</row>
    <row r="649" spans="8:89" s="34" customFormat="1"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</row>
    <row r="650" spans="8:89" s="34" customFormat="1"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</row>
    <row r="651" spans="8:89" s="34" customFormat="1"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</row>
    <row r="652" spans="8:89" s="34" customFormat="1"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</row>
    <row r="653" spans="8:89" s="34" customFormat="1"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</row>
    <row r="654" spans="8:89" s="34" customFormat="1"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</row>
    <row r="655" spans="8:89" s="34" customFormat="1"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</row>
    <row r="656" spans="8:89" s="34" customFormat="1"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</row>
    <row r="657" spans="8:89" s="34" customFormat="1"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</row>
    <row r="658" spans="8:89" s="34" customFormat="1"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</row>
    <row r="659" spans="8:89" s="34" customFormat="1"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</row>
    <row r="660" spans="8:89" s="34" customFormat="1"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</row>
    <row r="661" spans="8:89" s="34" customFormat="1"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</row>
    <row r="662" spans="8:89" s="34" customFormat="1"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</row>
    <row r="663" spans="8:89" s="34" customFormat="1"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</row>
    <row r="664" spans="8:89" s="34" customFormat="1"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</row>
    <row r="665" spans="8:89" s="34" customFormat="1"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</row>
    <row r="666" spans="8:89" s="34" customFormat="1"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</row>
    <row r="667" spans="8:89" s="34" customFormat="1"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</row>
    <row r="668" spans="8:89" s="34" customFormat="1"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</row>
    <row r="669" spans="8:89" s="34" customFormat="1"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</row>
    <row r="670" spans="8:89" s="34" customFormat="1"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</row>
    <row r="671" spans="8:89" s="34" customFormat="1"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</row>
    <row r="672" spans="8:89" s="34" customFormat="1"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</row>
    <row r="673" spans="8:89" s="34" customFormat="1"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</row>
    <row r="674" spans="8:89" s="34" customFormat="1"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</row>
    <row r="675" spans="8:89" s="34" customFormat="1"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</row>
    <row r="676" spans="8:89" s="34" customFormat="1"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</row>
    <row r="677" spans="8:89" s="34" customFormat="1"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</row>
    <row r="678" spans="8:89" s="34" customFormat="1"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</row>
    <row r="679" spans="8:89" s="34" customFormat="1"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</row>
    <row r="680" spans="8:89" s="34" customFormat="1"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</row>
    <row r="681" spans="8:89" s="34" customFormat="1"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</row>
    <row r="682" spans="8:89" s="34" customFormat="1"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</row>
    <row r="683" spans="8:89" s="34" customFormat="1"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</row>
    <row r="684" spans="8:89" s="34" customFormat="1"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</row>
    <row r="685" spans="8:89" s="34" customFormat="1"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</row>
    <row r="686" spans="8:89" s="34" customFormat="1"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</row>
    <row r="687" spans="8:89" s="34" customFormat="1"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</row>
    <row r="688" spans="8:89" s="34" customFormat="1"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</row>
    <row r="689" spans="8:89" s="34" customFormat="1"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</row>
    <row r="690" spans="8:89" s="34" customFormat="1"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</row>
    <row r="691" spans="8:89" s="34" customFormat="1"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</row>
    <row r="692" spans="8:89" s="34" customFormat="1"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</row>
    <row r="693" spans="8:89" s="34" customFormat="1"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</row>
    <row r="694" spans="8:89" s="34" customFormat="1"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</row>
    <row r="695" spans="8:89" s="34" customFormat="1"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</row>
    <row r="696" spans="8:89" s="34" customFormat="1"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</row>
    <row r="697" spans="8:89" s="34" customFormat="1"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</row>
    <row r="698" spans="8:89" s="34" customFormat="1"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</row>
    <row r="699" spans="8:89" s="34" customFormat="1"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</row>
    <row r="700" spans="8:89" s="34" customFormat="1"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</row>
    <row r="701" spans="8:89" s="34" customFormat="1"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  <c r="BJ701" s="35"/>
      <c r="BK701" s="35"/>
      <c r="BL701" s="35"/>
      <c r="BM701" s="35"/>
      <c r="BN701" s="35"/>
      <c r="BO701" s="35"/>
      <c r="BP701" s="35"/>
      <c r="BQ701" s="35"/>
      <c r="BR701" s="35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  <c r="CI701" s="35"/>
      <c r="CJ701" s="35"/>
      <c r="CK701" s="35"/>
    </row>
    <row r="702" spans="8:89" s="34" customFormat="1"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  <c r="BJ702" s="35"/>
      <c r="BK702" s="35"/>
      <c r="BL702" s="35"/>
      <c r="BM702" s="35"/>
      <c r="BN702" s="35"/>
      <c r="BO702" s="35"/>
      <c r="BP702" s="35"/>
      <c r="BQ702" s="35"/>
      <c r="BR702" s="35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  <c r="CI702" s="35"/>
      <c r="CJ702" s="35"/>
      <c r="CK702" s="35"/>
    </row>
    <row r="703" spans="8:89" s="34" customFormat="1"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  <c r="BJ703" s="35"/>
      <c r="BK703" s="35"/>
      <c r="BL703" s="35"/>
      <c r="BM703" s="35"/>
      <c r="BN703" s="35"/>
      <c r="BO703" s="35"/>
      <c r="BP703" s="35"/>
      <c r="BQ703" s="35"/>
      <c r="BR703" s="35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/>
      <c r="CH703" s="35"/>
      <c r="CI703" s="35"/>
      <c r="CJ703" s="35"/>
      <c r="CK703" s="35"/>
    </row>
    <row r="704" spans="8:89" s="34" customFormat="1"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  <c r="BJ704" s="35"/>
      <c r="BK704" s="35"/>
      <c r="BL704" s="35"/>
      <c r="BM704" s="35"/>
      <c r="BN704" s="35"/>
      <c r="BO704" s="35"/>
      <c r="BP704" s="35"/>
      <c r="BQ704" s="35"/>
      <c r="BR704" s="35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  <c r="CI704" s="35"/>
      <c r="CJ704" s="35"/>
      <c r="CK704" s="35"/>
    </row>
    <row r="705" spans="8:89" s="34" customFormat="1"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  <c r="BJ705" s="35"/>
      <c r="BK705" s="35"/>
      <c r="BL705" s="35"/>
      <c r="BM705" s="35"/>
      <c r="BN705" s="35"/>
      <c r="BO705" s="35"/>
      <c r="BP705" s="35"/>
      <c r="BQ705" s="35"/>
      <c r="BR705" s="35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  <c r="CI705" s="35"/>
      <c r="CJ705" s="35"/>
      <c r="CK705" s="35"/>
    </row>
    <row r="706" spans="8:89" s="34" customFormat="1"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  <c r="BJ706" s="35"/>
      <c r="BK706" s="35"/>
      <c r="BL706" s="35"/>
      <c r="BM706" s="35"/>
      <c r="BN706" s="35"/>
      <c r="BO706" s="35"/>
      <c r="BP706" s="35"/>
      <c r="BQ706" s="35"/>
      <c r="BR706" s="35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  <c r="CI706" s="35"/>
      <c r="CJ706" s="35"/>
      <c r="CK706" s="35"/>
    </row>
    <row r="707" spans="8:89" s="34" customFormat="1"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  <c r="BJ707" s="35"/>
      <c r="BK707" s="35"/>
      <c r="BL707" s="35"/>
      <c r="BM707" s="35"/>
      <c r="BN707" s="35"/>
      <c r="BO707" s="35"/>
      <c r="BP707" s="35"/>
      <c r="BQ707" s="35"/>
      <c r="BR707" s="35"/>
      <c r="BS707" s="35"/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  <c r="CI707" s="35"/>
      <c r="CJ707" s="35"/>
      <c r="CK707" s="35"/>
    </row>
    <row r="708" spans="8:89" s="34" customFormat="1"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/>
      <c r="BI708" s="35"/>
      <c r="BJ708" s="35"/>
      <c r="BK708" s="35"/>
      <c r="BL708" s="35"/>
      <c r="BM708" s="35"/>
      <c r="BN708" s="35"/>
      <c r="BO708" s="35"/>
      <c r="BP708" s="35"/>
      <c r="BQ708" s="35"/>
      <c r="BR708" s="35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  <c r="CI708" s="35"/>
      <c r="CJ708" s="35"/>
      <c r="CK708" s="35"/>
    </row>
    <row r="709" spans="8:89" s="34" customFormat="1"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  <c r="BJ709" s="35"/>
      <c r="BK709" s="35"/>
      <c r="BL709" s="35"/>
      <c r="BM709" s="35"/>
      <c r="BN709" s="35"/>
      <c r="BO709" s="35"/>
      <c r="BP709" s="35"/>
      <c r="BQ709" s="35"/>
      <c r="BR709" s="35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  <c r="CI709" s="35"/>
      <c r="CJ709" s="35"/>
      <c r="CK709" s="35"/>
    </row>
    <row r="710" spans="8:89" s="34" customFormat="1"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  <c r="BJ710" s="35"/>
      <c r="BK710" s="35"/>
      <c r="BL710" s="35"/>
      <c r="BM710" s="35"/>
      <c r="BN710" s="35"/>
      <c r="BO710" s="35"/>
      <c r="BP710" s="35"/>
      <c r="BQ710" s="35"/>
      <c r="BR710" s="35"/>
      <c r="BS710" s="35"/>
      <c r="BT710" s="35"/>
      <c r="BU710" s="35"/>
      <c r="BV710" s="35"/>
      <c r="BW710" s="35"/>
      <c r="BX710" s="35"/>
      <c r="BY710" s="35"/>
      <c r="BZ710" s="35"/>
      <c r="CA710" s="35"/>
      <c r="CB710" s="35"/>
      <c r="CC710" s="35"/>
      <c r="CD710" s="35"/>
      <c r="CE710" s="35"/>
      <c r="CF710" s="35"/>
      <c r="CG710" s="35"/>
      <c r="CH710" s="35"/>
      <c r="CI710" s="35"/>
      <c r="CJ710" s="35"/>
      <c r="CK710" s="35"/>
    </row>
    <row r="711" spans="8:89" s="34" customFormat="1"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  <c r="BJ711" s="35"/>
      <c r="BK711" s="35"/>
      <c r="BL711" s="35"/>
      <c r="BM711" s="35"/>
      <c r="BN711" s="35"/>
      <c r="BO711" s="35"/>
      <c r="BP711" s="35"/>
      <c r="BQ711" s="35"/>
      <c r="BR711" s="35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  <c r="CI711" s="35"/>
      <c r="CJ711" s="35"/>
      <c r="CK711" s="35"/>
    </row>
    <row r="712" spans="8:89" s="34" customFormat="1"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  <c r="BJ712" s="35"/>
      <c r="BK712" s="35"/>
      <c r="BL712" s="35"/>
      <c r="BM712" s="35"/>
      <c r="BN712" s="35"/>
      <c r="BO712" s="35"/>
      <c r="BP712" s="35"/>
      <c r="BQ712" s="35"/>
      <c r="BR712" s="35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  <c r="CI712" s="35"/>
      <c r="CJ712" s="35"/>
      <c r="CK712" s="35"/>
    </row>
    <row r="713" spans="8:89" s="34" customFormat="1"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  <c r="BJ713" s="35"/>
      <c r="BK713" s="35"/>
      <c r="BL713" s="35"/>
      <c r="BM713" s="35"/>
      <c r="BN713" s="35"/>
      <c r="BO713" s="35"/>
      <c r="BP713" s="35"/>
      <c r="BQ713" s="35"/>
      <c r="BR713" s="35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  <c r="CI713" s="35"/>
      <c r="CJ713" s="35"/>
      <c r="CK713" s="35"/>
    </row>
    <row r="714" spans="8:89" s="34" customFormat="1"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  <c r="BJ714" s="35"/>
      <c r="BK714" s="35"/>
      <c r="BL714" s="35"/>
      <c r="BM714" s="35"/>
      <c r="BN714" s="35"/>
      <c r="BO714" s="35"/>
      <c r="BP714" s="35"/>
      <c r="BQ714" s="35"/>
      <c r="BR714" s="35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  <c r="CI714" s="35"/>
      <c r="CJ714" s="35"/>
      <c r="CK714" s="35"/>
    </row>
    <row r="715" spans="8:89" s="34" customFormat="1"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</row>
    <row r="716" spans="8:89" s="34" customFormat="1"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  <c r="BJ716" s="35"/>
      <c r="BK716" s="35"/>
      <c r="BL716" s="35"/>
      <c r="BM716" s="35"/>
      <c r="BN716" s="35"/>
      <c r="BO716" s="35"/>
      <c r="BP716" s="35"/>
      <c r="BQ716" s="35"/>
      <c r="BR716" s="35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  <c r="CI716" s="35"/>
      <c r="CJ716" s="35"/>
      <c r="CK716" s="35"/>
    </row>
    <row r="717" spans="8:89" s="34" customFormat="1"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  <c r="BH717" s="35"/>
      <c r="BI717" s="35"/>
      <c r="BJ717" s="35"/>
      <c r="BK717" s="35"/>
      <c r="BL717" s="35"/>
      <c r="BM717" s="35"/>
      <c r="BN717" s="35"/>
      <c r="BO717" s="35"/>
      <c r="BP717" s="35"/>
      <c r="BQ717" s="35"/>
      <c r="BR717" s="35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/>
      <c r="CD717" s="35"/>
      <c r="CE717" s="35"/>
      <c r="CF717" s="35"/>
      <c r="CG717" s="35"/>
      <c r="CH717" s="35"/>
      <c r="CI717" s="35"/>
      <c r="CJ717" s="35"/>
      <c r="CK717" s="35"/>
    </row>
    <row r="718" spans="8:89" s="34" customFormat="1"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/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/>
      <c r="BJ718" s="35"/>
      <c r="BK718" s="35"/>
      <c r="BL718" s="35"/>
      <c r="BM718" s="35"/>
      <c r="BN718" s="35"/>
      <c r="BO718" s="35"/>
      <c r="BP718" s="35"/>
      <c r="BQ718" s="35"/>
      <c r="BR718" s="35"/>
      <c r="BS718" s="35"/>
      <c r="BT718" s="35"/>
      <c r="BU718" s="35"/>
      <c r="BV718" s="35"/>
      <c r="BW718" s="35"/>
      <c r="BX718" s="35"/>
      <c r="BY718" s="35"/>
      <c r="BZ718" s="35"/>
      <c r="CA718" s="35"/>
      <c r="CB718" s="35"/>
      <c r="CC718" s="35"/>
      <c r="CD718" s="35"/>
      <c r="CE718" s="35"/>
      <c r="CF718" s="35"/>
      <c r="CG718" s="35"/>
      <c r="CH718" s="35"/>
      <c r="CI718" s="35"/>
      <c r="CJ718" s="35"/>
      <c r="CK718" s="35"/>
    </row>
    <row r="719" spans="8:89" s="34" customFormat="1"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  <c r="BJ719" s="35"/>
      <c r="BK719" s="35"/>
      <c r="BL719" s="35"/>
      <c r="BM719" s="35"/>
      <c r="BN719" s="35"/>
      <c r="BO719" s="35"/>
      <c r="BP719" s="35"/>
      <c r="BQ719" s="35"/>
      <c r="BR719" s="35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  <c r="CI719" s="35"/>
      <c r="CJ719" s="35"/>
      <c r="CK719" s="35"/>
    </row>
    <row r="720" spans="8:89" s="34" customFormat="1"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  <c r="BJ720" s="35"/>
      <c r="BK720" s="35"/>
      <c r="BL720" s="35"/>
      <c r="BM720" s="35"/>
      <c r="BN720" s="35"/>
      <c r="BO720" s="35"/>
      <c r="BP720" s="35"/>
      <c r="BQ720" s="35"/>
      <c r="BR720" s="35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  <c r="CI720" s="35"/>
      <c r="CJ720" s="35"/>
      <c r="CK720" s="35"/>
    </row>
    <row r="721" spans="8:89" s="34" customFormat="1"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  <c r="BJ721" s="35"/>
      <c r="BK721" s="35"/>
      <c r="BL721" s="35"/>
      <c r="BM721" s="35"/>
      <c r="BN721" s="35"/>
      <c r="BO721" s="35"/>
      <c r="BP721" s="35"/>
      <c r="BQ721" s="35"/>
      <c r="BR721" s="35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  <c r="CI721" s="35"/>
      <c r="CJ721" s="35"/>
      <c r="CK721" s="35"/>
    </row>
    <row r="722" spans="8:89" s="34" customFormat="1"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  <c r="BH722" s="35"/>
      <c r="BI722" s="35"/>
      <c r="BJ722" s="35"/>
      <c r="BK722" s="35"/>
      <c r="BL722" s="35"/>
      <c r="BM722" s="35"/>
      <c r="BN722" s="35"/>
      <c r="BO722" s="35"/>
      <c r="BP722" s="35"/>
      <c r="BQ722" s="35"/>
      <c r="BR722" s="35"/>
      <c r="BS722" s="35"/>
      <c r="BT722" s="35"/>
      <c r="BU722" s="35"/>
      <c r="BV722" s="35"/>
      <c r="BW722" s="35"/>
      <c r="BX722" s="35"/>
      <c r="BY722" s="35"/>
      <c r="BZ722" s="35"/>
      <c r="CA722" s="35"/>
      <c r="CB722" s="35"/>
      <c r="CC722" s="35"/>
      <c r="CD722" s="35"/>
      <c r="CE722" s="35"/>
      <c r="CF722" s="35"/>
      <c r="CG722" s="35"/>
      <c r="CH722" s="35"/>
      <c r="CI722" s="35"/>
      <c r="CJ722" s="35"/>
      <c r="CK722" s="35"/>
    </row>
    <row r="723" spans="8:89" s="34" customFormat="1"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  <c r="BH723" s="35"/>
      <c r="BI723" s="35"/>
      <c r="BJ723" s="35"/>
      <c r="BK723" s="35"/>
      <c r="BL723" s="35"/>
      <c r="BM723" s="35"/>
      <c r="BN723" s="35"/>
      <c r="BO723" s="35"/>
      <c r="BP723" s="35"/>
      <c r="BQ723" s="35"/>
      <c r="BR723" s="35"/>
      <c r="BS723" s="35"/>
      <c r="BT723" s="35"/>
      <c r="BU723" s="35"/>
      <c r="BV723" s="35"/>
      <c r="BW723" s="35"/>
      <c r="BX723" s="35"/>
      <c r="BY723" s="35"/>
      <c r="BZ723" s="35"/>
      <c r="CA723" s="35"/>
      <c r="CB723" s="35"/>
      <c r="CC723" s="35"/>
      <c r="CD723" s="35"/>
      <c r="CE723" s="35"/>
      <c r="CF723" s="35"/>
      <c r="CG723" s="35"/>
      <c r="CH723" s="35"/>
      <c r="CI723" s="35"/>
      <c r="CJ723" s="35"/>
      <c r="CK723" s="35"/>
    </row>
    <row r="724" spans="8:89" s="34" customFormat="1"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  <c r="BH724" s="35"/>
      <c r="BI724" s="35"/>
      <c r="BJ724" s="35"/>
      <c r="BK724" s="35"/>
      <c r="BL724" s="35"/>
      <c r="BM724" s="35"/>
      <c r="BN724" s="35"/>
      <c r="BO724" s="35"/>
      <c r="BP724" s="35"/>
      <c r="BQ724" s="35"/>
      <c r="BR724" s="35"/>
      <c r="BS724" s="35"/>
      <c r="BT724" s="35"/>
      <c r="BU724" s="35"/>
      <c r="BV724" s="35"/>
      <c r="BW724" s="35"/>
      <c r="BX724" s="35"/>
      <c r="BY724" s="35"/>
      <c r="BZ724" s="35"/>
      <c r="CA724" s="35"/>
      <c r="CB724" s="35"/>
      <c r="CC724" s="35"/>
      <c r="CD724" s="35"/>
      <c r="CE724" s="35"/>
      <c r="CF724" s="35"/>
      <c r="CG724" s="35"/>
      <c r="CH724" s="35"/>
      <c r="CI724" s="35"/>
      <c r="CJ724" s="35"/>
      <c r="CK724" s="35"/>
    </row>
    <row r="725" spans="8:89" s="34" customFormat="1"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  <c r="BH725" s="35"/>
      <c r="BI725" s="35"/>
      <c r="BJ725" s="35"/>
      <c r="BK725" s="35"/>
      <c r="BL725" s="35"/>
      <c r="BM725" s="35"/>
      <c r="BN725" s="35"/>
      <c r="BO725" s="35"/>
      <c r="BP725" s="35"/>
      <c r="BQ725" s="35"/>
      <c r="BR725" s="35"/>
      <c r="BS725" s="35"/>
      <c r="BT725" s="35"/>
      <c r="BU725" s="35"/>
      <c r="BV725" s="35"/>
      <c r="BW725" s="35"/>
      <c r="BX725" s="35"/>
      <c r="BY725" s="35"/>
      <c r="BZ725" s="35"/>
      <c r="CA725" s="35"/>
      <c r="CB725" s="35"/>
      <c r="CC725" s="35"/>
      <c r="CD725" s="35"/>
      <c r="CE725" s="35"/>
      <c r="CF725" s="35"/>
      <c r="CG725" s="35"/>
      <c r="CH725" s="35"/>
      <c r="CI725" s="35"/>
      <c r="CJ725" s="35"/>
      <c r="CK725" s="35"/>
    </row>
    <row r="726" spans="8:89" s="34" customFormat="1"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/>
      <c r="BE726" s="35"/>
      <c r="BF726" s="35"/>
      <c r="BG726" s="35"/>
      <c r="BH726" s="35"/>
      <c r="BI726" s="35"/>
      <c r="BJ726" s="35"/>
      <c r="BK726" s="35"/>
      <c r="BL726" s="35"/>
      <c r="BM726" s="35"/>
      <c r="BN726" s="35"/>
      <c r="BO726" s="35"/>
      <c r="BP726" s="35"/>
      <c r="BQ726" s="35"/>
      <c r="BR726" s="35"/>
      <c r="BS726" s="35"/>
      <c r="BT726" s="35"/>
      <c r="BU726" s="35"/>
      <c r="BV726" s="35"/>
      <c r="BW726" s="35"/>
      <c r="BX726" s="35"/>
      <c r="BY726" s="35"/>
      <c r="BZ726" s="35"/>
      <c r="CA726" s="35"/>
      <c r="CB726" s="35"/>
      <c r="CC726" s="35"/>
      <c r="CD726" s="35"/>
      <c r="CE726" s="35"/>
      <c r="CF726" s="35"/>
      <c r="CG726" s="35"/>
      <c r="CH726" s="35"/>
      <c r="CI726" s="35"/>
      <c r="CJ726" s="35"/>
      <c r="CK726" s="35"/>
    </row>
    <row r="727" spans="8:89" s="34" customFormat="1"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  <c r="BH727" s="35"/>
      <c r="BI727" s="35"/>
      <c r="BJ727" s="35"/>
      <c r="BK727" s="35"/>
      <c r="BL727" s="35"/>
      <c r="BM727" s="35"/>
      <c r="BN727" s="35"/>
      <c r="BO727" s="35"/>
      <c r="BP727" s="35"/>
      <c r="BQ727" s="35"/>
      <c r="BR727" s="35"/>
      <c r="BS727" s="35"/>
      <c r="BT727" s="35"/>
      <c r="BU727" s="35"/>
      <c r="BV727" s="35"/>
      <c r="BW727" s="35"/>
      <c r="BX727" s="35"/>
      <c r="BY727" s="35"/>
      <c r="BZ727" s="35"/>
      <c r="CA727" s="35"/>
      <c r="CB727" s="35"/>
      <c r="CC727" s="35"/>
      <c r="CD727" s="35"/>
      <c r="CE727" s="35"/>
      <c r="CF727" s="35"/>
      <c r="CG727" s="35"/>
      <c r="CH727" s="35"/>
      <c r="CI727" s="35"/>
      <c r="CJ727" s="35"/>
      <c r="CK727" s="35"/>
    </row>
    <row r="728" spans="8:89" s="34" customFormat="1"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  <c r="BH728" s="35"/>
      <c r="BI728" s="35"/>
      <c r="BJ728" s="35"/>
      <c r="BK728" s="35"/>
      <c r="BL728" s="35"/>
      <c r="BM728" s="35"/>
      <c r="BN728" s="35"/>
      <c r="BO728" s="35"/>
      <c r="BP728" s="35"/>
      <c r="BQ728" s="35"/>
      <c r="BR728" s="35"/>
      <c r="BS728" s="35"/>
      <c r="BT728" s="35"/>
      <c r="BU728" s="35"/>
      <c r="BV728" s="35"/>
      <c r="BW728" s="35"/>
      <c r="BX728" s="35"/>
      <c r="BY728" s="35"/>
      <c r="BZ728" s="35"/>
      <c r="CA728" s="35"/>
      <c r="CB728" s="35"/>
      <c r="CC728" s="35"/>
      <c r="CD728" s="35"/>
      <c r="CE728" s="35"/>
      <c r="CF728" s="35"/>
      <c r="CG728" s="35"/>
      <c r="CH728" s="35"/>
      <c r="CI728" s="35"/>
      <c r="CJ728" s="35"/>
      <c r="CK728" s="35"/>
    </row>
    <row r="729" spans="8:89" s="34" customFormat="1"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  <c r="BH729" s="35"/>
      <c r="BI729" s="35"/>
      <c r="BJ729" s="35"/>
      <c r="BK729" s="35"/>
      <c r="BL729" s="35"/>
      <c r="BM729" s="35"/>
      <c r="BN729" s="35"/>
      <c r="BO729" s="35"/>
      <c r="BP729" s="35"/>
      <c r="BQ729" s="35"/>
      <c r="BR729" s="35"/>
      <c r="BS729" s="35"/>
      <c r="BT729" s="35"/>
      <c r="BU729" s="35"/>
      <c r="BV729" s="35"/>
      <c r="BW729" s="35"/>
      <c r="BX729" s="35"/>
      <c r="BY729" s="35"/>
      <c r="BZ729" s="35"/>
      <c r="CA729" s="35"/>
      <c r="CB729" s="35"/>
      <c r="CC729" s="35"/>
      <c r="CD729" s="35"/>
      <c r="CE729" s="35"/>
      <c r="CF729" s="35"/>
      <c r="CG729" s="35"/>
      <c r="CH729" s="35"/>
      <c r="CI729" s="35"/>
      <c r="CJ729" s="35"/>
      <c r="CK729" s="35"/>
    </row>
    <row r="730" spans="8:89" s="34" customFormat="1"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  <c r="BH730" s="35"/>
      <c r="BI730" s="35"/>
      <c r="BJ730" s="35"/>
      <c r="BK730" s="35"/>
      <c r="BL730" s="35"/>
      <c r="BM730" s="35"/>
      <c r="BN730" s="35"/>
      <c r="BO730" s="35"/>
      <c r="BP730" s="35"/>
      <c r="BQ730" s="35"/>
      <c r="BR730" s="35"/>
      <c r="BS730" s="35"/>
      <c r="BT730" s="35"/>
      <c r="BU730" s="35"/>
      <c r="BV730" s="35"/>
      <c r="BW730" s="35"/>
      <c r="BX730" s="35"/>
      <c r="BY730" s="35"/>
      <c r="BZ730" s="35"/>
      <c r="CA730" s="35"/>
      <c r="CB730" s="35"/>
      <c r="CC730" s="35"/>
      <c r="CD730" s="35"/>
      <c r="CE730" s="35"/>
      <c r="CF730" s="35"/>
      <c r="CG730" s="35"/>
      <c r="CH730" s="35"/>
      <c r="CI730" s="35"/>
      <c r="CJ730" s="35"/>
      <c r="CK730" s="35"/>
    </row>
    <row r="731" spans="8:89" s="34" customFormat="1"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  <c r="BH731" s="35"/>
      <c r="BI731" s="35"/>
      <c r="BJ731" s="35"/>
      <c r="BK731" s="35"/>
      <c r="BL731" s="35"/>
      <c r="BM731" s="35"/>
      <c r="BN731" s="35"/>
      <c r="BO731" s="35"/>
      <c r="BP731" s="35"/>
      <c r="BQ731" s="35"/>
      <c r="BR731" s="35"/>
      <c r="BS731" s="35"/>
      <c r="BT731" s="35"/>
      <c r="BU731" s="35"/>
      <c r="BV731" s="35"/>
      <c r="BW731" s="35"/>
      <c r="BX731" s="35"/>
      <c r="BY731" s="35"/>
      <c r="BZ731" s="35"/>
      <c r="CA731" s="35"/>
      <c r="CB731" s="35"/>
      <c r="CC731" s="35"/>
      <c r="CD731" s="35"/>
      <c r="CE731" s="35"/>
      <c r="CF731" s="35"/>
      <c r="CG731" s="35"/>
      <c r="CH731" s="35"/>
      <c r="CI731" s="35"/>
      <c r="CJ731" s="35"/>
      <c r="CK731" s="35"/>
    </row>
    <row r="732" spans="8:89" s="34" customFormat="1"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  <c r="BH732" s="35"/>
      <c r="BI732" s="35"/>
      <c r="BJ732" s="35"/>
      <c r="BK732" s="35"/>
      <c r="BL732" s="35"/>
      <c r="BM732" s="35"/>
      <c r="BN732" s="35"/>
      <c r="BO732" s="35"/>
      <c r="BP732" s="35"/>
      <c r="BQ732" s="35"/>
      <c r="BR732" s="35"/>
      <c r="BS732" s="35"/>
      <c r="BT732" s="35"/>
      <c r="BU732" s="35"/>
      <c r="BV732" s="35"/>
      <c r="BW732" s="35"/>
      <c r="BX732" s="35"/>
      <c r="BY732" s="35"/>
      <c r="BZ732" s="35"/>
      <c r="CA732" s="35"/>
      <c r="CB732" s="35"/>
      <c r="CC732" s="35"/>
      <c r="CD732" s="35"/>
      <c r="CE732" s="35"/>
      <c r="CF732" s="35"/>
      <c r="CG732" s="35"/>
      <c r="CH732" s="35"/>
      <c r="CI732" s="35"/>
      <c r="CJ732" s="35"/>
      <c r="CK732" s="35"/>
    </row>
    <row r="733" spans="8:89" s="34" customFormat="1"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  <c r="BH733" s="35"/>
      <c r="BI733" s="35"/>
      <c r="BJ733" s="35"/>
      <c r="BK733" s="35"/>
      <c r="BL733" s="35"/>
      <c r="BM733" s="35"/>
      <c r="BN733" s="35"/>
      <c r="BO733" s="35"/>
      <c r="BP733" s="35"/>
      <c r="BQ733" s="35"/>
      <c r="BR733" s="35"/>
      <c r="BS733" s="35"/>
      <c r="BT733" s="35"/>
      <c r="BU733" s="35"/>
      <c r="BV733" s="35"/>
      <c r="BW733" s="35"/>
      <c r="BX733" s="35"/>
      <c r="BY733" s="35"/>
      <c r="BZ733" s="35"/>
      <c r="CA733" s="35"/>
      <c r="CB733" s="35"/>
      <c r="CC733" s="35"/>
      <c r="CD733" s="35"/>
      <c r="CE733" s="35"/>
      <c r="CF733" s="35"/>
      <c r="CG733" s="35"/>
      <c r="CH733" s="35"/>
      <c r="CI733" s="35"/>
      <c r="CJ733" s="35"/>
      <c r="CK733" s="35"/>
    </row>
    <row r="734" spans="8:89" s="34" customFormat="1"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  <c r="BH734" s="35"/>
      <c r="BI734" s="35"/>
      <c r="BJ734" s="35"/>
      <c r="BK734" s="35"/>
      <c r="BL734" s="35"/>
      <c r="BM734" s="35"/>
      <c r="BN734" s="35"/>
      <c r="BO734" s="35"/>
      <c r="BP734" s="35"/>
      <c r="BQ734" s="35"/>
      <c r="BR734" s="35"/>
      <c r="BS734" s="35"/>
      <c r="BT734" s="35"/>
      <c r="BU734" s="35"/>
      <c r="BV734" s="35"/>
      <c r="BW734" s="35"/>
      <c r="BX734" s="35"/>
      <c r="BY734" s="35"/>
      <c r="BZ734" s="35"/>
      <c r="CA734" s="35"/>
      <c r="CB734" s="35"/>
      <c r="CC734" s="35"/>
      <c r="CD734" s="35"/>
      <c r="CE734" s="35"/>
      <c r="CF734" s="35"/>
      <c r="CG734" s="35"/>
      <c r="CH734" s="35"/>
      <c r="CI734" s="35"/>
      <c r="CJ734" s="35"/>
      <c r="CK734" s="35"/>
    </row>
    <row r="735" spans="8:89" s="34" customFormat="1"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  <c r="BH735" s="35"/>
      <c r="BI735" s="35"/>
      <c r="BJ735" s="35"/>
      <c r="BK735" s="35"/>
      <c r="BL735" s="35"/>
      <c r="BM735" s="35"/>
      <c r="BN735" s="35"/>
      <c r="BO735" s="35"/>
      <c r="BP735" s="35"/>
      <c r="BQ735" s="35"/>
      <c r="BR735" s="35"/>
      <c r="BS735" s="35"/>
      <c r="BT735" s="35"/>
      <c r="BU735" s="35"/>
      <c r="BV735" s="35"/>
      <c r="BW735" s="35"/>
      <c r="BX735" s="35"/>
      <c r="BY735" s="35"/>
      <c r="BZ735" s="35"/>
      <c r="CA735" s="35"/>
      <c r="CB735" s="35"/>
      <c r="CC735" s="35"/>
      <c r="CD735" s="35"/>
      <c r="CE735" s="35"/>
      <c r="CF735" s="35"/>
      <c r="CG735" s="35"/>
      <c r="CH735" s="35"/>
      <c r="CI735" s="35"/>
      <c r="CJ735" s="35"/>
      <c r="CK735" s="35"/>
    </row>
    <row r="736" spans="8:89" s="34" customFormat="1"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  <c r="BH736" s="35"/>
      <c r="BI736" s="35"/>
      <c r="BJ736" s="35"/>
      <c r="BK736" s="35"/>
      <c r="BL736" s="35"/>
      <c r="BM736" s="35"/>
      <c r="BN736" s="35"/>
      <c r="BO736" s="35"/>
      <c r="BP736" s="35"/>
      <c r="BQ736" s="35"/>
      <c r="BR736" s="35"/>
      <c r="BS736" s="35"/>
      <c r="BT736" s="35"/>
      <c r="BU736" s="35"/>
      <c r="BV736" s="35"/>
      <c r="BW736" s="35"/>
      <c r="BX736" s="35"/>
      <c r="BY736" s="35"/>
      <c r="BZ736" s="35"/>
      <c r="CA736" s="35"/>
      <c r="CB736" s="35"/>
      <c r="CC736" s="35"/>
      <c r="CD736" s="35"/>
      <c r="CE736" s="35"/>
      <c r="CF736" s="35"/>
      <c r="CG736" s="35"/>
      <c r="CH736" s="35"/>
      <c r="CI736" s="35"/>
      <c r="CJ736" s="35"/>
      <c r="CK736" s="35"/>
    </row>
    <row r="737" spans="8:89" s="34" customFormat="1"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  <c r="BH737" s="35"/>
      <c r="BI737" s="35"/>
      <c r="BJ737" s="35"/>
      <c r="BK737" s="35"/>
      <c r="BL737" s="35"/>
      <c r="BM737" s="35"/>
      <c r="BN737" s="35"/>
      <c r="BO737" s="35"/>
      <c r="BP737" s="35"/>
      <c r="BQ737" s="35"/>
      <c r="BR737" s="35"/>
      <c r="BS737" s="35"/>
      <c r="BT737" s="35"/>
      <c r="BU737" s="35"/>
      <c r="BV737" s="35"/>
      <c r="BW737" s="35"/>
      <c r="BX737" s="35"/>
      <c r="BY737" s="35"/>
      <c r="BZ737" s="35"/>
      <c r="CA737" s="35"/>
      <c r="CB737" s="35"/>
      <c r="CC737" s="35"/>
      <c r="CD737" s="35"/>
      <c r="CE737" s="35"/>
      <c r="CF737" s="35"/>
      <c r="CG737" s="35"/>
      <c r="CH737" s="35"/>
      <c r="CI737" s="35"/>
      <c r="CJ737" s="35"/>
      <c r="CK737" s="35"/>
    </row>
    <row r="738" spans="8:89" s="34" customFormat="1"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  <c r="BH738" s="35"/>
      <c r="BI738" s="35"/>
      <c r="BJ738" s="35"/>
      <c r="BK738" s="35"/>
      <c r="BL738" s="35"/>
      <c r="BM738" s="35"/>
      <c r="BN738" s="35"/>
      <c r="BO738" s="35"/>
      <c r="BP738" s="35"/>
      <c r="BQ738" s="35"/>
      <c r="BR738" s="35"/>
      <c r="BS738" s="35"/>
      <c r="BT738" s="35"/>
      <c r="BU738" s="35"/>
      <c r="BV738" s="35"/>
      <c r="BW738" s="35"/>
      <c r="BX738" s="35"/>
      <c r="BY738" s="35"/>
      <c r="BZ738" s="35"/>
      <c r="CA738" s="35"/>
      <c r="CB738" s="35"/>
      <c r="CC738" s="35"/>
      <c r="CD738" s="35"/>
      <c r="CE738" s="35"/>
      <c r="CF738" s="35"/>
      <c r="CG738" s="35"/>
      <c r="CH738" s="35"/>
      <c r="CI738" s="35"/>
      <c r="CJ738" s="35"/>
      <c r="CK738" s="35"/>
    </row>
    <row r="739" spans="8:89" s="34" customFormat="1"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  <c r="BH739" s="35"/>
      <c r="BI739" s="35"/>
      <c r="BJ739" s="35"/>
      <c r="BK739" s="35"/>
      <c r="BL739" s="35"/>
      <c r="BM739" s="35"/>
      <c r="BN739" s="35"/>
      <c r="BO739" s="35"/>
      <c r="BP739" s="35"/>
      <c r="BQ739" s="35"/>
      <c r="BR739" s="35"/>
      <c r="BS739" s="35"/>
      <c r="BT739" s="35"/>
      <c r="BU739" s="35"/>
      <c r="BV739" s="35"/>
      <c r="BW739" s="35"/>
      <c r="BX739" s="35"/>
      <c r="BY739" s="35"/>
      <c r="BZ739" s="35"/>
      <c r="CA739" s="35"/>
      <c r="CB739" s="35"/>
      <c r="CC739" s="35"/>
      <c r="CD739" s="35"/>
      <c r="CE739" s="35"/>
      <c r="CF739" s="35"/>
      <c r="CG739" s="35"/>
      <c r="CH739" s="35"/>
      <c r="CI739" s="35"/>
      <c r="CJ739" s="35"/>
      <c r="CK739" s="35"/>
    </row>
    <row r="740" spans="8:89" s="34" customFormat="1"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  <c r="BH740" s="35"/>
      <c r="BI740" s="35"/>
      <c r="BJ740" s="35"/>
      <c r="BK740" s="35"/>
      <c r="BL740" s="35"/>
      <c r="BM740" s="35"/>
      <c r="BN740" s="35"/>
      <c r="BO740" s="35"/>
      <c r="BP740" s="35"/>
      <c r="BQ740" s="35"/>
      <c r="BR740" s="35"/>
      <c r="BS740" s="35"/>
      <c r="BT740" s="35"/>
      <c r="BU740" s="35"/>
      <c r="BV740" s="35"/>
      <c r="BW740" s="35"/>
      <c r="BX740" s="35"/>
      <c r="BY740" s="35"/>
      <c r="BZ740" s="35"/>
      <c r="CA740" s="35"/>
      <c r="CB740" s="35"/>
      <c r="CC740" s="35"/>
      <c r="CD740" s="35"/>
      <c r="CE740" s="35"/>
      <c r="CF740" s="35"/>
      <c r="CG740" s="35"/>
      <c r="CH740" s="35"/>
      <c r="CI740" s="35"/>
      <c r="CJ740" s="35"/>
      <c r="CK740" s="35"/>
    </row>
    <row r="741" spans="8:89" s="34" customFormat="1"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  <c r="BH741" s="35"/>
      <c r="BI741" s="35"/>
      <c r="BJ741" s="35"/>
      <c r="BK741" s="35"/>
      <c r="BL741" s="35"/>
      <c r="BM741" s="35"/>
      <c r="BN741" s="35"/>
      <c r="BO741" s="35"/>
      <c r="BP741" s="35"/>
      <c r="BQ741" s="35"/>
      <c r="BR741" s="35"/>
      <c r="BS741" s="35"/>
      <c r="BT741" s="35"/>
      <c r="BU741" s="35"/>
      <c r="BV741" s="35"/>
      <c r="BW741" s="35"/>
      <c r="BX741" s="35"/>
      <c r="BY741" s="35"/>
      <c r="BZ741" s="35"/>
      <c r="CA741" s="35"/>
      <c r="CB741" s="35"/>
      <c r="CC741" s="35"/>
      <c r="CD741" s="35"/>
      <c r="CE741" s="35"/>
      <c r="CF741" s="35"/>
      <c r="CG741" s="35"/>
      <c r="CH741" s="35"/>
      <c r="CI741" s="35"/>
      <c r="CJ741" s="35"/>
      <c r="CK741" s="35"/>
    </row>
    <row r="742" spans="8:89" s="34" customFormat="1"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  <c r="BB742" s="35"/>
      <c r="BC742" s="35"/>
      <c r="BD742" s="35"/>
      <c r="BE742" s="35"/>
      <c r="BF742" s="35"/>
      <c r="BG742" s="35"/>
      <c r="BH742" s="35"/>
      <c r="BI742" s="35"/>
      <c r="BJ742" s="35"/>
      <c r="BK742" s="35"/>
      <c r="BL742" s="35"/>
      <c r="BM742" s="35"/>
      <c r="BN742" s="35"/>
      <c r="BO742" s="35"/>
      <c r="BP742" s="35"/>
      <c r="BQ742" s="35"/>
      <c r="BR742" s="35"/>
      <c r="BS742" s="35"/>
      <c r="BT742" s="35"/>
      <c r="BU742" s="35"/>
      <c r="BV742" s="35"/>
      <c r="BW742" s="35"/>
      <c r="BX742" s="35"/>
      <c r="BY742" s="35"/>
      <c r="BZ742" s="35"/>
      <c r="CA742" s="35"/>
      <c r="CB742" s="35"/>
      <c r="CC742" s="35"/>
      <c r="CD742" s="35"/>
      <c r="CE742" s="35"/>
      <c r="CF742" s="35"/>
      <c r="CG742" s="35"/>
      <c r="CH742" s="35"/>
      <c r="CI742" s="35"/>
      <c r="CJ742" s="35"/>
      <c r="CK742" s="35"/>
    </row>
    <row r="743" spans="8:89" s="34" customFormat="1"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  <c r="BH743" s="35"/>
      <c r="BI743" s="35"/>
      <c r="BJ743" s="35"/>
      <c r="BK743" s="35"/>
      <c r="BL743" s="35"/>
      <c r="BM743" s="35"/>
      <c r="BN743" s="35"/>
      <c r="BO743" s="35"/>
      <c r="BP743" s="35"/>
      <c r="BQ743" s="35"/>
      <c r="BR743" s="35"/>
      <c r="BS743" s="35"/>
      <c r="BT743" s="35"/>
      <c r="BU743" s="35"/>
      <c r="BV743" s="35"/>
      <c r="BW743" s="35"/>
      <c r="BX743" s="35"/>
      <c r="BY743" s="35"/>
      <c r="BZ743" s="35"/>
      <c r="CA743" s="35"/>
      <c r="CB743" s="35"/>
      <c r="CC743" s="35"/>
      <c r="CD743" s="35"/>
      <c r="CE743" s="35"/>
      <c r="CF743" s="35"/>
      <c r="CG743" s="35"/>
      <c r="CH743" s="35"/>
      <c r="CI743" s="35"/>
      <c r="CJ743" s="35"/>
      <c r="CK743" s="35"/>
    </row>
    <row r="744" spans="8:89" s="34" customFormat="1"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  <c r="BH744" s="35"/>
      <c r="BI744" s="35"/>
      <c r="BJ744" s="35"/>
      <c r="BK744" s="35"/>
      <c r="BL744" s="35"/>
      <c r="BM744" s="35"/>
      <c r="BN744" s="35"/>
      <c r="BO744" s="35"/>
      <c r="BP744" s="35"/>
      <c r="BQ744" s="35"/>
      <c r="BR744" s="35"/>
      <c r="BS744" s="35"/>
      <c r="BT744" s="35"/>
      <c r="BU744" s="35"/>
      <c r="BV744" s="35"/>
      <c r="BW744" s="35"/>
      <c r="BX744" s="35"/>
      <c r="BY744" s="35"/>
      <c r="BZ744" s="35"/>
      <c r="CA744" s="35"/>
      <c r="CB744" s="35"/>
      <c r="CC744" s="35"/>
      <c r="CD744" s="35"/>
      <c r="CE744" s="35"/>
      <c r="CF744" s="35"/>
      <c r="CG744" s="35"/>
      <c r="CH744" s="35"/>
      <c r="CI744" s="35"/>
      <c r="CJ744" s="35"/>
      <c r="CK744" s="35"/>
    </row>
    <row r="745" spans="8:89" s="34" customFormat="1"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  <c r="BH745" s="35"/>
      <c r="BI745" s="35"/>
      <c r="BJ745" s="35"/>
      <c r="BK745" s="35"/>
      <c r="BL745" s="35"/>
      <c r="BM745" s="35"/>
      <c r="BN745" s="35"/>
      <c r="BO745" s="35"/>
      <c r="BP745" s="35"/>
      <c r="BQ745" s="35"/>
      <c r="BR745" s="35"/>
      <c r="BS745" s="35"/>
      <c r="BT745" s="35"/>
      <c r="BU745" s="35"/>
      <c r="BV745" s="35"/>
      <c r="BW745" s="35"/>
      <c r="BX745" s="35"/>
      <c r="BY745" s="35"/>
      <c r="BZ745" s="35"/>
      <c r="CA745" s="35"/>
      <c r="CB745" s="35"/>
      <c r="CC745" s="35"/>
      <c r="CD745" s="35"/>
      <c r="CE745" s="35"/>
      <c r="CF745" s="35"/>
      <c r="CG745" s="35"/>
      <c r="CH745" s="35"/>
      <c r="CI745" s="35"/>
      <c r="CJ745" s="35"/>
      <c r="CK745" s="35"/>
    </row>
    <row r="746" spans="8:89" s="34" customFormat="1"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  <c r="BH746" s="35"/>
      <c r="BI746" s="35"/>
      <c r="BJ746" s="35"/>
      <c r="BK746" s="35"/>
      <c r="BL746" s="35"/>
      <c r="BM746" s="35"/>
      <c r="BN746" s="35"/>
      <c r="BO746" s="35"/>
      <c r="BP746" s="35"/>
      <c r="BQ746" s="35"/>
      <c r="BR746" s="35"/>
      <c r="BS746" s="35"/>
      <c r="BT746" s="35"/>
      <c r="BU746" s="35"/>
      <c r="BV746" s="35"/>
      <c r="BW746" s="35"/>
      <c r="BX746" s="35"/>
      <c r="BY746" s="35"/>
      <c r="BZ746" s="35"/>
      <c r="CA746" s="35"/>
      <c r="CB746" s="35"/>
      <c r="CC746" s="35"/>
      <c r="CD746" s="35"/>
      <c r="CE746" s="35"/>
      <c r="CF746" s="35"/>
      <c r="CG746" s="35"/>
      <c r="CH746" s="35"/>
      <c r="CI746" s="35"/>
      <c r="CJ746" s="35"/>
      <c r="CK746" s="35"/>
    </row>
    <row r="747" spans="8:89" s="34" customFormat="1"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  <c r="BH747" s="35"/>
      <c r="BI747" s="35"/>
      <c r="BJ747" s="35"/>
      <c r="BK747" s="35"/>
      <c r="BL747" s="35"/>
      <c r="BM747" s="35"/>
      <c r="BN747" s="35"/>
      <c r="BO747" s="35"/>
      <c r="BP747" s="35"/>
      <c r="BQ747" s="35"/>
      <c r="BR747" s="35"/>
      <c r="BS747" s="35"/>
      <c r="BT747" s="35"/>
      <c r="BU747" s="35"/>
      <c r="BV747" s="35"/>
      <c r="BW747" s="35"/>
      <c r="BX747" s="35"/>
      <c r="BY747" s="35"/>
      <c r="BZ747" s="35"/>
      <c r="CA747" s="35"/>
      <c r="CB747" s="35"/>
      <c r="CC747" s="35"/>
      <c r="CD747" s="35"/>
      <c r="CE747" s="35"/>
      <c r="CF747" s="35"/>
      <c r="CG747" s="35"/>
      <c r="CH747" s="35"/>
      <c r="CI747" s="35"/>
      <c r="CJ747" s="35"/>
      <c r="CK747" s="35"/>
    </row>
    <row r="748" spans="8:89" s="34" customFormat="1"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  <c r="BH748" s="35"/>
      <c r="BI748" s="35"/>
      <c r="BJ748" s="35"/>
      <c r="BK748" s="35"/>
      <c r="BL748" s="35"/>
      <c r="BM748" s="35"/>
      <c r="BN748" s="35"/>
      <c r="BO748" s="35"/>
      <c r="BP748" s="35"/>
      <c r="BQ748" s="35"/>
      <c r="BR748" s="35"/>
      <c r="BS748" s="35"/>
      <c r="BT748" s="35"/>
      <c r="BU748" s="35"/>
      <c r="BV748" s="35"/>
      <c r="BW748" s="35"/>
      <c r="BX748" s="35"/>
      <c r="BY748" s="35"/>
      <c r="BZ748" s="35"/>
      <c r="CA748" s="35"/>
      <c r="CB748" s="35"/>
      <c r="CC748" s="35"/>
      <c r="CD748" s="35"/>
      <c r="CE748" s="35"/>
      <c r="CF748" s="35"/>
      <c r="CG748" s="35"/>
      <c r="CH748" s="35"/>
      <c r="CI748" s="35"/>
      <c r="CJ748" s="35"/>
      <c r="CK748" s="35"/>
    </row>
    <row r="749" spans="8:89" s="34" customFormat="1"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  <c r="BH749" s="35"/>
      <c r="BI749" s="35"/>
      <c r="BJ749" s="35"/>
      <c r="BK749" s="35"/>
      <c r="BL749" s="35"/>
      <c r="BM749" s="35"/>
      <c r="BN749" s="35"/>
      <c r="BO749" s="35"/>
      <c r="BP749" s="35"/>
      <c r="BQ749" s="35"/>
      <c r="BR749" s="35"/>
      <c r="BS749" s="35"/>
      <c r="BT749" s="35"/>
      <c r="BU749" s="35"/>
      <c r="BV749" s="35"/>
      <c r="BW749" s="35"/>
      <c r="BX749" s="35"/>
      <c r="BY749" s="35"/>
      <c r="BZ749" s="35"/>
      <c r="CA749" s="35"/>
      <c r="CB749" s="35"/>
      <c r="CC749" s="35"/>
      <c r="CD749" s="35"/>
      <c r="CE749" s="35"/>
      <c r="CF749" s="35"/>
      <c r="CG749" s="35"/>
      <c r="CH749" s="35"/>
      <c r="CI749" s="35"/>
      <c r="CJ749" s="35"/>
      <c r="CK749" s="35"/>
    </row>
    <row r="750" spans="8:89" s="34" customFormat="1"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  <c r="BH750" s="35"/>
      <c r="BI750" s="35"/>
      <c r="BJ750" s="35"/>
      <c r="BK750" s="35"/>
      <c r="BL750" s="35"/>
      <c r="BM750" s="35"/>
      <c r="BN750" s="35"/>
      <c r="BO750" s="35"/>
      <c r="BP750" s="35"/>
      <c r="BQ750" s="35"/>
      <c r="BR750" s="35"/>
      <c r="BS750" s="35"/>
      <c r="BT750" s="35"/>
      <c r="BU750" s="35"/>
      <c r="BV750" s="35"/>
      <c r="BW750" s="35"/>
      <c r="BX750" s="35"/>
      <c r="BY750" s="35"/>
      <c r="BZ750" s="35"/>
      <c r="CA750" s="35"/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</row>
    <row r="751" spans="8:89" s="34" customFormat="1"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  <c r="BH751" s="35"/>
      <c r="BI751" s="35"/>
      <c r="BJ751" s="35"/>
      <c r="BK751" s="35"/>
      <c r="BL751" s="35"/>
      <c r="BM751" s="35"/>
      <c r="BN751" s="35"/>
      <c r="BO751" s="35"/>
      <c r="BP751" s="35"/>
      <c r="BQ751" s="35"/>
      <c r="BR751" s="35"/>
      <c r="BS751" s="35"/>
      <c r="BT751" s="35"/>
      <c r="BU751" s="35"/>
      <c r="BV751" s="35"/>
      <c r="BW751" s="35"/>
      <c r="BX751" s="35"/>
      <c r="BY751" s="35"/>
      <c r="BZ751" s="35"/>
      <c r="CA751" s="35"/>
      <c r="CB751" s="35"/>
      <c r="CC751" s="35"/>
      <c r="CD751" s="35"/>
      <c r="CE751" s="35"/>
      <c r="CF751" s="35"/>
      <c r="CG751" s="35"/>
      <c r="CH751" s="35"/>
      <c r="CI751" s="35"/>
      <c r="CJ751" s="35"/>
      <c r="CK751" s="35"/>
    </row>
    <row r="752" spans="8:89" s="34" customFormat="1"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  <c r="BH752" s="35"/>
      <c r="BI752" s="35"/>
      <c r="BJ752" s="35"/>
      <c r="BK752" s="35"/>
      <c r="BL752" s="35"/>
      <c r="BM752" s="35"/>
      <c r="BN752" s="35"/>
      <c r="BO752" s="35"/>
      <c r="BP752" s="35"/>
      <c r="BQ752" s="35"/>
      <c r="BR752" s="35"/>
      <c r="BS752" s="35"/>
      <c r="BT752" s="35"/>
      <c r="BU752" s="35"/>
      <c r="BV752" s="35"/>
      <c r="BW752" s="35"/>
      <c r="BX752" s="35"/>
      <c r="BY752" s="35"/>
      <c r="BZ752" s="35"/>
      <c r="CA752" s="35"/>
      <c r="CB752" s="35"/>
      <c r="CC752" s="35"/>
      <c r="CD752" s="35"/>
      <c r="CE752" s="35"/>
      <c r="CF752" s="35"/>
      <c r="CG752" s="35"/>
      <c r="CH752" s="35"/>
      <c r="CI752" s="35"/>
      <c r="CJ752" s="35"/>
      <c r="CK752" s="35"/>
    </row>
    <row r="753" spans="8:89" s="34" customFormat="1"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/>
      <c r="BE753" s="35"/>
      <c r="BF753" s="35"/>
      <c r="BG753" s="35"/>
      <c r="BH753" s="35"/>
      <c r="BI753" s="35"/>
      <c r="BJ753" s="35"/>
      <c r="BK753" s="35"/>
      <c r="BL753" s="35"/>
      <c r="BM753" s="35"/>
      <c r="BN753" s="35"/>
      <c r="BO753" s="35"/>
      <c r="BP753" s="35"/>
      <c r="BQ753" s="35"/>
      <c r="BR753" s="35"/>
      <c r="BS753" s="35"/>
      <c r="BT753" s="35"/>
      <c r="BU753" s="35"/>
      <c r="BV753" s="35"/>
      <c r="BW753" s="35"/>
      <c r="BX753" s="35"/>
      <c r="BY753" s="35"/>
      <c r="BZ753" s="35"/>
      <c r="CA753" s="35"/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</row>
    <row r="754" spans="8:89" s="34" customFormat="1"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  <c r="BH754" s="35"/>
      <c r="BI754" s="35"/>
      <c r="BJ754" s="35"/>
      <c r="BK754" s="35"/>
      <c r="BL754" s="35"/>
      <c r="BM754" s="35"/>
      <c r="BN754" s="35"/>
      <c r="BO754" s="35"/>
      <c r="BP754" s="35"/>
      <c r="BQ754" s="35"/>
      <c r="BR754" s="35"/>
      <c r="BS754" s="35"/>
      <c r="BT754" s="35"/>
      <c r="BU754" s="35"/>
      <c r="BV754" s="35"/>
      <c r="BW754" s="35"/>
      <c r="BX754" s="35"/>
      <c r="BY754" s="35"/>
      <c r="BZ754" s="35"/>
      <c r="CA754" s="35"/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</row>
    <row r="755" spans="8:89" s="34" customFormat="1"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  <c r="BH755" s="35"/>
      <c r="BI755" s="35"/>
      <c r="BJ755" s="35"/>
      <c r="BK755" s="35"/>
      <c r="BL755" s="35"/>
      <c r="BM755" s="35"/>
      <c r="BN755" s="35"/>
      <c r="BO755" s="35"/>
      <c r="BP755" s="35"/>
      <c r="BQ755" s="35"/>
      <c r="BR755" s="35"/>
      <c r="BS755" s="35"/>
      <c r="BT755" s="35"/>
      <c r="BU755" s="35"/>
      <c r="BV755" s="35"/>
      <c r="BW755" s="35"/>
      <c r="BX755" s="35"/>
      <c r="BY755" s="35"/>
      <c r="BZ755" s="35"/>
      <c r="CA755" s="35"/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</row>
    <row r="756" spans="8:89" s="34" customFormat="1"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  <c r="BH756" s="35"/>
      <c r="BI756" s="35"/>
      <c r="BJ756" s="35"/>
      <c r="BK756" s="35"/>
      <c r="BL756" s="35"/>
      <c r="BM756" s="35"/>
      <c r="BN756" s="35"/>
      <c r="BO756" s="35"/>
      <c r="BP756" s="35"/>
      <c r="BQ756" s="35"/>
      <c r="BR756" s="35"/>
      <c r="BS756" s="35"/>
      <c r="BT756" s="35"/>
      <c r="BU756" s="35"/>
      <c r="BV756" s="35"/>
      <c r="BW756" s="35"/>
      <c r="BX756" s="35"/>
      <c r="BY756" s="35"/>
      <c r="BZ756" s="35"/>
      <c r="CA756" s="35"/>
      <c r="CB756" s="35"/>
      <c r="CC756" s="35"/>
      <c r="CD756" s="35"/>
      <c r="CE756" s="35"/>
      <c r="CF756" s="35"/>
      <c r="CG756" s="35"/>
      <c r="CH756" s="35"/>
      <c r="CI756" s="35"/>
      <c r="CJ756" s="35"/>
      <c r="CK756" s="35"/>
    </row>
    <row r="757" spans="8:89" s="34" customFormat="1"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  <c r="BH757" s="35"/>
      <c r="BI757" s="35"/>
      <c r="BJ757" s="35"/>
      <c r="BK757" s="35"/>
      <c r="BL757" s="35"/>
      <c r="BM757" s="35"/>
      <c r="BN757" s="35"/>
      <c r="BO757" s="35"/>
      <c r="BP757" s="35"/>
      <c r="BQ757" s="35"/>
      <c r="BR757" s="35"/>
      <c r="BS757" s="35"/>
      <c r="BT757" s="35"/>
      <c r="BU757" s="35"/>
      <c r="BV757" s="35"/>
      <c r="BW757" s="35"/>
      <c r="BX757" s="35"/>
      <c r="BY757" s="35"/>
      <c r="BZ757" s="35"/>
      <c r="CA757" s="35"/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</row>
    <row r="758" spans="8:89" s="34" customFormat="1"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/>
      <c r="BE758" s="35"/>
      <c r="BF758" s="35"/>
      <c r="BG758" s="35"/>
      <c r="BH758" s="35"/>
      <c r="BI758" s="35"/>
      <c r="BJ758" s="35"/>
      <c r="BK758" s="35"/>
      <c r="BL758" s="35"/>
      <c r="BM758" s="35"/>
      <c r="BN758" s="35"/>
      <c r="BO758" s="35"/>
      <c r="BP758" s="35"/>
      <c r="BQ758" s="35"/>
      <c r="BR758" s="35"/>
      <c r="BS758" s="35"/>
      <c r="BT758" s="35"/>
      <c r="BU758" s="35"/>
      <c r="BV758" s="35"/>
      <c r="BW758" s="35"/>
      <c r="BX758" s="35"/>
      <c r="BY758" s="35"/>
      <c r="BZ758" s="35"/>
      <c r="CA758" s="35"/>
      <c r="CB758" s="35"/>
      <c r="CC758" s="35"/>
      <c r="CD758" s="35"/>
      <c r="CE758" s="35"/>
      <c r="CF758" s="35"/>
      <c r="CG758" s="35"/>
      <c r="CH758" s="35"/>
      <c r="CI758" s="35"/>
      <c r="CJ758" s="35"/>
      <c r="CK758" s="35"/>
    </row>
    <row r="759" spans="8:89" s="34" customFormat="1"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  <c r="BH759" s="35"/>
      <c r="BI759" s="35"/>
      <c r="BJ759" s="35"/>
      <c r="BK759" s="35"/>
      <c r="BL759" s="35"/>
      <c r="BM759" s="35"/>
      <c r="BN759" s="35"/>
      <c r="BO759" s="35"/>
      <c r="BP759" s="35"/>
      <c r="BQ759" s="35"/>
      <c r="BR759" s="35"/>
      <c r="BS759" s="35"/>
      <c r="BT759" s="35"/>
      <c r="BU759" s="35"/>
      <c r="BV759" s="35"/>
      <c r="BW759" s="35"/>
      <c r="BX759" s="35"/>
      <c r="BY759" s="35"/>
      <c r="BZ759" s="35"/>
      <c r="CA759" s="35"/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</row>
    <row r="760" spans="8:89" s="34" customFormat="1"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  <c r="BH760" s="35"/>
      <c r="BI760" s="35"/>
      <c r="BJ760" s="35"/>
      <c r="BK760" s="35"/>
      <c r="BL760" s="35"/>
      <c r="BM760" s="35"/>
      <c r="BN760" s="35"/>
      <c r="BO760" s="35"/>
      <c r="BP760" s="35"/>
      <c r="BQ760" s="35"/>
      <c r="BR760" s="35"/>
      <c r="BS760" s="35"/>
      <c r="BT760" s="35"/>
      <c r="BU760" s="35"/>
      <c r="BV760" s="35"/>
      <c r="BW760" s="35"/>
      <c r="BX760" s="35"/>
      <c r="BY760" s="35"/>
      <c r="BZ760" s="35"/>
      <c r="CA760" s="35"/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</row>
    <row r="761" spans="8:89" s="34" customFormat="1"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/>
      <c r="BE761" s="35"/>
      <c r="BF761" s="35"/>
      <c r="BG761" s="35"/>
      <c r="BH761" s="35"/>
      <c r="BI761" s="35"/>
      <c r="BJ761" s="35"/>
      <c r="BK761" s="35"/>
      <c r="BL761" s="35"/>
      <c r="BM761" s="35"/>
      <c r="BN761" s="35"/>
      <c r="BO761" s="35"/>
      <c r="BP761" s="35"/>
      <c r="BQ761" s="35"/>
      <c r="BR761" s="35"/>
      <c r="BS761" s="35"/>
      <c r="BT761" s="35"/>
      <c r="BU761" s="35"/>
      <c r="BV761" s="35"/>
      <c r="BW761" s="35"/>
      <c r="BX761" s="35"/>
      <c r="BY761" s="35"/>
      <c r="BZ761" s="35"/>
      <c r="CA761" s="35"/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</row>
    <row r="762" spans="8:89" s="34" customFormat="1"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  <c r="BH762" s="35"/>
      <c r="BI762" s="35"/>
      <c r="BJ762" s="35"/>
      <c r="BK762" s="35"/>
      <c r="BL762" s="35"/>
      <c r="BM762" s="35"/>
      <c r="BN762" s="35"/>
      <c r="BO762" s="35"/>
      <c r="BP762" s="35"/>
      <c r="BQ762" s="35"/>
      <c r="BR762" s="35"/>
      <c r="BS762" s="35"/>
      <c r="BT762" s="35"/>
      <c r="BU762" s="35"/>
      <c r="BV762" s="35"/>
      <c r="BW762" s="35"/>
      <c r="BX762" s="35"/>
      <c r="BY762" s="35"/>
      <c r="BZ762" s="35"/>
      <c r="CA762" s="35"/>
      <c r="CB762" s="35"/>
      <c r="CC762" s="35"/>
      <c r="CD762" s="35"/>
      <c r="CE762" s="35"/>
      <c r="CF762" s="35"/>
      <c r="CG762" s="35"/>
      <c r="CH762" s="35"/>
      <c r="CI762" s="35"/>
      <c r="CJ762" s="35"/>
      <c r="CK762" s="35"/>
    </row>
    <row r="763" spans="8:89" s="34" customFormat="1"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/>
      <c r="BE763" s="35"/>
      <c r="BF763" s="35"/>
      <c r="BG763" s="35"/>
      <c r="BH763" s="35"/>
      <c r="BI763" s="35"/>
      <c r="BJ763" s="35"/>
      <c r="BK763" s="35"/>
      <c r="BL763" s="35"/>
      <c r="BM763" s="35"/>
      <c r="BN763" s="35"/>
      <c r="BO763" s="35"/>
      <c r="BP763" s="35"/>
      <c r="BQ763" s="35"/>
      <c r="BR763" s="35"/>
      <c r="BS763" s="35"/>
      <c r="BT763" s="35"/>
      <c r="BU763" s="35"/>
      <c r="BV763" s="35"/>
      <c r="BW763" s="35"/>
      <c r="BX763" s="35"/>
      <c r="BY763" s="35"/>
      <c r="BZ763" s="35"/>
      <c r="CA763" s="35"/>
      <c r="CB763" s="35"/>
      <c r="CC763" s="35"/>
      <c r="CD763" s="35"/>
      <c r="CE763" s="35"/>
      <c r="CF763" s="35"/>
      <c r="CG763" s="35"/>
      <c r="CH763" s="35"/>
      <c r="CI763" s="35"/>
      <c r="CJ763" s="35"/>
      <c r="CK763" s="35"/>
    </row>
    <row r="764" spans="8:89" s="34" customFormat="1"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  <c r="BH764" s="35"/>
      <c r="BI764" s="35"/>
      <c r="BJ764" s="35"/>
      <c r="BK764" s="35"/>
      <c r="BL764" s="35"/>
      <c r="BM764" s="35"/>
      <c r="BN764" s="35"/>
      <c r="BO764" s="35"/>
      <c r="BP764" s="35"/>
      <c r="BQ764" s="35"/>
      <c r="BR764" s="35"/>
      <c r="BS764" s="35"/>
      <c r="BT764" s="35"/>
      <c r="BU764" s="35"/>
      <c r="BV764" s="35"/>
      <c r="BW764" s="35"/>
      <c r="BX764" s="35"/>
      <c r="BY764" s="35"/>
      <c r="BZ764" s="35"/>
      <c r="CA764" s="35"/>
      <c r="CB764" s="35"/>
      <c r="CC764" s="35"/>
      <c r="CD764" s="35"/>
      <c r="CE764" s="35"/>
      <c r="CF764" s="35"/>
      <c r="CG764" s="35"/>
      <c r="CH764" s="35"/>
      <c r="CI764" s="35"/>
      <c r="CJ764" s="35"/>
      <c r="CK764" s="35"/>
    </row>
    <row r="765" spans="8:89" s="34" customFormat="1"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  <c r="BH765" s="35"/>
      <c r="BI765" s="35"/>
      <c r="BJ765" s="35"/>
      <c r="BK765" s="35"/>
      <c r="BL765" s="35"/>
      <c r="BM765" s="35"/>
      <c r="BN765" s="35"/>
      <c r="BO765" s="35"/>
      <c r="BP765" s="35"/>
      <c r="BQ765" s="35"/>
      <c r="BR765" s="35"/>
      <c r="BS765" s="35"/>
      <c r="BT765" s="35"/>
      <c r="BU765" s="35"/>
      <c r="BV765" s="35"/>
      <c r="BW765" s="35"/>
      <c r="BX765" s="35"/>
      <c r="BY765" s="35"/>
      <c r="BZ765" s="35"/>
      <c r="CA765" s="35"/>
      <c r="CB765" s="35"/>
      <c r="CC765" s="35"/>
      <c r="CD765" s="35"/>
      <c r="CE765" s="35"/>
      <c r="CF765" s="35"/>
      <c r="CG765" s="35"/>
      <c r="CH765" s="35"/>
      <c r="CI765" s="35"/>
      <c r="CJ765" s="35"/>
      <c r="CK765" s="35"/>
    </row>
    <row r="766" spans="8:89" s="34" customFormat="1"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  <c r="BH766" s="35"/>
      <c r="BI766" s="35"/>
      <c r="BJ766" s="35"/>
      <c r="BK766" s="35"/>
      <c r="BL766" s="35"/>
      <c r="BM766" s="35"/>
      <c r="BN766" s="35"/>
      <c r="BO766" s="35"/>
      <c r="BP766" s="35"/>
      <c r="BQ766" s="35"/>
      <c r="BR766" s="35"/>
      <c r="BS766" s="35"/>
      <c r="BT766" s="35"/>
      <c r="BU766" s="35"/>
      <c r="BV766" s="35"/>
      <c r="BW766" s="35"/>
      <c r="BX766" s="35"/>
      <c r="BY766" s="35"/>
      <c r="BZ766" s="35"/>
      <c r="CA766" s="35"/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</row>
    <row r="767" spans="8:89" s="34" customFormat="1"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  <c r="BH767" s="35"/>
      <c r="BI767" s="35"/>
      <c r="BJ767" s="35"/>
      <c r="BK767" s="35"/>
      <c r="BL767" s="35"/>
      <c r="BM767" s="35"/>
      <c r="BN767" s="35"/>
      <c r="BO767" s="35"/>
      <c r="BP767" s="35"/>
      <c r="BQ767" s="35"/>
      <c r="BR767" s="35"/>
      <c r="BS767" s="35"/>
      <c r="BT767" s="35"/>
      <c r="BU767" s="35"/>
      <c r="BV767" s="35"/>
      <c r="BW767" s="35"/>
      <c r="BX767" s="35"/>
      <c r="BY767" s="35"/>
      <c r="BZ767" s="35"/>
      <c r="CA767" s="35"/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</row>
    <row r="768" spans="8:89" s="34" customFormat="1"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  <c r="BH768" s="35"/>
      <c r="BI768" s="35"/>
      <c r="BJ768" s="35"/>
      <c r="BK768" s="35"/>
      <c r="BL768" s="35"/>
      <c r="BM768" s="35"/>
      <c r="BN768" s="35"/>
      <c r="BO768" s="35"/>
      <c r="BP768" s="35"/>
      <c r="BQ768" s="35"/>
      <c r="BR768" s="35"/>
      <c r="BS768" s="35"/>
      <c r="BT768" s="35"/>
      <c r="BU768" s="35"/>
      <c r="BV768" s="35"/>
      <c r="BW768" s="35"/>
      <c r="BX768" s="35"/>
      <c r="BY768" s="35"/>
      <c r="BZ768" s="35"/>
      <c r="CA768" s="35"/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</row>
    <row r="769" spans="8:89" s="34" customFormat="1"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  <c r="BH769" s="35"/>
      <c r="BI769" s="35"/>
      <c r="BJ769" s="35"/>
      <c r="BK769" s="35"/>
      <c r="BL769" s="35"/>
      <c r="BM769" s="35"/>
      <c r="BN769" s="35"/>
      <c r="BO769" s="35"/>
      <c r="BP769" s="35"/>
      <c r="BQ769" s="35"/>
      <c r="BR769" s="35"/>
      <c r="BS769" s="35"/>
      <c r="BT769" s="35"/>
      <c r="BU769" s="35"/>
      <c r="BV769" s="35"/>
      <c r="BW769" s="35"/>
      <c r="BX769" s="35"/>
      <c r="BY769" s="35"/>
      <c r="BZ769" s="35"/>
      <c r="CA769" s="35"/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</row>
    <row r="770" spans="8:89" s="34" customFormat="1"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  <c r="BH770" s="35"/>
      <c r="BI770" s="35"/>
      <c r="BJ770" s="35"/>
      <c r="BK770" s="35"/>
      <c r="BL770" s="35"/>
      <c r="BM770" s="35"/>
      <c r="BN770" s="35"/>
      <c r="BO770" s="35"/>
      <c r="BP770" s="35"/>
      <c r="BQ770" s="35"/>
      <c r="BR770" s="35"/>
      <c r="BS770" s="35"/>
      <c r="BT770" s="35"/>
      <c r="BU770" s="35"/>
      <c r="BV770" s="35"/>
      <c r="BW770" s="35"/>
      <c r="BX770" s="35"/>
      <c r="BY770" s="35"/>
      <c r="BZ770" s="35"/>
      <c r="CA770" s="35"/>
      <c r="CB770" s="35"/>
      <c r="CC770" s="35"/>
      <c r="CD770" s="35"/>
      <c r="CE770" s="35"/>
      <c r="CF770" s="35"/>
      <c r="CG770" s="35"/>
      <c r="CH770" s="35"/>
      <c r="CI770" s="35"/>
      <c r="CJ770" s="35"/>
      <c r="CK770" s="35"/>
    </row>
    <row r="771" spans="8:89" s="34" customFormat="1"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  <c r="BH771" s="35"/>
      <c r="BI771" s="35"/>
      <c r="BJ771" s="35"/>
      <c r="BK771" s="35"/>
      <c r="BL771" s="35"/>
      <c r="BM771" s="35"/>
      <c r="BN771" s="35"/>
      <c r="BO771" s="35"/>
      <c r="BP771" s="35"/>
      <c r="BQ771" s="35"/>
      <c r="BR771" s="35"/>
      <c r="BS771" s="35"/>
      <c r="BT771" s="35"/>
      <c r="BU771" s="35"/>
      <c r="BV771" s="35"/>
      <c r="BW771" s="35"/>
      <c r="BX771" s="35"/>
      <c r="BY771" s="35"/>
      <c r="BZ771" s="35"/>
      <c r="CA771" s="35"/>
      <c r="CB771" s="35"/>
      <c r="CC771" s="35"/>
      <c r="CD771" s="35"/>
      <c r="CE771" s="35"/>
      <c r="CF771" s="35"/>
      <c r="CG771" s="35"/>
      <c r="CH771" s="35"/>
      <c r="CI771" s="35"/>
      <c r="CJ771" s="35"/>
      <c r="CK771" s="35"/>
    </row>
    <row r="772" spans="8:89" s="34" customFormat="1"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  <c r="BH772" s="35"/>
      <c r="BI772" s="35"/>
      <c r="BJ772" s="35"/>
      <c r="BK772" s="35"/>
      <c r="BL772" s="35"/>
      <c r="BM772" s="35"/>
      <c r="BN772" s="35"/>
      <c r="BO772" s="35"/>
      <c r="BP772" s="35"/>
      <c r="BQ772" s="35"/>
      <c r="BR772" s="35"/>
      <c r="BS772" s="35"/>
      <c r="BT772" s="35"/>
      <c r="BU772" s="35"/>
      <c r="BV772" s="35"/>
      <c r="BW772" s="35"/>
      <c r="BX772" s="35"/>
      <c r="BY772" s="35"/>
      <c r="BZ772" s="35"/>
      <c r="CA772" s="35"/>
      <c r="CB772" s="35"/>
      <c r="CC772" s="35"/>
      <c r="CD772" s="35"/>
      <c r="CE772" s="35"/>
      <c r="CF772" s="35"/>
      <c r="CG772" s="35"/>
      <c r="CH772" s="35"/>
      <c r="CI772" s="35"/>
      <c r="CJ772" s="35"/>
      <c r="CK772" s="35"/>
    </row>
    <row r="773" spans="8:89" s="34" customFormat="1"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  <c r="BH773" s="35"/>
      <c r="BI773" s="35"/>
      <c r="BJ773" s="35"/>
      <c r="BK773" s="35"/>
      <c r="BL773" s="35"/>
      <c r="BM773" s="35"/>
      <c r="BN773" s="35"/>
      <c r="BO773" s="35"/>
      <c r="BP773" s="35"/>
      <c r="BQ773" s="35"/>
      <c r="BR773" s="35"/>
      <c r="BS773" s="35"/>
      <c r="BT773" s="35"/>
      <c r="BU773" s="35"/>
      <c r="BV773" s="35"/>
      <c r="BW773" s="35"/>
      <c r="BX773" s="35"/>
      <c r="BY773" s="35"/>
      <c r="BZ773" s="35"/>
      <c r="CA773" s="35"/>
      <c r="CB773" s="35"/>
      <c r="CC773" s="35"/>
      <c r="CD773" s="35"/>
      <c r="CE773" s="35"/>
      <c r="CF773" s="35"/>
      <c r="CG773" s="35"/>
      <c r="CH773" s="35"/>
      <c r="CI773" s="35"/>
      <c r="CJ773" s="35"/>
      <c r="CK773" s="35"/>
    </row>
    <row r="774" spans="8:89" s="34" customFormat="1"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  <c r="BH774" s="35"/>
      <c r="BI774" s="35"/>
      <c r="BJ774" s="35"/>
      <c r="BK774" s="35"/>
      <c r="BL774" s="35"/>
      <c r="BM774" s="35"/>
      <c r="BN774" s="35"/>
      <c r="BO774" s="35"/>
      <c r="BP774" s="35"/>
      <c r="BQ774" s="35"/>
      <c r="BR774" s="35"/>
      <c r="BS774" s="35"/>
      <c r="BT774" s="35"/>
      <c r="BU774" s="35"/>
      <c r="BV774" s="35"/>
      <c r="BW774" s="35"/>
      <c r="BX774" s="35"/>
      <c r="BY774" s="35"/>
      <c r="BZ774" s="35"/>
      <c r="CA774" s="35"/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</row>
    <row r="775" spans="8:89" s="34" customFormat="1"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  <c r="BH775" s="35"/>
      <c r="BI775" s="35"/>
      <c r="BJ775" s="35"/>
      <c r="BK775" s="35"/>
      <c r="BL775" s="35"/>
      <c r="BM775" s="35"/>
      <c r="BN775" s="35"/>
      <c r="BO775" s="35"/>
      <c r="BP775" s="35"/>
      <c r="BQ775" s="35"/>
      <c r="BR775" s="35"/>
      <c r="BS775" s="35"/>
      <c r="BT775" s="35"/>
      <c r="BU775" s="35"/>
      <c r="BV775" s="35"/>
      <c r="BW775" s="35"/>
      <c r="BX775" s="35"/>
      <c r="BY775" s="35"/>
      <c r="BZ775" s="35"/>
      <c r="CA775" s="35"/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</row>
    <row r="776" spans="8:89" s="34" customFormat="1"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  <c r="BH776" s="35"/>
      <c r="BI776" s="35"/>
      <c r="BJ776" s="35"/>
      <c r="BK776" s="35"/>
      <c r="BL776" s="35"/>
      <c r="BM776" s="35"/>
      <c r="BN776" s="35"/>
      <c r="BO776" s="35"/>
      <c r="BP776" s="35"/>
      <c r="BQ776" s="35"/>
      <c r="BR776" s="35"/>
      <c r="BS776" s="35"/>
      <c r="BT776" s="35"/>
      <c r="BU776" s="35"/>
      <c r="BV776" s="35"/>
      <c r="BW776" s="35"/>
      <c r="BX776" s="35"/>
      <c r="BY776" s="35"/>
      <c r="BZ776" s="35"/>
      <c r="CA776" s="35"/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</row>
    <row r="777" spans="8:89" s="34" customFormat="1"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  <c r="BH777" s="35"/>
      <c r="BI777" s="35"/>
      <c r="BJ777" s="35"/>
      <c r="BK777" s="35"/>
      <c r="BL777" s="35"/>
      <c r="BM777" s="35"/>
      <c r="BN777" s="35"/>
      <c r="BO777" s="35"/>
      <c r="BP777" s="35"/>
      <c r="BQ777" s="35"/>
      <c r="BR777" s="35"/>
      <c r="BS777" s="35"/>
      <c r="BT777" s="35"/>
      <c r="BU777" s="35"/>
      <c r="BV777" s="35"/>
      <c r="BW777" s="35"/>
      <c r="BX777" s="35"/>
      <c r="BY777" s="35"/>
      <c r="BZ777" s="35"/>
      <c r="CA777" s="35"/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</row>
    <row r="778" spans="8:89" s="34" customFormat="1"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  <c r="BH778" s="35"/>
      <c r="BI778" s="35"/>
      <c r="BJ778" s="35"/>
      <c r="BK778" s="35"/>
      <c r="BL778" s="35"/>
      <c r="BM778" s="35"/>
      <c r="BN778" s="35"/>
      <c r="BO778" s="35"/>
      <c r="BP778" s="35"/>
      <c r="BQ778" s="35"/>
      <c r="BR778" s="35"/>
      <c r="BS778" s="35"/>
      <c r="BT778" s="35"/>
      <c r="BU778" s="35"/>
      <c r="BV778" s="35"/>
      <c r="BW778" s="35"/>
      <c r="BX778" s="35"/>
      <c r="BY778" s="35"/>
      <c r="BZ778" s="35"/>
      <c r="CA778" s="35"/>
      <c r="CB778" s="35"/>
      <c r="CC778" s="35"/>
      <c r="CD778" s="35"/>
      <c r="CE778" s="35"/>
      <c r="CF778" s="35"/>
      <c r="CG778" s="35"/>
      <c r="CH778" s="35"/>
      <c r="CI778" s="35"/>
      <c r="CJ778" s="35"/>
      <c r="CK778" s="35"/>
    </row>
    <row r="779" spans="8:89" s="34" customFormat="1"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  <c r="BH779" s="35"/>
      <c r="BI779" s="35"/>
      <c r="BJ779" s="35"/>
      <c r="BK779" s="35"/>
      <c r="BL779" s="35"/>
      <c r="BM779" s="35"/>
      <c r="BN779" s="35"/>
      <c r="BO779" s="35"/>
      <c r="BP779" s="35"/>
      <c r="BQ779" s="35"/>
      <c r="BR779" s="35"/>
      <c r="BS779" s="35"/>
      <c r="BT779" s="35"/>
      <c r="BU779" s="35"/>
      <c r="BV779" s="35"/>
      <c r="BW779" s="35"/>
      <c r="BX779" s="35"/>
      <c r="BY779" s="35"/>
      <c r="BZ779" s="35"/>
      <c r="CA779" s="35"/>
      <c r="CB779" s="35"/>
      <c r="CC779" s="35"/>
      <c r="CD779" s="35"/>
      <c r="CE779" s="35"/>
      <c r="CF779" s="35"/>
      <c r="CG779" s="35"/>
      <c r="CH779" s="35"/>
      <c r="CI779" s="35"/>
      <c r="CJ779" s="35"/>
      <c r="CK779" s="35"/>
    </row>
    <row r="780" spans="8:89" s="34" customFormat="1"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AQ780" s="35"/>
      <c r="AR780" s="35"/>
      <c r="AS780" s="35"/>
      <c r="AT780" s="35"/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  <c r="BH780" s="35"/>
      <c r="BI780" s="35"/>
      <c r="BJ780" s="35"/>
      <c r="BK780" s="35"/>
      <c r="BL780" s="35"/>
      <c r="BM780" s="35"/>
      <c r="BN780" s="35"/>
      <c r="BO780" s="35"/>
      <c r="BP780" s="35"/>
      <c r="BQ780" s="35"/>
      <c r="BR780" s="35"/>
      <c r="BS780" s="35"/>
      <c r="BT780" s="35"/>
      <c r="BU780" s="35"/>
      <c r="BV780" s="35"/>
      <c r="BW780" s="35"/>
      <c r="BX780" s="35"/>
      <c r="BY780" s="35"/>
      <c r="BZ780" s="35"/>
      <c r="CA780" s="35"/>
      <c r="CB780" s="35"/>
      <c r="CC780" s="35"/>
      <c r="CD780" s="35"/>
      <c r="CE780" s="35"/>
      <c r="CF780" s="35"/>
      <c r="CG780" s="35"/>
      <c r="CH780" s="35"/>
      <c r="CI780" s="35"/>
      <c r="CJ780" s="35"/>
      <c r="CK780" s="35"/>
    </row>
    <row r="781" spans="8:89" s="34" customFormat="1"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  <c r="BB781" s="35"/>
      <c r="BC781" s="35"/>
      <c r="BD781" s="35"/>
      <c r="BE781" s="35"/>
      <c r="BF781" s="35"/>
      <c r="BG781" s="35"/>
      <c r="BH781" s="35"/>
      <c r="BI781" s="35"/>
      <c r="BJ781" s="35"/>
      <c r="BK781" s="35"/>
      <c r="BL781" s="35"/>
      <c r="BM781" s="35"/>
      <c r="BN781" s="35"/>
      <c r="BO781" s="35"/>
      <c r="BP781" s="35"/>
      <c r="BQ781" s="35"/>
      <c r="BR781" s="35"/>
      <c r="BS781" s="35"/>
      <c r="BT781" s="35"/>
      <c r="BU781" s="35"/>
      <c r="BV781" s="35"/>
      <c r="BW781" s="35"/>
      <c r="BX781" s="35"/>
      <c r="BY781" s="35"/>
      <c r="BZ781" s="35"/>
      <c r="CA781" s="35"/>
      <c r="CB781" s="35"/>
      <c r="CC781" s="35"/>
      <c r="CD781" s="35"/>
      <c r="CE781" s="35"/>
      <c r="CF781" s="35"/>
      <c r="CG781" s="35"/>
      <c r="CH781" s="35"/>
      <c r="CI781" s="35"/>
      <c r="CJ781" s="35"/>
      <c r="CK781" s="35"/>
    </row>
    <row r="782" spans="8:89" s="34" customFormat="1"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  <c r="BH782" s="35"/>
      <c r="BI782" s="35"/>
      <c r="BJ782" s="35"/>
      <c r="BK782" s="35"/>
      <c r="BL782" s="35"/>
      <c r="BM782" s="35"/>
      <c r="BN782" s="35"/>
      <c r="BO782" s="35"/>
      <c r="BP782" s="35"/>
      <c r="BQ782" s="35"/>
      <c r="BR782" s="35"/>
      <c r="BS782" s="35"/>
      <c r="BT782" s="35"/>
      <c r="BU782" s="35"/>
      <c r="BV782" s="35"/>
      <c r="BW782" s="35"/>
      <c r="BX782" s="35"/>
      <c r="BY782" s="35"/>
      <c r="BZ782" s="35"/>
      <c r="CA782" s="35"/>
      <c r="CB782" s="35"/>
      <c r="CC782" s="35"/>
      <c r="CD782" s="35"/>
      <c r="CE782" s="35"/>
      <c r="CF782" s="35"/>
      <c r="CG782" s="35"/>
      <c r="CH782" s="35"/>
      <c r="CI782" s="35"/>
      <c r="CJ782" s="35"/>
      <c r="CK782" s="35"/>
    </row>
    <row r="783" spans="8:89" s="34" customFormat="1"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  <c r="BH783" s="35"/>
      <c r="BI783" s="35"/>
      <c r="BJ783" s="35"/>
      <c r="BK783" s="35"/>
      <c r="BL783" s="35"/>
      <c r="BM783" s="35"/>
      <c r="BN783" s="35"/>
      <c r="BO783" s="35"/>
      <c r="BP783" s="35"/>
      <c r="BQ783" s="35"/>
      <c r="BR783" s="35"/>
      <c r="BS783" s="35"/>
      <c r="BT783" s="35"/>
      <c r="BU783" s="35"/>
      <c r="BV783" s="35"/>
      <c r="BW783" s="35"/>
      <c r="BX783" s="35"/>
      <c r="BY783" s="35"/>
      <c r="BZ783" s="35"/>
      <c r="CA783" s="35"/>
      <c r="CB783" s="35"/>
      <c r="CC783" s="35"/>
      <c r="CD783" s="35"/>
      <c r="CE783" s="35"/>
      <c r="CF783" s="35"/>
      <c r="CG783" s="35"/>
      <c r="CH783" s="35"/>
      <c r="CI783" s="35"/>
      <c r="CJ783" s="35"/>
      <c r="CK783" s="35"/>
    </row>
    <row r="784" spans="8:89" s="34" customFormat="1"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  <c r="BH784" s="35"/>
      <c r="BI784" s="35"/>
      <c r="BJ784" s="35"/>
      <c r="BK784" s="35"/>
      <c r="BL784" s="35"/>
      <c r="BM784" s="35"/>
      <c r="BN784" s="35"/>
      <c r="BO784" s="35"/>
      <c r="BP784" s="35"/>
      <c r="BQ784" s="35"/>
      <c r="BR784" s="35"/>
      <c r="BS784" s="35"/>
      <c r="BT784" s="35"/>
      <c r="BU784" s="35"/>
      <c r="BV784" s="35"/>
      <c r="BW784" s="35"/>
      <c r="BX784" s="35"/>
      <c r="BY784" s="35"/>
      <c r="BZ784" s="35"/>
      <c r="CA784" s="35"/>
      <c r="CB784" s="35"/>
      <c r="CC784" s="35"/>
      <c r="CD784" s="35"/>
      <c r="CE784" s="35"/>
      <c r="CF784" s="35"/>
      <c r="CG784" s="35"/>
      <c r="CH784" s="35"/>
      <c r="CI784" s="35"/>
      <c r="CJ784" s="35"/>
      <c r="CK784" s="35"/>
    </row>
    <row r="785" spans="8:89" s="34" customFormat="1"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  <c r="BH785" s="35"/>
      <c r="BI785" s="35"/>
      <c r="BJ785" s="35"/>
      <c r="BK785" s="35"/>
      <c r="BL785" s="35"/>
      <c r="BM785" s="35"/>
      <c r="BN785" s="35"/>
      <c r="BO785" s="35"/>
      <c r="BP785" s="35"/>
      <c r="BQ785" s="35"/>
      <c r="BR785" s="35"/>
      <c r="BS785" s="35"/>
      <c r="BT785" s="35"/>
      <c r="BU785" s="35"/>
      <c r="BV785" s="35"/>
      <c r="BW785" s="35"/>
      <c r="BX785" s="35"/>
      <c r="BY785" s="35"/>
      <c r="BZ785" s="35"/>
      <c r="CA785" s="35"/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</row>
    <row r="786" spans="8:89" s="34" customFormat="1"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  <c r="BH786" s="35"/>
      <c r="BI786" s="35"/>
      <c r="BJ786" s="35"/>
      <c r="BK786" s="35"/>
      <c r="BL786" s="35"/>
      <c r="BM786" s="35"/>
      <c r="BN786" s="35"/>
      <c r="BO786" s="35"/>
      <c r="BP786" s="35"/>
      <c r="BQ786" s="35"/>
      <c r="BR786" s="35"/>
      <c r="BS786" s="35"/>
      <c r="BT786" s="35"/>
      <c r="BU786" s="35"/>
      <c r="BV786" s="35"/>
      <c r="BW786" s="35"/>
      <c r="BX786" s="35"/>
      <c r="BY786" s="35"/>
      <c r="BZ786" s="35"/>
      <c r="CA786" s="35"/>
      <c r="CB786" s="35"/>
      <c r="CC786" s="35"/>
      <c r="CD786" s="35"/>
      <c r="CE786" s="35"/>
      <c r="CF786" s="35"/>
      <c r="CG786" s="35"/>
      <c r="CH786" s="35"/>
      <c r="CI786" s="35"/>
      <c r="CJ786" s="35"/>
      <c r="CK786" s="35"/>
    </row>
    <row r="787" spans="8:89" s="34" customFormat="1"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  <c r="BH787" s="35"/>
      <c r="BI787" s="35"/>
      <c r="BJ787" s="35"/>
      <c r="BK787" s="35"/>
      <c r="BL787" s="35"/>
      <c r="BM787" s="35"/>
      <c r="BN787" s="35"/>
      <c r="BO787" s="35"/>
      <c r="BP787" s="35"/>
      <c r="BQ787" s="35"/>
      <c r="BR787" s="35"/>
      <c r="BS787" s="35"/>
      <c r="BT787" s="35"/>
      <c r="BU787" s="35"/>
      <c r="BV787" s="35"/>
      <c r="BW787" s="35"/>
      <c r="BX787" s="35"/>
      <c r="BY787" s="35"/>
      <c r="BZ787" s="35"/>
      <c r="CA787" s="35"/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</row>
    <row r="788" spans="8:89" s="34" customFormat="1"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/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/>
      <c r="BF788" s="35"/>
      <c r="BG788" s="35"/>
      <c r="BH788" s="35"/>
      <c r="BI788" s="35"/>
      <c r="BJ788" s="35"/>
      <c r="BK788" s="35"/>
      <c r="BL788" s="35"/>
      <c r="BM788" s="35"/>
      <c r="BN788" s="35"/>
      <c r="BO788" s="35"/>
      <c r="BP788" s="35"/>
      <c r="BQ788" s="35"/>
      <c r="BR788" s="35"/>
      <c r="BS788" s="35"/>
      <c r="BT788" s="35"/>
      <c r="BU788" s="35"/>
      <c r="BV788" s="35"/>
      <c r="BW788" s="35"/>
      <c r="BX788" s="35"/>
      <c r="BY788" s="35"/>
      <c r="BZ788" s="35"/>
      <c r="CA788" s="35"/>
      <c r="CB788" s="35"/>
      <c r="CC788" s="35"/>
      <c r="CD788" s="35"/>
      <c r="CE788" s="35"/>
      <c r="CF788" s="35"/>
      <c r="CG788" s="35"/>
      <c r="CH788" s="35"/>
      <c r="CI788" s="35"/>
      <c r="CJ788" s="35"/>
      <c r="CK788" s="35"/>
    </row>
    <row r="789" spans="8:89" s="34" customFormat="1"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  <c r="BH789" s="35"/>
      <c r="BI789" s="35"/>
      <c r="BJ789" s="35"/>
      <c r="BK789" s="35"/>
      <c r="BL789" s="35"/>
      <c r="BM789" s="35"/>
      <c r="BN789" s="35"/>
      <c r="BO789" s="35"/>
      <c r="BP789" s="35"/>
      <c r="BQ789" s="35"/>
      <c r="BR789" s="35"/>
      <c r="BS789" s="35"/>
      <c r="BT789" s="35"/>
      <c r="BU789" s="35"/>
      <c r="BV789" s="35"/>
      <c r="BW789" s="35"/>
      <c r="BX789" s="35"/>
      <c r="BY789" s="35"/>
      <c r="BZ789" s="35"/>
      <c r="CA789" s="35"/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</row>
    <row r="790" spans="8:89" s="34" customFormat="1"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/>
      <c r="AZ790" s="35"/>
      <c r="BA790" s="35"/>
      <c r="BB790" s="35"/>
      <c r="BC790" s="35"/>
      <c r="BD790" s="35"/>
      <c r="BE790" s="35"/>
      <c r="BF790" s="35"/>
      <c r="BG790" s="35"/>
      <c r="BH790" s="35"/>
      <c r="BI790" s="35"/>
      <c r="BJ790" s="35"/>
      <c r="BK790" s="35"/>
      <c r="BL790" s="35"/>
      <c r="BM790" s="35"/>
      <c r="BN790" s="35"/>
      <c r="BO790" s="35"/>
      <c r="BP790" s="35"/>
      <c r="BQ790" s="35"/>
      <c r="BR790" s="35"/>
      <c r="BS790" s="35"/>
      <c r="BT790" s="35"/>
      <c r="BU790" s="35"/>
      <c r="BV790" s="35"/>
      <c r="BW790" s="35"/>
      <c r="BX790" s="35"/>
      <c r="BY790" s="35"/>
      <c r="BZ790" s="35"/>
      <c r="CA790" s="35"/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</row>
    <row r="791" spans="8:89" s="34" customFormat="1"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  <c r="BH791" s="35"/>
      <c r="BI791" s="35"/>
      <c r="BJ791" s="35"/>
      <c r="BK791" s="35"/>
      <c r="BL791" s="35"/>
      <c r="BM791" s="35"/>
      <c r="BN791" s="35"/>
      <c r="BO791" s="35"/>
      <c r="BP791" s="35"/>
      <c r="BQ791" s="35"/>
      <c r="BR791" s="35"/>
      <c r="BS791" s="35"/>
      <c r="BT791" s="35"/>
      <c r="BU791" s="35"/>
      <c r="BV791" s="35"/>
      <c r="BW791" s="35"/>
      <c r="BX791" s="35"/>
      <c r="BY791" s="35"/>
      <c r="BZ791" s="35"/>
      <c r="CA791" s="35"/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</row>
    <row r="792" spans="8:89" s="34" customFormat="1"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  <c r="BH792" s="35"/>
      <c r="BI792" s="35"/>
      <c r="BJ792" s="35"/>
      <c r="BK792" s="35"/>
      <c r="BL792" s="35"/>
      <c r="BM792" s="35"/>
      <c r="BN792" s="35"/>
      <c r="BO792" s="35"/>
      <c r="BP792" s="35"/>
      <c r="BQ792" s="35"/>
      <c r="BR792" s="35"/>
      <c r="BS792" s="35"/>
      <c r="BT792" s="35"/>
      <c r="BU792" s="35"/>
      <c r="BV792" s="35"/>
      <c r="BW792" s="35"/>
      <c r="BX792" s="35"/>
      <c r="BY792" s="35"/>
      <c r="BZ792" s="35"/>
      <c r="CA792" s="35"/>
      <c r="CB792" s="35"/>
      <c r="CC792" s="35"/>
      <c r="CD792" s="35"/>
      <c r="CE792" s="35"/>
      <c r="CF792" s="35"/>
      <c r="CG792" s="35"/>
      <c r="CH792" s="35"/>
      <c r="CI792" s="35"/>
      <c r="CJ792" s="35"/>
      <c r="CK792" s="35"/>
    </row>
    <row r="793" spans="8:89" s="34" customFormat="1"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  <c r="BH793" s="35"/>
      <c r="BI793" s="35"/>
      <c r="BJ793" s="35"/>
      <c r="BK793" s="35"/>
      <c r="BL793" s="35"/>
      <c r="BM793" s="35"/>
      <c r="BN793" s="35"/>
      <c r="BO793" s="35"/>
      <c r="BP793" s="35"/>
      <c r="BQ793" s="35"/>
      <c r="BR793" s="35"/>
      <c r="BS793" s="35"/>
      <c r="BT793" s="35"/>
      <c r="BU793" s="35"/>
      <c r="BV793" s="35"/>
      <c r="BW793" s="35"/>
      <c r="BX793" s="35"/>
      <c r="BY793" s="35"/>
      <c r="BZ793" s="35"/>
      <c r="CA793" s="35"/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</row>
    <row r="794" spans="8:89" s="34" customFormat="1"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  <c r="BH794" s="35"/>
      <c r="BI794" s="35"/>
      <c r="BJ794" s="35"/>
      <c r="BK794" s="35"/>
      <c r="BL794" s="35"/>
      <c r="BM794" s="35"/>
      <c r="BN794" s="35"/>
      <c r="BO794" s="35"/>
      <c r="BP794" s="35"/>
      <c r="BQ794" s="35"/>
      <c r="BR794" s="35"/>
      <c r="BS794" s="35"/>
      <c r="BT794" s="35"/>
      <c r="BU794" s="35"/>
      <c r="BV794" s="35"/>
      <c r="BW794" s="35"/>
      <c r="BX794" s="35"/>
      <c r="BY794" s="35"/>
      <c r="BZ794" s="35"/>
      <c r="CA794" s="35"/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</row>
    <row r="795" spans="8:89" s="34" customFormat="1"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  <c r="BH795" s="35"/>
      <c r="BI795" s="35"/>
      <c r="BJ795" s="35"/>
      <c r="BK795" s="35"/>
      <c r="BL795" s="35"/>
      <c r="BM795" s="35"/>
      <c r="BN795" s="35"/>
      <c r="BO795" s="35"/>
      <c r="BP795" s="35"/>
      <c r="BQ795" s="35"/>
      <c r="BR795" s="35"/>
      <c r="BS795" s="35"/>
      <c r="BT795" s="35"/>
      <c r="BU795" s="35"/>
      <c r="BV795" s="35"/>
      <c r="BW795" s="35"/>
      <c r="BX795" s="35"/>
      <c r="BY795" s="35"/>
      <c r="BZ795" s="35"/>
      <c r="CA795" s="35"/>
      <c r="CB795" s="35"/>
      <c r="CC795" s="35"/>
      <c r="CD795" s="35"/>
      <c r="CE795" s="35"/>
      <c r="CF795" s="35"/>
      <c r="CG795" s="35"/>
      <c r="CH795" s="35"/>
      <c r="CI795" s="35"/>
      <c r="CJ795" s="35"/>
      <c r="CK795" s="35"/>
    </row>
    <row r="796" spans="8:89" s="34" customFormat="1"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  <c r="BH796" s="35"/>
      <c r="BI796" s="35"/>
      <c r="BJ796" s="35"/>
      <c r="BK796" s="35"/>
      <c r="BL796" s="35"/>
      <c r="BM796" s="35"/>
      <c r="BN796" s="35"/>
      <c r="BO796" s="35"/>
      <c r="BP796" s="35"/>
      <c r="BQ796" s="35"/>
      <c r="BR796" s="35"/>
      <c r="BS796" s="35"/>
      <c r="BT796" s="35"/>
      <c r="BU796" s="35"/>
      <c r="BV796" s="35"/>
      <c r="BW796" s="35"/>
      <c r="BX796" s="35"/>
      <c r="BY796" s="35"/>
      <c r="BZ796" s="35"/>
      <c r="CA796" s="35"/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</row>
    <row r="797" spans="8:89" s="34" customFormat="1"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  <c r="BH797" s="35"/>
      <c r="BI797" s="35"/>
      <c r="BJ797" s="35"/>
      <c r="BK797" s="35"/>
      <c r="BL797" s="35"/>
      <c r="BM797" s="35"/>
      <c r="BN797" s="35"/>
      <c r="BO797" s="35"/>
      <c r="BP797" s="35"/>
      <c r="BQ797" s="35"/>
      <c r="BR797" s="35"/>
      <c r="BS797" s="35"/>
      <c r="BT797" s="35"/>
      <c r="BU797" s="35"/>
      <c r="BV797" s="35"/>
      <c r="BW797" s="35"/>
      <c r="BX797" s="35"/>
      <c r="BY797" s="35"/>
      <c r="BZ797" s="35"/>
      <c r="CA797" s="35"/>
      <c r="CB797" s="35"/>
      <c r="CC797" s="35"/>
      <c r="CD797" s="35"/>
      <c r="CE797" s="35"/>
      <c r="CF797" s="35"/>
      <c r="CG797" s="35"/>
      <c r="CH797" s="35"/>
      <c r="CI797" s="35"/>
      <c r="CJ797" s="35"/>
      <c r="CK797" s="35"/>
    </row>
    <row r="798" spans="8:89" s="34" customFormat="1"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  <c r="BH798" s="35"/>
      <c r="BI798" s="35"/>
      <c r="BJ798" s="35"/>
      <c r="BK798" s="35"/>
      <c r="BL798" s="35"/>
      <c r="BM798" s="35"/>
      <c r="BN798" s="35"/>
      <c r="BO798" s="35"/>
      <c r="BP798" s="35"/>
      <c r="BQ798" s="35"/>
      <c r="BR798" s="35"/>
      <c r="BS798" s="35"/>
      <c r="BT798" s="35"/>
      <c r="BU798" s="35"/>
      <c r="BV798" s="35"/>
      <c r="BW798" s="35"/>
      <c r="BX798" s="35"/>
      <c r="BY798" s="35"/>
      <c r="BZ798" s="35"/>
      <c r="CA798" s="35"/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</row>
    <row r="799" spans="8:89" s="34" customFormat="1"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  <c r="BH799" s="35"/>
      <c r="BI799" s="35"/>
      <c r="BJ799" s="35"/>
      <c r="BK799" s="35"/>
      <c r="BL799" s="35"/>
      <c r="BM799" s="35"/>
      <c r="BN799" s="35"/>
      <c r="BO799" s="35"/>
      <c r="BP799" s="35"/>
      <c r="BQ799" s="35"/>
      <c r="BR799" s="35"/>
      <c r="BS799" s="35"/>
      <c r="BT799" s="35"/>
      <c r="BU799" s="35"/>
      <c r="BV799" s="35"/>
      <c r="BW799" s="35"/>
      <c r="BX799" s="35"/>
      <c r="BY799" s="35"/>
      <c r="BZ799" s="35"/>
      <c r="CA799" s="35"/>
      <c r="CB799" s="35"/>
      <c r="CC799" s="35"/>
      <c r="CD799" s="35"/>
      <c r="CE799" s="35"/>
      <c r="CF799" s="35"/>
      <c r="CG799" s="35"/>
      <c r="CH799" s="35"/>
      <c r="CI799" s="35"/>
      <c r="CJ799" s="35"/>
      <c r="CK799" s="35"/>
    </row>
    <row r="800" spans="8:89" s="34" customFormat="1"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  <c r="BH800" s="35"/>
      <c r="BI800" s="35"/>
      <c r="BJ800" s="35"/>
      <c r="BK800" s="35"/>
      <c r="BL800" s="35"/>
      <c r="BM800" s="35"/>
      <c r="BN800" s="35"/>
      <c r="BO800" s="35"/>
      <c r="BP800" s="35"/>
      <c r="BQ800" s="35"/>
      <c r="BR800" s="35"/>
      <c r="BS800" s="35"/>
      <c r="BT800" s="35"/>
      <c r="BU800" s="35"/>
      <c r="BV800" s="35"/>
      <c r="BW800" s="35"/>
      <c r="BX800" s="35"/>
      <c r="BY800" s="35"/>
      <c r="BZ800" s="35"/>
      <c r="CA800" s="35"/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</row>
    <row r="801" spans="8:89" s="34" customFormat="1"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/>
      <c r="BE801" s="35"/>
      <c r="BF801" s="35"/>
      <c r="BG801" s="35"/>
      <c r="BH801" s="35"/>
      <c r="BI801" s="35"/>
      <c r="BJ801" s="35"/>
      <c r="BK801" s="35"/>
      <c r="BL801" s="35"/>
      <c r="BM801" s="35"/>
      <c r="BN801" s="35"/>
      <c r="BO801" s="35"/>
      <c r="BP801" s="35"/>
      <c r="BQ801" s="35"/>
      <c r="BR801" s="35"/>
      <c r="BS801" s="35"/>
      <c r="BT801" s="35"/>
      <c r="BU801" s="35"/>
      <c r="BV801" s="35"/>
      <c r="BW801" s="35"/>
      <c r="BX801" s="35"/>
      <c r="BY801" s="35"/>
      <c r="BZ801" s="35"/>
      <c r="CA801" s="35"/>
      <c r="CB801" s="35"/>
      <c r="CC801" s="35"/>
      <c r="CD801" s="35"/>
      <c r="CE801" s="35"/>
      <c r="CF801" s="35"/>
      <c r="CG801" s="35"/>
      <c r="CH801" s="35"/>
      <c r="CI801" s="35"/>
      <c r="CJ801" s="35"/>
      <c r="CK801" s="35"/>
    </row>
    <row r="802" spans="8:89" s="34" customFormat="1"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  <c r="BH802" s="35"/>
      <c r="BI802" s="35"/>
      <c r="BJ802" s="35"/>
      <c r="BK802" s="35"/>
      <c r="BL802" s="35"/>
      <c r="BM802" s="35"/>
      <c r="BN802" s="35"/>
      <c r="BO802" s="35"/>
      <c r="BP802" s="35"/>
      <c r="BQ802" s="35"/>
      <c r="BR802" s="35"/>
      <c r="BS802" s="35"/>
      <c r="BT802" s="35"/>
      <c r="BU802" s="35"/>
      <c r="BV802" s="35"/>
      <c r="BW802" s="35"/>
      <c r="BX802" s="35"/>
      <c r="BY802" s="35"/>
      <c r="BZ802" s="35"/>
      <c r="CA802" s="35"/>
      <c r="CB802" s="35"/>
      <c r="CC802" s="35"/>
      <c r="CD802" s="35"/>
      <c r="CE802" s="35"/>
      <c r="CF802" s="35"/>
      <c r="CG802" s="35"/>
      <c r="CH802" s="35"/>
      <c r="CI802" s="35"/>
      <c r="CJ802" s="35"/>
      <c r="CK802" s="35"/>
    </row>
    <row r="803" spans="8:89" s="34" customFormat="1"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  <c r="BH803" s="35"/>
      <c r="BI803" s="35"/>
      <c r="BJ803" s="35"/>
      <c r="BK803" s="35"/>
      <c r="BL803" s="35"/>
      <c r="BM803" s="35"/>
      <c r="BN803" s="35"/>
      <c r="BO803" s="35"/>
      <c r="BP803" s="35"/>
      <c r="BQ803" s="35"/>
      <c r="BR803" s="35"/>
      <c r="BS803" s="35"/>
      <c r="BT803" s="35"/>
      <c r="BU803" s="35"/>
      <c r="BV803" s="35"/>
      <c r="BW803" s="35"/>
      <c r="BX803" s="35"/>
      <c r="BY803" s="35"/>
      <c r="BZ803" s="35"/>
      <c r="CA803" s="35"/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</row>
    <row r="804" spans="8:89" s="34" customFormat="1"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/>
      <c r="BE804" s="35"/>
      <c r="BF804" s="35"/>
      <c r="BG804" s="35"/>
      <c r="BH804" s="35"/>
      <c r="BI804" s="35"/>
      <c r="BJ804" s="35"/>
      <c r="BK804" s="35"/>
      <c r="BL804" s="35"/>
      <c r="BM804" s="35"/>
      <c r="BN804" s="35"/>
      <c r="BO804" s="35"/>
      <c r="BP804" s="35"/>
      <c r="BQ804" s="35"/>
      <c r="BR804" s="35"/>
      <c r="BS804" s="35"/>
      <c r="BT804" s="35"/>
      <c r="BU804" s="35"/>
      <c r="BV804" s="35"/>
      <c r="BW804" s="35"/>
      <c r="BX804" s="35"/>
      <c r="BY804" s="35"/>
      <c r="BZ804" s="35"/>
      <c r="CA804" s="35"/>
      <c r="CB804" s="35"/>
      <c r="CC804" s="35"/>
      <c r="CD804" s="35"/>
      <c r="CE804" s="35"/>
      <c r="CF804" s="35"/>
      <c r="CG804" s="35"/>
      <c r="CH804" s="35"/>
      <c r="CI804" s="35"/>
      <c r="CJ804" s="35"/>
      <c r="CK804" s="35"/>
    </row>
    <row r="805" spans="8:89" s="34" customFormat="1"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  <c r="BH805" s="35"/>
      <c r="BI805" s="35"/>
      <c r="BJ805" s="35"/>
      <c r="BK805" s="35"/>
      <c r="BL805" s="35"/>
      <c r="BM805" s="35"/>
      <c r="BN805" s="35"/>
      <c r="BO805" s="35"/>
      <c r="BP805" s="35"/>
      <c r="BQ805" s="35"/>
      <c r="BR805" s="35"/>
      <c r="BS805" s="35"/>
      <c r="BT805" s="35"/>
      <c r="BU805" s="35"/>
      <c r="BV805" s="35"/>
      <c r="BW805" s="35"/>
      <c r="BX805" s="35"/>
      <c r="BY805" s="35"/>
      <c r="BZ805" s="35"/>
      <c r="CA805" s="35"/>
      <c r="CB805" s="35"/>
      <c r="CC805" s="35"/>
      <c r="CD805" s="35"/>
      <c r="CE805" s="35"/>
      <c r="CF805" s="35"/>
      <c r="CG805" s="35"/>
      <c r="CH805" s="35"/>
      <c r="CI805" s="35"/>
      <c r="CJ805" s="35"/>
      <c r="CK805" s="35"/>
    </row>
    <row r="806" spans="8:89" s="34" customFormat="1"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  <c r="BH806" s="35"/>
      <c r="BI806" s="35"/>
      <c r="BJ806" s="35"/>
      <c r="BK806" s="35"/>
      <c r="BL806" s="35"/>
      <c r="BM806" s="35"/>
      <c r="BN806" s="35"/>
      <c r="BO806" s="35"/>
      <c r="BP806" s="35"/>
      <c r="BQ806" s="35"/>
      <c r="BR806" s="35"/>
      <c r="BS806" s="35"/>
      <c r="BT806" s="35"/>
      <c r="BU806" s="35"/>
      <c r="BV806" s="35"/>
      <c r="BW806" s="35"/>
      <c r="BX806" s="35"/>
      <c r="BY806" s="35"/>
      <c r="BZ806" s="35"/>
      <c r="CA806" s="35"/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</row>
    <row r="807" spans="8:89" s="34" customFormat="1"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  <c r="BH807" s="35"/>
      <c r="BI807" s="35"/>
      <c r="BJ807" s="35"/>
      <c r="BK807" s="35"/>
      <c r="BL807" s="35"/>
      <c r="BM807" s="35"/>
      <c r="BN807" s="35"/>
      <c r="BO807" s="35"/>
      <c r="BP807" s="35"/>
      <c r="BQ807" s="35"/>
      <c r="BR807" s="35"/>
      <c r="BS807" s="35"/>
      <c r="BT807" s="35"/>
      <c r="BU807" s="35"/>
      <c r="BV807" s="35"/>
      <c r="BW807" s="35"/>
      <c r="BX807" s="35"/>
      <c r="BY807" s="35"/>
      <c r="BZ807" s="35"/>
      <c r="CA807" s="35"/>
      <c r="CB807" s="35"/>
      <c r="CC807" s="35"/>
      <c r="CD807" s="35"/>
      <c r="CE807" s="35"/>
      <c r="CF807" s="35"/>
      <c r="CG807" s="35"/>
      <c r="CH807" s="35"/>
      <c r="CI807" s="35"/>
      <c r="CJ807" s="35"/>
      <c r="CK807" s="35"/>
    </row>
    <row r="808" spans="8:89" s="34" customFormat="1"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  <c r="BH808" s="35"/>
      <c r="BI808" s="35"/>
      <c r="BJ808" s="35"/>
      <c r="BK808" s="35"/>
      <c r="BL808" s="35"/>
      <c r="BM808" s="35"/>
      <c r="BN808" s="35"/>
      <c r="BO808" s="35"/>
      <c r="BP808" s="35"/>
      <c r="BQ808" s="35"/>
      <c r="BR808" s="35"/>
      <c r="BS808" s="35"/>
      <c r="BT808" s="35"/>
      <c r="BU808" s="35"/>
      <c r="BV808" s="35"/>
      <c r="BW808" s="35"/>
      <c r="BX808" s="35"/>
      <c r="BY808" s="35"/>
      <c r="BZ808" s="35"/>
      <c r="CA808" s="35"/>
      <c r="CB808" s="35"/>
      <c r="CC808" s="35"/>
      <c r="CD808" s="35"/>
      <c r="CE808" s="35"/>
      <c r="CF808" s="35"/>
      <c r="CG808" s="35"/>
      <c r="CH808" s="35"/>
      <c r="CI808" s="35"/>
      <c r="CJ808" s="35"/>
      <c r="CK808" s="35"/>
    </row>
    <row r="809" spans="8:89" s="34" customFormat="1"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  <c r="BH809" s="35"/>
      <c r="BI809" s="35"/>
      <c r="BJ809" s="35"/>
      <c r="BK809" s="35"/>
      <c r="BL809" s="35"/>
      <c r="BM809" s="35"/>
      <c r="BN809" s="35"/>
      <c r="BO809" s="35"/>
      <c r="BP809" s="35"/>
      <c r="BQ809" s="35"/>
      <c r="BR809" s="35"/>
      <c r="BS809" s="35"/>
      <c r="BT809" s="35"/>
      <c r="BU809" s="35"/>
      <c r="BV809" s="35"/>
      <c r="BW809" s="35"/>
      <c r="BX809" s="35"/>
      <c r="BY809" s="35"/>
      <c r="BZ809" s="35"/>
      <c r="CA809" s="35"/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</row>
    <row r="810" spans="8:89" s="34" customFormat="1"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  <c r="BH810" s="35"/>
      <c r="BI810" s="35"/>
      <c r="BJ810" s="35"/>
      <c r="BK810" s="35"/>
      <c r="BL810" s="35"/>
      <c r="BM810" s="35"/>
      <c r="BN810" s="35"/>
      <c r="BO810" s="35"/>
      <c r="BP810" s="35"/>
      <c r="BQ810" s="35"/>
      <c r="BR810" s="35"/>
      <c r="BS810" s="35"/>
      <c r="BT810" s="35"/>
      <c r="BU810" s="35"/>
      <c r="BV810" s="35"/>
      <c r="BW810" s="35"/>
      <c r="BX810" s="35"/>
      <c r="BY810" s="35"/>
      <c r="BZ810" s="35"/>
      <c r="CA810" s="35"/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</row>
    <row r="811" spans="8:89" s="34" customFormat="1"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  <c r="BH811" s="35"/>
      <c r="BI811" s="35"/>
      <c r="BJ811" s="35"/>
      <c r="BK811" s="35"/>
      <c r="BL811" s="35"/>
      <c r="BM811" s="35"/>
      <c r="BN811" s="35"/>
      <c r="BO811" s="35"/>
      <c r="BP811" s="35"/>
      <c r="BQ811" s="35"/>
      <c r="BR811" s="35"/>
      <c r="BS811" s="35"/>
      <c r="BT811" s="35"/>
      <c r="BU811" s="35"/>
      <c r="BV811" s="35"/>
      <c r="BW811" s="35"/>
      <c r="BX811" s="35"/>
      <c r="BY811" s="35"/>
      <c r="BZ811" s="35"/>
      <c r="CA811" s="35"/>
      <c r="CB811" s="35"/>
      <c r="CC811" s="35"/>
      <c r="CD811" s="35"/>
      <c r="CE811" s="35"/>
      <c r="CF811" s="35"/>
      <c r="CG811" s="35"/>
      <c r="CH811" s="35"/>
      <c r="CI811" s="35"/>
      <c r="CJ811" s="35"/>
      <c r="CK811" s="35"/>
    </row>
    <row r="812" spans="8:89" s="34" customFormat="1"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/>
      <c r="BE812" s="35"/>
      <c r="BF812" s="35"/>
      <c r="BG812" s="35"/>
      <c r="BH812" s="35"/>
      <c r="BI812" s="35"/>
      <c r="BJ812" s="35"/>
      <c r="BK812" s="35"/>
      <c r="BL812" s="35"/>
      <c r="BM812" s="35"/>
      <c r="BN812" s="35"/>
      <c r="BO812" s="35"/>
      <c r="BP812" s="35"/>
      <c r="BQ812" s="35"/>
      <c r="BR812" s="35"/>
      <c r="BS812" s="35"/>
      <c r="BT812" s="35"/>
      <c r="BU812" s="35"/>
      <c r="BV812" s="35"/>
      <c r="BW812" s="35"/>
      <c r="BX812" s="35"/>
      <c r="BY812" s="35"/>
      <c r="BZ812" s="35"/>
      <c r="CA812" s="35"/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</row>
    <row r="813" spans="8:89" s="34" customFormat="1"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  <c r="BH813" s="35"/>
      <c r="BI813" s="35"/>
      <c r="BJ813" s="35"/>
      <c r="BK813" s="35"/>
      <c r="BL813" s="35"/>
      <c r="BM813" s="35"/>
      <c r="BN813" s="35"/>
      <c r="BO813" s="35"/>
      <c r="BP813" s="35"/>
      <c r="BQ813" s="35"/>
      <c r="BR813" s="35"/>
      <c r="BS813" s="35"/>
      <c r="BT813" s="35"/>
      <c r="BU813" s="35"/>
      <c r="BV813" s="35"/>
      <c r="BW813" s="35"/>
      <c r="BX813" s="35"/>
      <c r="BY813" s="35"/>
      <c r="BZ813" s="35"/>
      <c r="CA813" s="35"/>
      <c r="CB813" s="35"/>
      <c r="CC813" s="35"/>
      <c r="CD813" s="35"/>
      <c r="CE813" s="35"/>
      <c r="CF813" s="35"/>
      <c r="CG813" s="35"/>
      <c r="CH813" s="35"/>
      <c r="CI813" s="35"/>
      <c r="CJ813" s="35"/>
      <c r="CK813" s="35"/>
    </row>
    <row r="814" spans="8:89" s="34" customFormat="1"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  <c r="BH814" s="35"/>
      <c r="BI814" s="35"/>
      <c r="BJ814" s="35"/>
      <c r="BK814" s="35"/>
      <c r="BL814" s="35"/>
      <c r="BM814" s="35"/>
      <c r="BN814" s="35"/>
      <c r="BO814" s="35"/>
      <c r="BP814" s="35"/>
      <c r="BQ814" s="35"/>
      <c r="BR814" s="35"/>
      <c r="BS814" s="35"/>
      <c r="BT814" s="35"/>
      <c r="BU814" s="35"/>
      <c r="BV814" s="35"/>
      <c r="BW814" s="35"/>
      <c r="BX814" s="35"/>
      <c r="BY814" s="35"/>
      <c r="BZ814" s="35"/>
      <c r="CA814" s="35"/>
      <c r="CB814" s="35"/>
      <c r="CC814" s="35"/>
      <c r="CD814" s="35"/>
      <c r="CE814" s="35"/>
      <c r="CF814" s="35"/>
      <c r="CG814" s="35"/>
      <c r="CH814" s="35"/>
      <c r="CI814" s="35"/>
      <c r="CJ814" s="35"/>
      <c r="CK814" s="35"/>
    </row>
    <row r="815" spans="8:89" s="34" customFormat="1"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  <c r="BH815" s="35"/>
      <c r="BI815" s="35"/>
      <c r="BJ815" s="35"/>
      <c r="BK815" s="35"/>
      <c r="BL815" s="35"/>
      <c r="BM815" s="35"/>
      <c r="BN815" s="35"/>
      <c r="BO815" s="35"/>
      <c r="BP815" s="35"/>
      <c r="BQ815" s="35"/>
      <c r="BR815" s="35"/>
      <c r="BS815" s="35"/>
      <c r="BT815" s="35"/>
      <c r="BU815" s="35"/>
      <c r="BV815" s="35"/>
      <c r="BW815" s="35"/>
      <c r="BX815" s="35"/>
      <c r="BY815" s="35"/>
      <c r="BZ815" s="35"/>
      <c r="CA815" s="35"/>
      <c r="CB815" s="35"/>
      <c r="CC815" s="35"/>
      <c r="CD815" s="35"/>
      <c r="CE815" s="35"/>
      <c r="CF815" s="35"/>
      <c r="CG815" s="35"/>
      <c r="CH815" s="35"/>
      <c r="CI815" s="35"/>
      <c r="CJ815" s="35"/>
      <c r="CK815" s="35"/>
    </row>
    <row r="816" spans="8:89" s="34" customFormat="1"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  <c r="BH816" s="35"/>
      <c r="BI816" s="35"/>
      <c r="BJ816" s="35"/>
      <c r="BK816" s="35"/>
      <c r="BL816" s="35"/>
      <c r="BM816" s="35"/>
      <c r="BN816" s="35"/>
      <c r="BO816" s="35"/>
      <c r="BP816" s="35"/>
      <c r="BQ816" s="35"/>
      <c r="BR816" s="35"/>
      <c r="BS816" s="35"/>
      <c r="BT816" s="35"/>
      <c r="BU816" s="35"/>
      <c r="BV816" s="35"/>
      <c r="BW816" s="35"/>
      <c r="BX816" s="35"/>
      <c r="BY816" s="35"/>
      <c r="BZ816" s="35"/>
      <c r="CA816" s="35"/>
      <c r="CB816" s="35"/>
      <c r="CC816" s="35"/>
      <c r="CD816" s="35"/>
      <c r="CE816" s="35"/>
      <c r="CF816" s="35"/>
      <c r="CG816" s="35"/>
      <c r="CH816" s="35"/>
      <c r="CI816" s="35"/>
      <c r="CJ816" s="35"/>
      <c r="CK816" s="35"/>
    </row>
    <row r="817" spans="8:89" s="34" customFormat="1"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  <c r="BB817" s="35"/>
      <c r="BC817" s="35"/>
      <c r="BD817" s="35"/>
      <c r="BE817" s="35"/>
      <c r="BF817" s="35"/>
      <c r="BG817" s="35"/>
      <c r="BH817" s="35"/>
      <c r="BI817" s="35"/>
      <c r="BJ817" s="35"/>
      <c r="BK817" s="35"/>
      <c r="BL817" s="35"/>
      <c r="BM817" s="35"/>
      <c r="BN817" s="35"/>
      <c r="BO817" s="35"/>
      <c r="BP817" s="35"/>
      <c r="BQ817" s="35"/>
      <c r="BR817" s="35"/>
      <c r="BS817" s="35"/>
      <c r="BT817" s="35"/>
      <c r="BU817" s="35"/>
      <c r="BV817" s="35"/>
      <c r="BW817" s="35"/>
      <c r="BX817" s="35"/>
      <c r="BY817" s="35"/>
      <c r="BZ817" s="35"/>
      <c r="CA817" s="35"/>
      <c r="CB817" s="35"/>
      <c r="CC817" s="35"/>
      <c r="CD817" s="35"/>
      <c r="CE817" s="35"/>
      <c r="CF817" s="35"/>
      <c r="CG817" s="35"/>
      <c r="CH817" s="35"/>
      <c r="CI817" s="35"/>
      <c r="CJ817" s="35"/>
      <c r="CK817" s="35"/>
    </row>
    <row r="818" spans="8:89" s="34" customFormat="1"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  <c r="BH818" s="35"/>
      <c r="BI818" s="35"/>
      <c r="BJ818" s="35"/>
      <c r="BK818" s="35"/>
      <c r="BL818" s="35"/>
      <c r="BM818" s="35"/>
      <c r="BN818" s="35"/>
      <c r="BO818" s="35"/>
      <c r="BP818" s="35"/>
      <c r="BQ818" s="35"/>
      <c r="BR818" s="35"/>
      <c r="BS818" s="35"/>
      <c r="BT818" s="35"/>
      <c r="BU818" s="35"/>
      <c r="BV818" s="35"/>
      <c r="BW818" s="35"/>
      <c r="BX818" s="35"/>
      <c r="BY818" s="35"/>
      <c r="BZ818" s="35"/>
      <c r="CA818" s="35"/>
      <c r="CB818" s="35"/>
      <c r="CC818" s="35"/>
      <c r="CD818" s="35"/>
      <c r="CE818" s="35"/>
      <c r="CF818" s="35"/>
      <c r="CG818" s="35"/>
      <c r="CH818" s="35"/>
      <c r="CI818" s="35"/>
      <c r="CJ818" s="35"/>
      <c r="CK818" s="35"/>
    </row>
    <row r="819" spans="8:89" s="34" customFormat="1"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  <c r="BH819" s="35"/>
      <c r="BI819" s="35"/>
      <c r="BJ819" s="35"/>
      <c r="BK819" s="35"/>
      <c r="BL819" s="35"/>
      <c r="BM819" s="35"/>
      <c r="BN819" s="35"/>
      <c r="BO819" s="35"/>
      <c r="BP819" s="35"/>
      <c r="BQ819" s="35"/>
      <c r="BR819" s="35"/>
      <c r="BS819" s="35"/>
      <c r="BT819" s="35"/>
      <c r="BU819" s="35"/>
      <c r="BV819" s="35"/>
      <c r="BW819" s="35"/>
      <c r="BX819" s="35"/>
      <c r="BY819" s="35"/>
      <c r="BZ819" s="35"/>
      <c r="CA819" s="35"/>
      <c r="CB819" s="35"/>
      <c r="CC819" s="35"/>
      <c r="CD819" s="35"/>
      <c r="CE819" s="35"/>
      <c r="CF819" s="35"/>
      <c r="CG819" s="35"/>
      <c r="CH819" s="35"/>
      <c r="CI819" s="35"/>
      <c r="CJ819" s="35"/>
      <c r="CK819" s="35"/>
    </row>
    <row r="820" spans="8:89" s="34" customFormat="1"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  <c r="BH820" s="35"/>
      <c r="BI820" s="35"/>
      <c r="BJ820" s="35"/>
      <c r="BK820" s="35"/>
      <c r="BL820" s="35"/>
      <c r="BM820" s="35"/>
      <c r="BN820" s="35"/>
      <c r="BO820" s="35"/>
      <c r="BP820" s="35"/>
      <c r="BQ820" s="35"/>
      <c r="BR820" s="35"/>
      <c r="BS820" s="35"/>
      <c r="BT820" s="35"/>
      <c r="BU820" s="35"/>
      <c r="BV820" s="35"/>
      <c r="BW820" s="35"/>
      <c r="BX820" s="35"/>
      <c r="BY820" s="35"/>
      <c r="BZ820" s="35"/>
      <c r="CA820" s="35"/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</row>
    <row r="821" spans="8:89" s="34" customFormat="1"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  <c r="BH821" s="35"/>
      <c r="BI821" s="35"/>
      <c r="BJ821" s="35"/>
      <c r="BK821" s="35"/>
      <c r="BL821" s="35"/>
      <c r="BM821" s="35"/>
      <c r="BN821" s="35"/>
      <c r="BO821" s="35"/>
      <c r="BP821" s="35"/>
      <c r="BQ821" s="35"/>
      <c r="BR821" s="35"/>
      <c r="BS821" s="35"/>
      <c r="BT821" s="35"/>
      <c r="BU821" s="35"/>
      <c r="BV821" s="35"/>
      <c r="BW821" s="35"/>
      <c r="BX821" s="35"/>
      <c r="BY821" s="35"/>
      <c r="BZ821" s="35"/>
      <c r="CA821" s="35"/>
      <c r="CB821" s="35"/>
      <c r="CC821" s="35"/>
      <c r="CD821" s="35"/>
      <c r="CE821" s="35"/>
      <c r="CF821" s="35"/>
      <c r="CG821" s="35"/>
      <c r="CH821" s="35"/>
      <c r="CI821" s="35"/>
      <c r="CJ821" s="35"/>
      <c r="CK821" s="35"/>
    </row>
    <row r="822" spans="8:89" s="34" customFormat="1"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  <c r="BH822" s="35"/>
      <c r="BI822" s="35"/>
      <c r="BJ822" s="35"/>
      <c r="BK822" s="35"/>
      <c r="BL822" s="35"/>
      <c r="BM822" s="35"/>
      <c r="BN822" s="35"/>
      <c r="BO822" s="35"/>
      <c r="BP822" s="35"/>
      <c r="BQ822" s="35"/>
      <c r="BR822" s="35"/>
      <c r="BS822" s="35"/>
      <c r="BT822" s="35"/>
      <c r="BU822" s="35"/>
      <c r="BV822" s="35"/>
      <c r="BW822" s="35"/>
      <c r="BX822" s="35"/>
      <c r="BY822" s="35"/>
      <c r="BZ822" s="35"/>
      <c r="CA822" s="35"/>
      <c r="CB822" s="35"/>
      <c r="CC822" s="35"/>
      <c r="CD822" s="35"/>
      <c r="CE822" s="35"/>
      <c r="CF822" s="35"/>
      <c r="CG822" s="35"/>
      <c r="CH822" s="35"/>
      <c r="CI822" s="35"/>
      <c r="CJ822" s="35"/>
      <c r="CK822" s="35"/>
    </row>
    <row r="823" spans="8:89" s="34" customFormat="1"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  <c r="BH823" s="35"/>
      <c r="BI823" s="35"/>
      <c r="BJ823" s="35"/>
      <c r="BK823" s="35"/>
      <c r="BL823" s="35"/>
      <c r="BM823" s="35"/>
      <c r="BN823" s="35"/>
      <c r="BO823" s="35"/>
      <c r="BP823" s="35"/>
      <c r="BQ823" s="35"/>
      <c r="BR823" s="35"/>
      <c r="BS823" s="35"/>
      <c r="BT823" s="35"/>
      <c r="BU823" s="35"/>
      <c r="BV823" s="35"/>
      <c r="BW823" s="35"/>
      <c r="BX823" s="35"/>
      <c r="BY823" s="35"/>
      <c r="BZ823" s="35"/>
      <c r="CA823" s="35"/>
      <c r="CB823" s="35"/>
      <c r="CC823" s="35"/>
      <c r="CD823" s="35"/>
      <c r="CE823" s="35"/>
      <c r="CF823" s="35"/>
      <c r="CG823" s="35"/>
      <c r="CH823" s="35"/>
      <c r="CI823" s="35"/>
      <c r="CJ823" s="35"/>
      <c r="CK823" s="35"/>
    </row>
    <row r="824" spans="8:89" s="34" customFormat="1"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  <c r="BH824" s="35"/>
      <c r="BI824" s="35"/>
      <c r="BJ824" s="35"/>
      <c r="BK824" s="35"/>
      <c r="BL824" s="35"/>
      <c r="BM824" s="35"/>
      <c r="BN824" s="35"/>
      <c r="BO824" s="35"/>
      <c r="BP824" s="35"/>
      <c r="BQ824" s="35"/>
      <c r="BR824" s="35"/>
      <c r="BS824" s="35"/>
      <c r="BT824" s="35"/>
      <c r="BU824" s="35"/>
      <c r="BV824" s="35"/>
      <c r="BW824" s="35"/>
      <c r="BX824" s="35"/>
      <c r="BY824" s="35"/>
      <c r="BZ824" s="35"/>
      <c r="CA824" s="35"/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</row>
    <row r="825" spans="8:89" s="34" customFormat="1"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  <c r="BH825" s="35"/>
      <c r="BI825" s="35"/>
      <c r="BJ825" s="35"/>
      <c r="BK825" s="35"/>
      <c r="BL825" s="35"/>
      <c r="BM825" s="35"/>
      <c r="BN825" s="35"/>
      <c r="BO825" s="35"/>
      <c r="BP825" s="35"/>
      <c r="BQ825" s="35"/>
      <c r="BR825" s="35"/>
      <c r="BS825" s="35"/>
      <c r="BT825" s="35"/>
      <c r="BU825" s="35"/>
      <c r="BV825" s="35"/>
      <c r="BW825" s="35"/>
      <c r="BX825" s="35"/>
      <c r="BY825" s="35"/>
      <c r="BZ825" s="35"/>
      <c r="CA825" s="35"/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</row>
    <row r="826" spans="8:89" s="34" customFormat="1"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  <c r="BH826" s="35"/>
      <c r="BI826" s="35"/>
      <c r="BJ826" s="35"/>
      <c r="BK826" s="35"/>
      <c r="BL826" s="35"/>
      <c r="BM826" s="35"/>
      <c r="BN826" s="35"/>
      <c r="BO826" s="35"/>
      <c r="BP826" s="35"/>
      <c r="BQ826" s="35"/>
      <c r="BR826" s="35"/>
      <c r="BS826" s="35"/>
      <c r="BT826" s="35"/>
      <c r="BU826" s="35"/>
      <c r="BV826" s="35"/>
      <c r="BW826" s="35"/>
      <c r="BX826" s="35"/>
      <c r="BY826" s="35"/>
      <c r="BZ826" s="35"/>
      <c r="CA826" s="35"/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</row>
    <row r="827" spans="8:89" s="34" customFormat="1"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  <c r="BH827" s="35"/>
      <c r="BI827" s="35"/>
      <c r="BJ827" s="35"/>
      <c r="BK827" s="35"/>
      <c r="BL827" s="35"/>
      <c r="BM827" s="35"/>
      <c r="BN827" s="35"/>
      <c r="BO827" s="35"/>
      <c r="BP827" s="35"/>
      <c r="BQ827" s="35"/>
      <c r="BR827" s="35"/>
      <c r="BS827" s="35"/>
      <c r="BT827" s="35"/>
      <c r="BU827" s="35"/>
      <c r="BV827" s="35"/>
      <c r="BW827" s="35"/>
      <c r="BX827" s="35"/>
      <c r="BY827" s="35"/>
      <c r="BZ827" s="35"/>
      <c r="CA827" s="35"/>
      <c r="CB827" s="35"/>
      <c r="CC827" s="35"/>
      <c r="CD827" s="35"/>
      <c r="CE827" s="35"/>
      <c r="CF827" s="35"/>
      <c r="CG827" s="35"/>
      <c r="CH827" s="35"/>
      <c r="CI827" s="35"/>
      <c r="CJ827" s="35"/>
      <c r="CK827" s="35"/>
    </row>
    <row r="828" spans="8:89" s="34" customFormat="1"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  <c r="BH828" s="35"/>
      <c r="BI828" s="35"/>
      <c r="BJ828" s="35"/>
      <c r="BK828" s="35"/>
      <c r="BL828" s="35"/>
      <c r="BM828" s="35"/>
      <c r="BN828" s="35"/>
      <c r="BO828" s="35"/>
      <c r="BP828" s="35"/>
      <c r="BQ828" s="35"/>
      <c r="BR828" s="35"/>
      <c r="BS828" s="35"/>
      <c r="BT828" s="35"/>
      <c r="BU828" s="35"/>
      <c r="BV828" s="35"/>
      <c r="BW828" s="35"/>
      <c r="BX828" s="35"/>
      <c r="BY828" s="35"/>
      <c r="BZ828" s="35"/>
      <c r="CA828" s="35"/>
      <c r="CB828" s="35"/>
      <c r="CC828" s="35"/>
      <c r="CD828" s="35"/>
      <c r="CE828" s="35"/>
      <c r="CF828" s="35"/>
      <c r="CG828" s="35"/>
      <c r="CH828" s="35"/>
      <c r="CI828" s="35"/>
      <c r="CJ828" s="35"/>
      <c r="CK828" s="35"/>
    </row>
    <row r="829" spans="8:89" s="34" customFormat="1"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  <c r="BH829" s="35"/>
      <c r="BI829" s="35"/>
      <c r="BJ829" s="35"/>
      <c r="BK829" s="35"/>
      <c r="BL829" s="35"/>
      <c r="BM829" s="35"/>
      <c r="BN829" s="35"/>
      <c r="BO829" s="35"/>
      <c r="BP829" s="35"/>
      <c r="BQ829" s="35"/>
      <c r="BR829" s="35"/>
      <c r="BS829" s="35"/>
      <c r="BT829" s="35"/>
      <c r="BU829" s="35"/>
      <c r="BV829" s="35"/>
      <c r="BW829" s="35"/>
      <c r="BX829" s="35"/>
      <c r="BY829" s="35"/>
      <c r="BZ829" s="35"/>
      <c r="CA829" s="35"/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</row>
    <row r="830" spans="8:89" s="34" customFormat="1"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  <c r="BH830" s="35"/>
      <c r="BI830" s="35"/>
      <c r="BJ830" s="35"/>
      <c r="BK830" s="35"/>
      <c r="BL830" s="35"/>
      <c r="BM830" s="35"/>
      <c r="BN830" s="35"/>
      <c r="BO830" s="35"/>
      <c r="BP830" s="35"/>
      <c r="BQ830" s="35"/>
      <c r="BR830" s="35"/>
      <c r="BS830" s="35"/>
      <c r="BT830" s="35"/>
      <c r="BU830" s="35"/>
      <c r="BV830" s="35"/>
      <c r="BW830" s="35"/>
      <c r="BX830" s="35"/>
      <c r="BY830" s="35"/>
      <c r="BZ830" s="35"/>
      <c r="CA830" s="35"/>
      <c r="CB830" s="35"/>
      <c r="CC830" s="35"/>
      <c r="CD830" s="35"/>
      <c r="CE830" s="35"/>
      <c r="CF830" s="35"/>
      <c r="CG830" s="35"/>
      <c r="CH830" s="35"/>
      <c r="CI830" s="35"/>
      <c r="CJ830" s="35"/>
      <c r="CK830" s="35"/>
    </row>
    <row r="831" spans="8:89" s="34" customFormat="1"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  <c r="BH831" s="35"/>
      <c r="BI831" s="35"/>
      <c r="BJ831" s="35"/>
      <c r="BK831" s="35"/>
      <c r="BL831" s="35"/>
      <c r="BM831" s="35"/>
      <c r="BN831" s="35"/>
      <c r="BO831" s="35"/>
      <c r="BP831" s="35"/>
      <c r="BQ831" s="35"/>
      <c r="BR831" s="35"/>
      <c r="BS831" s="35"/>
      <c r="BT831" s="35"/>
      <c r="BU831" s="35"/>
      <c r="BV831" s="35"/>
      <c r="BW831" s="35"/>
      <c r="BX831" s="35"/>
      <c r="BY831" s="35"/>
      <c r="BZ831" s="35"/>
      <c r="CA831" s="35"/>
      <c r="CB831" s="35"/>
      <c r="CC831" s="35"/>
      <c r="CD831" s="35"/>
      <c r="CE831" s="35"/>
      <c r="CF831" s="35"/>
      <c r="CG831" s="35"/>
      <c r="CH831" s="35"/>
      <c r="CI831" s="35"/>
      <c r="CJ831" s="35"/>
      <c r="CK831" s="35"/>
    </row>
    <row r="832" spans="8:89" s="34" customFormat="1"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  <c r="BH832" s="35"/>
      <c r="BI832" s="35"/>
      <c r="BJ832" s="35"/>
      <c r="BK832" s="35"/>
      <c r="BL832" s="35"/>
      <c r="BM832" s="35"/>
      <c r="BN832" s="35"/>
      <c r="BO832" s="35"/>
      <c r="BP832" s="35"/>
      <c r="BQ832" s="35"/>
      <c r="BR832" s="35"/>
      <c r="BS832" s="35"/>
      <c r="BT832" s="35"/>
      <c r="BU832" s="35"/>
      <c r="BV832" s="35"/>
      <c r="BW832" s="35"/>
      <c r="BX832" s="35"/>
      <c r="BY832" s="35"/>
      <c r="BZ832" s="35"/>
      <c r="CA832" s="35"/>
      <c r="CB832" s="35"/>
      <c r="CC832" s="35"/>
      <c r="CD832" s="35"/>
      <c r="CE832" s="35"/>
      <c r="CF832" s="35"/>
      <c r="CG832" s="35"/>
      <c r="CH832" s="35"/>
      <c r="CI832" s="35"/>
      <c r="CJ832" s="35"/>
      <c r="CK832" s="35"/>
    </row>
    <row r="833" spans="8:89" s="34" customFormat="1"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  <c r="BH833" s="35"/>
      <c r="BI833" s="35"/>
      <c r="BJ833" s="35"/>
      <c r="BK833" s="35"/>
      <c r="BL833" s="35"/>
      <c r="BM833" s="35"/>
      <c r="BN833" s="35"/>
      <c r="BO833" s="35"/>
      <c r="BP833" s="35"/>
      <c r="BQ833" s="35"/>
      <c r="BR833" s="35"/>
      <c r="BS833" s="35"/>
      <c r="BT833" s="35"/>
      <c r="BU833" s="35"/>
      <c r="BV833" s="35"/>
      <c r="BW833" s="35"/>
      <c r="BX833" s="35"/>
      <c r="BY833" s="35"/>
      <c r="BZ833" s="35"/>
      <c r="CA833" s="35"/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</row>
    <row r="834" spans="8:89" s="34" customFormat="1"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  <c r="BH834" s="35"/>
      <c r="BI834" s="35"/>
      <c r="BJ834" s="35"/>
      <c r="BK834" s="35"/>
      <c r="BL834" s="35"/>
      <c r="BM834" s="35"/>
      <c r="BN834" s="35"/>
      <c r="BO834" s="35"/>
      <c r="BP834" s="35"/>
      <c r="BQ834" s="35"/>
      <c r="BR834" s="35"/>
      <c r="BS834" s="35"/>
      <c r="BT834" s="35"/>
      <c r="BU834" s="35"/>
      <c r="BV834" s="35"/>
      <c r="BW834" s="35"/>
      <c r="BX834" s="35"/>
      <c r="BY834" s="35"/>
      <c r="BZ834" s="35"/>
      <c r="CA834" s="35"/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</row>
    <row r="835" spans="8:89" s="34" customFormat="1"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  <c r="BH835" s="35"/>
      <c r="BI835" s="35"/>
      <c r="BJ835" s="35"/>
      <c r="BK835" s="35"/>
      <c r="BL835" s="35"/>
      <c r="BM835" s="35"/>
      <c r="BN835" s="35"/>
      <c r="BO835" s="35"/>
      <c r="BP835" s="35"/>
      <c r="BQ835" s="35"/>
      <c r="BR835" s="35"/>
      <c r="BS835" s="35"/>
      <c r="BT835" s="35"/>
      <c r="BU835" s="35"/>
      <c r="BV835" s="35"/>
      <c r="BW835" s="35"/>
      <c r="BX835" s="35"/>
      <c r="BY835" s="35"/>
      <c r="BZ835" s="35"/>
      <c r="CA835" s="35"/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</row>
    <row r="836" spans="8:89" s="34" customFormat="1"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  <c r="BH836" s="35"/>
      <c r="BI836" s="35"/>
      <c r="BJ836" s="35"/>
      <c r="BK836" s="35"/>
      <c r="BL836" s="35"/>
      <c r="BM836" s="35"/>
      <c r="BN836" s="35"/>
      <c r="BO836" s="35"/>
      <c r="BP836" s="35"/>
      <c r="BQ836" s="35"/>
      <c r="BR836" s="35"/>
      <c r="BS836" s="35"/>
      <c r="BT836" s="35"/>
      <c r="BU836" s="35"/>
      <c r="BV836" s="35"/>
      <c r="BW836" s="35"/>
      <c r="BX836" s="35"/>
      <c r="BY836" s="35"/>
      <c r="BZ836" s="35"/>
      <c r="CA836" s="35"/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</row>
    <row r="837" spans="8:89" s="34" customFormat="1"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  <c r="BH837" s="35"/>
      <c r="BI837" s="35"/>
      <c r="BJ837" s="35"/>
      <c r="BK837" s="35"/>
      <c r="BL837" s="35"/>
      <c r="BM837" s="35"/>
      <c r="BN837" s="35"/>
      <c r="BO837" s="35"/>
      <c r="BP837" s="35"/>
      <c r="BQ837" s="35"/>
      <c r="BR837" s="35"/>
      <c r="BS837" s="35"/>
      <c r="BT837" s="35"/>
      <c r="BU837" s="35"/>
      <c r="BV837" s="35"/>
      <c r="BW837" s="35"/>
      <c r="BX837" s="35"/>
      <c r="BY837" s="35"/>
      <c r="BZ837" s="35"/>
      <c r="CA837" s="35"/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</row>
    <row r="838" spans="8:89" s="34" customFormat="1"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  <c r="BH838" s="35"/>
      <c r="BI838" s="35"/>
      <c r="BJ838" s="35"/>
      <c r="BK838" s="35"/>
      <c r="BL838" s="35"/>
      <c r="BM838" s="35"/>
      <c r="BN838" s="35"/>
      <c r="BO838" s="35"/>
      <c r="BP838" s="35"/>
      <c r="BQ838" s="35"/>
      <c r="BR838" s="35"/>
      <c r="BS838" s="35"/>
      <c r="BT838" s="35"/>
      <c r="BU838" s="35"/>
      <c r="BV838" s="35"/>
      <c r="BW838" s="35"/>
      <c r="BX838" s="35"/>
      <c r="BY838" s="35"/>
      <c r="BZ838" s="35"/>
      <c r="CA838" s="35"/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</row>
    <row r="839" spans="8:89" s="34" customFormat="1"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  <c r="BH839" s="35"/>
      <c r="BI839" s="35"/>
      <c r="BJ839" s="35"/>
      <c r="BK839" s="35"/>
      <c r="BL839" s="35"/>
      <c r="BM839" s="35"/>
      <c r="BN839" s="35"/>
      <c r="BO839" s="35"/>
      <c r="BP839" s="35"/>
      <c r="BQ839" s="35"/>
      <c r="BR839" s="35"/>
      <c r="BS839" s="35"/>
      <c r="BT839" s="35"/>
      <c r="BU839" s="35"/>
      <c r="BV839" s="35"/>
      <c r="BW839" s="35"/>
      <c r="BX839" s="35"/>
      <c r="BY839" s="35"/>
      <c r="BZ839" s="35"/>
      <c r="CA839" s="35"/>
      <c r="CB839" s="35"/>
      <c r="CC839" s="35"/>
      <c r="CD839" s="35"/>
      <c r="CE839" s="35"/>
      <c r="CF839" s="35"/>
      <c r="CG839" s="35"/>
      <c r="CH839" s="35"/>
      <c r="CI839" s="35"/>
      <c r="CJ839" s="35"/>
      <c r="CK839" s="35"/>
    </row>
    <row r="840" spans="8:89" s="34" customFormat="1"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  <c r="BH840" s="35"/>
      <c r="BI840" s="35"/>
      <c r="BJ840" s="35"/>
      <c r="BK840" s="35"/>
      <c r="BL840" s="35"/>
      <c r="BM840" s="35"/>
      <c r="BN840" s="35"/>
      <c r="BO840" s="35"/>
      <c r="BP840" s="35"/>
      <c r="BQ840" s="35"/>
      <c r="BR840" s="35"/>
      <c r="BS840" s="35"/>
      <c r="BT840" s="35"/>
      <c r="BU840" s="35"/>
      <c r="BV840" s="35"/>
      <c r="BW840" s="35"/>
      <c r="BX840" s="35"/>
      <c r="BY840" s="35"/>
      <c r="BZ840" s="35"/>
      <c r="CA840" s="35"/>
      <c r="CB840" s="35"/>
      <c r="CC840" s="35"/>
      <c r="CD840" s="35"/>
      <c r="CE840" s="35"/>
      <c r="CF840" s="35"/>
      <c r="CG840" s="35"/>
      <c r="CH840" s="35"/>
      <c r="CI840" s="35"/>
      <c r="CJ840" s="35"/>
      <c r="CK840" s="35"/>
    </row>
    <row r="841" spans="8:89" s="34" customFormat="1"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  <c r="BH841" s="35"/>
      <c r="BI841" s="35"/>
      <c r="BJ841" s="35"/>
      <c r="BK841" s="35"/>
      <c r="BL841" s="35"/>
      <c r="BM841" s="35"/>
      <c r="BN841" s="35"/>
      <c r="BO841" s="35"/>
      <c r="BP841" s="35"/>
      <c r="BQ841" s="35"/>
      <c r="BR841" s="35"/>
      <c r="BS841" s="35"/>
      <c r="BT841" s="35"/>
      <c r="BU841" s="35"/>
      <c r="BV841" s="35"/>
      <c r="BW841" s="35"/>
      <c r="BX841" s="35"/>
      <c r="BY841" s="35"/>
      <c r="BZ841" s="35"/>
      <c r="CA841" s="35"/>
      <c r="CB841" s="35"/>
      <c r="CC841" s="35"/>
      <c r="CD841" s="35"/>
      <c r="CE841" s="35"/>
      <c r="CF841" s="35"/>
      <c r="CG841" s="35"/>
      <c r="CH841" s="35"/>
      <c r="CI841" s="35"/>
      <c r="CJ841" s="35"/>
      <c r="CK841" s="35"/>
    </row>
    <row r="842" spans="8:89" s="34" customFormat="1"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  <c r="BH842" s="35"/>
      <c r="BI842" s="35"/>
      <c r="BJ842" s="35"/>
      <c r="BK842" s="35"/>
      <c r="BL842" s="35"/>
      <c r="BM842" s="35"/>
      <c r="BN842" s="35"/>
      <c r="BO842" s="35"/>
      <c r="BP842" s="35"/>
      <c r="BQ842" s="35"/>
      <c r="BR842" s="35"/>
      <c r="BS842" s="35"/>
      <c r="BT842" s="35"/>
      <c r="BU842" s="35"/>
      <c r="BV842" s="35"/>
      <c r="BW842" s="35"/>
      <c r="BX842" s="35"/>
      <c r="BY842" s="35"/>
      <c r="BZ842" s="35"/>
      <c r="CA842" s="35"/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</row>
    <row r="843" spans="8:89" s="34" customFormat="1"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  <c r="BH843" s="35"/>
      <c r="BI843" s="35"/>
      <c r="BJ843" s="35"/>
      <c r="BK843" s="35"/>
      <c r="BL843" s="35"/>
      <c r="BM843" s="35"/>
      <c r="BN843" s="35"/>
      <c r="BO843" s="35"/>
      <c r="BP843" s="35"/>
      <c r="BQ843" s="35"/>
      <c r="BR843" s="35"/>
      <c r="BS843" s="35"/>
      <c r="BT843" s="35"/>
      <c r="BU843" s="35"/>
      <c r="BV843" s="35"/>
      <c r="BW843" s="35"/>
      <c r="BX843" s="35"/>
      <c r="BY843" s="35"/>
      <c r="BZ843" s="35"/>
      <c r="CA843" s="35"/>
      <c r="CB843" s="35"/>
      <c r="CC843" s="35"/>
      <c r="CD843" s="35"/>
      <c r="CE843" s="35"/>
      <c r="CF843" s="35"/>
      <c r="CG843" s="35"/>
      <c r="CH843" s="35"/>
      <c r="CI843" s="35"/>
      <c r="CJ843" s="35"/>
      <c r="CK843" s="35"/>
    </row>
    <row r="844" spans="8:89" s="34" customFormat="1"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  <c r="BH844" s="35"/>
      <c r="BI844" s="35"/>
      <c r="BJ844" s="35"/>
      <c r="BK844" s="35"/>
      <c r="BL844" s="35"/>
      <c r="BM844" s="35"/>
      <c r="BN844" s="35"/>
      <c r="BO844" s="35"/>
      <c r="BP844" s="35"/>
      <c r="BQ844" s="35"/>
      <c r="BR844" s="35"/>
      <c r="BS844" s="35"/>
      <c r="BT844" s="35"/>
      <c r="BU844" s="35"/>
      <c r="BV844" s="35"/>
      <c r="BW844" s="35"/>
      <c r="BX844" s="35"/>
      <c r="BY844" s="35"/>
      <c r="BZ844" s="35"/>
      <c r="CA844" s="35"/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</row>
    <row r="845" spans="8:89" s="34" customFormat="1"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  <c r="BH845" s="35"/>
      <c r="BI845" s="35"/>
      <c r="BJ845" s="35"/>
      <c r="BK845" s="35"/>
      <c r="BL845" s="35"/>
      <c r="BM845" s="35"/>
      <c r="BN845" s="35"/>
      <c r="BO845" s="35"/>
      <c r="BP845" s="35"/>
      <c r="BQ845" s="35"/>
      <c r="BR845" s="35"/>
      <c r="BS845" s="35"/>
      <c r="BT845" s="35"/>
      <c r="BU845" s="35"/>
      <c r="BV845" s="35"/>
      <c r="BW845" s="35"/>
      <c r="BX845" s="35"/>
      <c r="BY845" s="35"/>
      <c r="BZ845" s="35"/>
      <c r="CA845" s="35"/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</row>
    <row r="846" spans="8:89" s="34" customFormat="1"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  <c r="BH846" s="35"/>
      <c r="BI846" s="35"/>
      <c r="BJ846" s="35"/>
      <c r="BK846" s="35"/>
      <c r="BL846" s="35"/>
      <c r="BM846" s="35"/>
      <c r="BN846" s="35"/>
      <c r="BO846" s="35"/>
      <c r="BP846" s="35"/>
      <c r="BQ846" s="35"/>
      <c r="BR846" s="35"/>
      <c r="BS846" s="35"/>
      <c r="BT846" s="35"/>
      <c r="BU846" s="35"/>
      <c r="BV846" s="35"/>
      <c r="BW846" s="35"/>
      <c r="BX846" s="35"/>
      <c r="BY846" s="35"/>
      <c r="BZ846" s="35"/>
      <c r="CA846" s="35"/>
      <c r="CB846" s="35"/>
      <c r="CC846" s="35"/>
      <c r="CD846" s="35"/>
      <c r="CE846" s="35"/>
      <c r="CF846" s="35"/>
      <c r="CG846" s="35"/>
      <c r="CH846" s="35"/>
      <c r="CI846" s="35"/>
      <c r="CJ846" s="35"/>
      <c r="CK846" s="35"/>
    </row>
    <row r="847" spans="8:89" s="34" customFormat="1"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  <c r="BH847" s="35"/>
      <c r="BI847" s="35"/>
      <c r="BJ847" s="35"/>
      <c r="BK847" s="35"/>
      <c r="BL847" s="35"/>
      <c r="BM847" s="35"/>
      <c r="BN847" s="35"/>
      <c r="BO847" s="35"/>
      <c r="BP847" s="35"/>
      <c r="BQ847" s="35"/>
      <c r="BR847" s="35"/>
      <c r="BS847" s="35"/>
      <c r="BT847" s="35"/>
      <c r="BU847" s="35"/>
      <c r="BV847" s="35"/>
      <c r="BW847" s="35"/>
      <c r="BX847" s="35"/>
      <c r="BY847" s="35"/>
      <c r="BZ847" s="35"/>
      <c r="CA847" s="35"/>
      <c r="CB847" s="35"/>
      <c r="CC847" s="35"/>
      <c r="CD847" s="35"/>
      <c r="CE847" s="35"/>
      <c r="CF847" s="35"/>
      <c r="CG847" s="35"/>
      <c r="CH847" s="35"/>
      <c r="CI847" s="35"/>
      <c r="CJ847" s="35"/>
      <c r="CK847" s="35"/>
    </row>
    <row r="848" spans="8:89" s="34" customFormat="1"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  <c r="BH848" s="35"/>
      <c r="BI848" s="35"/>
      <c r="BJ848" s="35"/>
      <c r="BK848" s="35"/>
      <c r="BL848" s="35"/>
      <c r="BM848" s="35"/>
      <c r="BN848" s="35"/>
      <c r="BO848" s="35"/>
      <c r="BP848" s="35"/>
      <c r="BQ848" s="35"/>
      <c r="BR848" s="35"/>
      <c r="BS848" s="35"/>
      <c r="BT848" s="35"/>
      <c r="BU848" s="35"/>
      <c r="BV848" s="35"/>
      <c r="BW848" s="35"/>
      <c r="BX848" s="35"/>
      <c r="BY848" s="35"/>
      <c r="BZ848" s="35"/>
      <c r="CA848" s="35"/>
      <c r="CB848" s="35"/>
      <c r="CC848" s="35"/>
      <c r="CD848" s="35"/>
      <c r="CE848" s="35"/>
      <c r="CF848" s="35"/>
      <c r="CG848" s="35"/>
      <c r="CH848" s="35"/>
      <c r="CI848" s="35"/>
      <c r="CJ848" s="35"/>
      <c r="CK848" s="35"/>
    </row>
    <row r="849" spans="8:89" s="34" customFormat="1"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  <c r="BH849" s="35"/>
      <c r="BI849" s="35"/>
      <c r="BJ849" s="35"/>
      <c r="BK849" s="35"/>
      <c r="BL849" s="35"/>
      <c r="BM849" s="35"/>
      <c r="BN849" s="35"/>
      <c r="BO849" s="35"/>
      <c r="BP849" s="35"/>
      <c r="BQ849" s="35"/>
      <c r="BR849" s="35"/>
      <c r="BS849" s="35"/>
      <c r="BT849" s="35"/>
      <c r="BU849" s="35"/>
      <c r="BV849" s="35"/>
      <c r="BW849" s="35"/>
      <c r="BX849" s="35"/>
      <c r="BY849" s="35"/>
      <c r="BZ849" s="35"/>
      <c r="CA849" s="35"/>
      <c r="CB849" s="35"/>
      <c r="CC849" s="35"/>
      <c r="CD849" s="35"/>
      <c r="CE849" s="35"/>
      <c r="CF849" s="35"/>
      <c r="CG849" s="35"/>
      <c r="CH849" s="35"/>
      <c r="CI849" s="35"/>
      <c r="CJ849" s="35"/>
      <c r="CK849" s="35"/>
    </row>
    <row r="850" spans="8:89" s="34" customFormat="1"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  <c r="BH850" s="35"/>
      <c r="BI850" s="35"/>
      <c r="BJ850" s="35"/>
      <c r="BK850" s="35"/>
      <c r="BL850" s="35"/>
      <c r="BM850" s="35"/>
      <c r="BN850" s="35"/>
      <c r="BO850" s="35"/>
      <c r="BP850" s="35"/>
      <c r="BQ850" s="35"/>
      <c r="BR850" s="35"/>
      <c r="BS850" s="35"/>
      <c r="BT850" s="35"/>
      <c r="BU850" s="35"/>
      <c r="BV850" s="35"/>
      <c r="BW850" s="35"/>
      <c r="BX850" s="35"/>
      <c r="BY850" s="35"/>
      <c r="BZ850" s="35"/>
      <c r="CA850" s="35"/>
      <c r="CB850" s="35"/>
      <c r="CC850" s="35"/>
      <c r="CD850" s="35"/>
      <c r="CE850" s="35"/>
      <c r="CF850" s="35"/>
      <c r="CG850" s="35"/>
      <c r="CH850" s="35"/>
      <c r="CI850" s="35"/>
      <c r="CJ850" s="35"/>
      <c r="CK850" s="35"/>
    </row>
    <row r="851" spans="8:89" s="34" customFormat="1"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/>
      <c r="BE851" s="35"/>
      <c r="BF851" s="35"/>
      <c r="BG851" s="35"/>
      <c r="BH851" s="35"/>
      <c r="BI851" s="35"/>
      <c r="BJ851" s="35"/>
      <c r="BK851" s="35"/>
      <c r="BL851" s="35"/>
      <c r="BM851" s="35"/>
      <c r="BN851" s="35"/>
      <c r="BO851" s="35"/>
      <c r="BP851" s="35"/>
      <c r="BQ851" s="35"/>
      <c r="BR851" s="35"/>
      <c r="BS851" s="35"/>
      <c r="BT851" s="35"/>
      <c r="BU851" s="35"/>
      <c r="BV851" s="35"/>
      <c r="BW851" s="35"/>
      <c r="BX851" s="35"/>
      <c r="BY851" s="35"/>
      <c r="BZ851" s="35"/>
      <c r="CA851" s="35"/>
      <c r="CB851" s="35"/>
      <c r="CC851" s="35"/>
      <c r="CD851" s="35"/>
      <c r="CE851" s="35"/>
      <c r="CF851" s="35"/>
      <c r="CG851" s="35"/>
      <c r="CH851" s="35"/>
      <c r="CI851" s="35"/>
      <c r="CJ851" s="35"/>
      <c r="CK851" s="35"/>
    </row>
    <row r="852" spans="8:89" s="34" customFormat="1"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  <c r="BH852" s="35"/>
      <c r="BI852" s="35"/>
      <c r="BJ852" s="35"/>
      <c r="BK852" s="35"/>
      <c r="BL852" s="35"/>
      <c r="BM852" s="35"/>
      <c r="BN852" s="35"/>
      <c r="BO852" s="35"/>
      <c r="BP852" s="35"/>
      <c r="BQ852" s="35"/>
      <c r="BR852" s="35"/>
      <c r="BS852" s="35"/>
      <c r="BT852" s="35"/>
      <c r="BU852" s="35"/>
      <c r="BV852" s="35"/>
      <c r="BW852" s="35"/>
      <c r="BX852" s="35"/>
      <c r="BY852" s="35"/>
      <c r="BZ852" s="35"/>
      <c r="CA852" s="35"/>
      <c r="CB852" s="35"/>
      <c r="CC852" s="35"/>
      <c r="CD852" s="35"/>
      <c r="CE852" s="35"/>
      <c r="CF852" s="35"/>
      <c r="CG852" s="35"/>
      <c r="CH852" s="35"/>
      <c r="CI852" s="35"/>
      <c r="CJ852" s="35"/>
      <c r="CK852" s="35"/>
    </row>
    <row r="853" spans="8:89" s="34" customFormat="1"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  <c r="BH853" s="35"/>
      <c r="BI853" s="35"/>
      <c r="BJ853" s="35"/>
      <c r="BK853" s="35"/>
      <c r="BL853" s="35"/>
      <c r="BM853" s="35"/>
      <c r="BN853" s="35"/>
      <c r="BO853" s="35"/>
      <c r="BP853" s="35"/>
      <c r="BQ853" s="35"/>
      <c r="BR853" s="35"/>
      <c r="BS853" s="35"/>
      <c r="BT853" s="35"/>
      <c r="BU853" s="35"/>
      <c r="BV853" s="35"/>
      <c r="BW853" s="35"/>
      <c r="BX853" s="35"/>
      <c r="BY853" s="35"/>
      <c r="BZ853" s="35"/>
      <c r="CA853" s="35"/>
      <c r="CB853" s="35"/>
      <c r="CC853" s="35"/>
      <c r="CD853" s="35"/>
      <c r="CE853" s="35"/>
      <c r="CF853" s="35"/>
      <c r="CG853" s="35"/>
      <c r="CH853" s="35"/>
      <c r="CI853" s="35"/>
      <c r="CJ853" s="35"/>
      <c r="CK853" s="35"/>
    </row>
    <row r="854" spans="8:89" s="34" customFormat="1"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/>
      <c r="BE854" s="35"/>
      <c r="BF854" s="35"/>
      <c r="BG854" s="35"/>
      <c r="BH854" s="35"/>
      <c r="BI854" s="35"/>
      <c r="BJ854" s="35"/>
      <c r="BK854" s="35"/>
      <c r="BL854" s="35"/>
      <c r="BM854" s="35"/>
      <c r="BN854" s="35"/>
      <c r="BO854" s="35"/>
      <c r="BP854" s="35"/>
      <c r="BQ854" s="35"/>
      <c r="BR854" s="35"/>
      <c r="BS854" s="35"/>
      <c r="BT854" s="35"/>
      <c r="BU854" s="35"/>
      <c r="BV854" s="35"/>
      <c r="BW854" s="35"/>
      <c r="BX854" s="35"/>
      <c r="BY854" s="35"/>
      <c r="BZ854" s="35"/>
      <c r="CA854" s="35"/>
      <c r="CB854" s="35"/>
      <c r="CC854" s="35"/>
      <c r="CD854" s="35"/>
      <c r="CE854" s="35"/>
      <c r="CF854" s="35"/>
      <c r="CG854" s="35"/>
      <c r="CH854" s="35"/>
      <c r="CI854" s="35"/>
      <c r="CJ854" s="35"/>
      <c r="CK854" s="35"/>
    </row>
    <row r="855" spans="8:89" s="34" customFormat="1"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/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  <c r="BH855" s="35"/>
      <c r="BI855" s="35"/>
      <c r="BJ855" s="35"/>
      <c r="BK855" s="35"/>
      <c r="BL855" s="35"/>
      <c r="BM855" s="35"/>
      <c r="BN855" s="35"/>
      <c r="BO855" s="35"/>
      <c r="BP855" s="35"/>
      <c r="BQ855" s="35"/>
      <c r="BR855" s="35"/>
      <c r="BS855" s="35"/>
      <c r="BT855" s="35"/>
      <c r="BU855" s="35"/>
      <c r="BV855" s="35"/>
      <c r="BW855" s="35"/>
      <c r="BX855" s="35"/>
      <c r="BY855" s="35"/>
      <c r="BZ855" s="35"/>
      <c r="CA855" s="35"/>
      <c r="CB855" s="35"/>
      <c r="CC855" s="35"/>
      <c r="CD855" s="35"/>
      <c r="CE855" s="35"/>
      <c r="CF855" s="35"/>
      <c r="CG855" s="35"/>
      <c r="CH855" s="35"/>
      <c r="CI855" s="35"/>
      <c r="CJ855" s="35"/>
      <c r="CK855" s="35"/>
    </row>
    <row r="856" spans="8:89" s="34" customFormat="1"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  <c r="BH856" s="35"/>
      <c r="BI856" s="35"/>
      <c r="BJ856" s="35"/>
      <c r="BK856" s="35"/>
      <c r="BL856" s="35"/>
      <c r="BM856" s="35"/>
      <c r="BN856" s="35"/>
      <c r="BO856" s="35"/>
      <c r="BP856" s="35"/>
      <c r="BQ856" s="35"/>
      <c r="BR856" s="35"/>
      <c r="BS856" s="35"/>
      <c r="BT856" s="35"/>
      <c r="BU856" s="35"/>
      <c r="BV856" s="35"/>
      <c r="BW856" s="35"/>
      <c r="BX856" s="35"/>
      <c r="BY856" s="35"/>
      <c r="BZ856" s="35"/>
      <c r="CA856" s="35"/>
      <c r="CB856" s="35"/>
      <c r="CC856" s="35"/>
      <c r="CD856" s="35"/>
      <c r="CE856" s="35"/>
      <c r="CF856" s="35"/>
      <c r="CG856" s="35"/>
      <c r="CH856" s="35"/>
      <c r="CI856" s="35"/>
      <c r="CJ856" s="35"/>
      <c r="CK856" s="35"/>
    </row>
    <row r="857" spans="8:89" s="34" customFormat="1"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  <c r="BH857" s="35"/>
      <c r="BI857" s="35"/>
      <c r="BJ857" s="35"/>
      <c r="BK857" s="35"/>
      <c r="BL857" s="35"/>
      <c r="BM857" s="35"/>
      <c r="BN857" s="35"/>
      <c r="BO857" s="35"/>
      <c r="BP857" s="35"/>
      <c r="BQ857" s="35"/>
      <c r="BR857" s="35"/>
      <c r="BS857" s="35"/>
      <c r="BT857" s="35"/>
      <c r="BU857" s="35"/>
      <c r="BV857" s="35"/>
      <c r="BW857" s="35"/>
      <c r="BX857" s="35"/>
      <c r="BY857" s="35"/>
      <c r="BZ857" s="35"/>
      <c r="CA857" s="35"/>
      <c r="CB857" s="35"/>
      <c r="CC857" s="35"/>
      <c r="CD857" s="35"/>
      <c r="CE857" s="35"/>
      <c r="CF857" s="35"/>
      <c r="CG857" s="35"/>
      <c r="CH857" s="35"/>
      <c r="CI857" s="35"/>
      <c r="CJ857" s="35"/>
      <c r="CK857" s="35"/>
    </row>
    <row r="858" spans="8:89" s="34" customFormat="1"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  <c r="BH858" s="35"/>
      <c r="BI858" s="35"/>
      <c r="BJ858" s="35"/>
      <c r="BK858" s="35"/>
      <c r="BL858" s="35"/>
      <c r="BM858" s="35"/>
      <c r="BN858" s="35"/>
      <c r="BO858" s="35"/>
      <c r="BP858" s="35"/>
      <c r="BQ858" s="35"/>
      <c r="BR858" s="35"/>
      <c r="BS858" s="35"/>
      <c r="BT858" s="35"/>
      <c r="BU858" s="35"/>
      <c r="BV858" s="35"/>
      <c r="BW858" s="35"/>
      <c r="BX858" s="35"/>
      <c r="BY858" s="35"/>
      <c r="BZ858" s="35"/>
      <c r="CA858" s="35"/>
      <c r="CB858" s="35"/>
      <c r="CC858" s="35"/>
      <c r="CD858" s="35"/>
      <c r="CE858" s="35"/>
      <c r="CF858" s="35"/>
      <c r="CG858" s="35"/>
      <c r="CH858" s="35"/>
      <c r="CI858" s="35"/>
      <c r="CJ858" s="35"/>
      <c r="CK858" s="35"/>
    </row>
    <row r="859" spans="8:89" s="34" customFormat="1"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  <c r="BH859" s="35"/>
      <c r="BI859" s="35"/>
      <c r="BJ859" s="35"/>
      <c r="BK859" s="35"/>
      <c r="BL859" s="35"/>
      <c r="BM859" s="35"/>
      <c r="BN859" s="35"/>
      <c r="BO859" s="35"/>
      <c r="BP859" s="35"/>
      <c r="BQ859" s="35"/>
      <c r="BR859" s="35"/>
      <c r="BS859" s="35"/>
      <c r="BT859" s="35"/>
      <c r="BU859" s="35"/>
      <c r="BV859" s="35"/>
      <c r="BW859" s="35"/>
      <c r="BX859" s="35"/>
      <c r="BY859" s="35"/>
      <c r="BZ859" s="35"/>
      <c r="CA859" s="35"/>
      <c r="CB859" s="35"/>
      <c r="CC859" s="35"/>
      <c r="CD859" s="35"/>
      <c r="CE859" s="35"/>
      <c r="CF859" s="35"/>
      <c r="CG859" s="35"/>
      <c r="CH859" s="35"/>
      <c r="CI859" s="35"/>
      <c r="CJ859" s="35"/>
      <c r="CK859" s="35"/>
    </row>
    <row r="860" spans="8:89" s="34" customFormat="1"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  <c r="BH860" s="35"/>
      <c r="BI860" s="35"/>
      <c r="BJ860" s="35"/>
      <c r="BK860" s="35"/>
      <c r="BL860" s="35"/>
      <c r="BM860" s="35"/>
      <c r="BN860" s="35"/>
      <c r="BO860" s="35"/>
      <c r="BP860" s="35"/>
      <c r="BQ860" s="35"/>
      <c r="BR860" s="35"/>
      <c r="BS860" s="35"/>
      <c r="BT860" s="35"/>
      <c r="BU860" s="35"/>
      <c r="BV860" s="35"/>
      <c r="BW860" s="35"/>
      <c r="BX860" s="35"/>
      <c r="BY860" s="35"/>
      <c r="BZ860" s="35"/>
      <c r="CA860" s="35"/>
      <c r="CB860" s="35"/>
      <c r="CC860" s="35"/>
      <c r="CD860" s="35"/>
      <c r="CE860" s="35"/>
      <c r="CF860" s="35"/>
      <c r="CG860" s="35"/>
      <c r="CH860" s="35"/>
      <c r="CI860" s="35"/>
      <c r="CJ860" s="35"/>
      <c r="CK860" s="35"/>
    </row>
    <row r="861" spans="8:89" s="34" customFormat="1"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  <c r="BH861" s="35"/>
      <c r="BI861" s="35"/>
      <c r="BJ861" s="35"/>
      <c r="BK861" s="35"/>
      <c r="BL861" s="35"/>
      <c r="BM861" s="35"/>
      <c r="BN861" s="35"/>
      <c r="BO861" s="35"/>
      <c r="BP861" s="35"/>
      <c r="BQ861" s="35"/>
      <c r="BR861" s="35"/>
      <c r="BS861" s="35"/>
      <c r="BT861" s="35"/>
      <c r="BU861" s="35"/>
      <c r="BV861" s="35"/>
      <c r="BW861" s="35"/>
      <c r="BX861" s="35"/>
      <c r="BY861" s="35"/>
      <c r="BZ861" s="35"/>
      <c r="CA861" s="35"/>
      <c r="CB861" s="35"/>
      <c r="CC861" s="35"/>
      <c r="CD861" s="35"/>
      <c r="CE861" s="35"/>
      <c r="CF861" s="35"/>
      <c r="CG861" s="35"/>
      <c r="CH861" s="35"/>
      <c r="CI861" s="35"/>
      <c r="CJ861" s="35"/>
      <c r="CK861" s="35"/>
    </row>
    <row r="862" spans="8:89" s="34" customFormat="1"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  <c r="BH862" s="35"/>
      <c r="BI862" s="35"/>
      <c r="BJ862" s="35"/>
      <c r="BK862" s="35"/>
      <c r="BL862" s="35"/>
      <c r="BM862" s="35"/>
      <c r="BN862" s="35"/>
      <c r="BO862" s="35"/>
      <c r="BP862" s="35"/>
      <c r="BQ862" s="35"/>
      <c r="BR862" s="35"/>
      <c r="BS862" s="35"/>
      <c r="BT862" s="35"/>
      <c r="BU862" s="35"/>
      <c r="BV862" s="35"/>
      <c r="BW862" s="35"/>
      <c r="BX862" s="35"/>
      <c r="BY862" s="35"/>
      <c r="BZ862" s="35"/>
      <c r="CA862" s="35"/>
      <c r="CB862" s="35"/>
      <c r="CC862" s="35"/>
      <c r="CD862" s="35"/>
      <c r="CE862" s="35"/>
      <c r="CF862" s="35"/>
      <c r="CG862" s="35"/>
      <c r="CH862" s="35"/>
      <c r="CI862" s="35"/>
      <c r="CJ862" s="35"/>
      <c r="CK862" s="35"/>
    </row>
    <row r="863" spans="8:89" s="34" customFormat="1"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  <c r="BH863" s="35"/>
      <c r="BI863" s="35"/>
      <c r="BJ863" s="35"/>
      <c r="BK863" s="35"/>
      <c r="BL863" s="35"/>
      <c r="BM863" s="35"/>
      <c r="BN863" s="35"/>
      <c r="BO863" s="35"/>
      <c r="BP863" s="35"/>
      <c r="BQ863" s="35"/>
      <c r="BR863" s="35"/>
      <c r="BS863" s="35"/>
      <c r="BT863" s="35"/>
      <c r="BU863" s="35"/>
      <c r="BV863" s="35"/>
      <c r="BW863" s="35"/>
      <c r="BX863" s="35"/>
      <c r="BY863" s="35"/>
      <c r="BZ863" s="35"/>
      <c r="CA863" s="35"/>
      <c r="CB863" s="35"/>
      <c r="CC863" s="35"/>
      <c r="CD863" s="35"/>
      <c r="CE863" s="35"/>
      <c r="CF863" s="35"/>
      <c r="CG863" s="35"/>
      <c r="CH863" s="35"/>
      <c r="CI863" s="35"/>
      <c r="CJ863" s="35"/>
      <c r="CK863" s="35"/>
    </row>
    <row r="864" spans="8:89" s="34" customFormat="1"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  <c r="BH864" s="35"/>
      <c r="BI864" s="35"/>
      <c r="BJ864" s="35"/>
      <c r="BK864" s="35"/>
      <c r="BL864" s="35"/>
      <c r="BM864" s="35"/>
      <c r="BN864" s="35"/>
      <c r="BO864" s="35"/>
      <c r="BP864" s="35"/>
      <c r="BQ864" s="35"/>
      <c r="BR864" s="35"/>
      <c r="BS864" s="35"/>
      <c r="BT864" s="35"/>
      <c r="BU864" s="35"/>
      <c r="BV864" s="35"/>
      <c r="BW864" s="35"/>
      <c r="BX864" s="35"/>
      <c r="BY864" s="35"/>
      <c r="BZ864" s="35"/>
      <c r="CA864" s="35"/>
      <c r="CB864" s="35"/>
      <c r="CC864" s="35"/>
      <c r="CD864" s="35"/>
      <c r="CE864" s="35"/>
      <c r="CF864" s="35"/>
      <c r="CG864" s="35"/>
      <c r="CH864" s="35"/>
      <c r="CI864" s="35"/>
      <c r="CJ864" s="35"/>
      <c r="CK864" s="35"/>
    </row>
    <row r="865" spans="8:89" s="34" customFormat="1"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  <c r="BH865" s="35"/>
      <c r="BI865" s="35"/>
      <c r="BJ865" s="35"/>
      <c r="BK865" s="35"/>
      <c r="BL865" s="35"/>
      <c r="BM865" s="35"/>
      <c r="BN865" s="35"/>
      <c r="BO865" s="35"/>
      <c r="BP865" s="35"/>
      <c r="BQ865" s="35"/>
      <c r="BR865" s="35"/>
      <c r="BS865" s="35"/>
      <c r="BT865" s="35"/>
      <c r="BU865" s="35"/>
      <c r="BV865" s="35"/>
      <c r="BW865" s="35"/>
      <c r="BX865" s="35"/>
      <c r="BY865" s="35"/>
      <c r="BZ865" s="35"/>
      <c r="CA865" s="35"/>
      <c r="CB865" s="35"/>
      <c r="CC865" s="35"/>
      <c r="CD865" s="35"/>
      <c r="CE865" s="35"/>
      <c r="CF865" s="35"/>
      <c r="CG865" s="35"/>
      <c r="CH865" s="35"/>
      <c r="CI865" s="35"/>
      <c r="CJ865" s="35"/>
      <c r="CK865" s="35"/>
    </row>
    <row r="866" spans="8:89" s="34" customFormat="1"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/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/>
      <c r="BF866" s="35"/>
      <c r="BG866" s="35"/>
      <c r="BH866" s="35"/>
      <c r="BI866" s="35"/>
      <c r="BJ866" s="35"/>
      <c r="BK866" s="35"/>
      <c r="BL866" s="35"/>
      <c r="BM866" s="35"/>
      <c r="BN866" s="35"/>
      <c r="BO866" s="35"/>
      <c r="BP866" s="35"/>
      <c r="BQ866" s="35"/>
      <c r="BR866" s="35"/>
      <c r="BS866" s="35"/>
      <c r="BT866" s="35"/>
      <c r="BU866" s="35"/>
      <c r="BV866" s="35"/>
      <c r="BW866" s="35"/>
      <c r="BX866" s="35"/>
      <c r="BY866" s="35"/>
      <c r="BZ866" s="35"/>
      <c r="CA866" s="35"/>
      <c r="CB866" s="35"/>
      <c r="CC866" s="35"/>
      <c r="CD866" s="35"/>
      <c r="CE866" s="35"/>
      <c r="CF866" s="35"/>
      <c r="CG866" s="35"/>
      <c r="CH866" s="35"/>
      <c r="CI866" s="35"/>
      <c r="CJ866" s="35"/>
      <c r="CK866" s="35"/>
    </row>
    <row r="867" spans="8:89" s="34" customFormat="1"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  <c r="BH867" s="35"/>
      <c r="BI867" s="35"/>
      <c r="BJ867" s="35"/>
      <c r="BK867" s="35"/>
      <c r="BL867" s="35"/>
      <c r="BM867" s="35"/>
      <c r="BN867" s="35"/>
      <c r="BO867" s="35"/>
      <c r="BP867" s="35"/>
      <c r="BQ867" s="35"/>
      <c r="BR867" s="35"/>
      <c r="BS867" s="35"/>
      <c r="BT867" s="35"/>
      <c r="BU867" s="35"/>
      <c r="BV867" s="35"/>
      <c r="BW867" s="35"/>
      <c r="BX867" s="35"/>
      <c r="BY867" s="35"/>
      <c r="BZ867" s="35"/>
      <c r="CA867" s="35"/>
      <c r="CB867" s="35"/>
      <c r="CC867" s="35"/>
      <c r="CD867" s="35"/>
      <c r="CE867" s="35"/>
      <c r="CF867" s="35"/>
      <c r="CG867" s="35"/>
      <c r="CH867" s="35"/>
      <c r="CI867" s="35"/>
      <c r="CJ867" s="35"/>
      <c r="CK867" s="35"/>
    </row>
    <row r="868" spans="8:89" s="34" customFormat="1"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  <c r="BH868" s="35"/>
      <c r="BI868" s="35"/>
      <c r="BJ868" s="35"/>
      <c r="BK868" s="35"/>
      <c r="BL868" s="35"/>
      <c r="BM868" s="35"/>
      <c r="BN868" s="35"/>
      <c r="BO868" s="35"/>
      <c r="BP868" s="35"/>
      <c r="BQ868" s="35"/>
      <c r="BR868" s="35"/>
      <c r="BS868" s="35"/>
      <c r="BT868" s="35"/>
      <c r="BU868" s="35"/>
      <c r="BV868" s="35"/>
      <c r="BW868" s="35"/>
      <c r="BX868" s="35"/>
      <c r="BY868" s="35"/>
      <c r="BZ868" s="35"/>
      <c r="CA868" s="35"/>
      <c r="CB868" s="35"/>
      <c r="CC868" s="35"/>
      <c r="CD868" s="35"/>
      <c r="CE868" s="35"/>
      <c r="CF868" s="35"/>
      <c r="CG868" s="35"/>
      <c r="CH868" s="35"/>
      <c r="CI868" s="35"/>
      <c r="CJ868" s="35"/>
      <c r="CK868" s="35"/>
    </row>
    <row r="869" spans="8:89" s="34" customFormat="1"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  <c r="BH869" s="35"/>
      <c r="BI869" s="35"/>
      <c r="BJ869" s="35"/>
      <c r="BK869" s="35"/>
      <c r="BL869" s="35"/>
      <c r="BM869" s="35"/>
      <c r="BN869" s="35"/>
      <c r="BO869" s="35"/>
      <c r="BP869" s="35"/>
      <c r="BQ869" s="35"/>
      <c r="BR869" s="35"/>
      <c r="BS869" s="35"/>
      <c r="BT869" s="35"/>
      <c r="BU869" s="35"/>
      <c r="BV869" s="35"/>
      <c r="BW869" s="35"/>
      <c r="BX869" s="35"/>
      <c r="BY869" s="35"/>
      <c r="BZ869" s="35"/>
      <c r="CA869" s="35"/>
      <c r="CB869" s="35"/>
      <c r="CC869" s="35"/>
      <c r="CD869" s="35"/>
      <c r="CE869" s="35"/>
      <c r="CF869" s="35"/>
      <c r="CG869" s="35"/>
      <c r="CH869" s="35"/>
      <c r="CI869" s="35"/>
      <c r="CJ869" s="35"/>
      <c r="CK869" s="35"/>
    </row>
    <row r="870" spans="8:89" s="34" customFormat="1"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  <c r="BH870" s="35"/>
      <c r="BI870" s="35"/>
      <c r="BJ870" s="35"/>
      <c r="BK870" s="35"/>
      <c r="BL870" s="35"/>
      <c r="BM870" s="35"/>
      <c r="BN870" s="35"/>
      <c r="BO870" s="35"/>
      <c r="BP870" s="35"/>
      <c r="BQ870" s="35"/>
      <c r="BR870" s="35"/>
      <c r="BS870" s="35"/>
      <c r="BT870" s="35"/>
      <c r="BU870" s="35"/>
      <c r="BV870" s="35"/>
      <c r="BW870" s="35"/>
      <c r="BX870" s="35"/>
      <c r="BY870" s="35"/>
      <c r="BZ870" s="35"/>
      <c r="CA870" s="35"/>
      <c r="CB870" s="35"/>
      <c r="CC870" s="35"/>
      <c r="CD870" s="35"/>
      <c r="CE870" s="35"/>
      <c r="CF870" s="35"/>
      <c r="CG870" s="35"/>
      <c r="CH870" s="35"/>
      <c r="CI870" s="35"/>
      <c r="CJ870" s="35"/>
      <c r="CK870" s="35"/>
    </row>
    <row r="871" spans="8:89" s="34" customFormat="1"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  <c r="BH871" s="35"/>
      <c r="BI871" s="35"/>
      <c r="BJ871" s="35"/>
      <c r="BK871" s="35"/>
      <c r="BL871" s="35"/>
      <c r="BM871" s="35"/>
      <c r="BN871" s="35"/>
      <c r="BO871" s="35"/>
      <c r="BP871" s="35"/>
      <c r="BQ871" s="35"/>
      <c r="BR871" s="35"/>
      <c r="BS871" s="35"/>
      <c r="BT871" s="35"/>
      <c r="BU871" s="35"/>
      <c r="BV871" s="35"/>
      <c r="BW871" s="35"/>
      <c r="BX871" s="35"/>
      <c r="BY871" s="35"/>
      <c r="BZ871" s="35"/>
      <c r="CA871" s="35"/>
      <c r="CB871" s="35"/>
      <c r="CC871" s="35"/>
      <c r="CD871" s="35"/>
      <c r="CE871" s="35"/>
      <c r="CF871" s="35"/>
      <c r="CG871" s="35"/>
      <c r="CH871" s="35"/>
      <c r="CI871" s="35"/>
      <c r="CJ871" s="35"/>
      <c r="CK871" s="35"/>
    </row>
    <row r="872" spans="8:89" s="34" customFormat="1"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  <c r="BH872" s="35"/>
      <c r="BI872" s="35"/>
      <c r="BJ872" s="35"/>
      <c r="BK872" s="35"/>
      <c r="BL872" s="35"/>
      <c r="BM872" s="35"/>
      <c r="BN872" s="35"/>
      <c r="BO872" s="35"/>
      <c r="BP872" s="35"/>
      <c r="BQ872" s="35"/>
      <c r="BR872" s="35"/>
      <c r="BS872" s="35"/>
      <c r="BT872" s="35"/>
      <c r="BU872" s="35"/>
      <c r="BV872" s="35"/>
      <c r="BW872" s="35"/>
      <c r="BX872" s="35"/>
      <c r="BY872" s="35"/>
      <c r="BZ872" s="35"/>
      <c r="CA872" s="35"/>
      <c r="CB872" s="35"/>
      <c r="CC872" s="35"/>
      <c r="CD872" s="35"/>
      <c r="CE872" s="35"/>
      <c r="CF872" s="35"/>
      <c r="CG872" s="35"/>
      <c r="CH872" s="35"/>
      <c r="CI872" s="35"/>
      <c r="CJ872" s="35"/>
      <c r="CK872" s="35"/>
    </row>
    <row r="873" spans="8:89" s="34" customFormat="1"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  <c r="BH873" s="35"/>
      <c r="BI873" s="35"/>
      <c r="BJ873" s="35"/>
      <c r="BK873" s="35"/>
      <c r="BL873" s="35"/>
      <c r="BM873" s="35"/>
      <c r="BN873" s="35"/>
      <c r="BO873" s="35"/>
      <c r="BP873" s="35"/>
      <c r="BQ873" s="35"/>
      <c r="BR873" s="35"/>
      <c r="BS873" s="35"/>
      <c r="BT873" s="35"/>
      <c r="BU873" s="35"/>
      <c r="BV873" s="35"/>
      <c r="BW873" s="35"/>
      <c r="BX873" s="35"/>
      <c r="BY873" s="35"/>
      <c r="BZ873" s="35"/>
      <c r="CA873" s="35"/>
      <c r="CB873" s="35"/>
      <c r="CC873" s="35"/>
      <c r="CD873" s="35"/>
      <c r="CE873" s="35"/>
      <c r="CF873" s="35"/>
      <c r="CG873" s="35"/>
      <c r="CH873" s="35"/>
      <c r="CI873" s="35"/>
      <c r="CJ873" s="35"/>
      <c r="CK873" s="35"/>
    </row>
    <row r="874" spans="8:89" s="34" customFormat="1"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  <c r="BH874" s="35"/>
      <c r="BI874" s="35"/>
      <c r="BJ874" s="35"/>
      <c r="BK874" s="35"/>
      <c r="BL874" s="35"/>
      <c r="BM874" s="35"/>
      <c r="BN874" s="35"/>
      <c r="BO874" s="35"/>
      <c r="BP874" s="35"/>
      <c r="BQ874" s="35"/>
      <c r="BR874" s="35"/>
      <c r="BS874" s="35"/>
      <c r="BT874" s="35"/>
      <c r="BU874" s="35"/>
      <c r="BV874" s="35"/>
      <c r="BW874" s="35"/>
      <c r="BX874" s="35"/>
      <c r="BY874" s="35"/>
      <c r="BZ874" s="35"/>
      <c r="CA874" s="35"/>
      <c r="CB874" s="35"/>
      <c r="CC874" s="35"/>
      <c r="CD874" s="35"/>
      <c r="CE874" s="35"/>
      <c r="CF874" s="35"/>
      <c r="CG874" s="35"/>
      <c r="CH874" s="35"/>
      <c r="CI874" s="35"/>
      <c r="CJ874" s="35"/>
      <c r="CK874" s="35"/>
    </row>
    <row r="875" spans="8:89" s="34" customFormat="1"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  <c r="BH875" s="35"/>
      <c r="BI875" s="35"/>
      <c r="BJ875" s="35"/>
      <c r="BK875" s="35"/>
      <c r="BL875" s="35"/>
      <c r="BM875" s="35"/>
      <c r="BN875" s="35"/>
      <c r="BO875" s="35"/>
      <c r="BP875" s="35"/>
      <c r="BQ875" s="35"/>
      <c r="BR875" s="35"/>
      <c r="BS875" s="35"/>
      <c r="BT875" s="35"/>
      <c r="BU875" s="35"/>
      <c r="BV875" s="35"/>
      <c r="BW875" s="35"/>
      <c r="BX875" s="35"/>
      <c r="BY875" s="35"/>
      <c r="BZ875" s="35"/>
      <c r="CA875" s="35"/>
      <c r="CB875" s="35"/>
      <c r="CC875" s="35"/>
      <c r="CD875" s="35"/>
      <c r="CE875" s="35"/>
      <c r="CF875" s="35"/>
      <c r="CG875" s="35"/>
      <c r="CH875" s="35"/>
      <c r="CI875" s="35"/>
      <c r="CJ875" s="35"/>
      <c r="CK875" s="35"/>
    </row>
    <row r="876" spans="8:89" s="34" customFormat="1"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  <c r="BH876" s="35"/>
      <c r="BI876" s="35"/>
      <c r="BJ876" s="35"/>
      <c r="BK876" s="35"/>
      <c r="BL876" s="35"/>
      <c r="BM876" s="35"/>
      <c r="BN876" s="35"/>
      <c r="BO876" s="35"/>
      <c r="BP876" s="35"/>
      <c r="BQ876" s="35"/>
      <c r="BR876" s="35"/>
      <c r="BS876" s="35"/>
      <c r="BT876" s="35"/>
      <c r="BU876" s="35"/>
      <c r="BV876" s="35"/>
      <c r="BW876" s="35"/>
      <c r="BX876" s="35"/>
      <c r="BY876" s="35"/>
      <c r="BZ876" s="35"/>
      <c r="CA876" s="35"/>
      <c r="CB876" s="35"/>
      <c r="CC876" s="35"/>
      <c r="CD876" s="35"/>
      <c r="CE876" s="35"/>
      <c r="CF876" s="35"/>
      <c r="CG876" s="35"/>
      <c r="CH876" s="35"/>
      <c r="CI876" s="35"/>
      <c r="CJ876" s="35"/>
      <c r="CK876" s="35"/>
    </row>
    <row r="877" spans="8:89" s="34" customFormat="1"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  <c r="BH877" s="35"/>
      <c r="BI877" s="35"/>
      <c r="BJ877" s="35"/>
      <c r="BK877" s="35"/>
      <c r="BL877" s="35"/>
      <c r="BM877" s="35"/>
      <c r="BN877" s="35"/>
      <c r="BO877" s="35"/>
      <c r="BP877" s="35"/>
      <c r="BQ877" s="35"/>
      <c r="BR877" s="35"/>
      <c r="BS877" s="35"/>
      <c r="BT877" s="35"/>
      <c r="BU877" s="35"/>
      <c r="BV877" s="35"/>
      <c r="BW877" s="35"/>
      <c r="BX877" s="35"/>
      <c r="BY877" s="35"/>
      <c r="BZ877" s="35"/>
      <c r="CA877" s="35"/>
      <c r="CB877" s="35"/>
      <c r="CC877" s="35"/>
      <c r="CD877" s="35"/>
      <c r="CE877" s="35"/>
      <c r="CF877" s="35"/>
      <c r="CG877" s="35"/>
      <c r="CH877" s="35"/>
      <c r="CI877" s="35"/>
      <c r="CJ877" s="35"/>
      <c r="CK877" s="35"/>
    </row>
    <row r="878" spans="8:89" s="34" customFormat="1"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/>
      <c r="AZ878" s="35"/>
      <c r="BA878" s="35"/>
      <c r="BB878" s="35"/>
      <c r="BC878" s="35"/>
      <c r="BD878" s="35"/>
      <c r="BE878" s="35"/>
      <c r="BF878" s="35"/>
      <c r="BG878" s="35"/>
      <c r="BH878" s="35"/>
      <c r="BI878" s="35"/>
      <c r="BJ878" s="35"/>
      <c r="BK878" s="35"/>
      <c r="BL878" s="35"/>
      <c r="BM878" s="35"/>
      <c r="BN878" s="35"/>
      <c r="BO878" s="35"/>
      <c r="BP878" s="35"/>
      <c r="BQ878" s="35"/>
      <c r="BR878" s="35"/>
      <c r="BS878" s="35"/>
      <c r="BT878" s="35"/>
      <c r="BU878" s="35"/>
      <c r="BV878" s="35"/>
      <c r="BW878" s="35"/>
      <c r="BX878" s="35"/>
      <c r="BY878" s="35"/>
      <c r="BZ878" s="35"/>
      <c r="CA878" s="35"/>
      <c r="CB878" s="35"/>
      <c r="CC878" s="35"/>
      <c r="CD878" s="35"/>
      <c r="CE878" s="35"/>
      <c r="CF878" s="35"/>
      <c r="CG878" s="35"/>
      <c r="CH878" s="35"/>
      <c r="CI878" s="35"/>
      <c r="CJ878" s="35"/>
      <c r="CK878" s="35"/>
    </row>
    <row r="879" spans="8:89" s="34" customFormat="1"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  <c r="BH879" s="35"/>
      <c r="BI879" s="35"/>
      <c r="BJ879" s="35"/>
      <c r="BK879" s="35"/>
      <c r="BL879" s="35"/>
      <c r="BM879" s="35"/>
      <c r="BN879" s="35"/>
      <c r="BO879" s="35"/>
      <c r="BP879" s="35"/>
      <c r="BQ879" s="35"/>
      <c r="BR879" s="35"/>
      <c r="BS879" s="35"/>
      <c r="BT879" s="35"/>
      <c r="BU879" s="35"/>
      <c r="BV879" s="35"/>
      <c r="BW879" s="35"/>
      <c r="BX879" s="35"/>
      <c r="BY879" s="35"/>
      <c r="BZ879" s="35"/>
      <c r="CA879" s="35"/>
      <c r="CB879" s="35"/>
      <c r="CC879" s="35"/>
      <c r="CD879" s="35"/>
      <c r="CE879" s="35"/>
      <c r="CF879" s="35"/>
      <c r="CG879" s="35"/>
      <c r="CH879" s="35"/>
      <c r="CI879" s="35"/>
      <c r="CJ879" s="35"/>
      <c r="CK879" s="35"/>
    </row>
    <row r="880" spans="8:89" s="34" customFormat="1"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  <c r="BH880" s="35"/>
      <c r="BI880" s="35"/>
      <c r="BJ880" s="35"/>
      <c r="BK880" s="35"/>
      <c r="BL880" s="35"/>
      <c r="BM880" s="35"/>
      <c r="BN880" s="35"/>
      <c r="BO880" s="35"/>
      <c r="BP880" s="35"/>
      <c r="BQ880" s="35"/>
      <c r="BR880" s="35"/>
      <c r="BS880" s="35"/>
      <c r="BT880" s="35"/>
      <c r="BU880" s="35"/>
      <c r="BV880" s="35"/>
      <c r="BW880" s="35"/>
      <c r="BX880" s="35"/>
      <c r="BY880" s="35"/>
      <c r="BZ880" s="35"/>
      <c r="CA880" s="35"/>
      <c r="CB880" s="35"/>
      <c r="CC880" s="35"/>
      <c r="CD880" s="35"/>
      <c r="CE880" s="35"/>
      <c r="CF880" s="35"/>
      <c r="CG880" s="35"/>
      <c r="CH880" s="35"/>
      <c r="CI880" s="35"/>
      <c r="CJ880" s="35"/>
      <c r="CK880" s="35"/>
    </row>
    <row r="881" spans="8:89" s="34" customFormat="1"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  <c r="BH881" s="35"/>
      <c r="BI881" s="35"/>
      <c r="BJ881" s="35"/>
      <c r="BK881" s="35"/>
      <c r="BL881" s="35"/>
      <c r="BM881" s="35"/>
      <c r="BN881" s="35"/>
      <c r="BO881" s="35"/>
      <c r="BP881" s="35"/>
      <c r="BQ881" s="35"/>
      <c r="BR881" s="35"/>
      <c r="BS881" s="35"/>
      <c r="BT881" s="35"/>
      <c r="BU881" s="35"/>
      <c r="BV881" s="35"/>
      <c r="BW881" s="35"/>
      <c r="BX881" s="35"/>
      <c r="BY881" s="35"/>
      <c r="BZ881" s="35"/>
      <c r="CA881" s="35"/>
      <c r="CB881" s="35"/>
      <c r="CC881" s="35"/>
      <c r="CD881" s="35"/>
      <c r="CE881" s="35"/>
      <c r="CF881" s="35"/>
      <c r="CG881" s="35"/>
      <c r="CH881" s="35"/>
      <c r="CI881" s="35"/>
      <c r="CJ881" s="35"/>
      <c r="CK881" s="35"/>
    </row>
    <row r="882" spans="8:89" s="34" customFormat="1"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/>
      <c r="BE882" s="35"/>
      <c r="BF882" s="35"/>
      <c r="BG882" s="35"/>
      <c r="BH882" s="35"/>
      <c r="BI882" s="35"/>
      <c r="BJ882" s="35"/>
      <c r="BK882" s="35"/>
      <c r="BL882" s="35"/>
      <c r="BM882" s="35"/>
      <c r="BN882" s="35"/>
      <c r="BO882" s="35"/>
      <c r="BP882" s="35"/>
      <c r="BQ882" s="35"/>
      <c r="BR882" s="35"/>
      <c r="BS882" s="35"/>
      <c r="BT882" s="35"/>
      <c r="BU882" s="35"/>
      <c r="BV882" s="35"/>
      <c r="BW882" s="35"/>
      <c r="BX882" s="35"/>
      <c r="BY882" s="35"/>
      <c r="BZ882" s="35"/>
      <c r="CA882" s="35"/>
      <c r="CB882" s="35"/>
      <c r="CC882" s="35"/>
      <c r="CD882" s="35"/>
      <c r="CE882" s="35"/>
      <c r="CF882" s="35"/>
      <c r="CG882" s="35"/>
      <c r="CH882" s="35"/>
      <c r="CI882" s="35"/>
      <c r="CJ882" s="35"/>
      <c r="CK882" s="35"/>
    </row>
    <row r="883" spans="8:89" s="34" customFormat="1"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  <c r="BH883" s="35"/>
      <c r="BI883" s="35"/>
      <c r="BJ883" s="35"/>
      <c r="BK883" s="35"/>
      <c r="BL883" s="35"/>
      <c r="BM883" s="35"/>
      <c r="BN883" s="35"/>
      <c r="BO883" s="35"/>
      <c r="BP883" s="35"/>
      <c r="BQ883" s="35"/>
      <c r="BR883" s="35"/>
      <c r="BS883" s="35"/>
      <c r="BT883" s="35"/>
      <c r="BU883" s="35"/>
      <c r="BV883" s="35"/>
      <c r="BW883" s="35"/>
      <c r="BX883" s="35"/>
      <c r="BY883" s="35"/>
      <c r="BZ883" s="35"/>
      <c r="CA883" s="35"/>
      <c r="CB883" s="35"/>
      <c r="CC883" s="35"/>
      <c r="CD883" s="35"/>
      <c r="CE883" s="35"/>
      <c r="CF883" s="35"/>
      <c r="CG883" s="35"/>
      <c r="CH883" s="35"/>
      <c r="CI883" s="35"/>
      <c r="CJ883" s="35"/>
      <c r="CK883" s="35"/>
    </row>
    <row r="884" spans="8:89" s="34" customFormat="1"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  <c r="BH884" s="35"/>
      <c r="BI884" s="35"/>
      <c r="BJ884" s="35"/>
      <c r="BK884" s="35"/>
      <c r="BL884" s="35"/>
      <c r="BM884" s="35"/>
      <c r="BN884" s="35"/>
      <c r="BO884" s="35"/>
      <c r="BP884" s="35"/>
      <c r="BQ884" s="35"/>
      <c r="BR884" s="35"/>
      <c r="BS884" s="35"/>
      <c r="BT884" s="35"/>
      <c r="BU884" s="35"/>
      <c r="BV884" s="35"/>
      <c r="BW884" s="35"/>
      <c r="BX884" s="35"/>
      <c r="BY884" s="35"/>
      <c r="BZ884" s="35"/>
      <c r="CA884" s="35"/>
      <c r="CB884" s="35"/>
      <c r="CC884" s="35"/>
      <c r="CD884" s="35"/>
      <c r="CE884" s="35"/>
      <c r="CF884" s="35"/>
      <c r="CG884" s="35"/>
      <c r="CH884" s="35"/>
      <c r="CI884" s="35"/>
      <c r="CJ884" s="35"/>
      <c r="CK884" s="35"/>
    </row>
    <row r="885" spans="8:89" s="34" customFormat="1"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  <c r="BH885" s="35"/>
      <c r="BI885" s="35"/>
      <c r="BJ885" s="35"/>
      <c r="BK885" s="35"/>
      <c r="BL885" s="35"/>
      <c r="BM885" s="35"/>
      <c r="BN885" s="35"/>
      <c r="BO885" s="35"/>
      <c r="BP885" s="35"/>
      <c r="BQ885" s="35"/>
      <c r="BR885" s="35"/>
      <c r="BS885" s="35"/>
      <c r="BT885" s="35"/>
      <c r="BU885" s="35"/>
      <c r="BV885" s="35"/>
      <c r="BW885" s="35"/>
      <c r="BX885" s="35"/>
      <c r="BY885" s="35"/>
      <c r="BZ885" s="35"/>
      <c r="CA885" s="35"/>
      <c r="CB885" s="35"/>
      <c r="CC885" s="35"/>
      <c r="CD885" s="35"/>
      <c r="CE885" s="35"/>
      <c r="CF885" s="35"/>
      <c r="CG885" s="35"/>
      <c r="CH885" s="35"/>
      <c r="CI885" s="35"/>
      <c r="CJ885" s="35"/>
      <c r="CK885" s="35"/>
    </row>
    <row r="886" spans="8:89" s="34" customFormat="1"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  <c r="BH886" s="35"/>
      <c r="BI886" s="35"/>
      <c r="BJ886" s="35"/>
      <c r="BK886" s="35"/>
      <c r="BL886" s="35"/>
      <c r="BM886" s="35"/>
      <c r="BN886" s="35"/>
      <c r="BO886" s="35"/>
      <c r="BP886" s="35"/>
      <c r="BQ886" s="35"/>
      <c r="BR886" s="35"/>
      <c r="BS886" s="35"/>
      <c r="BT886" s="35"/>
      <c r="BU886" s="35"/>
      <c r="BV886" s="35"/>
      <c r="BW886" s="35"/>
      <c r="BX886" s="35"/>
      <c r="BY886" s="35"/>
      <c r="BZ886" s="35"/>
      <c r="CA886" s="35"/>
      <c r="CB886" s="35"/>
      <c r="CC886" s="35"/>
      <c r="CD886" s="35"/>
      <c r="CE886" s="35"/>
      <c r="CF886" s="35"/>
      <c r="CG886" s="35"/>
      <c r="CH886" s="35"/>
      <c r="CI886" s="35"/>
      <c r="CJ886" s="35"/>
      <c r="CK886" s="35"/>
    </row>
    <row r="887" spans="8:89" s="34" customFormat="1"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/>
      <c r="BE887" s="35"/>
      <c r="BF887" s="35"/>
      <c r="BG887" s="35"/>
      <c r="BH887" s="35"/>
      <c r="BI887" s="35"/>
      <c r="BJ887" s="35"/>
      <c r="BK887" s="35"/>
      <c r="BL887" s="35"/>
      <c r="BM887" s="35"/>
      <c r="BN887" s="35"/>
      <c r="BO887" s="35"/>
      <c r="BP887" s="35"/>
      <c r="BQ887" s="35"/>
      <c r="BR887" s="35"/>
      <c r="BS887" s="35"/>
      <c r="BT887" s="35"/>
      <c r="BU887" s="35"/>
      <c r="BV887" s="35"/>
      <c r="BW887" s="35"/>
      <c r="BX887" s="35"/>
      <c r="BY887" s="35"/>
      <c r="BZ887" s="35"/>
      <c r="CA887" s="35"/>
      <c r="CB887" s="35"/>
      <c r="CC887" s="35"/>
      <c r="CD887" s="35"/>
      <c r="CE887" s="35"/>
      <c r="CF887" s="35"/>
      <c r="CG887" s="35"/>
      <c r="CH887" s="35"/>
      <c r="CI887" s="35"/>
      <c r="CJ887" s="35"/>
      <c r="CK887" s="35"/>
    </row>
    <row r="888" spans="8:89" s="34" customFormat="1"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  <c r="BH888" s="35"/>
      <c r="BI888" s="35"/>
      <c r="BJ888" s="35"/>
      <c r="BK888" s="35"/>
      <c r="BL888" s="35"/>
      <c r="BM888" s="35"/>
      <c r="BN888" s="35"/>
      <c r="BO888" s="35"/>
      <c r="BP888" s="35"/>
      <c r="BQ888" s="35"/>
      <c r="BR888" s="35"/>
      <c r="BS888" s="35"/>
      <c r="BT888" s="35"/>
      <c r="BU888" s="35"/>
      <c r="BV888" s="35"/>
      <c r="BW888" s="35"/>
      <c r="BX888" s="35"/>
      <c r="BY888" s="35"/>
      <c r="BZ888" s="35"/>
      <c r="CA888" s="35"/>
      <c r="CB888" s="35"/>
      <c r="CC888" s="35"/>
      <c r="CD888" s="35"/>
      <c r="CE888" s="35"/>
      <c r="CF888" s="35"/>
      <c r="CG888" s="35"/>
      <c r="CH888" s="35"/>
      <c r="CI888" s="35"/>
      <c r="CJ888" s="35"/>
      <c r="CK888" s="35"/>
    </row>
    <row r="889" spans="8:89" s="34" customFormat="1"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  <c r="BH889" s="35"/>
      <c r="BI889" s="35"/>
      <c r="BJ889" s="35"/>
      <c r="BK889" s="35"/>
      <c r="BL889" s="35"/>
      <c r="BM889" s="35"/>
      <c r="BN889" s="35"/>
      <c r="BO889" s="35"/>
      <c r="BP889" s="35"/>
      <c r="BQ889" s="35"/>
      <c r="BR889" s="35"/>
      <c r="BS889" s="35"/>
      <c r="BT889" s="35"/>
      <c r="BU889" s="35"/>
      <c r="BV889" s="35"/>
      <c r="BW889" s="35"/>
      <c r="BX889" s="35"/>
      <c r="BY889" s="35"/>
      <c r="BZ889" s="35"/>
      <c r="CA889" s="35"/>
      <c r="CB889" s="35"/>
      <c r="CC889" s="35"/>
      <c r="CD889" s="35"/>
      <c r="CE889" s="35"/>
      <c r="CF889" s="35"/>
      <c r="CG889" s="35"/>
      <c r="CH889" s="35"/>
      <c r="CI889" s="35"/>
      <c r="CJ889" s="35"/>
      <c r="CK889" s="35"/>
    </row>
    <row r="890" spans="8:89" s="34" customFormat="1"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/>
      <c r="BE890" s="35"/>
      <c r="BF890" s="35"/>
      <c r="BG890" s="35"/>
      <c r="BH890" s="35"/>
      <c r="BI890" s="35"/>
      <c r="BJ890" s="35"/>
      <c r="BK890" s="35"/>
      <c r="BL890" s="35"/>
      <c r="BM890" s="35"/>
      <c r="BN890" s="35"/>
      <c r="BO890" s="35"/>
      <c r="BP890" s="35"/>
      <c r="BQ890" s="35"/>
      <c r="BR890" s="35"/>
      <c r="BS890" s="35"/>
      <c r="BT890" s="35"/>
      <c r="BU890" s="35"/>
      <c r="BV890" s="35"/>
      <c r="BW890" s="35"/>
      <c r="BX890" s="35"/>
      <c r="BY890" s="35"/>
      <c r="BZ890" s="35"/>
      <c r="CA890" s="35"/>
      <c r="CB890" s="35"/>
      <c r="CC890" s="35"/>
      <c r="CD890" s="35"/>
      <c r="CE890" s="35"/>
      <c r="CF890" s="35"/>
      <c r="CG890" s="35"/>
      <c r="CH890" s="35"/>
      <c r="CI890" s="35"/>
      <c r="CJ890" s="35"/>
      <c r="CK890" s="35"/>
    </row>
    <row r="891" spans="8:89" s="34" customFormat="1"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  <c r="BH891" s="35"/>
      <c r="BI891" s="35"/>
      <c r="BJ891" s="35"/>
      <c r="BK891" s="35"/>
      <c r="BL891" s="35"/>
      <c r="BM891" s="35"/>
      <c r="BN891" s="35"/>
      <c r="BO891" s="35"/>
      <c r="BP891" s="35"/>
      <c r="BQ891" s="35"/>
      <c r="BR891" s="35"/>
      <c r="BS891" s="35"/>
      <c r="BT891" s="35"/>
      <c r="BU891" s="35"/>
      <c r="BV891" s="35"/>
      <c r="BW891" s="35"/>
      <c r="BX891" s="35"/>
      <c r="BY891" s="35"/>
      <c r="BZ891" s="35"/>
      <c r="CA891" s="35"/>
      <c r="CB891" s="35"/>
      <c r="CC891" s="35"/>
      <c r="CD891" s="35"/>
      <c r="CE891" s="35"/>
      <c r="CF891" s="35"/>
      <c r="CG891" s="35"/>
      <c r="CH891" s="35"/>
      <c r="CI891" s="35"/>
      <c r="CJ891" s="35"/>
      <c r="CK891" s="35"/>
    </row>
    <row r="892" spans="8:89" s="34" customFormat="1"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  <c r="BH892" s="35"/>
      <c r="BI892" s="35"/>
      <c r="BJ892" s="35"/>
      <c r="BK892" s="35"/>
      <c r="BL892" s="35"/>
      <c r="BM892" s="35"/>
      <c r="BN892" s="35"/>
      <c r="BO892" s="35"/>
      <c r="BP892" s="35"/>
      <c r="BQ892" s="35"/>
      <c r="BR892" s="35"/>
      <c r="BS892" s="35"/>
      <c r="BT892" s="35"/>
      <c r="BU892" s="35"/>
      <c r="BV892" s="35"/>
      <c r="BW892" s="35"/>
      <c r="BX892" s="35"/>
      <c r="BY892" s="35"/>
      <c r="BZ892" s="35"/>
      <c r="CA892" s="35"/>
      <c r="CB892" s="35"/>
      <c r="CC892" s="35"/>
      <c r="CD892" s="35"/>
      <c r="CE892" s="35"/>
      <c r="CF892" s="35"/>
      <c r="CG892" s="35"/>
      <c r="CH892" s="35"/>
      <c r="CI892" s="35"/>
      <c r="CJ892" s="35"/>
      <c r="CK892" s="35"/>
    </row>
    <row r="893" spans="8:89" s="34" customFormat="1"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  <c r="BH893" s="35"/>
      <c r="BI893" s="35"/>
      <c r="BJ893" s="35"/>
      <c r="BK893" s="35"/>
      <c r="BL893" s="35"/>
      <c r="BM893" s="35"/>
      <c r="BN893" s="35"/>
      <c r="BO893" s="35"/>
      <c r="BP893" s="35"/>
      <c r="BQ893" s="35"/>
      <c r="BR893" s="35"/>
      <c r="BS893" s="35"/>
      <c r="BT893" s="35"/>
      <c r="BU893" s="35"/>
      <c r="BV893" s="35"/>
      <c r="BW893" s="35"/>
      <c r="BX893" s="35"/>
      <c r="BY893" s="35"/>
      <c r="BZ893" s="35"/>
      <c r="CA893" s="35"/>
      <c r="CB893" s="35"/>
      <c r="CC893" s="35"/>
      <c r="CD893" s="35"/>
      <c r="CE893" s="35"/>
      <c r="CF893" s="35"/>
      <c r="CG893" s="35"/>
      <c r="CH893" s="35"/>
      <c r="CI893" s="35"/>
      <c r="CJ893" s="35"/>
      <c r="CK893" s="35"/>
    </row>
    <row r="894" spans="8:89" s="34" customFormat="1"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  <c r="BH894" s="35"/>
      <c r="BI894" s="35"/>
      <c r="BJ894" s="35"/>
      <c r="BK894" s="35"/>
      <c r="BL894" s="35"/>
      <c r="BM894" s="35"/>
      <c r="BN894" s="35"/>
      <c r="BO894" s="35"/>
      <c r="BP894" s="35"/>
      <c r="BQ894" s="35"/>
      <c r="BR894" s="35"/>
      <c r="BS894" s="35"/>
      <c r="BT894" s="35"/>
      <c r="BU894" s="35"/>
      <c r="BV894" s="35"/>
      <c r="BW894" s="35"/>
      <c r="BX894" s="35"/>
      <c r="BY894" s="35"/>
      <c r="BZ894" s="35"/>
      <c r="CA894" s="35"/>
      <c r="CB894" s="35"/>
      <c r="CC894" s="35"/>
      <c r="CD894" s="35"/>
      <c r="CE894" s="35"/>
      <c r="CF894" s="35"/>
      <c r="CG894" s="35"/>
      <c r="CH894" s="35"/>
      <c r="CI894" s="35"/>
      <c r="CJ894" s="35"/>
      <c r="CK894" s="35"/>
    </row>
    <row r="895" spans="8:89" s="34" customFormat="1"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  <c r="BH895" s="35"/>
      <c r="BI895" s="35"/>
      <c r="BJ895" s="35"/>
      <c r="BK895" s="35"/>
      <c r="BL895" s="35"/>
      <c r="BM895" s="35"/>
      <c r="BN895" s="35"/>
      <c r="BO895" s="35"/>
      <c r="BP895" s="35"/>
      <c r="BQ895" s="35"/>
      <c r="BR895" s="35"/>
      <c r="BS895" s="35"/>
      <c r="BT895" s="35"/>
      <c r="BU895" s="35"/>
      <c r="BV895" s="35"/>
      <c r="BW895" s="35"/>
      <c r="BX895" s="35"/>
      <c r="BY895" s="35"/>
      <c r="BZ895" s="35"/>
      <c r="CA895" s="35"/>
      <c r="CB895" s="35"/>
      <c r="CC895" s="35"/>
      <c r="CD895" s="35"/>
      <c r="CE895" s="35"/>
      <c r="CF895" s="35"/>
      <c r="CG895" s="35"/>
      <c r="CH895" s="35"/>
      <c r="CI895" s="35"/>
      <c r="CJ895" s="35"/>
      <c r="CK895" s="35"/>
    </row>
    <row r="896" spans="8:89" s="34" customFormat="1"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  <c r="BH896" s="35"/>
      <c r="BI896" s="35"/>
      <c r="BJ896" s="35"/>
      <c r="BK896" s="35"/>
      <c r="BL896" s="35"/>
      <c r="BM896" s="35"/>
      <c r="BN896" s="35"/>
      <c r="BO896" s="35"/>
      <c r="BP896" s="35"/>
      <c r="BQ896" s="35"/>
      <c r="BR896" s="35"/>
      <c r="BS896" s="35"/>
      <c r="BT896" s="35"/>
      <c r="BU896" s="35"/>
      <c r="BV896" s="35"/>
      <c r="BW896" s="35"/>
      <c r="BX896" s="35"/>
      <c r="BY896" s="35"/>
      <c r="BZ896" s="35"/>
      <c r="CA896" s="35"/>
      <c r="CB896" s="35"/>
      <c r="CC896" s="35"/>
      <c r="CD896" s="35"/>
      <c r="CE896" s="35"/>
      <c r="CF896" s="35"/>
      <c r="CG896" s="35"/>
      <c r="CH896" s="35"/>
      <c r="CI896" s="35"/>
      <c r="CJ896" s="35"/>
      <c r="CK896" s="35"/>
    </row>
    <row r="897" spans="8:89" s="34" customFormat="1"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  <c r="BH897" s="35"/>
      <c r="BI897" s="35"/>
      <c r="BJ897" s="35"/>
      <c r="BK897" s="35"/>
      <c r="BL897" s="35"/>
      <c r="BM897" s="35"/>
      <c r="BN897" s="35"/>
      <c r="BO897" s="35"/>
      <c r="BP897" s="35"/>
      <c r="BQ897" s="35"/>
      <c r="BR897" s="35"/>
      <c r="BS897" s="35"/>
      <c r="BT897" s="35"/>
      <c r="BU897" s="35"/>
      <c r="BV897" s="35"/>
      <c r="BW897" s="35"/>
      <c r="BX897" s="35"/>
      <c r="BY897" s="35"/>
      <c r="BZ897" s="35"/>
      <c r="CA897" s="35"/>
      <c r="CB897" s="35"/>
      <c r="CC897" s="35"/>
      <c r="CD897" s="35"/>
      <c r="CE897" s="35"/>
      <c r="CF897" s="35"/>
      <c r="CG897" s="35"/>
      <c r="CH897" s="35"/>
      <c r="CI897" s="35"/>
      <c r="CJ897" s="35"/>
      <c r="CK897" s="35"/>
    </row>
    <row r="898" spans="8:89" s="34" customFormat="1"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  <c r="BH898" s="35"/>
      <c r="BI898" s="35"/>
      <c r="BJ898" s="35"/>
      <c r="BK898" s="35"/>
      <c r="BL898" s="35"/>
      <c r="BM898" s="35"/>
      <c r="BN898" s="35"/>
      <c r="BO898" s="35"/>
      <c r="BP898" s="35"/>
      <c r="BQ898" s="35"/>
      <c r="BR898" s="35"/>
      <c r="BS898" s="35"/>
      <c r="BT898" s="35"/>
      <c r="BU898" s="35"/>
      <c r="BV898" s="35"/>
      <c r="BW898" s="35"/>
      <c r="BX898" s="35"/>
      <c r="BY898" s="35"/>
      <c r="BZ898" s="35"/>
      <c r="CA898" s="35"/>
      <c r="CB898" s="35"/>
      <c r="CC898" s="35"/>
      <c r="CD898" s="35"/>
      <c r="CE898" s="35"/>
      <c r="CF898" s="35"/>
      <c r="CG898" s="35"/>
      <c r="CH898" s="35"/>
      <c r="CI898" s="35"/>
      <c r="CJ898" s="35"/>
      <c r="CK898" s="35"/>
    </row>
    <row r="899" spans="8:89" s="34" customFormat="1"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  <c r="BH899" s="35"/>
      <c r="BI899" s="35"/>
      <c r="BJ899" s="35"/>
      <c r="BK899" s="35"/>
      <c r="BL899" s="35"/>
      <c r="BM899" s="35"/>
      <c r="BN899" s="35"/>
      <c r="BO899" s="35"/>
      <c r="BP899" s="35"/>
      <c r="BQ899" s="35"/>
      <c r="BR899" s="35"/>
      <c r="BS899" s="35"/>
      <c r="BT899" s="35"/>
      <c r="BU899" s="35"/>
      <c r="BV899" s="35"/>
      <c r="BW899" s="35"/>
      <c r="BX899" s="35"/>
      <c r="BY899" s="35"/>
      <c r="BZ899" s="35"/>
      <c r="CA899" s="35"/>
      <c r="CB899" s="35"/>
      <c r="CC899" s="35"/>
      <c r="CD899" s="35"/>
      <c r="CE899" s="35"/>
      <c r="CF899" s="35"/>
      <c r="CG899" s="35"/>
      <c r="CH899" s="35"/>
      <c r="CI899" s="35"/>
      <c r="CJ899" s="35"/>
      <c r="CK899" s="35"/>
    </row>
    <row r="900" spans="8:89" s="34" customFormat="1"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  <c r="BH900" s="35"/>
      <c r="BI900" s="35"/>
      <c r="BJ900" s="35"/>
      <c r="BK900" s="35"/>
      <c r="BL900" s="35"/>
      <c r="BM900" s="35"/>
      <c r="BN900" s="35"/>
      <c r="BO900" s="35"/>
      <c r="BP900" s="35"/>
      <c r="BQ900" s="35"/>
      <c r="BR900" s="35"/>
      <c r="BS900" s="35"/>
      <c r="BT900" s="35"/>
      <c r="BU900" s="35"/>
      <c r="BV900" s="35"/>
      <c r="BW900" s="35"/>
      <c r="BX900" s="35"/>
      <c r="BY900" s="35"/>
      <c r="BZ900" s="35"/>
      <c r="CA900" s="35"/>
      <c r="CB900" s="35"/>
      <c r="CC900" s="35"/>
      <c r="CD900" s="35"/>
      <c r="CE900" s="35"/>
      <c r="CF900" s="35"/>
      <c r="CG900" s="35"/>
      <c r="CH900" s="35"/>
      <c r="CI900" s="35"/>
      <c r="CJ900" s="35"/>
      <c r="CK900" s="35"/>
    </row>
    <row r="901" spans="8:89" s="34" customFormat="1"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  <c r="BH901" s="35"/>
      <c r="BI901" s="35"/>
      <c r="BJ901" s="35"/>
      <c r="BK901" s="35"/>
      <c r="BL901" s="35"/>
      <c r="BM901" s="35"/>
      <c r="BN901" s="35"/>
      <c r="BO901" s="35"/>
      <c r="BP901" s="35"/>
      <c r="BQ901" s="35"/>
      <c r="BR901" s="35"/>
      <c r="BS901" s="35"/>
      <c r="BT901" s="35"/>
      <c r="BU901" s="35"/>
      <c r="BV901" s="35"/>
      <c r="BW901" s="35"/>
      <c r="BX901" s="35"/>
      <c r="BY901" s="35"/>
      <c r="BZ901" s="35"/>
      <c r="CA901" s="35"/>
      <c r="CB901" s="35"/>
      <c r="CC901" s="35"/>
      <c r="CD901" s="35"/>
      <c r="CE901" s="35"/>
      <c r="CF901" s="35"/>
      <c r="CG901" s="35"/>
      <c r="CH901" s="35"/>
      <c r="CI901" s="35"/>
      <c r="CJ901" s="35"/>
      <c r="CK901" s="35"/>
    </row>
    <row r="902" spans="8:89" s="34" customFormat="1"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  <c r="BH902" s="35"/>
      <c r="BI902" s="35"/>
      <c r="BJ902" s="35"/>
      <c r="BK902" s="35"/>
      <c r="BL902" s="35"/>
      <c r="BM902" s="35"/>
      <c r="BN902" s="35"/>
      <c r="BO902" s="35"/>
      <c r="BP902" s="35"/>
      <c r="BQ902" s="35"/>
      <c r="BR902" s="35"/>
      <c r="BS902" s="35"/>
      <c r="BT902" s="35"/>
      <c r="BU902" s="35"/>
      <c r="BV902" s="35"/>
      <c r="BW902" s="35"/>
      <c r="BX902" s="35"/>
      <c r="BY902" s="35"/>
      <c r="BZ902" s="35"/>
      <c r="CA902" s="35"/>
      <c r="CB902" s="35"/>
      <c r="CC902" s="35"/>
      <c r="CD902" s="35"/>
      <c r="CE902" s="35"/>
      <c r="CF902" s="35"/>
      <c r="CG902" s="35"/>
      <c r="CH902" s="35"/>
      <c r="CI902" s="35"/>
      <c r="CJ902" s="35"/>
      <c r="CK902" s="35"/>
    </row>
    <row r="903" spans="8:89" s="34" customFormat="1"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  <c r="BH903" s="35"/>
      <c r="BI903" s="35"/>
      <c r="BJ903" s="35"/>
      <c r="BK903" s="35"/>
      <c r="BL903" s="35"/>
      <c r="BM903" s="35"/>
      <c r="BN903" s="35"/>
      <c r="BO903" s="35"/>
      <c r="BP903" s="35"/>
      <c r="BQ903" s="35"/>
      <c r="BR903" s="35"/>
      <c r="BS903" s="35"/>
      <c r="BT903" s="35"/>
      <c r="BU903" s="35"/>
      <c r="BV903" s="35"/>
      <c r="BW903" s="35"/>
      <c r="BX903" s="35"/>
      <c r="BY903" s="35"/>
      <c r="BZ903" s="35"/>
      <c r="CA903" s="35"/>
      <c r="CB903" s="35"/>
      <c r="CC903" s="35"/>
      <c r="CD903" s="35"/>
      <c r="CE903" s="35"/>
      <c r="CF903" s="35"/>
      <c r="CG903" s="35"/>
      <c r="CH903" s="35"/>
      <c r="CI903" s="35"/>
      <c r="CJ903" s="35"/>
      <c r="CK903" s="35"/>
    </row>
    <row r="904" spans="8:89" s="34" customFormat="1"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  <c r="BH904" s="35"/>
      <c r="BI904" s="35"/>
      <c r="BJ904" s="35"/>
      <c r="BK904" s="35"/>
      <c r="BL904" s="35"/>
      <c r="BM904" s="35"/>
      <c r="BN904" s="35"/>
      <c r="BO904" s="35"/>
      <c r="BP904" s="35"/>
      <c r="BQ904" s="35"/>
      <c r="BR904" s="35"/>
      <c r="BS904" s="35"/>
      <c r="BT904" s="35"/>
      <c r="BU904" s="35"/>
      <c r="BV904" s="35"/>
      <c r="BW904" s="35"/>
      <c r="BX904" s="35"/>
      <c r="BY904" s="35"/>
      <c r="BZ904" s="35"/>
      <c r="CA904" s="35"/>
      <c r="CB904" s="35"/>
      <c r="CC904" s="35"/>
      <c r="CD904" s="35"/>
      <c r="CE904" s="35"/>
      <c r="CF904" s="35"/>
      <c r="CG904" s="35"/>
      <c r="CH904" s="35"/>
      <c r="CI904" s="35"/>
      <c r="CJ904" s="35"/>
      <c r="CK904" s="35"/>
    </row>
    <row r="905" spans="8:89" s="34" customFormat="1"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  <c r="BH905" s="35"/>
      <c r="BI905" s="35"/>
      <c r="BJ905" s="35"/>
      <c r="BK905" s="35"/>
      <c r="BL905" s="35"/>
      <c r="BM905" s="35"/>
      <c r="BN905" s="35"/>
      <c r="BO905" s="35"/>
      <c r="BP905" s="35"/>
      <c r="BQ905" s="35"/>
      <c r="BR905" s="35"/>
      <c r="BS905" s="35"/>
      <c r="BT905" s="35"/>
      <c r="BU905" s="35"/>
      <c r="BV905" s="35"/>
      <c r="BW905" s="35"/>
      <c r="BX905" s="35"/>
      <c r="BY905" s="35"/>
      <c r="BZ905" s="35"/>
      <c r="CA905" s="35"/>
      <c r="CB905" s="35"/>
      <c r="CC905" s="35"/>
      <c r="CD905" s="35"/>
      <c r="CE905" s="35"/>
      <c r="CF905" s="35"/>
      <c r="CG905" s="35"/>
      <c r="CH905" s="35"/>
      <c r="CI905" s="35"/>
      <c r="CJ905" s="35"/>
      <c r="CK905" s="35"/>
    </row>
    <row r="906" spans="8:89" s="34" customFormat="1"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  <c r="BH906" s="35"/>
      <c r="BI906" s="35"/>
      <c r="BJ906" s="35"/>
      <c r="BK906" s="35"/>
      <c r="BL906" s="35"/>
      <c r="BM906" s="35"/>
      <c r="BN906" s="35"/>
      <c r="BO906" s="35"/>
      <c r="BP906" s="35"/>
      <c r="BQ906" s="35"/>
      <c r="BR906" s="35"/>
      <c r="BS906" s="35"/>
      <c r="BT906" s="35"/>
      <c r="BU906" s="35"/>
      <c r="BV906" s="35"/>
      <c r="BW906" s="35"/>
      <c r="BX906" s="35"/>
      <c r="BY906" s="35"/>
      <c r="BZ906" s="35"/>
      <c r="CA906" s="35"/>
      <c r="CB906" s="35"/>
      <c r="CC906" s="35"/>
      <c r="CD906" s="35"/>
      <c r="CE906" s="35"/>
      <c r="CF906" s="35"/>
      <c r="CG906" s="35"/>
      <c r="CH906" s="35"/>
      <c r="CI906" s="35"/>
      <c r="CJ906" s="35"/>
      <c r="CK906" s="35"/>
    </row>
    <row r="907" spans="8:89" s="34" customFormat="1"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  <c r="BH907" s="35"/>
      <c r="BI907" s="35"/>
      <c r="BJ907" s="35"/>
      <c r="BK907" s="35"/>
      <c r="BL907" s="35"/>
      <c r="BM907" s="35"/>
      <c r="BN907" s="35"/>
      <c r="BO907" s="35"/>
      <c r="BP907" s="35"/>
      <c r="BQ907" s="35"/>
      <c r="BR907" s="35"/>
      <c r="BS907" s="35"/>
      <c r="BT907" s="35"/>
      <c r="BU907" s="35"/>
      <c r="BV907" s="35"/>
      <c r="BW907" s="35"/>
      <c r="BX907" s="35"/>
      <c r="BY907" s="35"/>
      <c r="BZ907" s="35"/>
      <c r="CA907" s="35"/>
      <c r="CB907" s="35"/>
      <c r="CC907" s="35"/>
      <c r="CD907" s="35"/>
      <c r="CE907" s="35"/>
      <c r="CF907" s="35"/>
      <c r="CG907" s="35"/>
      <c r="CH907" s="35"/>
      <c r="CI907" s="35"/>
      <c r="CJ907" s="35"/>
      <c r="CK907" s="35"/>
    </row>
    <row r="908" spans="8:89" s="34" customFormat="1"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  <c r="BH908" s="35"/>
      <c r="BI908" s="35"/>
      <c r="BJ908" s="35"/>
      <c r="BK908" s="35"/>
      <c r="BL908" s="35"/>
      <c r="BM908" s="35"/>
      <c r="BN908" s="35"/>
      <c r="BO908" s="35"/>
      <c r="BP908" s="35"/>
      <c r="BQ908" s="35"/>
      <c r="BR908" s="35"/>
      <c r="BS908" s="35"/>
      <c r="BT908" s="35"/>
      <c r="BU908" s="35"/>
      <c r="BV908" s="35"/>
      <c r="BW908" s="35"/>
      <c r="BX908" s="35"/>
      <c r="BY908" s="35"/>
      <c r="BZ908" s="35"/>
      <c r="CA908" s="35"/>
      <c r="CB908" s="35"/>
      <c r="CC908" s="35"/>
      <c r="CD908" s="35"/>
      <c r="CE908" s="35"/>
      <c r="CF908" s="35"/>
      <c r="CG908" s="35"/>
      <c r="CH908" s="35"/>
      <c r="CI908" s="35"/>
      <c r="CJ908" s="35"/>
      <c r="CK908" s="35"/>
    </row>
    <row r="909" spans="8:89" s="34" customFormat="1"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  <c r="BH909" s="35"/>
      <c r="BI909" s="35"/>
      <c r="BJ909" s="35"/>
      <c r="BK909" s="35"/>
      <c r="BL909" s="35"/>
      <c r="BM909" s="35"/>
      <c r="BN909" s="35"/>
      <c r="BO909" s="35"/>
      <c r="BP909" s="35"/>
      <c r="BQ909" s="35"/>
      <c r="BR909" s="35"/>
      <c r="BS909" s="35"/>
      <c r="BT909" s="35"/>
      <c r="BU909" s="35"/>
      <c r="BV909" s="35"/>
      <c r="BW909" s="35"/>
      <c r="BX909" s="35"/>
      <c r="BY909" s="35"/>
      <c r="BZ909" s="35"/>
      <c r="CA909" s="35"/>
      <c r="CB909" s="35"/>
      <c r="CC909" s="35"/>
      <c r="CD909" s="35"/>
      <c r="CE909" s="35"/>
      <c r="CF909" s="35"/>
      <c r="CG909" s="35"/>
      <c r="CH909" s="35"/>
      <c r="CI909" s="35"/>
      <c r="CJ909" s="35"/>
      <c r="CK909" s="35"/>
    </row>
    <row r="910" spans="8:89" s="34" customFormat="1"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/>
      <c r="BE910" s="35"/>
      <c r="BF910" s="35"/>
      <c r="BG910" s="35"/>
      <c r="BH910" s="35"/>
      <c r="BI910" s="35"/>
      <c r="BJ910" s="35"/>
      <c r="BK910" s="35"/>
      <c r="BL910" s="35"/>
      <c r="BM910" s="35"/>
      <c r="BN910" s="35"/>
      <c r="BO910" s="35"/>
      <c r="BP910" s="35"/>
      <c r="BQ910" s="35"/>
      <c r="BR910" s="35"/>
      <c r="BS910" s="35"/>
      <c r="BT910" s="35"/>
      <c r="BU910" s="35"/>
      <c r="BV910" s="35"/>
      <c r="BW910" s="35"/>
      <c r="BX910" s="35"/>
      <c r="BY910" s="35"/>
      <c r="BZ910" s="35"/>
      <c r="CA910" s="35"/>
      <c r="CB910" s="35"/>
      <c r="CC910" s="35"/>
      <c r="CD910" s="35"/>
      <c r="CE910" s="35"/>
      <c r="CF910" s="35"/>
      <c r="CG910" s="35"/>
      <c r="CH910" s="35"/>
      <c r="CI910" s="35"/>
      <c r="CJ910" s="35"/>
      <c r="CK910" s="35"/>
    </row>
    <row r="911" spans="8:89" s="34" customFormat="1"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  <c r="BH911" s="35"/>
      <c r="BI911" s="35"/>
      <c r="BJ911" s="35"/>
      <c r="BK911" s="35"/>
      <c r="BL911" s="35"/>
      <c r="BM911" s="35"/>
      <c r="BN911" s="35"/>
      <c r="BO911" s="35"/>
      <c r="BP911" s="35"/>
      <c r="BQ911" s="35"/>
      <c r="BR911" s="35"/>
      <c r="BS911" s="35"/>
      <c r="BT911" s="35"/>
      <c r="BU911" s="35"/>
      <c r="BV911" s="35"/>
      <c r="BW911" s="35"/>
      <c r="BX911" s="35"/>
      <c r="BY911" s="35"/>
      <c r="BZ911" s="35"/>
      <c r="CA911" s="35"/>
      <c r="CB911" s="35"/>
      <c r="CC911" s="35"/>
      <c r="CD911" s="35"/>
      <c r="CE911" s="35"/>
      <c r="CF911" s="35"/>
      <c r="CG911" s="35"/>
      <c r="CH911" s="35"/>
      <c r="CI911" s="35"/>
      <c r="CJ911" s="35"/>
      <c r="CK911" s="35"/>
    </row>
    <row r="912" spans="8:89" s="34" customFormat="1"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  <c r="BH912" s="35"/>
      <c r="BI912" s="35"/>
      <c r="BJ912" s="35"/>
      <c r="BK912" s="35"/>
      <c r="BL912" s="35"/>
      <c r="BM912" s="35"/>
      <c r="BN912" s="35"/>
      <c r="BO912" s="35"/>
      <c r="BP912" s="35"/>
      <c r="BQ912" s="35"/>
      <c r="BR912" s="35"/>
      <c r="BS912" s="35"/>
      <c r="BT912" s="35"/>
      <c r="BU912" s="35"/>
      <c r="BV912" s="35"/>
      <c r="BW912" s="35"/>
      <c r="BX912" s="35"/>
      <c r="BY912" s="35"/>
      <c r="BZ912" s="35"/>
      <c r="CA912" s="35"/>
      <c r="CB912" s="35"/>
      <c r="CC912" s="35"/>
      <c r="CD912" s="35"/>
      <c r="CE912" s="35"/>
      <c r="CF912" s="35"/>
      <c r="CG912" s="35"/>
      <c r="CH912" s="35"/>
      <c r="CI912" s="35"/>
      <c r="CJ912" s="35"/>
      <c r="CK912" s="35"/>
    </row>
    <row r="913" spans="8:89" s="34" customFormat="1"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  <c r="BH913" s="35"/>
      <c r="BI913" s="35"/>
      <c r="BJ913" s="35"/>
      <c r="BK913" s="35"/>
      <c r="BL913" s="35"/>
      <c r="BM913" s="35"/>
      <c r="BN913" s="35"/>
      <c r="BO913" s="35"/>
      <c r="BP913" s="35"/>
      <c r="BQ913" s="35"/>
      <c r="BR913" s="35"/>
      <c r="BS913" s="35"/>
      <c r="BT913" s="35"/>
      <c r="BU913" s="35"/>
      <c r="BV913" s="35"/>
      <c r="BW913" s="35"/>
      <c r="BX913" s="35"/>
      <c r="BY913" s="35"/>
      <c r="BZ913" s="35"/>
      <c r="CA913" s="35"/>
      <c r="CB913" s="35"/>
      <c r="CC913" s="35"/>
      <c r="CD913" s="35"/>
      <c r="CE913" s="35"/>
      <c r="CF913" s="35"/>
      <c r="CG913" s="35"/>
      <c r="CH913" s="35"/>
      <c r="CI913" s="35"/>
      <c r="CJ913" s="35"/>
      <c r="CK913" s="35"/>
    </row>
    <row r="914" spans="8:89" s="34" customFormat="1"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/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  <c r="BH914" s="35"/>
      <c r="BI914" s="35"/>
      <c r="BJ914" s="35"/>
      <c r="BK914" s="35"/>
      <c r="BL914" s="35"/>
      <c r="BM914" s="35"/>
      <c r="BN914" s="35"/>
      <c r="BO914" s="35"/>
      <c r="BP914" s="35"/>
      <c r="BQ914" s="35"/>
      <c r="BR914" s="35"/>
      <c r="BS914" s="35"/>
      <c r="BT914" s="35"/>
      <c r="BU914" s="35"/>
      <c r="BV914" s="35"/>
      <c r="BW914" s="35"/>
      <c r="BX914" s="35"/>
      <c r="BY914" s="35"/>
      <c r="BZ914" s="35"/>
      <c r="CA914" s="35"/>
      <c r="CB914" s="35"/>
      <c r="CC914" s="35"/>
      <c r="CD914" s="35"/>
      <c r="CE914" s="35"/>
      <c r="CF914" s="35"/>
      <c r="CG914" s="35"/>
      <c r="CH914" s="35"/>
      <c r="CI914" s="35"/>
      <c r="CJ914" s="35"/>
      <c r="CK914" s="35"/>
    </row>
    <row r="915" spans="8:89" s="34" customFormat="1"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/>
      <c r="BE915" s="35"/>
      <c r="BF915" s="35"/>
      <c r="BG915" s="35"/>
      <c r="BH915" s="35"/>
      <c r="BI915" s="35"/>
      <c r="BJ915" s="35"/>
      <c r="BK915" s="35"/>
      <c r="BL915" s="35"/>
      <c r="BM915" s="35"/>
      <c r="BN915" s="35"/>
      <c r="BO915" s="35"/>
      <c r="BP915" s="35"/>
      <c r="BQ915" s="35"/>
      <c r="BR915" s="35"/>
      <c r="BS915" s="35"/>
      <c r="BT915" s="35"/>
      <c r="BU915" s="35"/>
      <c r="BV915" s="35"/>
      <c r="BW915" s="35"/>
      <c r="BX915" s="35"/>
      <c r="BY915" s="35"/>
      <c r="BZ915" s="35"/>
      <c r="CA915" s="35"/>
      <c r="CB915" s="35"/>
      <c r="CC915" s="35"/>
      <c r="CD915" s="35"/>
      <c r="CE915" s="35"/>
      <c r="CF915" s="35"/>
      <c r="CG915" s="35"/>
      <c r="CH915" s="35"/>
      <c r="CI915" s="35"/>
      <c r="CJ915" s="35"/>
      <c r="CK915" s="35"/>
    </row>
    <row r="916" spans="8:89" s="34" customFormat="1"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  <c r="BH916" s="35"/>
      <c r="BI916" s="35"/>
      <c r="BJ916" s="35"/>
      <c r="BK916" s="35"/>
      <c r="BL916" s="35"/>
      <c r="BM916" s="35"/>
      <c r="BN916" s="35"/>
      <c r="BO916" s="35"/>
      <c r="BP916" s="35"/>
      <c r="BQ916" s="35"/>
      <c r="BR916" s="35"/>
      <c r="BS916" s="35"/>
      <c r="BT916" s="35"/>
      <c r="BU916" s="35"/>
      <c r="BV916" s="35"/>
      <c r="BW916" s="35"/>
      <c r="BX916" s="35"/>
      <c r="BY916" s="35"/>
      <c r="BZ916" s="35"/>
      <c r="CA916" s="35"/>
      <c r="CB916" s="35"/>
      <c r="CC916" s="35"/>
      <c r="CD916" s="35"/>
      <c r="CE916" s="35"/>
      <c r="CF916" s="35"/>
      <c r="CG916" s="35"/>
      <c r="CH916" s="35"/>
      <c r="CI916" s="35"/>
      <c r="CJ916" s="35"/>
      <c r="CK916" s="35"/>
    </row>
    <row r="917" spans="8:89" s="34" customFormat="1"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/>
      <c r="BF917" s="35"/>
      <c r="BG917" s="35"/>
      <c r="BH917" s="35"/>
      <c r="BI917" s="35"/>
      <c r="BJ917" s="35"/>
      <c r="BK917" s="35"/>
      <c r="BL917" s="35"/>
      <c r="BM917" s="35"/>
      <c r="BN917" s="35"/>
      <c r="BO917" s="35"/>
      <c r="BP917" s="35"/>
      <c r="BQ917" s="35"/>
      <c r="BR917" s="35"/>
      <c r="BS917" s="35"/>
      <c r="BT917" s="35"/>
      <c r="BU917" s="35"/>
      <c r="BV917" s="35"/>
      <c r="BW917" s="35"/>
      <c r="BX917" s="35"/>
      <c r="BY917" s="35"/>
      <c r="BZ917" s="35"/>
      <c r="CA917" s="35"/>
      <c r="CB917" s="35"/>
      <c r="CC917" s="35"/>
      <c r="CD917" s="35"/>
      <c r="CE917" s="35"/>
      <c r="CF917" s="35"/>
      <c r="CG917" s="35"/>
      <c r="CH917" s="35"/>
      <c r="CI917" s="35"/>
      <c r="CJ917" s="35"/>
      <c r="CK917" s="35"/>
    </row>
    <row r="918" spans="8:89" s="34" customFormat="1"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  <c r="BH918" s="35"/>
      <c r="BI918" s="35"/>
      <c r="BJ918" s="35"/>
      <c r="BK918" s="35"/>
      <c r="BL918" s="35"/>
      <c r="BM918" s="35"/>
      <c r="BN918" s="35"/>
      <c r="BO918" s="35"/>
      <c r="BP918" s="35"/>
      <c r="BQ918" s="35"/>
      <c r="BR918" s="35"/>
      <c r="BS918" s="35"/>
      <c r="BT918" s="35"/>
      <c r="BU918" s="35"/>
      <c r="BV918" s="35"/>
      <c r="BW918" s="35"/>
      <c r="BX918" s="35"/>
      <c r="BY918" s="35"/>
      <c r="BZ918" s="35"/>
      <c r="CA918" s="35"/>
      <c r="CB918" s="35"/>
      <c r="CC918" s="35"/>
      <c r="CD918" s="35"/>
      <c r="CE918" s="35"/>
      <c r="CF918" s="35"/>
      <c r="CG918" s="35"/>
      <c r="CH918" s="35"/>
      <c r="CI918" s="35"/>
      <c r="CJ918" s="35"/>
      <c r="CK918" s="35"/>
    </row>
    <row r="919" spans="8:89" s="34" customFormat="1"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  <c r="BB919" s="35"/>
      <c r="BC919" s="35"/>
      <c r="BD919" s="35"/>
      <c r="BE919" s="35"/>
      <c r="BF919" s="35"/>
      <c r="BG919" s="35"/>
      <c r="BH919" s="35"/>
      <c r="BI919" s="35"/>
      <c r="BJ919" s="35"/>
      <c r="BK919" s="35"/>
      <c r="BL919" s="35"/>
      <c r="BM919" s="35"/>
      <c r="BN919" s="35"/>
      <c r="BO919" s="35"/>
      <c r="BP919" s="35"/>
      <c r="BQ919" s="35"/>
      <c r="BR919" s="35"/>
      <c r="BS919" s="35"/>
      <c r="BT919" s="35"/>
      <c r="BU919" s="35"/>
      <c r="BV919" s="35"/>
      <c r="BW919" s="35"/>
      <c r="BX919" s="35"/>
      <c r="BY919" s="35"/>
      <c r="BZ919" s="35"/>
      <c r="CA919" s="35"/>
      <c r="CB919" s="35"/>
      <c r="CC919" s="35"/>
      <c r="CD919" s="35"/>
      <c r="CE919" s="35"/>
      <c r="CF919" s="35"/>
      <c r="CG919" s="35"/>
      <c r="CH919" s="35"/>
      <c r="CI919" s="35"/>
      <c r="CJ919" s="35"/>
      <c r="CK919" s="35"/>
    </row>
    <row r="920" spans="8:89" s="34" customFormat="1"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  <c r="BH920" s="35"/>
      <c r="BI920" s="35"/>
      <c r="BJ920" s="35"/>
      <c r="BK920" s="35"/>
      <c r="BL920" s="35"/>
      <c r="BM920" s="35"/>
      <c r="BN920" s="35"/>
      <c r="BO920" s="35"/>
      <c r="BP920" s="35"/>
      <c r="BQ920" s="35"/>
      <c r="BR920" s="35"/>
      <c r="BS920" s="35"/>
      <c r="BT920" s="35"/>
      <c r="BU920" s="35"/>
      <c r="BV920" s="35"/>
      <c r="BW920" s="35"/>
      <c r="BX920" s="35"/>
      <c r="BY920" s="35"/>
      <c r="BZ920" s="35"/>
      <c r="CA920" s="35"/>
      <c r="CB920" s="35"/>
      <c r="CC920" s="35"/>
      <c r="CD920" s="35"/>
      <c r="CE920" s="35"/>
      <c r="CF920" s="35"/>
      <c r="CG920" s="35"/>
      <c r="CH920" s="35"/>
      <c r="CI920" s="35"/>
      <c r="CJ920" s="35"/>
      <c r="CK920" s="35"/>
    </row>
    <row r="921" spans="8:89" s="34" customFormat="1"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  <c r="BH921" s="35"/>
      <c r="BI921" s="35"/>
      <c r="BJ921" s="35"/>
      <c r="BK921" s="35"/>
      <c r="BL921" s="35"/>
      <c r="BM921" s="35"/>
      <c r="BN921" s="35"/>
      <c r="BO921" s="35"/>
      <c r="BP921" s="35"/>
      <c r="BQ921" s="35"/>
      <c r="BR921" s="35"/>
      <c r="BS921" s="35"/>
      <c r="BT921" s="35"/>
      <c r="BU921" s="35"/>
      <c r="BV921" s="35"/>
      <c r="BW921" s="35"/>
      <c r="BX921" s="35"/>
      <c r="BY921" s="35"/>
      <c r="BZ921" s="35"/>
      <c r="CA921" s="35"/>
      <c r="CB921" s="35"/>
      <c r="CC921" s="35"/>
      <c r="CD921" s="35"/>
      <c r="CE921" s="35"/>
      <c r="CF921" s="35"/>
      <c r="CG921" s="35"/>
      <c r="CH921" s="35"/>
      <c r="CI921" s="35"/>
      <c r="CJ921" s="35"/>
      <c r="CK921" s="35"/>
    </row>
    <row r="922" spans="8:89" s="34" customFormat="1"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  <c r="BH922" s="35"/>
      <c r="BI922" s="35"/>
      <c r="BJ922" s="35"/>
      <c r="BK922" s="35"/>
      <c r="BL922" s="35"/>
      <c r="BM922" s="35"/>
      <c r="BN922" s="35"/>
      <c r="BO922" s="35"/>
      <c r="BP922" s="35"/>
      <c r="BQ922" s="35"/>
      <c r="BR922" s="35"/>
      <c r="BS922" s="35"/>
      <c r="BT922" s="35"/>
      <c r="BU922" s="35"/>
      <c r="BV922" s="35"/>
      <c r="BW922" s="35"/>
      <c r="BX922" s="35"/>
      <c r="BY922" s="35"/>
      <c r="BZ922" s="35"/>
      <c r="CA922" s="35"/>
      <c r="CB922" s="35"/>
      <c r="CC922" s="35"/>
      <c r="CD922" s="35"/>
      <c r="CE922" s="35"/>
      <c r="CF922" s="35"/>
      <c r="CG922" s="35"/>
      <c r="CH922" s="35"/>
      <c r="CI922" s="35"/>
      <c r="CJ922" s="35"/>
      <c r="CK922" s="35"/>
    </row>
    <row r="923" spans="8:89" s="34" customFormat="1"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  <c r="BH923" s="35"/>
      <c r="BI923" s="35"/>
      <c r="BJ923" s="35"/>
      <c r="BK923" s="35"/>
      <c r="BL923" s="35"/>
      <c r="BM923" s="35"/>
      <c r="BN923" s="35"/>
      <c r="BO923" s="35"/>
      <c r="BP923" s="35"/>
      <c r="BQ923" s="35"/>
      <c r="BR923" s="35"/>
      <c r="BS923" s="35"/>
      <c r="BT923" s="35"/>
      <c r="BU923" s="35"/>
      <c r="BV923" s="35"/>
      <c r="BW923" s="35"/>
      <c r="BX923" s="35"/>
      <c r="BY923" s="35"/>
      <c r="BZ923" s="35"/>
      <c r="CA923" s="35"/>
      <c r="CB923" s="35"/>
      <c r="CC923" s="35"/>
      <c r="CD923" s="35"/>
      <c r="CE923" s="35"/>
      <c r="CF923" s="35"/>
      <c r="CG923" s="35"/>
      <c r="CH923" s="35"/>
      <c r="CI923" s="35"/>
      <c r="CJ923" s="35"/>
      <c r="CK923" s="35"/>
    </row>
    <row r="924" spans="8:89" s="34" customFormat="1"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/>
      <c r="BE924" s="35"/>
      <c r="BF924" s="35"/>
      <c r="BG924" s="35"/>
      <c r="BH924" s="35"/>
      <c r="BI924" s="35"/>
      <c r="BJ924" s="35"/>
      <c r="BK924" s="35"/>
      <c r="BL924" s="35"/>
      <c r="BM924" s="35"/>
      <c r="BN924" s="35"/>
      <c r="BO924" s="35"/>
      <c r="BP924" s="35"/>
      <c r="BQ924" s="35"/>
      <c r="BR924" s="35"/>
      <c r="BS924" s="35"/>
      <c r="BT924" s="35"/>
      <c r="BU924" s="35"/>
      <c r="BV924" s="35"/>
      <c r="BW924" s="35"/>
      <c r="BX924" s="35"/>
      <c r="BY924" s="35"/>
      <c r="BZ924" s="35"/>
      <c r="CA924" s="35"/>
      <c r="CB924" s="35"/>
      <c r="CC924" s="35"/>
      <c r="CD924" s="35"/>
      <c r="CE924" s="35"/>
      <c r="CF924" s="35"/>
      <c r="CG924" s="35"/>
      <c r="CH924" s="35"/>
      <c r="CI924" s="35"/>
      <c r="CJ924" s="35"/>
      <c r="CK924" s="35"/>
    </row>
    <row r="925" spans="8:89" s="34" customFormat="1"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  <c r="BH925" s="35"/>
      <c r="BI925" s="35"/>
      <c r="BJ925" s="35"/>
      <c r="BK925" s="35"/>
      <c r="BL925" s="35"/>
      <c r="BM925" s="35"/>
      <c r="BN925" s="35"/>
      <c r="BO925" s="35"/>
      <c r="BP925" s="35"/>
      <c r="BQ925" s="35"/>
      <c r="BR925" s="35"/>
      <c r="BS925" s="35"/>
      <c r="BT925" s="35"/>
      <c r="BU925" s="35"/>
      <c r="BV925" s="35"/>
      <c r="BW925" s="35"/>
      <c r="BX925" s="35"/>
      <c r="BY925" s="35"/>
      <c r="BZ925" s="35"/>
      <c r="CA925" s="35"/>
      <c r="CB925" s="35"/>
      <c r="CC925" s="35"/>
      <c r="CD925" s="35"/>
      <c r="CE925" s="35"/>
      <c r="CF925" s="35"/>
      <c r="CG925" s="35"/>
      <c r="CH925" s="35"/>
      <c r="CI925" s="35"/>
      <c r="CJ925" s="35"/>
      <c r="CK925" s="35"/>
    </row>
    <row r="926" spans="8:89" s="34" customFormat="1"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  <c r="BH926" s="35"/>
      <c r="BI926" s="35"/>
      <c r="BJ926" s="35"/>
      <c r="BK926" s="35"/>
      <c r="BL926" s="35"/>
      <c r="BM926" s="35"/>
      <c r="BN926" s="35"/>
      <c r="BO926" s="35"/>
      <c r="BP926" s="35"/>
      <c r="BQ926" s="35"/>
      <c r="BR926" s="35"/>
      <c r="BS926" s="35"/>
      <c r="BT926" s="35"/>
      <c r="BU926" s="35"/>
      <c r="BV926" s="35"/>
      <c r="BW926" s="35"/>
      <c r="BX926" s="35"/>
      <c r="BY926" s="35"/>
      <c r="BZ926" s="35"/>
      <c r="CA926" s="35"/>
      <c r="CB926" s="35"/>
      <c r="CC926" s="35"/>
      <c r="CD926" s="35"/>
      <c r="CE926" s="35"/>
      <c r="CF926" s="35"/>
      <c r="CG926" s="35"/>
      <c r="CH926" s="35"/>
      <c r="CI926" s="35"/>
      <c r="CJ926" s="35"/>
      <c r="CK926" s="35"/>
    </row>
    <row r="927" spans="8:89" s="34" customFormat="1"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  <c r="BH927" s="35"/>
      <c r="BI927" s="35"/>
      <c r="BJ927" s="35"/>
      <c r="BK927" s="35"/>
      <c r="BL927" s="35"/>
      <c r="BM927" s="35"/>
      <c r="BN927" s="35"/>
      <c r="BO927" s="35"/>
      <c r="BP927" s="35"/>
      <c r="BQ927" s="35"/>
      <c r="BR927" s="35"/>
      <c r="BS927" s="35"/>
      <c r="BT927" s="35"/>
      <c r="BU927" s="35"/>
      <c r="BV927" s="35"/>
      <c r="BW927" s="35"/>
      <c r="BX927" s="35"/>
      <c r="BY927" s="35"/>
      <c r="BZ927" s="35"/>
      <c r="CA927" s="35"/>
      <c r="CB927" s="35"/>
      <c r="CC927" s="35"/>
      <c r="CD927" s="35"/>
      <c r="CE927" s="35"/>
      <c r="CF927" s="35"/>
      <c r="CG927" s="35"/>
      <c r="CH927" s="35"/>
      <c r="CI927" s="35"/>
      <c r="CJ927" s="35"/>
      <c r="CK927" s="35"/>
    </row>
    <row r="928" spans="8:89" s="34" customFormat="1"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  <c r="BH928" s="35"/>
      <c r="BI928" s="35"/>
      <c r="BJ928" s="35"/>
      <c r="BK928" s="35"/>
      <c r="BL928" s="35"/>
      <c r="BM928" s="35"/>
      <c r="BN928" s="35"/>
      <c r="BO928" s="35"/>
      <c r="BP928" s="35"/>
      <c r="BQ928" s="35"/>
      <c r="BR928" s="35"/>
      <c r="BS928" s="35"/>
      <c r="BT928" s="35"/>
      <c r="BU928" s="35"/>
      <c r="BV928" s="35"/>
      <c r="BW928" s="35"/>
      <c r="BX928" s="35"/>
      <c r="BY928" s="35"/>
      <c r="BZ928" s="35"/>
      <c r="CA928" s="35"/>
      <c r="CB928" s="35"/>
      <c r="CC928" s="35"/>
      <c r="CD928" s="35"/>
      <c r="CE928" s="35"/>
      <c r="CF928" s="35"/>
      <c r="CG928" s="35"/>
      <c r="CH928" s="35"/>
      <c r="CI928" s="35"/>
      <c r="CJ928" s="35"/>
      <c r="CK928" s="35"/>
    </row>
    <row r="929" spans="8:89" s="34" customFormat="1"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  <c r="BH929" s="35"/>
      <c r="BI929" s="35"/>
      <c r="BJ929" s="35"/>
      <c r="BK929" s="35"/>
      <c r="BL929" s="35"/>
      <c r="BM929" s="35"/>
      <c r="BN929" s="35"/>
      <c r="BO929" s="35"/>
      <c r="BP929" s="35"/>
      <c r="BQ929" s="35"/>
      <c r="BR929" s="35"/>
      <c r="BS929" s="35"/>
      <c r="BT929" s="35"/>
      <c r="BU929" s="35"/>
      <c r="BV929" s="35"/>
      <c r="BW929" s="35"/>
      <c r="BX929" s="35"/>
      <c r="BY929" s="35"/>
      <c r="BZ929" s="35"/>
      <c r="CA929" s="35"/>
      <c r="CB929" s="35"/>
      <c r="CC929" s="35"/>
      <c r="CD929" s="35"/>
      <c r="CE929" s="35"/>
      <c r="CF929" s="35"/>
      <c r="CG929" s="35"/>
      <c r="CH929" s="35"/>
      <c r="CI929" s="35"/>
      <c r="CJ929" s="35"/>
      <c r="CK929" s="35"/>
    </row>
    <row r="930" spans="8:89" s="34" customFormat="1"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/>
      <c r="BE930" s="35"/>
      <c r="BF930" s="35"/>
      <c r="BG930" s="35"/>
      <c r="BH930" s="35"/>
      <c r="BI930" s="35"/>
      <c r="BJ930" s="35"/>
      <c r="BK930" s="35"/>
      <c r="BL930" s="35"/>
      <c r="BM930" s="35"/>
      <c r="BN930" s="35"/>
      <c r="BO930" s="35"/>
      <c r="BP930" s="35"/>
      <c r="BQ930" s="35"/>
      <c r="BR930" s="35"/>
      <c r="BS930" s="35"/>
      <c r="BT930" s="35"/>
      <c r="BU930" s="35"/>
      <c r="BV930" s="35"/>
      <c r="BW930" s="35"/>
      <c r="BX930" s="35"/>
      <c r="BY930" s="35"/>
      <c r="BZ930" s="35"/>
      <c r="CA930" s="35"/>
      <c r="CB930" s="35"/>
      <c r="CC930" s="35"/>
      <c r="CD930" s="35"/>
      <c r="CE930" s="35"/>
      <c r="CF930" s="35"/>
      <c r="CG930" s="35"/>
      <c r="CH930" s="35"/>
      <c r="CI930" s="35"/>
      <c r="CJ930" s="35"/>
      <c r="CK930" s="35"/>
    </row>
    <row r="931" spans="8:89" s="34" customFormat="1"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  <c r="BH931" s="35"/>
      <c r="BI931" s="35"/>
      <c r="BJ931" s="35"/>
      <c r="BK931" s="35"/>
      <c r="BL931" s="35"/>
      <c r="BM931" s="35"/>
      <c r="BN931" s="35"/>
      <c r="BO931" s="35"/>
      <c r="BP931" s="35"/>
      <c r="BQ931" s="35"/>
      <c r="BR931" s="35"/>
      <c r="BS931" s="35"/>
      <c r="BT931" s="35"/>
      <c r="BU931" s="35"/>
      <c r="BV931" s="35"/>
      <c r="BW931" s="35"/>
      <c r="BX931" s="35"/>
      <c r="BY931" s="35"/>
      <c r="BZ931" s="35"/>
      <c r="CA931" s="35"/>
      <c r="CB931" s="35"/>
      <c r="CC931" s="35"/>
      <c r="CD931" s="35"/>
      <c r="CE931" s="35"/>
      <c r="CF931" s="35"/>
      <c r="CG931" s="35"/>
      <c r="CH931" s="35"/>
      <c r="CI931" s="35"/>
      <c r="CJ931" s="35"/>
      <c r="CK931" s="35"/>
    </row>
    <row r="932" spans="8:89" s="34" customFormat="1"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  <c r="BH932" s="35"/>
      <c r="BI932" s="35"/>
      <c r="BJ932" s="35"/>
      <c r="BK932" s="35"/>
      <c r="BL932" s="35"/>
      <c r="BM932" s="35"/>
      <c r="BN932" s="35"/>
      <c r="BO932" s="35"/>
      <c r="BP932" s="35"/>
      <c r="BQ932" s="35"/>
      <c r="BR932" s="35"/>
      <c r="BS932" s="35"/>
      <c r="BT932" s="35"/>
      <c r="BU932" s="35"/>
      <c r="BV932" s="35"/>
      <c r="BW932" s="35"/>
      <c r="BX932" s="35"/>
      <c r="BY932" s="35"/>
      <c r="BZ932" s="35"/>
      <c r="CA932" s="35"/>
      <c r="CB932" s="35"/>
      <c r="CC932" s="35"/>
      <c r="CD932" s="35"/>
      <c r="CE932" s="35"/>
      <c r="CF932" s="35"/>
      <c r="CG932" s="35"/>
      <c r="CH932" s="35"/>
      <c r="CI932" s="35"/>
      <c r="CJ932" s="35"/>
      <c r="CK932" s="35"/>
    </row>
    <row r="933" spans="8:89" s="34" customFormat="1"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/>
      <c r="BE933" s="35"/>
      <c r="BF933" s="35"/>
      <c r="BG933" s="35"/>
      <c r="BH933" s="35"/>
      <c r="BI933" s="35"/>
      <c r="BJ933" s="35"/>
      <c r="BK933" s="35"/>
      <c r="BL933" s="35"/>
      <c r="BM933" s="35"/>
      <c r="BN933" s="35"/>
      <c r="BO933" s="35"/>
      <c r="BP933" s="35"/>
      <c r="BQ933" s="35"/>
      <c r="BR933" s="35"/>
      <c r="BS933" s="35"/>
      <c r="BT933" s="35"/>
      <c r="BU933" s="35"/>
      <c r="BV933" s="35"/>
      <c r="BW933" s="35"/>
      <c r="BX933" s="35"/>
      <c r="BY933" s="35"/>
      <c r="BZ933" s="35"/>
      <c r="CA933" s="35"/>
      <c r="CB933" s="35"/>
      <c r="CC933" s="35"/>
      <c r="CD933" s="35"/>
      <c r="CE933" s="35"/>
      <c r="CF933" s="35"/>
      <c r="CG933" s="35"/>
      <c r="CH933" s="35"/>
      <c r="CI933" s="35"/>
      <c r="CJ933" s="35"/>
      <c r="CK933" s="35"/>
    </row>
    <row r="934" spans="8:89" s="34" customFormat="1"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  <c r="BH934" s="35"/>
      <c r="BI934" s="35"/>
      <c r="BJ934" s="35"/>
      <c r="BK934" s="35"/>
      <c r="BL934" s="35"/>
      <c r="BM934" s="35"/>
      <c r="BN934" s="35"/>
      <c r="BO934" s="35"/>
      <c r="BP934" s="35"/>
      <c r="BQ934" s="35"/>
      <c r="BR934" s="35"/>
      <c r="BS934" s="35"/>
      <c r="BT934" s="35"/>
      <c r="BU934" s="35"/>
      <c r="BV934" s="35"/>
      <c r="BW934" s="35"/>
      <c r="BX934" s="35"/>
      <c r="BY934" s="35"/>
      <c r="BZ934" s="35"/>
      <c r="CA934" s="35"/>
      <c r="CB934" s="35"/>
      <c r="CC934" s="35"/>
      <c r="CD934" s="35"/>
      <c r="CE934" s="35"/>
      <c r="CF934" s="35"/>
      <c r="CG934" s="35"/>
      <c r="CH934" s="35"/>
      <c r="CI934" s="35"/>
      <c r="CJ934" s="35"/>
      <c r="CK934" s="35"/>
    </row>
    <row r="935" spans="8:89" s="34" customFormat="1"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  <c r="BH935" s="35"/>
      <c r="BI935" s="35"/>
      <c r="BJ935" s="35"/>
      <c r="BK935" s="35"/>
      <c r="BL935" s="35"/>
      <c r="BM935" s="35"/>
      <c r="BN935" s="35"/>
      <c r="BO935" s="35"/>
      <c r="BP935" s="35"/>
      <c r="BQ935" s="35"/>
      <c r="BR935" s="35"/>
      <c r="BS935" s="35"/>
      <c r="BT935" s="35"/>
      <c r="BU935" s="35"/>
      <c r="BV935" s="35"/>
      <c r="BW935" s="35"/>
      <c r="BX935" s="35"/>
      <c r="BY935" s="35"/>
      <c r="BZ935" s="35"/>
      <c r="CA935" s="35"/>
      <c r="CB935" s="35"/>
      <c r="CC935" s="35"/>
      <c r="CD935" s="35"/>
      <c r="CE935" s="35"/>
      <c r="CF935" s="35"/>
      <c r="CG935" s="35"/>
      <c r="CH935" s="35"/>
      <c r="CI935" s="35"/>
      <c r="CJ935" s="35"/>
      <c r="CK935" s="35"/>
    </row>
    <row r="936" spans="8:89" s="34" customFormat="1"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  <c r="BH936" s="35"/>
      <c r="BI936" s="35"/>
      <c r="BJ936" s="35"/>
      <c r="BK936" s="35"/>
      <c r="BL936" s="35"/>
      <c r="BM936" s="35"/>
      <c r="BN936" s="35"/>
      <c r="BO936" s="35"/>
      <c r="BP936" s="35"/>
      <c r="BQ936" s="35"/>
      <c r="BR936" s="35"/>
      <c r="BS936" s="35"/>
      <c r="BT936" s="35"/>
      <c r="BU936" s="35"/>
      <c r="BV936" s="35"/>
      <c r="BW936" s="35"/>
      <c r="BX936" s="35"/>
      <c r="BY936" s="35"/>
      <c r="BZ936" s="35"/>
      <c r="CA936" s="35"/>
      <c r="CB936" s="35"/>
      <c r="CC936" s="35"/>
      <c r="CD936" s="35"/>
      <c r="CE936" s="35"/>
      <c r="CF936" s="35"/>
      <c r="CG936" s="35"/>
      <c r="CH936" s="35"/>
      <c r="CI936" s="35"/>
      <c r="CJ936" s="35"/>
      <c r="CK936" s="35"/>
    </row>
    <row r="937" spans="8:89" s="34" customFormat="1"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  <c r="BH937" s="35"/>
      <c r="BI937" s="35"/>
      <c r="BJ937" s="35"/>
      <c r="BK937" s="35"/>
      <c r="BL937" s="35"/>
      <c r="BM937" s="35"/>
      <c r="BN937" s="35"/>
      <c r="BO937" s="35"/>
      <c r="BP937" s="35"/>
      <c r="BQ937" s="35"/>
      <c r="BR937" s="35"/>
      <c r="BS937" s="35"/>
      <c r="BT937" s="35"/>
      <c r="BU937" s="35"/>
      <c r="BV937" s="35"/>
      <c r="BW937" s="35"/>
      <c r="BX937" s="35"/>
      <c r="BY937" s="35"/>
      <c r="BZ937" s="35"/>
      <c r="CA937" s="35"/>
      <c r="CB937" s="35"/>
      <c r="CC937" s="35"/>
      <c r="CD937" s="35"/>
      <c r="CE937" s="35"/>
      <c r="CF937" s="35"/>
      <c r="CG937" s="35"/>
      <c r="CH937" s="35"/>
      <c r="CI937" s="35"/>
      <c r="CJ937" s="35"/>
      <c r="CK937" s="35"/>
    </row>
    <row r="938" spans="8:89" s="34" customFormat="1"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/>
      <c r="BE938" s="35"/>
      <c r="BF938" s="35"/>
      <c r="BG938" s="35"/>
      <c r="BH938" s="35"/>
      <c r="BI938" s="35"/>
      <c r="BJ938" s="35"/>
      <c r="BK938" s="35"/>
      <c r="BL938" s="35"/>
      <c r="BM938" s="35"/>
      <c r="BN938" s="35"/>
      <c r="BO938" s="35"/>
      <c r="BP938" s="35"/>
      <c r="BQ938" s="35"/>
      <c r="BR938" s="35"/>
      <c r="BS938" s="35"/>
      <c r="BT938" s="35"/>
      <c r="BU938" s="35"/>
      <c r="BV938" s="35"/>
      <c r="BW938" s="35"/>
      <c r="BX938" s="35"/>
      <c r="BY938" s="35"/>
      <c r="BZ938" s="35"/>
      <c r="CA938" s="35"/>
      <c r="CB938" s="35"/>
      <c r="CC938" s="35"/>
      <c r="CD938" s="35"/>
      <c r="CE938" s="35"/>
      <c r="CF938" s="35"/>
      <c r="CG938" s="35"/>
      <c r="CH938" s="35"/>
      <c r="CI938" s="35"/>
      <c r="CJ938" s="35"/>
      <c r="CK938" s="35"/>
    </row>
    <row r="939" spans="8:89" s="34" customFormat="1"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  <c r="BH939" s="35"/>
      <c r="BI939" s="35"/>
      <c r="BJ939" s="35"/>
      <c r="BK939" s="35"/>
      <c r="BL939" s="35"/>
      <c r="BM939" s="35"/>
      <c r="BN939" s="35"/>
      <c r="BO939" s="35"/>
      <c r="BP939" s="35"/>
      <c r="BQ939" s="35"/>
      <c r="BR939" s="35"/>
      <c r="BS939" s="35"/>
      <c r="BT939" s="35"/>
      <c r="BU939" s="35"/>
      <c r="BV939" s="35"/>
      <c r="BW939" s="35"/>
      <c r="BX939" s="35"/>
      <c r="BY939" s="35"/>
      <c r="BZ939" s="35"/>
      <c r="CA939" s="35"/>
      <c r="CB939" s="35"/>
      <c r="CC939" s="35"/>
      <c r="CD939" s="35"/>
      <c r="CE939" s="35"/>
      <c r="CF939" s="35"/>
      <c r="CG939" s="35"/>
      <c r="CH939" s="35"/>
      <c r="CI939" s="35"/>
      <c r="CJ939" s="35"/>
      <c r="CK939" s="35"/>
    </row>
    <row r="940" spans="8:89" s="34" customFormat="1"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  <c r="BH940" s="35"/>
      <c r="BI940" s="35"/>
      <c r="BJ940" s="35"/>
      <c r="BK940" s="35"/>
      <c r="BL940" s="35"/>
      <c r="BM940" s="35"/>
      <c r="BN940" s="35"/>
      <c r="BO940" s="35"/>
      <c r="BP940" s="35"/>
      <c r="BQ940" s="35"/>
      <c r="BR940" s="35"/>
      <c r="BS940" s="35"/>
      <c r="BT940" s="35"/>
      <c r="BU940" s="35"/>
      <c r="BV940" s="35"/>
      <c r="BW940" s="35"/>
      <c r="BX940" s="35"/>
      <c r="BY940" s="35"/>
      <c r="BZ940" s="35"/>
      <c r="CA940" s="35"/>
      <c r="CB940" s="35"/>
      <c r="CC940" s="35"/>
      <c r="CD940" s="35"/>
      <c r="CE940" s="35"/>
      <c r="CF940" s="35"/>
      <c r="CG940" s="35"/>
      <c r="CH940" s="35"/>
      <c r="CI940" s="35"/>
      <c r="CJ940" s="35"/>
      <c r="CK940" s="35"/>
    </row>
    <row r="941" spans="8:89" s="34" customFormat="1"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  <c r="BH941" s="35"/>
      <c r="BI941" s="35"/>
      <c r="BJ941" s="35"/>
      <c r="BK941" s="35"/>
      <c r="BL941" s="35"/>
      <c r="BM941" s="35"/>
      <c r="BN941" s="35"/>
      <c r="BO941" s="35"/>
      <c r="BP941" s="35"/>
      <c r="BQ941" s="35"/>
      <c r="BR941" s="35"/>
      <c r="BS941" s="35"/>
      <c r="BT941" s="35"/>
      <c r="BU941" s="35"/>
      <c r="BV941" s="35"/>
      <c r="BW941" s="35"/>
      <c r="BX941" s="35"/>
      <c r="BY941" s="35"/>
      <c r="BZ941" s="35"/>
      <c r="CA941" s="35"/>
      <c r="CB941" s="35"/>
      <c r="CC941" s="35"/>
      <c r="CD941" s="35"/>
      <c r="CE941" s="35"/>
      <c r="CF941" s="35"/>
      <c r="CG941" s="35"/>
      <c r="CH941" s="35"/>
      <c r="CI941" s="35"/>
      <c r="CJ941" s="35"/>
      <c r="CK941" s="35"/>
    </row>
    <row r="942" spans="8:89" s="34" customFormat="1"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  <c r="BH942" s="35"/>
      <c r="BI942" s="35"/>
      <c r="BJ942" s="35"/>
      <c r="BK942" s="35"/>
      <c r="BL942" s="35"/>
      <c r="BM942" s="35"/>
      <c r="BN942" s="35"/>
      <c r="BO942" s="35"/>
      <c r="BP942" s="35"/>
      <c r="BQ942" s="35"/>
      <c r="BR942" s="35"/>
      <c r="BS942" s="35"/>
      <c r="BT942" s="35"/>
      <c r="BU942" s="35"/>
      <c r="BV942" s="35"/>
      <c r="BW942" s="35"/>
      <c r="BX942" s="35"/>
      <c r="BY942" s="35"/>
      <c r="BZ942" s="35"/>
      <c r="CA942" s="35"/>
      <c r="CB942" s="35"/>
      <c r="CC942" s="35"/>
      <c r="CD942" s="35"/>
      <c r="CE942" s="35"/>
      <c r="CF942" s="35"/>
      <c r="CG942" s="35"/>
      <c r="CH942" s="35"/>
      <c r="CI942" s="35"/>
      <c r="CJ942" s="35"/>
      <c r="CK942" s="35"/>
    </row>
    <row r="943" spans="8:89" s="34" customFormat="1"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  <c r="BH943" s="35"/>
      <c r="BI943" s="35"/>
      <c r="BJ943" s="35"/>
      <c r="BK943" s="35"/>
      <c r="BL943" s="35"/>
      <c r="BM943" s="35"/>
      <c r="BN943" s="35"/>
      <c r="BO943" s="35"/>
      <c r="BP943" s="35"/>
      <c r="BQ943" s="35"/>
      <c r="BR943" s="35"/>
      <c r="BS943" s="35"/>
      <c r="BT943" s="35"/>
      <c r="BU943" s="35"/>
      <c r="BV943" s="35"/>
      <c r="BW943" s="35"/>
      <c r="BX943" s="35"/>
      <c r="BY943" s="35"/>
      <c r="BZ943" s="35"/>
      <c r="CA943" s="35"/>
      <c r="CB943" s="35"/>
      <c r="CC943" s="35"/>
      <c r="CD943" s="35"/>
      <c r="CE943" s="35"/>
      <c r="CF943" s="35"/>
      <c r="CG943" s="35"/>
      <c r="CH943" s="35"/>
      <c r="CI943" s="35"/>
      <c r="CJ943" s="35"/>
      <c r="CK943" s="35"/>
    </row>
    <row r="944" spans="8:89" s="34" customFormat="1"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  <c r="BH944" s="35"/>
      <c r="BI944" s="35"/>
      <c r="BJ944" s="35"/>
      <c r="BK944" s="35"/>
      <c r="BL944" s="35"/>
      <c r="BM944" s="35"/>
      <c r="BN944" s="35"/>
      <c r="BO944" s="35"/>
      <c r="BP944" s="35"/>
      <c r="BQ944" s="35"/>
      <c r="BR944" s="35"/>
      <c r="BS944" s="35"/>
      <c r="BT944" s="35"/>
      <c r="BU944" s="35"/>
      <c r="BV944" s="35"/>
      <c r="BW944" s="35"/>
      <c r="BX944" s="35"/>
      <c r="BY944" s="35"/>
      <c r="BZ944" s="35"/>
      <c r="CA944" s="35"/>
      <c r="CB944" s="35"/>
      <c r="CC944" s="35"/>
      <c r="CD944" s="35"/>
      <c r="CE944" s="35"/>
      <c r="CF944" s="35"/>
      <c r="CG944" s="35"/>
      <c r="CH944" s="35"/>
      <c r="CI944" s="35"/>
      <c r="CJ944" s="35"/>
      <c r="CK944" s="35"/>
    </row>
    <row r="945" spans="8:89" s="34" customFormat="1"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  <c r="BH945" s="35"/>
      <c r="BI945" s="35"/>
      <c r="BJ945" s="35"/>
      <c r="BK945" s="35"/>
      <c r="BL945" s="35"/>
      <c r="BM945" s="35"/>
      <c r="BN945" s="35"/>
      <c r="BO945" s="35"/>
      <c r="BP945" s="35"/>
      <c r="BQ945" s="35"/>
      <c r="BR945" s="35"/>
      <c r="BS945" s="35"/>
      <c r="BT945" s="35"/>
      <c r="BU945" s="35"/>
      <c r="BV945" s="35"/>
      <c r="BW945" s="35"/>
      <c r="BX945" s="35"/>
      <c r="BY945" s="35"/>
      <c r="BZ945" s="35"/>
      <c r="CA945" s="35"/>
      <c r="CB945" s="35"/>
      <c r="CC945" s="35"/>
      <c r="CD945" s="35"/>
      <c r="CE945" s="35"/>
      <c r="CF945" s="35"/>
      <c r="CG945" s="35"/>
      <c r="CH945" s="35"/>
      <c r="CI945" s="35"/>
      <c r="CJ945" s="35"/>
      <c r="CK945" s="35"/>
    </row>
    <row r="946" spans="8:89" s="34" customFormat="1"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  <c r="BH946" s="35"/>
      <c r="BI946" s="35"/>
      <c r="BJ946" s="35"/>
      <c r="BK946" s="35"/>
      <c r="BL946" s="35"/>
      <c r="BM946" s="35"/>
      <c r="BN946" s="35"/>
      <c r="BO946" s="35"/>
      <c r="BP946" s="35"/>
      <c r="BQ946" s="35"/>
      <c r="BR946" s="35"/>
      <c r="BS946" s="35"/>
      <c r="BT946" s="35"/>
      <c r="BU946" s="35"/>
      <c r="BV946" s="35"/>
      <c r="BW946" s="35"/>
      <c r="BX946" s="35"/>
      <c r="BY946" s="35"/>
      <c r="BZ946" s="35"/>
      <c r="CA946" s="35"/>
      <c r="CB946" s="35"/>
      <c r="CC946" s="35"/>
      <c r="CD946" s="35"/>
      <c r="CE946" s="35"/>
      <c r="CF946" s="35"/>
      <c r="CG946" s="35"/>
      <c r="CH946" s="35"/>
      <c r="CI946" s="35"/>
      <c r="CJ946" s="35"/>
      <c r="CK946" s="35"/>
    </row>
    <row r="947" spans="8:89" s="34" customFormat="1"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  <c r="BH947" s="35"/>
      <c r="BI947" s="35"/>
      <c r="BJ947" s="35"/>
      <c r="BK947" s="35"/>
      <c r="BL947" s="35"/>
      <c r="BM947" s="35"/>
      <c r="BN947" s="35"/>
      <c r="BO947" s="35"/>
      <c r="BP947" s="35"/>
      <c r="BQ947" s="35"/>
      <c r="BR947" s="35"/>
      <c r="BS947" s="35"/>
      <c r="BT947" s="35"/>
      <c r="BU947" s="35"/>
      <c r="BV947" s="35"/>
      <c r="BW947" s="35"/>
      <c r="BX947" s="35"/>
      <c r="BY947" s="35"/>
      <c r="BZ947" s="35"/>
      <c r="CA947" s="35"/>
      <c r="CB947" s="35"/>
      <c r="CC947" s="35"/>
      <c r="CD947" s="35"/>
      <c r="CE947" s="35"/>
      <c r="CF947" s="35"/>
      <c r="CG947" s="35"/>
      <c r="CH947" s="35"/>
      <c r="CI947" s="35"/>
      <c r="CJ947" s="35"/>
      <c r="CK947" s="35"/>
    </row>
    <row r="948" spans="8:89" s="34" customFormat="1"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  <c r="BH948" s="35"/>
      <c r="BI948" s="35"/>
      <c r="BJ948" s="35"/>
      <c r="BK948" s="35"/>
      <c r="BL948" s="35"/>
      <c r="BM948" s="35"/>
      <c r="BN948" s="35"/>
      <c r="BO948" s="35"/>
      <c r="BP948" s="35"/>
      <c r="BQ948" s="35"/>
      <c r="BR948" s="35"/>
      <c r="BS948" s="35"/>
      <c r="BT948" s="35"/>
      <c r="BU948" s="35"/>
      <c r="BV948" s="35"/>
      <c r="BW948" s="35"/>
      <c r="BX948" s="35"/>
      <c r="BY948" s="35"/>
      <c r="BZ948" s="35"/>
      <c r="CA948" s="35"/>
      <c r="CB948" s="35"/>
      <c r="CC948" s="35"/>
      <c r="CD948" s="35"/>
      <c r="CE948" s="35"/>
      <c r="CF948" s="35"/>
      <c r="CG948" s="35"/>
      <c r="CH948" s="35"/>
      <c r="CI948" s="35"/>
      <c r="CJ948" s="35"/>
      <c r="CK948" s="35"/>
    </row>
    <row r="949" spans="8:89" s="34" customFormat="1"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  <c r="BH949" s="35"/>
      <c r="BI949" s="35"/>
      <c r="BJ949" s="35"/>
      <c r="BK949" s="35"/>
      <c r="BL949" s="35"/>
      <c r="BM949" s="35"/>
      <c r="BN949" s="35"/>
      <c r="BO949" s="35"/>
      <c r="BP949" s="35"/>
      <c r="BQ949" s="35"/>
      <c r="BR949" s="35"/>
      <c r="BS949" s="35"/>
      <c r="BT949" s="35"/>
      <c r="BU949" s="35"/>
      <c r="BV949" s="35"/>
      <c r="BW949" s="35"/>
      <c r="BX949" s="35"/>
      <c r="BY949" s="35"/>
      <c r="BZ949" s="35"/>
      <c r="CA949" s="35"/>
      <c r="CB949" s="35"/>
      <c r="CC949" s="35"/>
      <c r="CD949" s="35"/>
      <c r="CE949" s="35"/>
      <c r="CF949" s="35"/>
      <c r="CG949" s="35"/>
      <c r="CH949" s="35"/>
      <c r="CI949" s="35"/>
      <c r="CJ949" s="35"/>
      <c r="CK949" s="35"/>
    </row>
    <row r="950" spans="8:89" s="34" customFormat="1"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  <c r="BH950" s="35"/>
      <c r="BI950" s="35"/>
      <c r="BJ950" s="35"/>
      <c r="BK950" s="35"/>
      <c r="BL950" s="35"/>
      <c r="BM950" s="35"/>
      <c r="BN950" s="35"/>
      <c r="BO950" s="35"/>
      <c r="BP950" s="35"/>
      <c r="BQ950" s="35"/>
      <c r="BR950" s="35"/>
      <c r="BS950" s="35"/>
      <c r="BT950" s="35"/>
      <c r="BU950" s="35"/>
      <c r="BV950" s="35"/>
      <c r="BW950" s="35"/>
      <c r="BX950" s="35"/>
      <c r="BY950" s="35"/>
      <c r="BZ950" s="35"/>
      <c r="CA950" s="35"/>
      <c r="CB950" s="35"/>
      <c r="CC950" s="35"/>
      <c r="CD950" s="35"/>
      <c r="CE950" s="35"/>
      <c r="CF950" s="35"/>
      <c r="CG950" s="35"/>
      <c r="CH950" s="35"/>
      <c r="CI950" s="35"/>
      <c r="CJ950" s="35"/>
      <c r="CK950" s="35"/>
    </row>
    <row r="951" spans="8:89" s="34" customFormat="1"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  <c r="BH951" s="35"/>
      <c r="BI951" s="35"/>
      <c r="BJ951" s="35"/>
      <c r="BK951" s="35"/>
      <c r="BL951" s="35"/>
      <c r="BM951" s="35"/>
      <c r="BN951" s="35"/>
      <c r="BO951" s="35"/>
      <c r="BP951" s="35"/>
      <c r="BQ951" s="35"/>
      <c r="BR951" s="35"/>
      <c r="BS951" s="35"/>
      <c r="BT951" s="35"/>
      <c r="BU951" s="35"/>
      <c r="BV951" s="35"/>
      <c r="BW951" s="35"/>
      <c r="BX951" s="35"/>
      <c r="BY951" s="35"/>
      <c r="BZ951" s="35"/>
      <c r="CA951" s="35"/>
      <c r="CB951" s="35"/>
      <c r="CC951" s="35"/>
      <c r="CD951" s="35"/>
      <c r="CE951" s="35"/>
      <c r="CF951" s="35"/>
      <c r="CG951" s="35"/>
      <c r="CH951" s="35"/>
      <c r="CI951" s="35"/>
      <c r="CJ951" s="35"/>
      <c r="CK951" s="35"/>
    </row>
    <row r="952" spans="8:89" s="34" customFormat="1"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  <c r="BH952" s="35"/>
      <c r="BI952" s="35"/>
      <c r="BJ952" s="35"/>
      <c r="BK952" s="35"/>
      <c r="BL952" s="35"/>
      <c r="BM952" s="35"/>
      <c r="BN952" s="35"/>
      <c r="BO952" s="35"/>
      <c r="BP952" s="35"/>
      <c r="BQ952" s="35"/>
      <c r="BR952" s="35"/>
      <c r="BS952" s="35"/>
      <c r="BT952" s="35"/>
      <c r="BU952" s="35"/>
      <c r="BV952" s="35"/>
      <c r="BW952" s="35"/>
      <c r="BX952" s="35"/>
      <c r="BY952" s="35"/>
      <c r="BZ952" s="35"/>
      <c r="CA952" s="35"/>
      <c r="CB952" s="35"/>
      <c r="CC952" s="35"/>
      <c r="CD952" s="35"/>
      <c r="CE952" s="35"/>
      <c r="CF952" s="35"/>
      <c r="CG952" s="35"/>
      <c r="CH952" s="35"/>
      <c r="CI952" s="35"/>
      <c r="CJ952" s="35"/>
      <c r="CK952" s="35"/>
    </row>
    <row r="953" spans="8:89" s="34" customFormat="1"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  <c r="BH953" s="35"/>
      <c r="BI953" s="35"/>
      <c r="BJ953" s="35"/>
      <c r="BK953" s="35"/>
      <c r="BL953" s="35"/>
      <c r="BM953" s="35"/>
      <c r="BN953" s="35"/>
      <c r="BO953" s="35"/>
      <c r="BP953" s="35"/>
      <c r="BQ953" s="35"/>
      <c r="BR953" s="35"/>
      <c r="BS953" s="35"/>
      <c r="BT953" s="35"/>
      <c r="BU953" s="35"/>
      <c r="BV953" s="35"/>
      <c r="BW953" s="35"/>
      <c r="BX953" s="35"/>
      <c r="BY953" s="35"/>
      <c r="BZ953" s="35"/>
      <c r="CA953" s="35"/>
      <c r="CB953" s="35"/>
      <c r="CC953" s="35"/>
      <c r="CD953" s="35"/>
      <c r="CE953" s="35"/>
      <c r="CF953" s="35"/>
      <c r="CG953" s="35"/>
      <c r="CH953" s="35"/>
      <c r="CI953" s="35"/>
      <c r="CJ953" s="35"/>
      <c r="CK953" s="35"/>
    </row>
    <row r="954" spans="8:89" s="34" customFormat="1"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/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  <c r="BH954" s="35"/>
      <c r="BI954" s="35"/>
      <c r="BJ954" s="35"/>
      <c r="BK954" s="35"/>
      <c r="BL954" s="35"/>
      <c r="BM954" s="35"/>
      <c r="BN954" s="35"/>
      <c r="BO954" s="35"/>
      <c r="BP954" s="35"/>
      <c r="BQ954" s="35"/>
      <c r="BR954" s="35"/>
      <c r="BS954" s="35"/>
      <c r="BT954" s="35"/>
      <c r="BU954" s="35"/>
      <c r="BV954" s="35"/>
      <c r="BW954" s="35"/>
      <c r="BX954" s="35"/>
      <c r="BY954" s="35"/>
      <c r="BZ954" s="35"/>
      <c r="CA954" s="35"/>
      <c r="CB954" s="35"/>
      <c r="CC954" s="35"/>
      <c r="CD954" s="35"/>
      <c r="CE954" s="35"/>
      <c r="CF954" s="35"/>
      <c r="CG954" s="35"/>
      <c r="CH954" s="35"/>
      <c r="CI954" s="35"/>
      <c r="CJ954" s="35"/>
      <c r="CK954" s="35"/>
    </row>
    <row r="955" spans="8:89" s="34" customFormat="1"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  <c r="BH955" s="35"/>
      <c r="BI955" s="35"/>
      <c r="BJ955" s="35"/>
      <c r="BK955" s="35"/>
      <c r="BL955" s="35"/>
      <c r="BM955" s="35"/>
      <c r="BN955" s="35"/>
      <c r="BO955" s="35"/>
      <c r="BP955" s="35"/>
      <c r="BQ955" s="35"/>
      <c r="BR955" s="35"/>
      <c r="BS955" s="35"/>
      <c r="BT955" s="35"/>
      <c r="BU955" s="35"/>
      <c r="BV955" s="35"/>
      <c r="BW955" s="35"/>
      <c r="BX955" s="35"/>
      <c r="BY955" s="35"/>
      <c r="BZ955" s="35"/>
      <c r="CA955" s="35"/>
      <c r="CB955" s="35"/>
      <c r="CC955" s="35"/>
      <c r="CD955" s="35"/>
      <c r="CE955" s="35"/>
      <c r="CF955" s="35"/>
      <c r="CG955" s="35"/>
      <c r="CH955" s="35"/>
      <c r="CI955" s="35"/>
      <c r="CJ955" s="35"/>
      <c r="CK955" s="35"/>
    </row>
    <row r="956" spans="8:89" s="34" customFormat="1"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/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  <c r="BH956" s="35"/>
      <c r="BI956" s="35"/>
      <c r="BJ956" s="35"/>
      <c r="BK956" s="35"/>
      <c r="BL956" s="35"/>
      <c r="BM956" s="35"/>
      <c r="BN956" s="35"/>
      <c r="BO956" s="35"/>
      <c r="BP956" s="35"/>
      <c r="BQ956" s="35"/>
      <c r="BR956" s="35"/>
      <c r="BS956" s="35"/>
      <c r="BT956" s="35"/>
      <c r="BU956" s="35"/>
      <c r="BV956" s="35"/>
      <c r="BW956" s="35"/>
      <c r="BX956" s="35"/>
      <c r="BY956" s="35"/>
      <c r="BZ956" s="35"/>
      <c r="CA956" s="35"/>
      <c r="CB956" s="35"/>
      <c r="CC956" s="35"/>
      <c r="CD956" s="35"/>
      <c r="CE956" s="35"/>
      <c r="CF956" s="35"/>
      <c r="CG956" s="35"/>
      <c r="CH956" s="35"/>
      <c r="CI956" s="35"/>
      <c r="CJ956" s="35"/>
      <c r="CK956" s="35"/>
    </row>
    <row r="957" spans="8:89" s="34" customFormat="1"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  <c r="BH957" s="35"/>
      <c r="BI957" s="35"/>
      <c r="BJ957" s="35"/>
      <c r="BK957" s="35"/>
      <c r="BL957" s="35"/>
      <c r="BM957" s="35"/>
      <c r="BN957" s="35"/>
      <c r="BO957" s="35"/>
      <c r="BP957" s="35"/>
      <c r="BQ957" s="35"/>
      <c r="BR957" s="35"/>
      <c r="BS957" s="35"/>
      <c r="BT957" s="35"/>
      <c r="BU957" s="35"/>
      <c r="BV957" s="35"/>
      <c r="BW957" s="35"/>
      <c r="BX957" s="35"/>
      <c r="BY957" s="35"/>
      <c r="BZ957" s="35"/>
      <c r="CA957" s="35"/>
      <c r="CB957" s="35"/>
      <c r="CC957" s="35"/>
      <c r="CD957" s="35"/>
      <c r="CE957" s="35"/>
      <c r="CF957" s="35"/>
      <c r="CG957" s="35"/>
      <c r="CH957" s="35"/>
      <c r="CI957" s="35"/>
      <c r="CJ957" s="35"/>
      <c r="CK957" s="35"/>
    </row>
    <row r="958" spans="8:89" s="34" customFormat="1"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  <c r="BH958" s="35"/>
      <c r="BI958" s="35"/>
      <c r="BJ958" s="35"/>
      <c r="BK958" s="35"/>
      <c r="BL958" s="35"/>
      <c r="BM958" s="35"/>
      <c r="BN958" s="35"/>
      <c r="BO958" s="35"/>
      <c r="BP958" s="35"/>
      <c r="BQ958" s="35"/>
      <c r="BR958" s="35"/>
      <c r="BS958" s="35"/>
      <c r="BT958" s="35"/>
      <c r="BU958" s="35"/>
      <c r="BV958" s="35"/>
      <c r="BW958" s="35"/>
      <c r="BX958" s="35"/>
      <c r="BY958" s="35"/>
      <c r="BZ958" s="35"/>
      <c r="CA958" s="35"/>
      <c r="CB958" s="35"/>
      <c r="CC958" s="35"/>
      <c r="CD958" s="35"/>
      <c r="CE958" s="35"/>
      <c r="CF958" s="35"/>
      <c r="CG958" s="35"/>
      <c r="CH958" s="35"/>
      <c r="CI958" s="35"/>
      <c r="CJ958" s="35"/>
      <c r="CK958" s="35"/>
    </row>
    <row r="959" spans="8:89" s="34" customFormat="1"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  <c r="BH959" s="35"/>
      <c r="BI959" s="35"/>
      <c r="BJ959" s="35"/>
      <c r="BK959" s="35"/>
      <c r="BL959" s="35"/>
      <c r="BM959" s="35"/>
      <c r="BN959" s="35"/>
      <c r="BO959" s="35"/>
      <c r="BP959" s="35"/>
      <c r="BQ959" s="35"/>
      <c r="BR959" s="35"/>
      <c r="BS959" s="35"/>
      <c r="BT959" s="35"/>
      <c r="BU959" s="35"/>
      <c r="BV959" s="35"/>
      <c r="BW959" s="35"/>
      <c r="BX959" s="35"/>
      <c r="BY959" s="35"/>
      <c r="BZ959" s="35"/>
      <c r="CA959" s="35"/>
      <c r="CB959" s="35"/>
      <c r="CC959" s="35"/>
      <c r="CD959" s="35"/>
      <c r="CE959" s="35"/>
      <c r="CF959" s="35"/>
      <c r="CG959" s="35"/>
      <c r="CH959" s="35"/>
      <c r="CI959" s="35"/>
      <c r="CJ959" s="35"/>
      <c r="CK959" s="35"/>
    </row>
    <row r="960" spans="8:89" s="34" customFormat="1"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  <c r="BH960" s="35"/>
      <c r="BI960" s="35"/>
      <c r="BJ960" s="35"/>
      <c r="BK960" s="35"/>
      <c r="BL960" s="35"/>
      <c r="BM960" s="35"/>
      <c r="BN960" s="35"/>
      <c r="BO960" s="35"/>
      <c r="BP960" s="35"/>
      <c r="BQ960" s="35"/>
      <c r="BR960" s="35"/>
      <c r="BS960" s="35"/>
      <c r="BT960" s="35"/>
      <c r="BU960" s="35"/>
      <c r="BV960" s="35"/>
      <c r="BW960" s="35"/>
      <c r="BX960" s="35"/>
      <c r="BY960" s="35"/>
      <c r="BZ960" s="35"/>
      <c r="CA960" s="35"/>
      <c r="CB960" s="35"/>
      <c r="CC960" s="35"/>
      <c r="CD960" s="35"/>
      <c r="CE960" s="35"/>
      <c r="CF960" s="35"/>
      <c r="CG960" s="35"/>
      <c r="CH960" s="35"/>
      <c r="CI960" s="35"/>
      <c r="CJ960" s="35"/>
      <c r="CK960" s="35"/>
    </row>
    <row r="961" spans="8:89" s="34" customFormat="1"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  <c r="BH961" s="35"/>
      <c r="BI961" s="35"/>
      <c r="BJ961" s="35"/>
      <c r="BK961" s="35"/>
      <c r="BL961" s="35"/>
      <c r="BM961" s="35"/>
      <c r="BN961" s="35"/>
      <c r="BO961" s="35"/>
      <c r="BP961" s="35"/>
      <c r="BQ961" s="35"/>
      <c r="BR961" s="35"/>
      <c r="BS961" s="35"/>
      <c r="BT961" s="35"/>
      <c r="BU961" s="35"/>
      <c r="BV961" s="35"/>
      <c r="BW961" s="35"/>
      <c r="BX961" s="35"/>
      <c r="BY961" s="35"/>
      <c r="BZ961" s="35"/>
      <c r="CA961" s="35"/>
      <c r="CB961" s="35"/>
      <c r="CC961" s="35"/>
      <c r="CD961" s="35"/>
      <c r="CE961" s="35"/>
      <c r="CF961" s="35"/>
      <c r="CG961" s="35"/>
      <c r="CH961" s="35"/>
      <c r="CI961" s="35"/>
      <c r="CJ961" s="35"/>
      <c r="CK961" s="35"/>
    </row>
    <row r="962" spans="8:89" s="34" customFormat="1"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  <c r="BH962" s="35"/>
      <c r="BI962" s="35"/>
      <c r="BJ962" s="35"/>
      <c r="BK962" s="35"/>
      <c r="BL962" s="35"/>
      <c r="BM962" s="35"/>
      <c r="BN962" s="35"/>
      <c r="BO962" s="35"/>
      <c r="BP962" s="35"/>
      <c r="BQ962" s="35"/>
      <c r="BR962" s="35"/>
      <c r="BS962" s="35"/>
      <c r="BT962" s="35"/>
      <c r="BU962" s="35"/>
      <c r="BV962" s="35"/>
      <c r="BW962" s="35"/>
      <c r="BX962" s="35"/>
      <c r="BY962" s="35"/>
      <c r="BZ962" s="35"/>
      <c r="CA962" s="35"/>
      <c r="CB962" s="35"/>
      <c r="CC962" s="35"/>
      <c r="CD962" s="35"/>
      <c r="CE962" s="35"/>
      <c r="CF962" s="35"/>
      <c r="CG962" s="35"/>
      <c r="CH962" s="35"/>
      <c r="CI962" s="35"/>
      <c r="CJ962" s="35"/>
      <c r="CK962" s="35"/>
    </row>
    <row r="963" spans="8:89" s="34" customFormat="1"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  <c r="BH963" s="35"/>
      <c r="BI963" s="35"/>
      <c r="BJ963" s="35"/>
      <c r="BK963" s="35"/>
      <c r="BL963" s="35"/>
      <c r="BM963" s="35"/>
      <c r="BN963" s="35"/>
      <c r="BO963" s="35"/>
      <c r="BP963" s="35"/>
      <c r="BQ963" s="35"/>
      <c r="BR963" s="35"/>
      <c r="BS963" s="35"/>
      <c r="BT963" s="35"/>
      <c r="BU963" s="35"/>
      <c r="BV963" s="35"/>
      <c r="BW963" s="35"/>
      <c r="BX963" s="35"/>
      <c r="BY963" s="35"/>
      <c r="BZ963" s="35"/>
      <c r="CA963" s="35"/>
      <c r="CB963" s="35"/>
      <c r="CC963" s="35"/>
      <c r="CD963" s="35"/>
      <c r="CE963" s="35"/>
      <c r="CF963" s="35"/>
      <c r="CG963" s="35"/>
      <c r="CH963" s="35"/>
      <c r="CI963" s="35"/>
      <c r="CJ963" s="35"/>
      <c r="CK963" s="35"/>
    </row>
    <row r="964" spans="8:89" s="34" customFormat="1"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  <c r="BH964" s="35"/>
      <c r="BI964" s="35"/>
      <c r="BJ964" s="35"/>
      <c r="BK964" s="35"/>
      <c r="BL964" s="35"/>
      <c r="BM964" s="35"/>
      <c r="BN964" s="35"/>
      <c r="BO964" s="35"/>
      <c r="BP964" s="35"/>
      <c r="BQ964" s="35"/>
      <c r="BR964" s="35"/>
      <c r="BS964" s="35"/>
      <c r="BT964" s="35"/>
      <c r="BU964" s="35"/>
      <c r="BV964" s="35"/>
      <c r="BW964" s="35"/>
      <c r="BX964" s="35"/>
      <c r="BY964" s="35"/>
      <c r="BZ964" s="35"/>
      <c r="CA964" s="35"/>
      <c r="CB964" s="35"/>
      <c r="CC964" s="35"/>
      <c r="CD964" s="35"/>
      <c r="CE964" s="35"/>
      <c r="CF964" s="35"/>
      <c r="CG964" s="35"/>
      <c r="CH964" s="35"/>
      <c r="CI964" s="35"/>
      <c r="CJ964" s="35"/>
      <c r="CK964" s="35"/>
    </row>
    <row r="965" spans="8:89" s="34" customFormat="1"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  <c r="BH965" s="35"/>
      <c r="BI965" s="35"/>
      <c r="BJ965" s="35"/>
      <c r="BK965" s="35"/>
      <c r="BL965" s="35"/>
      <c r="BM965" s="35"/>
      <c r="BN965" s="35"/>
      <c r="BO965" s="35"/>
      <c r="BP965" s="35"/>
      <c r="BQ965" s="35"/>
      <c r="BR965" s="35"/>
      <c r="BS965" s="35"/>
      <c r="BT965" s="35"/>
      <c r="BU965" s="35"/>
      <c r="BV965" s="35"/>
      <c r="BW965" s="35"/>
      <c r="BX965" s="35"/>
      <c r="BY965" s="35"/>
      <c r="BZ965" s="35"/>
      <c r="CA965" s="35"/>
      <c r="CB965" s="35"/>
      <c r="CC965" s="35"/>
      <c r="CD965" s="35"/>
      <c r="CE965" s="35"/>
      <c r="CF965" s="35"/>
      <c r="CG965" s="35"/>
      <c r="CH965" s="35"/>
      <c r="CI965" s="35"/>
      <c r="CJ965" s="35"/>
      <c r="CK965" s="35"/>
    </row>
    <row r="966" spans="8:89" s="34" customFormat="1"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/>
      <c r="BE966" s="35"/>
      <c r="BF966" s="35"/>
      <c r="BG966" s="35"/>
      <c r="BH966" s="35"/>
      <c r="BI966" s="35"/>
      <c r="BJ966" s="35"/>
      <c r="BK966" s="35"/>
      <c r="BL966" s="35"/>
      <c r="BM966" s="35"/>
      <c r="BN966" s="35"/>
      <c r="BO966" s="35"/>
      <c r="BP966" s="35"/>
      <c r="BQ966" s="35"/>
      <c r="BR966" s="35"/>
      <c r="BS966" s="35"/>
      <c r="BT966" s="35"/>
      <c r="BU966" s="35"/>
      <c r="BV966" s="35"/>
      <c r="BW966" s="35"/>
      <c r="BX966" s="35"/>
      <c r="BY966" s="35"/>
      <c r="BZ966" s="35"/>
      <c r="CA966" s="35"/>
      <c r="CB966" s="35"/>
      <c r="CC966" s="35"/>
      <c r="CD966" s="35"/>
      <c r="CE966" s="35"/>
      <c r="CF966" s="35"/>
      <c r="CG966" s="35"/>
      <c r="CH966" s="35"/>
      <c r="CI966" s="35"/>
      <c r="CJ966" s="35"/>
      <c r="CK966" s="35"/>
    </row>
    <row r="967" spans="8:89" s="34" customFormat="1"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  <c r="BH967" s="35"/>
      <c r="BI967" s="35"/>
      <c r="BJ967" s="35"/>
      <c r="BK967" s="35"/>
      <c r="BL967" s="35"/>
      <c r="BM967" s="35"/>
      <c r="BN967" s="35"/>
      <c r="BO967" s="35"/>
      <c r="BP967" s="35"/>
      <c r="BQ967" s="35"/>
      <c r="BR967" s="35"/>
      <c r="BS967" s="35"/>
      <c r="BT967" s="35"/>
      <c r="BU967" s="35"/>
      <c r="BV967" s="35"/>
      <c r="BW967" s="35"/>
      <c r="BX967" s="35"/>
      <c r="BY967" s="35"/>
      <c r="BZ967" s="35"/>
      <c r="CA967" s="35"/>
      <c r="CB967" s="35"/>
      <c r="CC967" s="35"/>
      <c r="CD967" s="35"/>
      <c r="CE967" s="35"/>
      <c r="CF967" s="35"/>
      <c r="CG967" s="35"/>
      <c r="CH967" s="35"/>
      <c r="CI967" s="35"/>
      <c r="CJ967" s="35"/>
      <c r="CK967" s="35"/>
    </row>
    <row r="968" spans="8:89" s="34" customFormat="1"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  <c r="BH968" s="35"/>
      <c r="BI968" s="35"/>
      <c r="BJ968" s="35"/>
      <c r="BK968" s="35"/>
      <c r="BL968" s="35"/>
      <c r="BM968" s="35"/>
      <c r="BN968" s="35"/>
      <c r="BO968" s="35"/>
      <c r="BP968" s="35"/>
      <c r="BQ968" s="35"/>
      <c r="BR968" s="35"/>
      <c r="BS968" s="35"/>
      <c r="BT968" s="35"/>
      <c r="BU968" s="35"/>
      <c r="BV968" s="35"/>
      <c r="BW968" s="35"/>
      <c r="BX968" s="35"/>
      <c r="BY968" s="35"/>
      <c r="BZ968" s="35"/>
      <c r="CA968" s="35"/>
      <c r="CB968" s="35"/>
      <c r="CC968" s="35"/>
      <c r="CD968" s="35"/>
      <c r="CE968" s="35"/>
      <c r="CF968" s="35"/>
      <c r="CG968" s="35"/>
      <c r="CH968" s="35"/>
      <c r="CI968" s="35"/>
      <c r="CJ968" s="35"/>
      <c r="CK968" s="35"/>
    </row>
    <row r="969" spans="8:89" s="34" customFormat="1"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  <c r="BH969" s="35"/>
      <c r="BI969" s="35"/>
      <c r="BJ969" s="35"/>
      <c r="BK969" s="35"/>
      <c r="BL969" s="35"/>
      <c r="BM969" s="35"/>
      <c r="BN969" s="35"/>
      <c r="BO969" s="35"/>
      <c r="BP969" s="35"/>
      <c r="BQ969" s="35"/>
      <c r="BR969" s="35"/>
      <c r="BS969" s="35"/>
      <c r="BT969" s="35"/>
      <c r="BU969" s="35"/>
      <c r="BV969" s="35"/>
      <c r="BW969" s="35"/>
      <c r="BX969" s="35"/>
      <c r="BY969" s="35"/>
      <c r="BZ969" s="35"/>
      <c r="CA969" s="35"/>
      <c r="CB969" s="35"/>
      <c r="CC969" s="35"/>
      <c r="CD969" s="35"/>
      <c r="CE969" s="35"/>
      <c r="CF969" s="35"/>
      <c r="CG969" s="35"/>
      <c r="CH969" s="35"/>
      <c r="CI969" s="35"/>
      <c r="CJ969" s="35"/>
      <c r="CK969" s="35"/>
    </row>
    <row r="970" spans="8:89" s="34" customFormat="1"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  <c r="BH970" s="35"/>
      <c r="BI970" s="35"/>
      <c r="BJ970" s="35"/>
      <c r="BK970" s="35"/>
      <c r="BL970" s="35"/>
      <c r="BM970" s="35"/>
      <c r="BN970" s="35"/>
      <c r="BO970" s="35"/>
      <c r="BP970" s="35"/>
      <c r="BQ970" s="35"/>
      <c r="BR970" s="35"/>
      <c r="BS970" s="35"/>
      <c r="BT970" s="35"/>
      <c r="BU970" s="35"/>
      <c r="BV970" s="35"/>
      <c r="BW970" s="35"/>
      <c r="BX970" s="35"/>
      <c r="BY970" s="35"/>
      <c r="BZ970" s="35"/>
      <c r="CA970" s="35"/>
      <c r="CB970" s="35"/>
      <c r="CC970" s="35"/>
      <c r="CD970" s="35"/>
      <c r="CE970" s="35"/>
      <c r="CF970" s="35"/>
      <c r="CG970" s="35"/>
      <c r="CH970" s="35"/>
      <c r="CI970" s="35"/>
      <c r="CJ970" s="35"/>
      <c r="CK970" s="35"/>
    </row>
    <row r="971" spans="8:89" s="34" customFormat="1"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  <c r="BH971" s="35"/>
      <c r="BI971" s="35"/>
      <c r="BJ971" s="35"/>
      <c r="BK971" s="35"/>
      <c r="BL971" s="35"/>
      <c r="BM971" s="35"/>
      <c r="BN971" s="35"/>
      <c r="BO971" s="35"/>
      <c r="BP971" s="35"/>
      <c r="BQ971" s="35"/>
      <c r="BR971" s="35"/>
      <c r="BS971" s="35"/>
      <c r="BT971" s="35"/>
      <c r="BU971" s="35"/>
      <c r="BV971" s="35"/>
      <c r="BW971" s="35"/>
      <c r="BX971" s="35"/>
      <c r="BY971" s="35"/>
      <c r="BZ971" s="35"/>
      <c r="CA971" s="35"/>
      <c r="CB971" s="35"/>
      <c r="CC971" s="35"/>
      <c r="CD971" s="35"/>
      <c r="CE971" s="35"/>
      <c r="CF971" s="35"/>
      <c r="CG971" s="35"/>
      <c r="CH971" s="35"/>
      <c r="CI971" s="35"/>
      <c r="CJ971" s="35"/>
      <c r="CK971" s="35"/>
    </row>
    <row r="972" spans="8:89" s="34" customFormat="1"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  <c r="BH972" s="35"/>
      <c r="BI972" s="35"/>
      <c r="BJ972" s="35"/>
      <c r="BK972" s="35"/>
      <c r="BL972" s="35"/>
      <c r="BM972" s="35"/>
      <c r="BN972" s="35"/>
      <c r="BO972" s="35"/>
      <c r="BP972" s="35"/>
      <c r="BQ972" s="35"/>
      <c r="BR972" s="35"/>
      <c r="BS972" s="35"/>
      <c r="BT972" s="35"/>
      <c r="BU972" s="35"/>
      <c r="BV972" s="35"/>
      <c r="BW972" s="35"/>
      <c r="BX972" s="35"/>
      <c r="BY972" s="35"/>
      <c r="BZ972" s="35"/>
      <c r="CA972" s="35"/>
      <c r="CB972" s="35"/>
      <c r="CC972" s="35"/>
      <c r="CD972" s="35"/>
      <c r="CE972" s="35"/>
      <c r="CF972" s="35"/>
      <c r="CG972" s="35"/>
      <c r="CH972" s="35"/>
      <c r="CI972" s="35"/>
      <c r="CJ972" s="35"/>
      <c r="CK972" s="35"/>
    </row>
    <row r="973" spans="8:89" s="34" customFormat="1"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  <c r="BH973" s="35"/>
      <c r="BI973" s="35"/>
      <c r="BJ973" s="35"/>
      <c r="BK973" s="35"/>
      <c r="BL973" s="35"/>
      <c r="BM973" s="35"/>
      <c r="BN973" s="35"/>
      <c r="BO973" s="35"/>
      <c r="BP973" s="35"/>
      <c r="BQ973" s="35"/>
      <c r="BR973" s="35"/>
      <c r="BS973" s="35"/>
      <c r="BT973" s="35"/>
      <c r="BU973" s="35"/>
      <c r="BV973" s="35"/>
      <c r="BW973" s="35"/>
      <c r="BX973" s="35"/>
      <c r="BY973" s="35"/>
      <c r="BZ973" s="35"/>
      <c r="CA973" s="35"/>
      <c r="CB973" s="35"/>
      <c r="CC973" s="35"/>
      <c r="CD973" s="35"/>
      <c r="CE973" s="35"/>
      <c r="CF973" s="35"/>
      <c r="CG973" s="35"/>
      <c r="CH973" s="35"/>
      <c r="CI973" s="35"/>
      <c r="CJ973" s="35"/>
      <c r="CK973" s="35"/>
    </row>
    <row r="974" spans="8:89" s="34" customFormat="1"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  <c r="BH974" s="35"/>
      <c r="BI974" s="35"/>
      <c r="BJ974" s="35"/>
      <c r="BK974" s="35"/>
      <c r="BL974" s="35"/>
      <c r="BM974" s="35"/>
      <c r="BN974" s="35"/>
      <c r="BO974" s="35"/>
      <c r="BP974" s="35"/>
      <c r="BQ974" s="35"/>
      <c r="BR974" s="35"/>
      <c r="BS974" s="35"/>
      <c r="BT974" s="35"/>
      <c r="BU974" s="35"/>
      <c r="BV974" s="35"/>
      <c r="BW974" s="35"/>
      <c r="BX974" s="35"/>
      <c r="BY974" s="35"/>
      <c r="BZ974" s="35"/>
      <c r="CA974" s="35"/>
      <c r="CB974" s="35"/>
      <c r="CC974" s="35"/>
      <c r="CD974" s="35"/>
      <c r="CE974" s="35"/>
      <c r="CF974" s="35"/>
      <c r="CG974" s="35"/>
      <c r="CH974" s="35"/>
      <c r="CI974" s="35"/>
      <c r="CJ974" s="35"/>
      <c r="CK974" s="35"/>
    </row>
    <row r="975" spans="8:89" s="34" customFormat="1"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/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  <c r="BH975" s="35"/>
      <c r="BI975" s="35"/>
      <c r="BJ975" s="35"/>
      <c r="BK975" s="35"/>
      <c r="BL975" s="35"/>
      <c r="BM975" s="35"/>
      <c r="BN975" s="35"/>
      <c r="BO975" s="35"/>
      <c r="BP975" s="35"/>
      <c r="BQ975" s="35"/>
      <c r="BR975" s="35"/>
      <c r="BS975" s="35"/>
      <c r="BT975" s="35"/>
      <c r="BU975" s="35"/>
      <c r="BV975" s="35"/>
      <c r="BW975" s="35"/>
      <c r="BX975" s="35"/>
      <c r="BY975" s="35"/>
      <c r="BZ975" s="35"/>
      <c r="CA975" s="35"/>
      <c r="CB975" s="35"/>
      <c r="CC975" s="35"/>
      <c r="CD975" s="35"/>
      <c r="CE975" s="35"/>
      <c r="CF975" s="35"/>
      <c r="CG975" s="35"/>
      <c r="CH975" s="35"/>
      <c r="CI975" s="35"/>
      <c r="CJ975" s="35"/>
      <c r="CK975" s="35"/>
    </row>
    <row r="976" spans="8:89" s="34" customFormat="1"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  <c r="BH976" s="35"/>
      <c r="BI976" s="35"/>
      <c r="BJ976" s="35"/>
      <c r="BK976" s="35"/>
      <c r="BL976" s="35"/>
      <c r="BM976" s="35"/>
      <c r="BN976" s="35"/>
      <c r="BO976" s="35"/>
      <c r="BP976" s="35"/>
      <c r="BQ976" s="35"/>
      <c r="BR976" s="35"/>
      <c r="BS976" s="35"/>
      <c r="BT976" s="35"/>
      <c r="BU976" s="35"/>
      <c r="BV976" s="35"/>
      <c r="BW976" s="35"/>
      <c r="BX976" s="35"/>
      <c r="BY976" s="35"/>
      <c r="BZ976" s="35"/>
      <c r="CA976" s="35"/>
      <c r="CB976" s="35"/>
      <c r="CC976" s="35"/>
      <c r="CD976" s="35"/>
      <c r="CE976" s="35"/>
      <c r="CF976" s="35"/>
      <c r="CG976" s="35"/>
      <c r="CH976" s="35"/>
      <c r="CI976" s="35"/>
      <c r="CJ976" s="35"/>
      <c r="CK976" s="35"/>
    </row>
    <row r="977" spans="8:89" s="34" customFormat="1"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  <c r="BH977" s="35"/>
      <c r="BI977" s="35"/>
      <c r="BJ977" s="35"/>
      <c r="BK977" s="35"/>
      <c r="BL977" s="35"/>
      <c r="BM977" s="35"/>
      <c r="BN977" s="35"/>
      <c r="BO977" s="35"/>
      <c r="BP977" s="35"/>
      <c r="BQ977" s="35"/>
      <c r="BR977" s="35"/>
      <c r="BS977" s="35"/>
      <c r="BT977" s="35"/>
      <c r="BU977" s="35"/>
      <c r="BV977" s="35"/>
      <c r="BW977" s="35"/>
      <c r="BX977" s="35"/>
      <c r="BY977" s="35"/>
      <c r="BZ977" s="35"/>
      <c r="CA977" s="35"/>
      <c r="CB977" s="35"/>
      <c r="CC977" s="35"/>
      <c r="CD977" s="35"/>
      <c r="CE977" s="35"/>
      <c r="CF977" s="35"/>
      <c r="CG977" s="35"/>
      <c r="CH977" s="35"/>
      <c r="CI977" s="35"/>
      <c r="CJ977" s="35"/>
      <c r="CK977" s="35"/>
    </row>
    <row r="978" spans="8:89" s="34" customFormat="1"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  <c r="BH978" s="35"/>
      <c r="BI978" s="35"/>
      <c r="BJ978" s="35"/>
      <c r="BK978" s="35"/>
      <c r="BL978" s="35"/>
      <c r="BM978" s="35"/>
      <c r="BN978" s="35"/>
      <c r="BO978" s="35"/>
      <c r="BP978" s="35"/>
      <c r="BQ978" s="35"/>
      <c r="BR978" s="35"/>
      <c r="BS978" s="35"/>
      <c r="BT978" s="35"/>
      <c r="BU978" s="35"/>
      <c r="BV978" s="35"/>
      <c r="BW978" s="35"/>
      <c r="BX978" s="35"/>
      <c r="BY978" s="35"/>
      <c r="BZ978" s="35"/>
      <c r="CA978" s="35"/>
      <c r="CB978" s="35"/>
      <c r="CC978" s="35"/>
      <c r="CD978" s="35"/>
      <c r="CE978" s="35"/>
      <c r="CF978" s="35"/>
      <c r="CG978" s="35"/>
      <c r="CH978" s="35"/>
      <c r="CI978" s="35"/>
      <c r="CJ978" s="35"/>
      <c r="CK978" s="35"/>
    </row>
    <row r="979" spans="8:89" s="34" customFormat="1"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AQ979" s="35"/>
      <c r="AR979" s="35"/>
      <c r="AS979" s="35"/>
      <c r="AT979" s="35"/>
      <c r="AU979" s="35"/>
      <c r="AV979" s="35"/>
      <c r="AW979" s="35"/>
      <c r="AX979" s="35"/>
      <c r="AY979" s="35"/>
      <c r="AZ979" s="35"/>
      <c r="BA979" s="35"/>
      <c r="BB979" s="35"/>
      <c r="BC979" s="35"/>
      <c r="BD979" s="35"/>
      <c r="BE979" s="35"/>
      <c r="BF979" s="35"/>
      <c r="BG979" s="35"/>
      <c r="BH979" s="35"/>
      <c r="BI979" s="35"/>
      <c r="BJ979" s="35"/>
      <c r="BK979" s="35"/>
      <c r="BL979" s="35"/>
      <c r="BM979" s="35"/>
      <c r="BN979" s="35"/>
      <c r="BO979" s="35"/>
      <c r="BP979" s="35"/>
      <c r="BQ979" s="35"/>
      <c r="BR979" s="35"/>
      <c r="BS979" s="35"/>
      <c r="BT979" s="35"/>
      <c r="BU979" s="35"/>
      <c r="BV979" s="35"/>
      <c r="BW979" s="35"/>
      <c r="BX979" s="35"/>
      <c r="BY979" s="35"/>
      <c r="BZ979" s="35"/>
      <c r="CA979" s="35"/>
      <c r="CB979" s="35"/>
      <c r="CC979" s="35"/>
      <c r="CD979" s="35"/>
      <c r="CE979" s="35"/>
      <c r="CF979" s="35"/>
      <c r="CG979" s="35"/>
      <c r="CH979" s="35"/>
      <c r="CI979" s="35"/>
      <c r="CJ979" s="35"/>
      <c r="CK979" s="35"/>
    </row>
    <row r="980" spans="8:89" s="34" customFormat="1"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AQ980" s="35"/>
      <c r="AR980" s="35"/>
      <c r="AS980" s="35"/>
      <c r="AT980" s="35"/>
      <c r="AU980" s="35"/>
      <c r="AV980" s="35"/>
      <c r="AW980" s="35"/>
      <c r="AX980" s="35"/>
      <c r="AY980" s="35"/>
      <c r="AZ980" s="35"/>
      <c r="BA980" s="35"/>
      <c r="BB980" s="35"/>
      <c r="BC980" s="35"/>
      <c r="BD980" s="35"/>
      <c r="BE980" s="35"/>
      <c r="BF980" s="35"/>
      <c r="BG980" s="35"/>
      <c r="BH980" s="35"/>
      <c r="BI980" s="35"/>
      <c r="BJ980" s="35"/>
      <c r="BK980" s="35"/>
      <c r="BL980" s="35"/>
      <c r="BM980" s="35"/>
      <c r="BN980" s="35"/>
      <c r="BO980" s="35"/>
      <c r="BP980" s="35"/>
      <c r="BQ980" s="35"/>
      <c r="BR980" s="35"/>
      <c r="BS980" s="35"/>
      <c r="BT980" s="35"/>
      <c r="BU980" s="35"/>
      <c r="BV980" s="35"/>
      <c r="BW980" s="35"/>
      <c r="BX980" s="35"/>
      <c r="BY980" s="35"/>
      <c r="BZ980" s="35"/>
      <c r="CA980" s="35"/>
      <c r="CB980" s="35"/>
      <c r="CC980" s="35"/>
      <c r="CD980" s="35"/>
      <c r="CE980" s="35"/>
      <c r="CF980" s="35"/>
      <c r="CG980" s="35"/>
      <c r="CH980" s="35"/>
      <c r="CI980" s="35"/>
      <c r="CJ980" s="35"/>
      <c r="CK980" s="35"/>
    </row>
    <row r="981" spans="8:89" s="34" customFormat="1"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AQ981" s="35"/>
      <c r="AR981" s="35"/>
      <c r="AS981" s="35"/>
      <c r="AT981" s="35"/>
      <c r="AU981" s="35"/>
      <c r="AV981" s="35"/>
      <c r="AW981" s="35"/>
      <c r="AX981" s="35"/>
      <c r="AY981" s="35"/>
      <c r="AZ981" s="35"/>
      <c r="BA981" s="35"/>
      <c r="BB981" s="35"/>
      <c r="BC981" s="35"/>
      <c r="BD981" s="35"/>
      <c r="BE981" s="35"/>
      <c r="BF981" s="35"/>
      <c r="BG981" s="35"/>
      <c r="BH981" s="35"/>
      <c r="BI981" s="35"/>
      <c r="BJ981" s="35"/>
      <c r="BK981" s="35"/>
      <c r="BL981" s="35"/>
      <c r="BM981" s="35"/>
      <c r="BN981" s="35"/>
      <c r="BO981" s="35"/>
      <c r="BP981" s="35"/>
      <c r="BQ981" s="35"/>
      <c r="BR981" s="35"/>
      <c r="BS981" s="35"/>
      <c r="BT981" s="35"/>
      <c r="BU981" s="35"/>
      <c r="BV981" s="35"/>
      <c r="BW981" s="35"/>
      <c r="BX981" s="35"/>
      <c r="BY981" s="35"/>
      <c r="BZ981" s="35"/>
      <c r="CA981" s="35"/>
      <c r="CB981" s="35"/>
      <c r="CC981" s="35"/>
      <c r="CD981" s="35"/>
      <c r="CE981" s="35"/>
      <c r="CF981" s="35"/>
      <c r="CG981" s="35"/>
      <c r="CH981" s="35"/>
      <c r="CI981" s="35"/>
      <c r="CJ981" s="35"/>
      <c r="CK981" s="35"/>
    </row>
    <row r="982" spans="8:89" s="34" customFormat="1"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AQ982" s="35"/>
      <c r="AR982" s="35"/>
      <c r="AS982" s="35"/>
      <c r="AT982" s="35"/>
      <c r="AU982" s="35"/>
      <c r="AV982" s="35"/>
      <c r="AW982" s="35"/>
      <c r="AX982" s="35"/>
      <c r="AY982" s="35"/>
      <c r="AZ982" s="35"/>
      <c r="BA982" s="35"/>
      <c r="BB982" s="35"/>
      <c r="BC982" s="35"/>
      <c r="BD982" s="35"/>
      <c r="BE982" s="35"/>
      <c r="BF982" s="35"/>
      <c r="BG982" s="35"/>
      <c r="BH982" s="35"/>
      <c r="BI982" s="35"/>
      <c r="BJ982" s="35"/>
      <c r="BK982" s="35"/>
      <c r="BL982" s="35"/>
      <c r="BM982" s="35"/>
      <c r="BN982" s="35"/>
      <c r="BO982" s="35"/>
      <c r="BP982" s="35"/>
      <c r="BQ982" s="35"/>
      <c r="BR982" s="35"/>
      <c r="BS982" s="35"/>
      <c r="BT982" s="35"/>
      <c r="BU982" s="35"/>
      <c r="BV982" s="35"/>
      <c r="BW982" s="35"/>
      <c r="BX982" s="35"/>
      <c r="BY982" s="35"/>
      <c r="BZ982" s="35"/>
      <c r="CA982" s="35"/>
      <c r="CB982" s="35"/>
      <c r="CC982" s="35"/>
      <c r="CD982" s="35"/>
      <c r="CE982" s="35"/>
      <c r="CF982" s="35"/>
      <c r="CG982" s="35"/>
      <c r="CH982" s="35"/>
      <c r="CI982" s="35"/>
      <c r="CJ982" s="35"/>
      <c r="CK982" s="35"/>
    </row>
    <row r="983" spans="8:89" s="34" customFormat="1"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AQ983" s="35"/>
      <c r="AR983" s="35"/>
      <c r="AS983" s="35"/>
      <c r="AT983" s="35"/>
      <c r="AU983" s="35"/>
      <c r="AV983" s="35"/>
      <c r="AW983" s="35"/>
      <c r="AX983" s="35"/>
      <c r="AY983" s="35"/>
      <c r="AZ983" s="35"/>
      <c r="BA983" s="35"/>
      <c r="BB983" s="35"/>
      <c r="BC983" s="35"/>
      <c r="BD983" s="35"/>
      <c r="BE983" s="35"/>
      <c r="BF983" s="35"/>
      <c r="BG983" s="35"/>
      <c r="BH983" s="35"/>
      <c r="BI983" s="35"/>
      <c r="BJ983" s="35"/>
      <c r="BK983" s="35"/>
      <c r="BL983" s="35"/>
      <c r="BM983" s="35"/>
      <c r="BN983" s="35"/>
      <c r="BO983" s="35"/>
      <c r="BP983" s="35"/>
      <c r="BQ983" s="35"/>
      <c r="BR983" s="35"/>
      <c r="BS983" s="35"/>
      <c r="BT983" s="35"/>
      <c r="BU983" s="35"/>
      <c r="BV983" s="35"/>
      <c r="BW983" s="35"/>
      <c r="BX983" s="35"/>
      <c r="BY983" s="35"/>
      <c r="BZ983" s="35"/>
      <c r="CA983" s="35"/>
      <c r="CB983" s="35"/>
      <c r="CC983" s="35"/>
      <c r="CD983" s="35"/>
      <c r="CE983" s="35"/>
      <c r="CF983" s="35"/>
      <c r="CG983" s="35"/>
      <c r="CH983" s="35"/>
      <c r="CI983" s="35"/>
      <c r="CJ983" s="35"/>
      <c r="CK983" s="35"/>
    </row>
    <row r="984" spans="8:89" s="34" customFormat="1"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AQ984" s="35"/>
      <c r="AR984" s="35"/>
      <c r="AS984" s="35"/>
      <c r="AT984" s="35"/>
      <c r="AU984" s="35"/>
      <c r="AV984" s="35"/>
      <c r="AW984" s="35"/>
      <c r="AX984" s="35"/>
      <c r="AY984" s="35"/>
      <c r="AZ984" s="35"/>
      <c r="BA984" s="35"/>
      <c r="BB984" s="35"/>
      <c r="BC984" s="35"/>
      <c r="BD984" s="35"/>
      <c r="BE984" s="35"/>
      <c r="BF984" s="35"/>
      <c r="BG984" s="35"/>
      <c r="BH984" s="35"/>
      <c r="BI984" s="35"/>
      <c r="BJ984" s="35"/>
      <c r="BK984" s="35"/>
      <c r="BL984" s="35"/>
      <c r="BM984" s="35"/>
      <c r="BN984" s="35"/>
      <c r="BO984" s="35"/>
      <c r="BP984" s="35"/>
      <c r="BQ984" s="35"/>
      <c r="BR984" s="35"/>
      <c r="BS984" s="35"/>
      <c r="BT984" s="35"/>
      <c r="BU984" s="35"/>
      <c r="BV984" s="35"/>
      <c r="BW984" s="35"/>
      <c r="BX984" s="35"/>
      <c r="BY984" s="35"/>
      <c r="BZ984" s="35"/>
      <c r="CA984" s="35"/>
      <c r="CB984" s="35"/>
      <c r="CC984" s="35"/>
      <c r="CD984" s="35"/>
      <c r="CE984" s="35"/>
      <c r="CF984" s="35"/>
      <c r="CG984" s="35"/>
      <c r="CH984" s="35"/>
      <c r="CI984" s="35"/>
      <c r="CJ984" s="35"/>
      <c r="CK984" s="35"/>
    </row>
    <row r="985" spans="8:89" s="34" customFormat="1"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AQ985" s="35"/>
      <c r="AR985" s="35"/>
      <c r="AS985" s="35"/>
      <c r="AT985" s="35"/>
      <c r="AU985" s="35"/>
      <c r="AV985" s="35"/>
      <c r="AW985" s="35"/>
      <c r="AX985" s="35"/>
      <c r="AY985" s="35"/>
      <c r="AZ985" s="35"/>
      <c r="BA985" s="35"/>
      <c r="BB985" s="35"/>
      <c r="BC985" s="35"/>
      <c r="BD985" s="35"/>
      <c r="BE985" s="35"/>
      <c r="BF985" s="35"/>
      <c r="BG985" s="35"/>
      <c r="BH985" s="35"/>
      <c r="BI985" s="35"/>
      <c r="BJ985" s="35"/>
      <c r="BK985" s="35"/>
      <c r="BL985" s="35"/>
      <c r="BM985" s="35"/>
      <c r="BN985" s="35"/>
      <c r="BO985" s="35"/>
      <c r="BP985" s="35"/>
      <c r="BQ985" s="35"/>
      <c r="BR985" s="35"/>
      <c r="BS985" s="35"/>
      <c r="BT985" s="35"/>
      <c r="BU985" s="35"/>
      <c r="BV985" s="35"/>
      <c r="BW985" s="35"/>
      <c r="BX985" s="35"/>
      <c r="BY985" s="35"/>
      <c r="BZ985" s="35"/>
      <c r="CA985" s="35"/>
      <c r="CB985" s="35"/>
      <c r="CC985" s="35"/>
      <c r="CD985" s="35"/>
      <c r="CE985" s="35"/>
      <c r="CF985" s="35"/>
      <c r="CG985" s="35"/>
      <c r="CH985" s="35"/>
      <c r="CI985" s="35"/>
      <c r="CJ985" s="35"/>
      <c r="CK985" s="35"/>
    </row>
    <row r="986" spans="8:89" s="34" customFormat="1"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AQ986" s="35"/>
      <c r="AR986" s="35"/>
      <c r="AS986" s="35"/>
      <c r="AT986" s="35"/>
      <c r="AU986" s="35"/>
      <c r="AV986" s="35"/>
      <c r="AW986" s="35"/>
      <c r="AX986" s="35"/>
      <c r="AY986" s="35"/>
      <c r="AZ986" s="35"/>
      <c r="BA986" s="35"/>
      <c r="BB986" s="35"/>
      <c r="BC986" s="35"/>
      <c r="BD986" s="35"/>
      <c r="BE986" s="35"/>
      <c r="BF986" s="35"/>
      <c r="BG986" s="35"/>
      <c r="BH986" s="35"/>
      <c r="BI986" s="35"/>
      <c r="BJ986" s="35"/>
      <c r="BK986" s="35"/>
      <c r="BL986" s="35"/>
      <c r="BM986" s="35"/>
      <c r="BN986" s="35"/>
      <c r="BO986" s="35"/>
      <c r="BP986" s="35"/>
      <c r="BQ986" s="35"/>
      <c r="BR986" s="35"/>
      <c r="BS986" s="35"/>
      <c r="BT986" s="35"/>
      <c r="BU986" s="35"/>
      <c r="BV986" s="35"/>
      <c r="BW986" s="35"/>
      <c r="BX986" s="35"/>
      <c r="BY986" s="35"/>
      <c r="BZ986" s="35"/>
      <c r="CA986" s="35"/>
      <c r="CB986" s="35"/>
      <c r="CC986" s="35"/>
      <c r="CD986" s="35"/>
      <c r="CE986" s="35"/>
      <c r="CF986" s="35"/>
      <c r="CG986" s="35"/>
      <c r="CH986" s="35"/>
      <c r="CI986" s="35"/>
      <c r="CJ986" s="35"/>
      <c r="CK986" s="35"/>
    </row>
    <row r="987" spans="8:89" s="34" customFormat="1"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AQ987" s="35"/>
      <c r="AR987" s="35"/>
      <c r="AS987" s="35"/>
      <c r="AT987" s="35"/>
      <c r="AU987" s="35"/>
      <c r="AV987" s="35"/>
      <c r="AW987" s="35"/>
      <c r="AX987" s="35"/>
      <c r="AY987" s="35"/>
      <c r="AZ987" s="35"/>
      <c r="BA987" s="35"/>
      <c r="BB987" s="35"/>
      <c r="BC987" s="35"/>
      <c r="BD987" s="35"/>
      <c r="BE987" s="35"/>
      <c r="BF987" s="35"/>
      <c r="BG987" s="35"/>
      <c r="BH987" s="35"/>
      <c r="BI987" s="35"/>
      <c r="BJ987" s="35"/>
      <c r="BK987" s="35"/>
      <c r="BL987" s="35"/>
      <c r="BM987" s="35"/>
      <c r="BN987" s="35"/>
      <c r="BO987" s="35"/>
      <c r="BP987" s="35"/>
      <c r="BQ987" s="35"/>
      <c r="BR987" s="35"/>
      <c r="BS987" s="35"/>
      <c r="BT987" s="35"/>
      <c r="BU987" s="35"/>
      <c r="BV987" s="35"/>
      <c r="BW987" s="35"/>
      <c r="BX987" s="35"/>
      <c r="BY987" s="35"/>
      <c r="BZ987" s="35"/>
      <c r="CA987" s="35"/>
      <c r="CB987" s="35"/>
      <c r="CC987" s="35"/>
      <c r="CD987" s="35"/>
      <c r="CE987" s="35"/>
      <c r="CF987" s="35"/>
      <c r="CG987" s="35"/>
      <c r="CH987" s="35"/>
      <c r="CI987" s="35"/>
      <c r="CJ987" s="35"/>
      <c r="CK987" s="35"/>
    </row>
    <row r="988" spans="8:89" s="34" customFormat="1"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AQ988" s="35"/>
      <c r="AR988" s="35"/>
      <c r="AS988" s="35"/>
      <c r="AT988" s="35"/>
      <c r="AU988" s="35"/>
      <c r="AV988" s="35"/>
      <c r="AW988" s="35"/>
      <c r="AX988" s="35"/>
      <c r="AY988" s="35"/>
      <c r="AZ988" s="35"/>
      <c r="BA988" s="35"/>
      <c r="BB988" s="35"/>
      <c r="BC988" s="35"/>
      <c r="BD988" s="35"/>
      <c r="BE988" s="35"/>
      <c r="BF988" s="35"/>
      <c r="BG988" s="35"/>
      <c r="BH988" s="35"/>
      <c r="BI988" s="35"/>
      <c r="BJ988" s="35"/>
      <c r="BK988" s="35"/>
      <c r="BL988" s="35"/>
      <c r="BM988" s="35"/>
      <c r="BN988" s="35"/>
      <c r="BO988" s="35"/>
      <c r="BP988" s="35"/>
      <c r="BQ988" s="35"/>
      <c r="BR988" s="35"/>
      <c r="BS988" s="35"/>
      <c r="BT988" s="35"/>
      <c r="BU988" s="35"/>
      <c r="BV988" s="35"/>
      <c r="BW988" s="35"/>
      <c r="BX988" s="35"/>
      <c r="BY988" s="35"/>
      <c r="BZ988" s="35"/>
      <c r="CA988" s="35"/>
      <c r="CB988" s="35"/>
      <c r="CC988" s="35"/>
      <c r="CD988" s="35"/>
      <c r="CE988" s="35"/>
      <c r="CF988" s="35"/>
      <c r="CG988" s="35"/>
      <c r="CH988" s="35"/>
      <c r="CI988" s="35"/>
      <c r="CJ988" s="35"/>
      <c r="CK988" s="35"/>
    </row>
    <row r="989" spans="8:89" s="34" customFormat="1"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AQ989" s="35"/>
      <c r="AR989" s="35"/>
      <c r="AS989" s="35"/>
      <c r="AT989" s="35"/>
      <c r="AU989" s="35"/>
      <c r="AV989" s="35"/>
      <c r="AW989" s="35"/>
      <c r="AX989" s="35"/>
      <c r="AY989" s="35"/>
      <c r="AZ989" s="35"/>
      <c r="BA989" s="35"/>
      <c r="BB989" s="35"/>
      <c r="BC989" s="35"/>
      <c r="BD989" s="35"/>
      <c r="BE989" s="35"/>
      <c r="BF989" s="35"/>
      <c r="BG989" s="35"/>
      <c r="BH989" s="35"/>
      <c r="BI989" s="35"/>
      <c r="BJ989" s="35"/>
      <c r="BK989" s="35"/>
      <c r="BL989" s="35"/>
      <c r="BM989" s="35"/>
      <c r="BN989" s="35"/>
      <c r="BO989" s="35"/>
      <c r="BP989" s="35"/>
      <c r="BQ989" s="35"/>
      <c r="BR989" s="35"/>
      <c r="BS989" s="35"/>
      <c r="BT989" s="35"/>
      <c r="BU989" s="35"/>
      <c r="BV989" s="35"/>
      <c r="BW989" s="35"/>
      <c r="BX989" s="35"/>
      <c r="BY989" s="35"/>
      <c r="BZ989" s="35"/>
      <c r="CA989" s="35"/>
      <c r="CB989" s="35"/>
      <c r="CC989" s="35"/>
      <c r="CD989" s="35"/>
      <c r="CE989" s="35"/>
      <c r="CF989" s="35"/>
      <c r="CG989" s="35"/>
      <c r="CH989" s="35"/>
      <c r="CI989" s="35"/>
      <c r="CJ989" s="35"/>
      <c r="CK989" s="35"/>
    </row>
    <row r="990" spans="8:89" s="34" customFormat="1"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AQ990" s="35"/>
      <c r="AR990" s="35"/>
      <c r="AS990" s="35"/>
      <c r="AT990" s="35"/>
      <c r="AU990" s="35"/>
      <c r="AV990" s="35"/>
      <c r="AW990" s="35"/>
      <c r="AX990" s="35"/>
      <c r="AY990" s="35"/>
      <c r="AZ990" s="35"/>
      <c r="BA990" s="35"/>
      <c r="BB990" s="35"/>
      <c r="BC990" s="35"/>
      <c r="BD990" s="35"/>
      <c r="BE990" s="35"/>
      <c r="BF990" s="35"/>
      <c r="BG990" s="35"/>
      <c r="BH990" s="35"/>
      <c r="BI990" s="35"/>
      <c r="BJ990" s="35"/>
      <c r="BK990" s="35"/>
      <c r="BL990" s="35"/>
      <c r="BM990" s="35"/>
      <c r="BN990" s="35"/>
      <c r="BO990" s="35"/>
      <c r="BP990" s="35"/>
      <c r="BQ990" s="35"/>
      <c r="BR990" s="35"/>
      <c r="BS990" s="35"/>
      <c r="BT990" s="35"/>
      <c r="BU990" s="35"/>
      <c r="BV990" s="35"/>
      <c r="BW990" s="35"/>
      <c r="BX990" s="35"/>
      <c r="BY990" s="35"/>
      <c r="BZ990" s="35"/>
      <c r="CA990" s="35"/>
      <c r="CB990" s="35"/>
      <c r="CC990" s="35"/>
      <c r="CD990" s="35"/>
      <c r="CE990" s="35"/>
      <c r="CF990" s="35"/>
      <c r="CG990" s="35"/>
      <c r="CH990" s="35"/>
      <c r="CI990" s="35"/>
      <c r="CJ990" s="35"/>
      <c r="CK990" s="35"/>
    </row>
    <row r="991" spans="8:89" s="34" customFormat="1"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AQ991" s="35"/>
      <c r="AR991" s="35"/>
      <c r="AS991" s="35"/>
      <c r="AT991" s="35"/>
      <c r="AU991" s="35"/>
      <c r="AV991" s="35"/>
      <c r="AW991" s="35"/>
      <c r="AX991" s="35"/>
      <c r="AY991" s="35"/>
      <c r="AZ991" s="35"/>
      <c r="BA991" s="35"/>
      <c r="BB991" s="35"/>
      <c r="BC991" s="35"/>
      <c r="BD991" s="35"/>
      <c r="BE991" s="35"/>
      <c r="BF991" s="35"/>
      <c r="BG991" s="35"/>
      <c r="BH991" s="35"/>
      <c r="BI991" s="35"/>
      <c r="BJ991" s="35"/>
      <c r="BK991" s="35"/>
      <c r="BL991" s="35"/>
      <c r="BM991" s="35"/>
      <c r="BN991" s="35"/>
      <c r="BO991" s="35"/>
      <c r="BP991" s="35"/>
      <c r="BQ991" s="35"/>
      <c r="BR991" s="35"/>
      <c r="BS991" s="35"/>
      <c r="BT991" s="35"/>
      <c r="BU991" s="35"/>
      <c r="BV991" s="35"/>
      <c r="BW991" s="35"/>
      <c r="BX991" s="35"/>
      <c r="BY991" s="35"/>
      <c r="BZ991" s="35"/>
      <c r="CA991" s="35"/>
      <c r="CB991" s="35"/>
      <c r="CC991" s="35"/>
      <c r="CD991" s="35"/>
      <c r="CE991" s="35"/>
      <c r="CF991" s="35"/>
      <c r="CG991" s="35"/>
      <c r="CH991" s="35"/>
      <c r="CI991" s="35"/>
      <c r="CJ991" s="35"/>
      <c r="CK991" s="35"/>
    </row>
    <row r="992" spans="8:89" s="34" customFormat="1"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AQ992" s="35"/>
      <c r="AR992" s="35"/>
      <c r="AS992" s="35"/>
      <c r="AT992" s="35"/>
      <c r="AU992" s="35"/>
      <c r="AV992" s="35"/>
      <c r="AW992" s="35"/>
      <c r="AX992" s="35"/>
      <c r="AY992" s="35"/>
      <c r="AZ992" s="35"/>
      <c r="BA992" s="35"/>
      <c r="BB992" s="35"/>
      <c r="BC992" s="35"/>
      <c r="BD992" s="35"/>
      <c r="BE992" s="35"/>
      <c r="BF992" s="35"/>
      <c r="BG992" s="35"/>
      <c r="BH992" s="35"/>
      <c r="BI992" s="35"/>
      <c r="BJ992" s="35"/>
      <c r="BK992" s="35"/>
      <c r="BL992" s="35"/>
      <c r="BM992" s="35"/>
      <c r="BN992" s="35"/>
      <c r="BO992" s="35"/>
      <c r="BP992" s="35"/>
      <c r="BQ992" s="35"/>
      <c r="BR992" s="35"/>
      <c r="BS992" s="35"/>
      <c r="BT992" s="35"/>
      <c r="BU992" s="35"/>
      <c r="BV992" s="35"/>
      <c r="BW992" s="35"/>
      <c r="BX992" s="35"/>
      <c r="BY992" s="35"/>
      <c r="BZ992" s="35"/>
      <c r="CA992" s="35"/>
      <c r="CB992" s="35"/>
      <c r="CC992" s="35"/>
      <c r="CD992" s="35"/>
      <c r="CE992" s="35"/>
      <c r="CF992" s="35"/>
      <c r="CG992" s="35"/>
      <c r="CH992" s="35"/>
      <c r="CI992" s="35"/>
      <c r="CJ992" s="35"/>
      <c r="CK992" s="35"/>
    </row>
    <row r="993" spans="8:89" s="34" customFormat="1"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AQ993" s="35"/>
      <c r="AR993" s="35"/>
      <c r="AS993" s="35"/>
      <c r="AT993" s="35"/>
      <c r="AU993" s="35"/>
      <c r="AV993" s="35"/>
      <c r="AW993" s="35"/>
      <c r="AX993" s="35"/>
      <c r="AY993" s="35"/>
      <c r="AZ993" s="35"/>
      <c r="BA993" s="35"/>
      <c r="BB993" s="35"/>
      <c r="BC993" s="35"/>
      <c r="BD993" s="35"/>
      <c r="BE993" s="35"/>
      <c r="BF993" s="35"/>
      <c r="BG993" s="35"/>
      <c r="BH993" s="35"/>
      <c r="BI993" s="35"/>
      <c r="BJ993" s="35"/>
      <c r="BK993" s="35"/>
      <c r="BL993" s="35"/>
      <c r="BM993" s="35"/>
      <c r="BN993" s="35"/>
      <c r="BO993" s="35"/>
      <c r="BP993" s="35"/>
      <c r="BQ993" s="35"/>
      <c r="BR993" s="35"/>
      <c r="BS993" s="35"/>
      <c r="BT993" s="35"/>
      <c r="BU993" s="35"/>
      <c r="BV993" s="35"/>
      <c r="BW993" s="35"/>
      <c r="BX993" s="35"/>
      <c r="BY993" s="35"/>
      <c r="BZ993" s="35"/>
      <c r="CA993" s="35"/>
      <c r="CB993" s="35"/>
      <c r="CC993" s="35"/>
      <c r="CD993" s="35"/>
      <c r="CE993" s="35"/>
      <c r="CF993" s="35"/>
      <c r="CG993" s="35"/>
      <c r="CH993" s="35"/>
      <c r="CI993" s="35"/>
      <c r="CJ993" s="35"/>
      <c r="CK993" s="35"/>
    </row>
    <row r="994" spans="8:89" s="34" customFormat="1"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AQ994" s="35"/>
      <c r="AR994" s="35"/>
      <c r="AS994" s="35"/>
      <c r="AT994" s="35"/>
      <c r="AU994" s="35"/>
      <c r="AV994" s="35"/>
      <c r="AW994" s="35"/>
      <c r="AX994" s="35"/>
      <c r="AY994" s="35"/>
      <c r="AZ994" s="35"/>
      <c r="BA994" s="35"/>
      <c r="BB994" s="35"/>
      <c r="BC994" s="35"/>
      <c r="BD994" s="35"/>
      <c r="BE994" s="35"/>
      <c r="BF994" s="35"/>
      <c r="BG994" s="35"/>
      <c r="BH994" s="35"/>
      <c r="BI994" s="35"/>
      <c r="BJ994" s="35"/>
      <c r="BK994" s="35"/>
      <c r="BL994" s="35"/>
      <c r="BM994" s="35"/>
      <c r="BN994" s="35"/>
      <c r="BO994" s="35"/>
      <c r="BP994" s="35"/>
      <c r="BQ994" s="35"/>
      <c r="BR994" s="35"/>
      <c r="BS994" s="35"/>
      <c r="BT994" s="35"/>
      <c r="BU994" s="35"/>
      <c r="BV994" s="35"/>
      <c r="BW994" s="35"/>
      <c r="BX994" s="35"/>
      <c r="BY994" s="35"/>
      <c r="BZ994" s="35"/>
      <c r="CA994" s="35"/>
      <c r="CB994" s="35"/>
      <c r="CC994" s="35"/>
      <c r="CD994" s="35"/>
      <c r="CE994" s="35"/>
      <c r="CF994" s="35"/>
      <c r="CG994" s="35"/>
      <c r="CH994" s="35"/>
      <c r="CI994" s="35"/>
      <c r="CJ994" s="35"/>
      <c r="CK994" s="35"/>
    </row>
    <row r="995" spans="8:89" s="34" customFormat="1"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AQ995" s="35"/>
      <c r="AR995" s="35"/>
      <c r="AS995" s="35"/>
      <c r="AT995" s="35"/>
      <c r="AU995" s="35"/>
      <c r="AV995" s="35"/>
      <c r="AW995" s="35"/>
      <c r="AX995" s="35"/>
      <c r="AY995" s="35"/>
      <c r="AZ995" s="35"/>
      <c r="BA995" s="35"/>
      <c r="BB995" s="35"/>
      <c r="BC995" s="35"/>
      <c r="BD995" s="35"/>
      <c r="BE995" s="35"/>
      <c r="BF995" s="35"/>
      <c r="BG995" s="35"/>
      <c r="BH995" s="35"/>
      <c r="BI995" s="35"/>
      <c r="BJ995" s="35"/>
      <c r="BK995" s="35"/>
      <c r="BL995" s="35"/>
      <c r="BM995" s="35"/>
      <c r="BN995" s="35"/>
      <c r="BO995" s="35"/>
      <c r="BP995" s="35"/>
      <c r="BQ995" s="35"/>
      <c r="BR995" s="35"/>
      <c r="BS995" s="35"/>
      <c r="BT995" s="35"/>
      <c r="BU995" s="35"/>
      <c r="BV995" s="35"/>
      <c r="BW995" s="35"/>
      <c r="BX995" s="35"/>
      <c r="BY995" s="35"/>
      <c r="BZ995" s="35"/>
      <c r="CA995" s="35"/>
      <c r="CB995" s="35"/>
      <c r="CC995" s="35"/>
      <c r="CD995" s="35"/>
      <c r="CE995" s="35"/>
      <c r="CF995" s="35"/>
      <c r="CG995" s="35"/>
      <c r="CH995" s="35"/>
      <c r="CI995" s="35"/>
      <c r="CJ995" s="35"/>
      <c r="CK995" s="35"/>
    </row>
    <row r="996" spans="8:89" s="34" customFormat="1"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AQ996" s="35"/>
      <c r="AR996" s="35"/>
      <c r="AS996" s="35"/>
      <c r="AT996" s="35"/>
      <c r="AU996" s="35"/>
      <c r="AV996" s="35"/>
      <c r="AW996" s="35"/>
      <c r="AX996" s="35"/>
      <c r="AY996" s="35"/>
      <c r="AZ996" s="35"/>
      <c r="BA996" s="35"/>
      <c r="BB996" s="35"/>
      <c r="BC996" s="35"/>
      <c r="BD996" s="35"/>
      <c r="BE996" s="35"/>
      <c r="BF996" s="35"/>
      <c r="BG996" s="35"/>
      <c r="BH996" s="35"/>
      <c r="BI996" s="35"/>
      <c r="BJ996" s="35"/>
      <c r="BK996" s="35"/>
      <c r="BL996" s="35"/>
      <c r="BM996" s="35"/>
      <c r="BN996" s="35"/>
      <c r="BO996" s="35"/>
      <c r="BP996" s="35"/>
      <c r="BQ996" s="35"/>
      <c r="BR996" s="35"/>
      <c r="BS996" s="35"/>
      <c r="BT996" s="35"/>
      <c r="BU996" s="35"/>
      <c r="BV996" s="35"/>
      <c r="BW996" s="35"/>
      <c r="BX996" s="35"/>
      <c r="BY996" s="35"/>
      <c r="BZ996" s="35"/>
      <c r="CA996" s="35"/>
      <c r="CB996" s="35"/>
      <c r="CC996" s="35"/>
      <c r="CD996" s="35"/>
      <c r="CE996" s="35"/>
      <c r="CF996" s="35"/>
      <c r="CG996" s="35"/>
      <c r="CH996" s="35"/>
      <c r="CI996" s="35"/>
      <c r="CJ996" s="35"/>
      <c r="CK996" s="35"/>
    </row>
    <row r="997" spans="8:89" s="34" customFormat="1"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AQ997" s="35"/>
      <c r="AR997" s="35"/>
      <c r="AS997" s="35"/>
      <c r="AT997" s="35"/>
      <c r="AU997" s="35"/>
      <c r="AV997" s="35"/>
      <c r="AW997" s="35"/>
      <c r="AX997" s="35"/>
      <c r="AY997" s="35"/>
      <c r="AZ997" s="35"/>
      <c r="BA997" s="35"/>
      <c r="BB997" s="35"/>
      <c r="BC997" s="35"/>
      <c r="BD997" s="35"/>
      <c r="BE997" s="35"/>
      <c r="BF997" s="35"/>
      <c r="BG997" s="35"/>
      <c r="BH997" s="35"/>
      <c r="BI997" s="35"/>
      <c r="BJ997" s="35"/>
      <c r="BK997" s="35"/>
      <c r="BL997" s="35"/>
      <c r="BM997" s="35"/>
      <c r="BN997" s="35"/>
      <c r="BO997" s="35"/>
      <c r="BP997" s="35"/>
      <c r="BQ997" s="35"/>
      <c r="BR997" s="35"/>
      <c r="BS997" s="35"/>
      <c r="BT997" s="35"/>
      <c r="BU997" s="35"/>
      <c r="BV997" s="35"/>
      <c r="BW997" s="35"/>
      <c r="BX997" s="35"/>
      <c r="BY997" s="35"/>
      <c r="BZ997" s="35"/>
      <c r="CA997" s="35"/>
      <c r="CB997" s="35"/>
      <c r="CC997" s="35"/>
      <c r="CD997" s="35"/>
      <c r="CE997" s="35"/>
      <c r="CF997" s="35"/>
      <c r="CG997" s="35"/>
      <c r="CH997" s="35"/>
      <c r="CI997" s="35"/>
      <c r="CJ997" s="35"/>
      <c r="CK997" s="35"/>
    </row>
    <row r="998" spans="8:89" s="34" customFormat="1"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AQ998" s="35"/>
      <c r="AR998" s="35"/>
      <c r="AS998" s="35"/>
      <c r="AT998" s="35"/>
      <c r="AU998" s="35"/>
      <c r="AV998" s="35"/>
      <c r="AW998" s="35"/>
      <c r="AX998" s="35"/>
      <c r="AY998" s="35"/>
      <c r="AZ998" s="35"/>
      <c r="BA998" s="35"/>
      <c r="BB998" s="35"/>
      <c r="BC998" s="35"/>
      <c r="BD998" s="35"/>
      <c r="BE998" s="35"/>
      <c r="BF998" s="35"/>
      <c r="BG998" s="35"/>
      <c r="BH998" s="35"/>
      <c r="BI998" s="35"/>
      <c r="BJ998" s="35"/>
      <c r="BK998" s="35"/>
      <c r="BL998" s="35"/>
      <c r="BM998" s="35"/>
      <c r="BN998" s="35"/>
      <c r="BO998" s="35"/>
      <c r="BP998" s="35"/>
      <c r="BQ998" s="35"/>
      <c r="BR998" s="35"/>
      <c r="BS998" s="35"/>
      <c r="BT998" s="35"/>
      <c r="BU998" s="35"/>
      <c r="BV998" s="35"/>
      <c r="BW998" s="35"/>
      <c r="BX998" s="35"/>
      <c r="BY998" s="35"/>
      <c r="BZ998" s="35"/>
      <c r="CA998" s="35"/>
      <c r="CB998" s="35"/>
      <c r="CC998" s="35"/>
      <c r="CD998" s="35"/>
      <c r="CE998" s="35"/>
      <c r="CF998" s="35"/>
      <c r="CG998" s="35"/>
      <c r="CH998" s="35"/>
      <c r="CI998" s="35"/>
      <c r="CJ998" s="35"/>
      <c r="CK998" s="35"/>
    </row>
    <row r="999" spans="8:89" s="34" customFormat="1"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AQ999" s="35"/>
      <c r="AR999" s="35"/>
      <c r="AS999" s="35"/>
      <c r="AT999" s="35"/>
      <c r="AU999" s="35"/>
      <c r="AV999" s="35"/>
      <c r="AW999" s="35"/>
      <c r="AX999" s="35"/>
      <c r="AY999" s="35"/>
      <c r="AZ999" s="35"/>
      <c r="BA999" s="35"/>
      <c r="BB999" s="35"/>
      <c r="BC999" s="35"/>
      <c r="BD999" s="35"/>
      <c r="BE999" s="35"/>
      <c r="BF999" s="35"/>
      <c r="BG999" s="35"/>
      <c r="BH999" s="35"/>
      <c r="BI999" s="35"/>
      <c r="BJ999" s="35"/>
      <c r="BK999" s="35"/>
      <c r="BL999" s="35"/>
      <c r="BM999" s="35"/>
      <c r="BN999" s="35"/>
      <c r="BO999" s="35"/>
      <c r="BP999" s="35"/>
      <c r="BQ999" s="35"/>
      <c r="BR999" s="35"/>
      <c r="BS999" s="35"/>
      <c r="BT999" s="35"/>
      <c r="BU999" s="35"/>
      <c r="BV999" s="35"/>
      <c r="BW999" s="35"/>
      <c r="BX999" s="35"/>
      <c r="BY999" s="35"/>
      <c r="BZ999" s="35"/>
      <c r="CA999" s="35"/>
      <c r="CB999" s="35"/>
      <c r="CC999" s="35"/>
      <c r="CD999" s="35"/>
      <c r="CE999" s="35"/>
      <c r="CF999" s="35"/>
      <c r="CG999" s="35"/>
      <c r="CH999" s="35"/>
      <c r="CI999" s="35"/>
      <c r="CJ999" s="35"/>
      <c r="CK999" s="35"/>
    </row>
    <row r="1000" spans="8:89" s="34" customFormat="1"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AQ1000" s="35"/>
      <c r="AR1000" s="35"/>
      <c r="AS1000" s="35"/>
      <c r="AT1000" s="35"/>
      <c r="AU1000" s="35"/>
      <c r="AV1000" s="35"/>
      <c r="AW1000" s="35"/>
      <c r="AX1000" s="35"/>
      <c r="AY1000" s="35"/>
      <c r="AZ1000" s="35"/>
      <c r="BA1000" s="35"/>
      <c r="BB1000" s="35"/>
      <c r="BC1000" s="35"/>
      <c r="BD1000" s="35"/>
      <c r="BE1000" s="35"/>
      <c r="BF1000" s="35"/>
      <c r="BG1000" s="35"/>
      <c r="BH1000" s="35"/>
      <c r="BI1000" s="35"/>
      <c r="BJ1000" s="35"/>
      <c r="BK1000" s="35"/>
      <c r="BL1000" s="35"/>
      <c r="BM1000" s="35"/>
      <c r="BN1000" s="35"/>
      <c r="BO1000" s="35"/>
      <c r="BP1000" s="35"/>
      <c r="BQ1000" s="35"/>
      <c r="BR1000" s="35"/>
      <c r="BS1000" s="35"/>
      <c r="BT1000" s="35"/>
      <c r="BU1000" s="35"/>
      <c r="BV1000" s="35"/>
      <c r="BW1000" s="35"/>
      <c r="BX1000" s="35"/>
      <c r="BY1000" s="35"/>
      <c r="BZ1000" s="35"/>
      <c r="CA1000" s="35"/>
      <c r="CB1000" s="35"/>
      <c r="CC1000" s="35"/>
      <c r="CD1000" s="35"/>
      <c r="CE1000" s="35"/>
      <c r="CF1000" s="35"/>
      <c r="CG1000" s="35"/>
      <c r="CH1000" s="35"/>
      <c r="CI1000" s="35"/>
      <c r="CJ1000" s="35"/>
      <c r="CK1000" s="35"/>
    </row>
    <row r="1001" spans="8:89" s="34" customFormat="1"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  <c r="AB1001" s="35"/>
      <c r="AC1001" s="35"/>
      <c r="AD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AQ1001" s="35"/>
      <c r="AR1001" s="35"/>
      <c r="AS1001" s="35"/>
      <c r="AT1001" s="35"/>
      <c r="AU1001" s="35"/>
      <c r="AV1001" s="35"/>
      <c r="AW1001" s="35"/>
      <c r="AX1001" s="35"/>
      <c r="AY1001" s="35"/>
      <c r="AZ1001" s="35"/>
      <c r="BA1001" s="35"/>
      <c r="BB1001" s="35"/>
      <c r="BC1001" s="35"/>
      <c r="BD1001" s="35"/>
      <c r="BE1001" s="35"/>
      <c r="BF1001" s="35"/>
      <c r="BG1001" s="35"/>
      <c r="BH1001" s="35"/>
      <c r="BI1001" s="35"/>
      <c r="BJ1001" s="35"/>
      <c r="BK1001" s="35"/>
      <c r="BL1001" s="35"/>
      <c r="BM1001" s="35"/>
      <c r="BN1001" s="35"/>
      <c r="BO1001" s="35"/>
      <c r="BP1001" s="35"/>
      <c r="BQ1001" s="35"/>
      <c r="BR1001" s="35"/>
      <c r="BS1001" s="35"/>
      <c r="BT1001" s="35"/>
      <c r="BU1001" s="35"/>
      <c r="BV1001" s="35"/>
      <c r="BW1001" s="35"/>
      <c r="BX1001" s="35"/>
      <c r="BY1001" s="35"/>
      <c r="BZ1001" s="35"/>
      <c r="CA1001" s="35"/>
      <c r="CB1001" s="35"/>
      <c r="CC1001" s="35"/>
      <c r="CD1001" s="35"/>
      <c r="CE1001" s="35"/>
      <c r="CF1001" s="35"/>
      <c r="CG1001" s="35"/>
      <c r="CH1001" s="35"/>
      <c r="CI1001" s="35"/>
      <c r="CJ1001" s="35"/>
      <c r="CK1001" s="35"/>
    </row>
    <row r="1002" spans="8:89" s="34" customFormat="1"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D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AW1002" s="35"/>
      <c r="AX1002" s="35"/>
      <c r="AY1002" s="35"/>
      <c r="AZ1002" s="35"/>
      <c r="BA1002" s="35"/>
      <c r="BB1002" s="35"/>
      <c r="BC1002" s="35"/>
      <c r="BD1002" s="35"/>
      <c r="BE1002" s="35"/>
      <c r="BF1002" s="35"/>
      <c r="BG1002" s="35"/>
      <c r="BH1002" s="35"/>
      <c r="BI1002" s="35"/>
      <c r="BJ1002" s="35"/>
      <c r="BK1002" s="35"/>
      <c r="BL1002" s="35"/>
      <c r="BM1002" s="35"/>
      <c r="BN1002" s="35"/>
      <c r="BO1002" s="35"/>
      <c r="BP1002" s="35"/>
      <c r="BQ1002" s="35"/>
      <c r="BR1002" s="35"/>
      <c r="BS1002" s="35"/>
      <c r="BT1002" s="35"/>
      <c r="BU1002" s="35"/>
      <c r="BV1002" s="35"/>
      <c r="BW1002" s="35"/>
      <c r="BX1002" s="35"/>
      <c r="BY1002" s="35"/>
      <c r="BZ1002" s="35"/>
      <c r="CA1002" s="35"/>
      <c r="CB1002" s="35"/>
      <c r="CC1002" s="35"/>
      <c r="CD1002" s="35"/>
      <c r="CE1002" s="35"/>
      <c r="CF1002" s="35"/>
      <c r="CG1002" s="35"/>
      <c r="CH1002" s="35"/>
      <c r="CI1002" s="35"/>
      <c r="CJ1002" s="35"/>
      <c r="CK1002" s="35"/>
    </row>
    <row r="1003" spans="8:89" s="34" customFormat="1"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D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AQ1003" s="35"/>
      <c r="AR1003" s="35"/>
      <c r="AS1003" s="35"/>
      <c r="AT1003" s="35"/>
      <c r="AU1003" s="35"/>
      <c r="AV1003" s="35"/>
      <c r="AW1003" s="35"/>
      <c r="AX1003" s="35"/>
      <c r="AY1003" s="35"/>
      <c r="AZ1003" s="35"/>
      <c r="BA1003" s="35"/>
      <c r="BB1003" s="35"/>
      <c r="BC1003" s="35"/>
      <c r="BD1003" s="35"/>
      <c r="BE1003" s="35"/>
      <c r="BF1003" s="35"/>
      <c r="BG1003" s="35"/>
      <c r="BH1003" s="35"/>
      <c r="BI1003" s="35"/>
      <c r="BJ1003" s="35"/>
      <c r="BK1003" s="35"/>
      <c r="BL1003" s="35"/>
      <c r="BM1003" s="35"/>
      <c r="BN1003" s="35"/>
      <c r="BO1003" s="35"/>
      <c r="BP1003" s="35"/>
      <c r="BQ1003" s="35"/>
      <c r="BR1003" s="35"/>
      <c r="BS1003" s="35"/>
      <c r="BT1003" s="35"/>
      <c r="BU1003" s="35"/>
      <c r="BV1003" s="35"/>
      <c r="BW1003" s="35"/>
      <c r="BX1003" s="35"/>
      <c r="BY1003" s="35"/>
      <c r="BZ1003" s="35"/>
      <c r="CA1003" s="35"/>
      <c r="CB1003" s="35"/>
      <c r="CC1003" s="35"/>
      <c r="CD1003" s="35"/>
      <c r="CE1003" s="35"/>
      <c r="CF1003" s="35"/>
      <c r="CG1003" s="35"/>
      <c r="CH1003" s="35"/>
      <c r="CI1003" s="35"/>
      <c r="CJ1003" s="35"/>
      <c r="CK1003" s="35"/>
    </row>
  </sheetData>
  <sheetProtection algorithmName="SHA-512" hashValue="O/akv2EP1LIwidLjFf9jRjR5iWE/buma+gXmcPMuLlWgl3A58tlNNzeZllOjWWjvGbdqVlAiTeyjwzU3S1Nsrw==" saltValue="Pr4YiYMT+sfMrI03VTf9GA==" spinCount="100000" sheet="1" objects="1" scenarios="1" selectLockedCells="1" selectUnlockedCells="1"/>
  <autoFilter ref="A3:CK8" xr:uid="{00000000-0009-0000-0000-000001000000}"/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T2724"/>
  <sheetViews>
    <sheetView zoomScale="75" zoomScaleNormal="75" workbookViewId="0">
      <selection activeCell="N7" sqref="N7"/>
    </sheetView>
  </sheetViews>
  <sheetFormatPr baseColWidth="10" defaultColWidth="10.625" defaultRowHeight="14.25"/>
  <cols>
    <col min="1" max="1" width="11" style="36" customWidth="1"/>
    <col min="2" max="5" width="8.625" style="37" customWidth="1"/>
    <col min="6" max="6" width="8.375" style="37" customWidth="1"/>
    <col min="7" max="7" width="10.5" style="37" customWidth="1"/>
    <col min="8" max="9" width="8.375" style="37" customWidth="1"/>
    <col min="10" max="11" width="8.625" style="37" customWidth="1"/>
    <col min="12" max="12" width="12.875" style="37" customWidth="1"/>
    <col min="13" max="20" width="8.625" style="37" customWidth="1"/>
    <col min="21" max="21" width="11" customWidth="1"/>
  </cols>
  <sheetData>
    <row r="1" spans="1:20" ht="21">
      <c r="A1" s="100" t="s">
        <v>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</row>
    <row r="2" spans="1:20">
      <c r="A2" s="38"/>
      <c r="B2" s="39" t="s">
        <v>27</v>
      </c>
      <c r="C2" s="40" t="s">
        <v>27</v>
      </c>
      <c r="D2" s="40" t="s">
        <v>27</v>
      </c>
      <c r="E2" s="40" t="s">
        <v>27</v>
      </c>
      <c r="F2" s="40" t="s">
        <v>27</v>
      </c>
      <c r="G2" s="40" t="s">
        <v>27</v>
      </c>
      <c r="H2" s="40" t="s">
        <v>27</v>
      </c>
      <c r="I2" s="40" t="s">
        <v>27</v>
      </c>
      <c r="J2" s="40" t="s">
        <v>27</v>
      </c>
      <c r="K2" s="40" t="s">
        <v>27</v>
      </c>
      <c r="L2" s="41" t="s">
        <v>27</v>
      </c>
      <c r="M2" s="42"/>
      <c r="N2" s="42"/>
      <c r="O2" s="42"/>
      <c r="P2" s="42"/>
      <c r="Q2" s="42"/>
      <c r="R2" s="42"/>
      <c r="S2" s="42"/>
      <c r="T2" s="42"/>
    </row>
    <row r="3" spans="1:20" ht="51">
      <c r="A3" s="43" t="s">
        <v>28</v>
      </c>
      <c r="B3" s="44" t="s">
        <v>29</v>
      </c>
      <c r="C3" s="44" t="s">
        <v>24</v>
      </c>
      <c r="D3" s="44" t="s">
        <v>30</v>
      </c>
      <c r="E3" s="44" t="s">
        <v>31</v>
      </c>
      <c r="F3" s="44" t="s">
        <v>32</v>
      </c>
      <c r="G3" s="44" t="s">
        <v>33</v>
      </c>
      <c r="H3" s="44" t="s">
        <v>34</v>
      </c>
      <c r="I3" s="44" t="s">
        <v>35</v>
      </c>
      <c r="J3" s="44" t="s">
        <v>36</v>
      </c>
      <c r="K3" s="44" t="s">
        <v>37</v>
      </c>
      <c r="L3" s="45" t="s">
        <v>38</v>
      </c>
      <c r="M3" s="46" t="s">
        <v>39</v>
      </c>
      <c r="N3" s="46" t="s">
        <v>40</v>
      </c>
      <c r="O3" s="46">
        <v>0.25</v>
      </c>
      <c r="P3" s="46">
        <v>0.4</v>
      </c>
      <c r="Q3" s="46">
        <v>0.5</v>
      </c>
      <c r="R3" s="46">
        <v>0.6</v>
      </c>
      <c r="S3" s="46">
        <v>0.8</v>
      </c>
      <c r="T3" s="46">
        <v>1</v>
      </c>
    </row>
    <row r="4" spans="1:20">
      <c r="A4" s="47" t="str">
        <f>IF(archive!E4="","",archive!E4)</f>
        <v>28046</v>
      </c>
      <c r="B4" s="48">
        <f t="shared" ref="B4:B67" si="0">IF(C4="","",VLOOKUP($C4,Tare,2,0))</f>
        <v>5.5999999999999999E-3</v>
      </c>
      <c r="C4" s="49">
        <f>IF(archive!F4="","",archive!F4)</f>
        <v>0.5</v>
      </c>
      <c r="D4" s="50">
        <f t="shared" ref="D4:D67" si="1">IF(C4="","",C4+B4)</f>
        <v>0.50560000000000005</v>
      </c>
      <c r="E4" s="50">
        <f t="shared" ref="E4:E67" si="2">IF(C4="","",(C4*0.025)+D4)</f>
        <v>0.5181</v>
      </c>
      <c r="F4" s="47">
        <f>IF(COUNTA(archive!H4:CI4)=0,"",COUNTA(archive!H4:CI4))</f>
        <v>20</v>
      </c>
      <c r="G4" s="47">
        <f>IF(archive!G4="","",archive!G4)</f>
        <v>20</v>
      </c>
      <c r="H4" s="51">
        <f>IF(archive!CJ4="","",archive!CJ4)</f>
        <v>0.523675</v>
      </c>
      <c r="I4" s="51">
        <f>IF(archive!CK4="","",archive!CK4)</f>
        <v>1.0344430232840547E-2</v>
      </c>
      <c r="J4" s="47">
        <f t="shared" ref="J4:J67" si="3">IF(F4="","",VLOOKUP(F4,Valeur_g,2,0))</f>
        <v>0.29699999999999999</v>
      </c>
      <c r="K4" s="51">
        <f t="shared" ref="K4:K67" si="4">IF(C4="","",D4+(J4*I4))</f>
        <v>0.50867229577915374</v>
      </c>
      <c r="L4" s="52" t="str">
        <f t="shared" ref="L4:L67" si="5">IF(C4="","",IF(K4&lt;H4,"Conforme","Non conforme"))</f>
        <v>Conforme</v>
      </c>
      <c r="M4" s="53">
        <f t="shared" ref="M4:M67" si="6">IF(C4="","",1)</f>
        <v>1</v>
      </c>
      <c r="N4" s="53">
        <f t="shared" ref="N4:N67" si="7">IF(L4="","",COUNTIF(L4,"Non conforme"))</f>
        <v>0</v>
      </c>
      <c r="O4" s="53" t="str">
        <f t="shared" ref="O4:O67" si="8">IF($C4="","",IF($C4=0.25,$G4,"-"))</f>
        <v>-</v>
      </c>
      <c r="P4" s="53" t="str">
        <f t="shared" ref="P4:P67" si="9">IF($C4="","",IF($C4=0.4,$G4,"-"))</f>
        <v>-</v>
      </c>
      <c r="Q4" s="53">
        <f t="shared" ref="Q4:Q67" si="10">IF($C4="","",IF($C4=0.5,$G4,"-"))</f>
        <v>20</v>
      </c>
      <c r="R4" s="53" t="str">
        <f t="shared" ref="R4:R67" si="11">IF($C4="","",IF($C4=0.6,$G4,"-"))</f>
        <v>-</v>
      </c>
      <c r="S4" s="53" t="str">
        <f t="shared" ref="S4:S67" si="12">IF($C4="","",IF($C4=0.8,$G4,"-"))</f>
        <v>-</v>
      </c>
      <c r="T4" s="53" t="str">
        <f t="shared" ref="T4:T67" si="13">IF($C4="","",IF($C4=1,$G4,"-"))</f>
        <v>-</v>
      </c>
    </row>
    <row r="5" spans="1:20">
      <c r="A5" s="47">
        <f>IF(archive!E5="","",archive!E5)</f>
        <v>4056</v>
      </c>
      <c r="B5" s="48">
        <f t="shared" si="0"/>
        <v>5.5999999999999999E-3</v>
      </c>
      <c r="C5" s="49">
        <f>IF(archive!F5="","",archive!F5)</f>
        <v>0.5</v>
      </c>
      <c r="D5" s="50">
        <f t="shared" si="1"/>
        <v>0.50560000000000005</v>
      </c>
      <c r="E5" s="50">
        <f t="shared" si="2"/>
        <v>0.5181</v>
      </c>
      <c r="F5" s="47">
        <f>IF(COUNTA(archive!H5:CI5)=0,"",COUNTA(archive!H5:CI5))</f>
        <v>60</v>
      </c>
      <c r="G5" s="47">
        <f>IF(archive!G5="","",archive!G5)</f>
        <v>60</v>
      </c>
      <c r="H5" s="51">
        <f>IF(archive!CJ5="","",archive!CJ5)</f>
        <v>0.51056140350877199</v>
      </c>
      <c r="I5" s="51">
        <f>IF(archive!CK5="","",archive!CK5)</f>
        <v>4.9741027326531458E-3</v>
      </c>
      <c r="J5" s="47">
        <f t="shared" si="3"/>
        <v>0.16700000000000001</v>
      </c>
      <c r="K5" s="51">
        <f t="shared" si="4"/>
        <v>0.50643067515635309</v>
      </c>
      <c r="L5" s="52" t="str">
        <f t="shared" si="5"/>
        <v>Conforme</v>
      </c>
      <c r="M5" s="53">
        <f t="shared" si="6"/>
        <v>1</v>
      </c>
      <c r="N5" s="53">
        <f t="shared" si="7"/>
        <v>0</v>
      </c>
      <c r="O5" s="53" t="str">
        <f t="shared" si="8"/>
        <v>-</v>
      </c>
      <c r="P5" s="53" t="str">
        <f t="shared" si="9"/>
        <v>-</v>
      </c>
      <c r="Q5" s="53">
        <f t="shared" si="10"/>
        <v>60</v>
      </c>
      <c r="R5" s="53" t="str">
        <f t="shared" si="11"/>
        <v>-</v>
      </c>
      <c r="S5" s="53" t="str">
        <f t="shared" si="12"/>
        <v>-</v>
      </c>
      <c r="T5" s="53" t="str">
        <f t="shared" si="13"/>
        <v>-</v>
      </c>
    </row>
    <row r="6" spans="1:20">
      <c r="A6" s="47">
        <f>IF(archive!E6="","",archive!E6)</f>
        <v>5056</v>
      </c>
      <c r="B6" s="48">
        <f t="shared" si="0"/>
        <v>5.5999999999999999E-3</v>
      </c>
      <c r="C6" s="49">
        <f>IF(archive!F6="","",archive!F6)</f>
        <v>0.25</v>
      </c>
      <c r="D6" s="50">
        <f t="shared" si="1"/>
        <v>0.25559999999999999</v>
      </c>
      <c r="E6" s="50">
        <f t="shared" si="2"/>
        <v>0.26184999999999997</v>
      </c>
      <c r="F6" s="47">
        <f>IF(COUNTA(archive!H6:CI6)=0,"",COUNTA(archive!H6:CI6))</f>
        <v>20</v>
      </c>
      <c r="G6" s="47">
        <f>IF(archive!G6="","",archive!G6)</f>
        <v>20</v>
      </c>
      <c r="H6" s="51">
        <f>IF(archive!CJ6="","",archive!CJ6)</f>
        <v>0.26094999999999996</v>
      </c>
      <c r="I6" s="51">
        <f>IF(archive!CK6="","",archive!CK6)</f>
        <v>3.7272114594100935E-3</v>
      </c>
      <c r="J6" s="47">
        <f t="shared" si="3"/>
        <v>0.29699999999999999</v>
      </c>
      <c r="K6" s="51">
        <f t="shared" si="4"/>
        <v>0.25670698180344481</v>
      </c>
      <c r="L6" s="52" t="str">
        <f t="shared" si="5"/>
        <v>Conforme</v>
      </c>
      <c r="M6" s="53">
        <f t="shared" si="6"/>
        <v>1</v>
      </c>
      <c r="N6" s="53">
        <f t="shared" si="7"/>
        <v>0</v>
      </c>
      <c r="O6" s="53">
        <f t="shared" si="8"/>
        <v>20</v>
      </c>
      <c r="P6" s="53" t="str">
        <f t="shared" si="9"/>
        <v>-</v>
      </c>
      <c r="Q6" s="53" t="str">
        <f t="shared" si="10"/>
        <v>-</v>
      </c>
      <c r="R6" s="53" t="str">
        <f t="shared" si="11"/>
        <v>-</v>
      </c>
      <c r="S6" s="53" t="str">
        <f t="shared" si="12"/>
        <v>-</v>
      </c>
      <c r="T6" s="53" t="str">
        <f t="shared" si="13"/>
        <v>-</v>
      </c>
    </row>
    <row r="7" spans="1:20">
      <c r="A7" s="47">
        <f>IF(archive!E7="","",archive!E7)</f>
        <v>5056</v>
      </c>
      <c r="B7" s="48">
        <f t="shared" si="0"/>
        <v>5.5999999999999999E-3</v>
      </c>
      <c r="C7" s="49">
        <f>IF(archive!F7="","",archive!F7)</f>
        <v>0.25</v>
      </c>
      <c r="D7" s="50">
        <f t="shared" si="1"/>
        <v>0.25559999999999999</v>
      </c>
      <c r="E7" s="50">
        <f t="shared" si="2"/>
        <v>0.26184999999999997</v>
      </c>
      <c r="F7" s="47">
        <f>IF(COUNTA(archive!H7:CI7)=0,"",COUNTA(archive!H7:CI7))</f>
        <v>20</v>
      </c>
      <c r="G7" s="47">
        <f>IF(archive!G7="","",archive!G7)</f>
        <v>20</v>
      </c>
      <c r="H7" s="51">
        <f>IF(archive!CJ7="","",archive!CJ7)</f>
        <v>0.26595000000000002</v>
      </c>
      <c r="I7" s="51">
        <f>IF(archive!CK7="","",archive!CK7)</f>
        <v>1.035539523757136E-2</v>
      </c>
      <c r="J7" s="47">
        <f t="shared" si="3"/>
        <v>0.29699999999999999</v>
      </c>
      <c r="K7" s="51">
        <f t="shared" si="4"/>
        <v>0.25867555238555867</v>
      </c>
      <c r="L7" s="52" t="str">
        <f t="shared" si="5"/>
        <v>Conforme</v>
      </c>
      <c r="M7" s="53">
        <f t="shared" si="6"/>
        <v>1</v>
      </c>
      <c r="N7" s="53">
        <f t="shared" si="7"/>
        <v>0</v>
      </c>
      <c r="O7" s="53">
        <f t="shared" si="8"/>
        <v>20</v>
      </c>
      <c r="P7" s="53" t="str">
        <f t="shared" si="9"/>
        <v>-</v>
      </c>
      <c r="Q7" s="53" t="str">
        <f t="shared" si="10"/>
        <v>-</v>
      </c>
      <c r="R7" s="53" t="str">
        <f t="shared" si="11"/>
        <v>-</v>
      </c>
      <c r="S7" s="53" t="str">
        <f t="shared" si="12"/>
        <v>-</v>
      </c>
      <c r="T7" s="53" t="str">
        <f t="shared" si="13"/>
        <v>-</v>
      </c>
    </row>
    <row r="8" spans="1:20">
      <c r="A8" s="47" t="str">
        <f>IF(archive!E8="","",archive!E8)</f>
        <v>5897</v>
      </c>
      <c r="B8" s="48" t="e">
        <f t="shared" si="0"/>
        <v>#N/A</v>
      </c>
      <c r="C8" s="49">
        <f>IF(archive!F8="","",archive!F8)</f>
        <v>0.2</v>
      </c>
      <c r="D8" s="50" t="e">
        <f t="shared" si="1"/>
        <v>#N/A</v>
      </c>
      <c r="E8" s="50" t="e">
        <f t="shared" si="2"/>
        <v>#N/A</v>
      </c>
      <c r="F8" s="47">
        <f>IF(COUNTA(archive!H8:CI8)=0,"",COUNTA(archive!H8:CI8))</f>
        <v>4</v>
      </c>
      <c r="G8" s="47">
        <f>IF(archive!G8="","",archive!G8)</f>
        <v>60</v>
      </c>
      <c r="H8" s="51">
        <f>IF(archive!CJ8="","",archive!CJ8)</f>
        <v>0.2</v>
      </c>
      <c r="I8" s="51">
        <f>IF(archive!CK8="","",archive!CK8)</f>
        <v>0</v>
      </c>
      <c r="J8" s="47">
        <f t="shared" si="3"/>
        <v>0.81899999999999995</v>
      </c>
      <c r="K8" s="51" t="e">
        <f t="shared" si="4"/>
        <v>#N/A</v>
      </c>
      <c r="L8" s="52" t="e">
        <f t="shared" si="5"/>
        <v>#N/A</v>
      </c>
      <c r="M8" s="53">
        <f t="shared" si="6"/>
        <v>1</v>
      </c>
      <c r="N8" s="53" t="e">
        <f t="shared" si="7"/>
        <v>#N/A</v>
      </c>
      <c r="O8" s="53" t="str">
        <f t="shared" si="8"/>
        <v>-</v>
      </c>
      <c r="P8" s="53" t="str">
        <f t="shared" si="9"/>
        <v>-</v>
      </c>
      <c r="Q8" s="53" t="str">
        <f t="shared" si="10"/>
        <v>-</v>
      </c>
      <c r="R8" s="53" t="str">
        <f t="shared" si="11"/>
        <v>-</v>
      </c>
      <c r="S8" s="53" t="str">
        <f t="shared" si="12"/>
        <v>-</v>
      </c>
      <c r="T8" s="53" t="str">
        <f t="shared" si="13"/>
        <v>-</v>
      </c>
    </row>
    <row r="9" spans="1:20">
      <c r="A9" s="47" t="str">
        <f>IF(archive!E9="","",archive!E9)</f>
        <v>2358</v>
      </c>
      <c r="B9" s="48" t="e">
        <f t="shared" si="0"/>
        <v>#N/A</v>
      </c>
      <c r="C9" s="49">
        <f>IF(archive!F9="","",archive!F9)</f>
        <v>0.1</v>
      </c>
      <c r="D9" s="50" t="e">
        <f t="shared" si="1"/>
        <v>#N/A</v>
      </c>
      <c r="E9" s="50" t="e">
        <f t="shared" si="2"/>
        <v>#N/A</v>
      </c>
      <c r="F9" s="47">
        <f>IF(COUNTA(archive!H9:CI9)=0,"",COUNTA(archive!H9:CI9))</f>
        <v>4</v>
      </c>
      <c r="G9" s="47">
        <f>IF(archive!G9="","",archive!G9)</f>
        <v>20</v>
      </c>
      <c r="H9" s="51">
        <f>IF(archive!CJ9="","",archive!CJ9)</f>
        <v>0.1</v>
      </c>
      <c r="I9" s="51">
        <f>IF(archive!CK9="","",archive!CK9)</f>
        <v>0</v>
      </c>
      <c r="J9" s="47">
        <f t="shared" si="3"/>
        <v>0.81899999999999995</v>
      </c>
      <c r="K9" s="51" t="e">
        <f t="shared" si="4"/>
        <v>#N/A</v>
      </c>
      <c r="L9" s="52" t="e">
        <f t="shared" si="5"/>
        <v>#N/A</v>
      </c>
      <c r="M9" s="53">
        <f t="shared" si="6"/>
        <v>1</v>
      </c>
      <c r="N9" s="53" t="e">
        <f t="shared" si="7"/>
        <v>#N/A</v>
      </c>
      <c r="O9" s="53" t="str">
        <f t="shared" si="8"/>
        <v>-</v>
      </c>
      <c r="P9" s="53" t="str">
        <f t="shared" si="9"/>
        <v>-</v>
      </c>
      <c r="Q9" s="53" t="str">
        <f t="shared" si="10"/>
        <v>-</v>
      </c>
      <c r="R9" s="53" t="str">
        <f t="shared" si="11"/>
        <v>-</v>
      </c>
      <c r="S9" s="53" t="str">
        <f t="shared" si="12"/>
        <v>-</v>
      </c>
      <c r="T9" s="53" t="str">
        <f t="shared" si="13"/>
        <v>-</v>
      </c>
    </row>
    <row r="10" spans="1:20">
      <c r="A10" s="47" t="str">
        <f>IF(archive!E10="","",archive!E10)</f>
        <v/>
      </c>
      <c r="B10" s="48" t="str">
        <f t="shared" si="0"/>
        <v/>
      </c>
      <c r="C10" s="49" t="str">
        <f>IF(archive!F10="","",archive!F10)</f>
        <v/>
      </c>
      <c r="D10" s="50" t="str">
        <f t="shared" si="1"/>
        <v/>
      </c>
      <c r="E10" s="50" t="str">
        <f t="shared" si="2"/>
        <v/>
      </c>
      <c r="F10" s="47" t="str">
        <f>IF(COUNTA(archive!H10:CI10)=0,"",COUNTA(archive!H10:CI10))</f>
        <v/>
      </c>
      <c r="G10" s="47" t="str">
        <f>IF(archive!G10="","",archive!G10)</f>
        <v/>
      </c>
      <c r="H10" s="51" t="str">
        <f>IF(archive!CJ10="","",archive!CJ10)</f>
        <v/>
      </c>
      <c r="I10" s="51" t="str">
        <f>IF(archive!CK10="","",archive!CK10)</f>
        <v/>
      </c>
      <c r="J10" s="47" t="str">
        <f t="shared" si="3"/>
        <v/>
      </c>
      <c r="K10" s="51" t="str">
        <f t="shared" si="4"/>
        <v/>
      </c>
      <c r="L10" s="52" t="str">
        <f t="shared" si="5"/>
        <v/>
      </c>
      <c r="M10" s="53" t="str">
        <f t="shared" si="6"/>
        <v/>
      </c>
      <c r="N10" s="53" t="str">
        <f t="shared" si="7"/>
        <v/>
      </c>
      <c r="O10" s="53" t="str">
        <f t="shared" si="8"/>
        <v/>
      </c>
      <c r="P10" s="53" t="str">
        <f t="shared" si="9"/>
        <v/>
      </c>
      <c r="Q10" s="53" t="str">
        <f t="shared" si="10"/>
        <v/>
      </c>
      <c r="R10" s="53" t="str">
        <f t="shared" si="11"/>
        <v/>
      </c>
      <c r="S10" s="53" t="str">
        <f t="shared" si="12"/>
        <v/>
      </c>
      <c r="T10" s="53" t="str">
        <f t="shared" si="13"/>
        <v/>
      </c>
    </row>
    <row r="11" spans="1:20">
      <c r="A11" s="47" t="str">
        <f>IF(archive!E11="","",archive!E11)</f>
        <v/>
      </c>
      <c r="B11" s="48" t="str">
        <f t="shared" si="0"/>
        <v/>
      </c>
      <c r="C11" s="49" t="str">
        <f>IF(archive!F11="","",archive!F11)</f>
        <v/>
      </c>
      <c r="D11" s="50" t="str">
        <f t="shared" si="1"/>
        <v/>
      </c>
      <c r="E11" s="50" t="str">
        <f t="shared" si="2"/>
        <v/>
      </c>
      <c r="F11" s="47" t="str">
        <f>IF(COUNTA(archive!H11:CI11)=0,"",COUNTA(archive!H11:CI11))</f>
        <v/>
      </c>
      <c r="G11" s="47" t="str">
        <f>IF(archive!G11="","",archive!G11)</f>
        <v/>
      </c>
      <c r="H11" s="51" t="str">
        <f>IF(archive!CJ11="","",archive!CJ11)</f>
        <v/>
      </c>
      <c r="I11" s="51" t="str">
        <f>IF(archive!CK11="","",archive!CK11)</f>
        <v/>
      </c>
      <c r="J11" s="47" t="str">
        <f t="shared" si="3"/>
        <v/>
      </c>
      <c r="K11" s="51" t="str">
        <f t="shared" si="4"/>
        <v/>
      </c>
      <c r="L11" s="52" t="str">
        <f t="shared" si="5"/>
        <v/>
      </c>
      <c r="M11" s="53" t="str">
        <f t="shared" si="6"/>
        <v/>
      </c>
      <c r="N11" s="53" t="str">
        <f t="shared" si="7"/>
        <v/>
      </c>
      <c r="O11" s="53" t="str">
        <f t="shared" si="8"/>
        <v/>
      </c>
      <c r="P11" s="53" t="str">
        <f t="shared" si="9"/>
        <v/>
      </c>
      <c r="Q11" s="53" t="str">
        <f t="shared" si="10"/>
        <v/>
      </c>
      <c r="R11" s="53" t="str">
        <f t="shared" si="11"/>
        <v/>
      </c>
      <c r="S11" s="53" t="str">
        <f t="shared" si="12"/>
        <v/>
      </c>
      <c r="T11" s="53" t="str">
        <f t="shared" si="13"/>
        <v/>
      </c>
    </row>
    <row r="12" spans="1:20">
      <c r="A12" s="47" t="str">
        <f>IF(archive!E12="","",archive!E12)</f>
        <v/>
      </c>
      <c r="B12" s="48" t="str">
        <f t="shared" si="0"/>
        <v/>
      </c>
      <c r="C12" s="49" t="str">
        <f>IF(archive!F12="","",archive!F12)</f>
        <v/>
      </c>
      <c r="D12" s="50" t="str">
        <f t="shared" si="1"/>
        <v/>
      </c>
      <c r="E12" s="50" t="str">
        <f t="shared" si="2"/>
        <v/>
      </c>
      <c r="F12" s="47" t="str">
        <f>IF(COUNTA(archive!H12:CI12)=0,"",COUNTA(archive!H12:CI12))</f>
        <v/>
      </c>
      <c r="G12" s="47" t="str">
        <f>IF(archive!G12="","",archive!G12)</f>
        <v/>
      </c>
      <c r="H12" s="51" t="str">
        <f>IF(archive!CJ12="","",archive!CJ12)</f>
        <v/>
      </c>
      <c r="I12" s="51" t="str">
        <f>IF(archive!CK12="","",archive!CK12)</f>
        <v/>
      </c>
      <c r="J12" s="47" t="str">
        <f t="shared" si="3"/>
        <v/>
      </c>
      <c r="K12" s="51" t="str">
        <f t="shared" si="4"/>
        <v/>
      </c>
      <c r="L12" s="52" t="str">
        <f t="shared" si="5"/>
        <v/>
      </c>
      <c r="M12" s="53" t="str">
        <f t="shared" si="6"/>
        <v/>
      </c>
      <c r="N12" s="53" t="str">
        <f t="shared" si="7"/>
        <v/>
      </c>
      <c r="O12" s="53" t="str">
        <f t="shared" si="8"/>
        <v/>
      </c>
      <c r="P12" s="53" t="str">
        <f t="shared" si="9"/>
        <v/>
      </c>
      <c r="Q12" s="53" t="str">
        <f t="shared" si="10"/>
        <v/>
      </c>
      <c r="R12" s="53" t="str">
        <f t="shared" si="11"/>
        <v/>
      </c>
      <c r="S12" s="53" t="str">
        <f t="shared" si="12"/>
        <v/>
      </c>
      <c r="T12" s="53" t="str">
        <f t="shared" si="13"/>
        <v/>
      </c>
    </row>
    <row r="13" spans="1:20">
      <c r="A13" s="47" t="str">
        <f>IF(archive!E13="","",archive!E13)</f>
        <v/>
      </c>
      <c r="B13" s="48" t="str">
        <f t="shared" si="0"/>
        <v/>
      </c>
      <c r="C13" s="49" t="str">
        <f>IF(archive!F13="","",archive!F13)</f>
        <v/>
      </c>
      <c r="D13" s="50" t="str">
        <f t="shared" si="1"/>
        <v/>
      </c>
      <c r="E13" s="50" t="str">
        <f t="shared" si="2"/>
        <v/>
      </c>
      <c r="F13" s="47" t="str">
        <f>IF(COUNTA(archive!H13:CI13)=0,"",COUNTA(archive!H13:CI13))</f>
        <v/>
      </c>
      <c r="G13" s="47" t="str">
        <f>IF(archive!G13="","",archive!G13)</f>
        <v/>
      </c>
      <c r="H13" s="51" t="str">
        <f>IF(archive!CJ13="","",archive!CJ13)</f>
        <v/>
      </c>
      <c r="I13" s="51" t="str">
        <f>IF(archive!CK13="","",archive!CK13)</f>
        <v/>
      </c>
      <c r="J13" s="47" t="str">
        <f t="shared" si="3"/>
        <v/>
      </c>
      <c r="K13" s="51" t="str">
        <f t="shared" si="4"/>
        <v/>
      </c>
      <c r="L13" s="52" t="str">
        <f t="shared" si="5"/>
        <v/>
      </c>
      <c r="M13" s="53" t="str">
        <f t="shared" si="6"/>
        <v/>
      </c>
      <c r="N13" s="53" t="str">
        <f t="shared" si="7"/>
        <v/>
      </c>
      <c r="O13" s="53" t="str">
        <f t="shared" si="8"/>
        <v/>
      </c>
      <c r="P13" s="53" t="str">
        <f t="shared" si="9"/>
        <v/>
      </c>
      <c r="Q13" s="53" t="str">
        <f t="shared" si="10"/>
        <v/>
      </c>
      <c r="R13" s="53" t="str">
        <f t="shared" si="11"/>
        <v/>
      </c>
      <c r="S13" s="53" t="str">
        <f t="shared" si="12"/>
        <v/>
      </c>
      <c r="T13" s="53" t="str">
        <f t="shared" si="13"/>
        <v/>
      </c>
    </row>
    <row r="14" spans="1:20">
      <c r="A14" s="47" t="str">
        <f>IF(archive!E14="","",archive!E14)</f>
        <v/>
      </c>
      <c r="B14" s="48" t="str">
        <f t="shared" si="0"/>
        <v/>
      </c>
      <c r="C14" s="49" t="str">
        <f>IF(archive!F14="","",archive!F14)</f>
        <v/>
      </c>
      <c r="D14" s="50" t="str">
        <f t="shared" si="1"/>
        <v/>
      </c>
      <c r="E14" s="50" t="str">
        <f t="shared" si="2"/>
        <v/>
      </c>
      <c r="F14" s="47" t="str">
        <f>IF(COUNTA(archive!H14:CI14)=0,"",COUNTA(archive!H14:CI14))</f>
        <v/>
      </c>
      <c r="G14" s="47" t="str">
        <f>IF(archive!G14="","",archive!G14)</f>
        <v/>
      </c>
      <c r="H14" s="51" t="str">
        <f>IF(archive!CJ14="","",archive!CJ14)</f>
        <v/>
      </c>
      <c r="I14" s="51" t="str">
        <f>IF(archive!CK14="","",archive!CK14)</f>
        <v/>
      </c>
      <c r="J14" s="47" t="str">
        <f t="shared" si="3"/>
        <v/>
      </c>
      <c r="K14" s="51" t="str">
        <f t="shared" si="4"/>
        <v/>
      </c>
      <c r="L14" s="52" t="str">
        <f t="shared" si="5"/>
        <v/>
      </c>
      <c r="M14" s="53" t="str">
        <f t="shared" si="6"/>
        <v/>
      </c>
      <c r="N14" s="53" t="str">
        <f t="shared" si="7"/>
        <v/>
      </c>
      <c r="O14" s="53" t="str">
        <f t="shared" si="8"/>
        <v/>
      </c>
      <c r="P14" s="53" t="str">
        <f t="shared" si="9"/>
        <v/>
      </c>
      <c r="Q14" s="53" t="str">
        <f t="shared" si="10"/>
        <v/>
      </c>
      <c r="R14" s="53" t="str">
        <f t="shared" si="11"/>
        <v/>
      </c>
      <c r="S14" s="53" t="str">
        <f t="shared" si="12"/>
        <v/>
      </c>
      <c r="T14" s="53" t="str">
        <f t="shared" si="13"/>
        <v/>
      </c>
    </row>
    <row r="15" spans="1:20">
      <c r="A15" s="47" t="str">
        <f>IF(archive!E15="","",archive!E15)</f>
        <v/>
      </c>
      <c r="B15" s="48" t="str">
        <f t="shared" si="0"/>
        <v/>
      </c>
      <c r="C15" s="49" t="str">
        <f>IF(archive!F15="","",archive!F15)</f>
        <v/>
      </c>
      <c r="D15" s="50" t="str">
        <f t="shared" si="1"/>
        <v/>
      </c>
      <c r="E15" s="50" t="str">
        <f t="shared" si="2"/>
        <v/>
      </c>
      <c r="F15" s="47" t="str">
        <f>IF(COUNTA(archive!H15:CI15)=0,"",COUNTA(archive!H15:CI15))</f>
        <v/>
      </c>
      <c r="G15" s="47" t="str">
        <f>IF(archive!G15="","",archive!G15)</f>
        <v/>
      </c>
      <c r="H15" s="51" t="str">
        <f>IF(archive!CJ15="","",archive!CJ15)</f>
        <v/>
      </c>
      <c r="I15" s="51" t="str">
        <f>IF(archive!CK15="","",archive!CK15)</f>
        <v/>
      </c>
      <c r="J15" s="47" t="str">
        <f t="shared" si="3"/>
        <v/>
      </c>
      <c r="K15" s="51" t="str">
        <f t="shared" si="4"/>
        <v/>
      </c>
      <c r="L15" s="52" t="str">
        <f t="shared" si="5"/>
        <v/>
      </c>
      <c r="M15" s="53" t="str">
        <f t="shared" si="6"/>
        <v/>
      </c>
      <c r="N15" s="53" t="str">
        <f t="shared" si="7"/>
        <v/>
      </c>
      <c r="O15" s="53" t="str">
        <f t="shared" si="8"/>
        <v/>
      </c>
      <c r="P15" s="53" t="str">
        <f t="shared" si="9"/>
        <v/>
      </c>
      <c r="Q15" s="53" t="str">
        <f t="shared" si="10"/>
        <v/>
      </c>
      <c r="R15" s="53" t="str">
        <f t="shared" si="11"/>
        <v/>
      </c>
      <c r="S15" s="53" t="str">
        <f t="shared" si="12"/>
        <v/>
      </c>
      <c r="T15" s="53" t="str">
        <f t="shared" si="13"/>
        <v/>
      </c>
    </row>
    <row r="16" spans="1:20">
      <c r="A16" s="47" t="str">
        <f>IF(archive!E16="","",archive!E16)</f>
        <v/>
      </c>
      <c r="B16" s="48" t="str">
        <f t="shared" si="0"/>
        <v/>
      </c>
      <c r="C16" s="49" t="str">
        <f>IF(archive!F16="","",archive!F16)</f>
        <v/>
      </c>
      <c r="D16" s="50" t="str">
        <f t="shared" si="1"/>
        <v/>
      </c>
      <c r="E16" s="50" t="str">
        <f t="shared" si="2"/>
        <v/>
      </c>
      <c r="F16" s="47" t="str">
        <f>IF(COUNTA(archive!H16:CI16)=0,"",COUNTA(archive!H16:CI16))</f>
        <v/>
      </c>
      <c r="G16" s="47" t="str">
        <f>IF(archive!G16="","",archive!G16)</f>
        <v/>
      </c>
      <c r="H16" s="51" t="str">
        <f>IF(archive!CJ16="","",archive!CJ16)</f>
        <v/>
      </c>
      <c r="I16" s="51" t="str">
        <f>IF(archive!CK16="","",archive!CK16)</f>
        <v/>
      </c>
      <c r="J16" s="47" t="str">
        <f t="shared" si="3"/>
        <v/>
      </c>
      <c r="K16" s="51" t="str">
        <f t="shared" si="4"/>
        <v/>
      </c>
      <c r="L16" s="52" t="str">
        <f t="shared" si="5"/>
        <v/>
      </c>
      <c r="M16" s="53" t="str">
        <f t="shared" si="6"/>
        <v/>
      </c>
      <c r="N16" s="53" t="str">
        <f t="shared" si="7"/>
        <v/>
      </c>
      <c r="O16" s="53" t="str">
        <f t="shared" si="8"/>
        <v/>
      </c>
      <c r="P16" s="53" t="str">
        <f t="shared" si="9"/>
        <v/>
      </c>
      <c r="Q16" s="53" t="str">
        <f t="shared" si="10"/>
        <v/>
      </c>
      <c r="R16" s="53" t="str">
        <f t="shared" si="11"/>
        <v/>
      </c>
      <c r="S16" s="53" t="str">
        <f t="shared" si="12"/>
        <v/>
      </c>
      <c r="T16" s="53" t="str">
        <f t="shared" si="13"/>
        <v/>
      </c>
    </row>
    <row r="17" spans="1:20">
      <c r="A17" s="47" t="str">
        <f>IF(archive!E17="","",archive!E17)</f>
        <v/>
      </c>
      <c r="B17" s="48" t="str">
        <f t="shared" si="0"/>
        <v/>
      </c>
      <c r="C17" s="49" t="str">
        <f>IF(archive!F17="","",archive!F17)</f>
        <v/>
      </c>
      <c r="D17" s="50" t="str">
        <f t="shared" si="1"/>
        <v/>
      </c>
      <c r="E17" s="50" t="str">
        <f t="shared" si="2"/>
        <v/>
      </c>
      <c r="F17" s="47" t="str">
        <f>IF(COUNTA(archive!H17:CI17)=0,"",COUNTA(archive!H17:CI17))</f>
        <v/>
      </c>
      <c r="G17" s="47" t="str">
        <f>IF(archive!G17="","",archive!G17)</f>
        <v/>
      </c>
      <c r="H17" s="51" t="str">
        <f>IF(archive!CJ17="","",archive!CJ17)</f>
        <v/>
      </c>
      <c r="I17" s="51" t="str">
        <f>IF(archive!CK17="","",archive!CK17)</f>
        <v/>
      </c>
      <c r="J17" s="47" t="str">
        <f t="shared" si="3"/>
        <v/>
      </c>
      <c r="K17" s="51" t="str">
        <f t="shared" si="4"/>
        <v/>
      </c>
      <c r="L17" s="52" t="str">
        <f t="shared" si="5"/>
        <v/>
      </c>
      <c r="M17" s="53" t="str">
        <f t="shared" si="6"/>
        <v/>
      </c>
      <c r="N17" s="53" t="str">
        <f t="shared" si="7"/>
        <v/>
      </c>
      <c r="O17" s="53" t="str">
        <f t="shared" si="8"/>
        <v/>
      </c>
      <c r="P17" s="53" t="str">
        <f t="shared" si="9"/>
        <v/>
      </c>
      <c r="Q17" s="53" t="str">
        <f t="shared" si="10"/>
        <v/>
      </c>
      <c r="R17" s="53" t="str">
        <f t="shared" si="11"/>
        <v/>
      </c>
      <c r="S17" s="53" t="str">
        <f t="shared" si="12"/>
        <v/>
      </c>
      <c r="T17" s="53" t="str">
        <f t="shared" si="13"/>
        <v/>
      </c>
    </row>
    <row r="18" spans="1:20">
      <c r="A18" s="47" t="str">
        <f>IF(archive!E18="","",archive!E18)</f>
        <v/>
      </c>
      <c r="B18" s="48" t="str">
        <f t="shared" si="0"/>
        <v/>
      </c>
      <c r="C18" s="49" t="str">
        <f>IF(archive!F18="","",archive!F18)</f>
        <v/>
      </c>
      <c r="D18" s="50" t="str">
        <f t="shared" si="1"/>
        <v/>
      </c>
      <c r="E18" s="50" t="str">
        <f t="shared" si="2"/>
        <v/>
      </c>
      <c r="F18" s="47" t="str">
        <f>IF(COUNTA(archive!H18:CI18)=0,"",COUNTA(archive!H18:CI18))</f>
        <v/>
      </c>
      <c r="G18" s="47" t="str">
        <f>IF(archive!G18="","",archive!G18)</f>
        <v/>
      </c>
      <c r="H18" s="51" t="str">
        <f>IF(archive!CJ18="","",archive!CJ18)</f>
        <v/>
      </c>
      <c r="I18" s="51" t="str">
        <f>IF(archive!CK18="","",archive!CK18)</f>
        <v/>
      </c>
      <c r="J18" s="47" t="str">
        <f t="shared" si="3"/>
        <v/>
      </c>
      <c r="K18" s="51" t="str">
        <f t="shared" si="4"/>
        <v/>
      </c>
      <c r="L18" s="52" t="str">
        <f t="shared" si="5"/>
        <v/>
      </c>
      <c r="M18" s="53" t="str">
        <f t="shared" si="6"/>
        <v/>
      </c>
      <c r="N18" s="53" t="str">
        <f t="shared" si="7"/>
        <v/>
      </c>
      <c r="O18" s="53" t="str">
        <f t="shared" si="8"/>
        <v/>
      </c>
      <c r="P18" s="53" t="str">
        <f t="shared" si="9"/>
        <v/>
      </c>
      <c r="Q18" s="53" t="str">
        <f t="shared" si="10"/>
        <v/>
      </c>
      <c r="R18" s="53" t="str">
        <f t="shared" si="11"/>
        <v/>
      </c>
      <c r="S18" s="53" t="str">
        <f t="shared" si="12"/>
        <v/>
      </c>
      <c r="T18" s="53" t="str">
        <f t="shared" si="13"/>
        <v/>
      </c>
    </row>
    <row r="19" spans="1:20">
      <c r="A19" s="47" t="str">
        <f>IF(archive!E19="","",archive!E19)</f>
        <v/>
      </c>
      <c r="B19" s="48" t="str">
        <f t="shared" si="0"/>
        <v/>
      </c>
      <c r="C19" s="49" t="str">
        <f>IF(archive!F19="","",archive!F19)</f>
        <v/>
      </c>
      <c r="D19" s="50" t="str">
        <f t="shared" si="1"/>
        <v/>
      </c>
      <c r="E19" s="50" t="str">
        <f t="shared" si="2"/>
        <v/>
      </c>
      <c r="F19" s="47" t="str">
        <f>IF(COUNTA(archive!H19:CI19)=0,"",COUNTA(archive!H19:CI19))</f>
        <v/>
      </c>
      <c r="G19" s="47" t="str">
        <f>IF(archive!G19="","",archive!G19)</f>
        <v/>
      </c>
      <c r="H19" s="51" t="str">
        <f>IF(archive!CJ19="","",archive!CJ19)</f>
        <v/>
      </c>
      <c r="I19" s="51" t="str">
        <f>IF(archive!CK19="","",archive!CK19)</f>
        <v/>
      </c>
      <c r="J19" s="47" t="str">
        <f t="shared" si="3"/>
        <v/>
      </c>
      <c r="K19" s="51" t="str">
        <f t="shared" si="4"/>
        <v/>
      </c>
      <c r="L19" s="52" t="str">
        <f t="shared" si="5"/>
        <v/>
      </c>
      <c r="M19" s="53" t="str">
        <f t="shared" si="6"/>
        <v/>
      </c>
      <c r="N19" s="53" t="str">
        <f t="shared" si="7"/>
        <v/>
      </c>
      <c r="O19" s="53" t="str">
        <f t="shared" si="8"/>
        <v/>
      </c>
      <c r="P19" s="53" t="str">
        <f t="shared" si="9"/>
        <v/>
      </c>
      <c r="Q19" s="53" t="str">
        <f t="shared" si="10"/>
        <v/>
      </c>
      <c r="R19" s="53" t="str">
        <f t="shared" si="11"/>
        <v/>
      </c>
      <c r="S19" s="53" t="str">
        <f t="shared" si="12"/>
        <v/>
      </c>
      <c r="T19" s="53" t="str">
        <f t="shared" si="13"/>
        <v/>
      </c>
    </row>
    <row r="20" spans="1:20">
      <c r="A20" s="47" t="str">
        <f>IF(archive!E20="","",archive!E20)</f>
        <v/>
      </c>
      <c r="B20" s="48" t="str">
        <f t="shared" si="0"/>
        <v/>
      </c>
      <c r="C20" s="49" t="str">
        <f>IF(archive!F20="","",archive!F20)</f>
        <v/>
      </c>
      <c r="D20" s="50" t="str">
        <f t="shared" si="1"/>
        <v/>
      </c>
      <c r="E20" s="50" t="str">
        <f t="shared" si="2"/>
        <v/>
      </c>
      <c r="F20" s="47" t="str">
        <f>IF(COUNTA(archive!H20:CI20)=0,"",COUNTA(archive!H20:CI20))</f>
        <v/>
      </c>
      <c r="G20" s="47" t="str">
        <f>IF(archive!G20="","",archive!G20)</f>
        <v/>
      </c>
      <c r="H20" s="51" t="str">
        <f>IF(archive!CJ20="","",archive!CJ20)</f>
        <v/>
      </c>
      <c r="I20" s="51" t="str">
        <f>IF(archive!CK20="","",archive!CK20)</f>
        <v/>
      </c>
      <c r="J20" s="47" t="str">
        <f t="shared" si="3"/>
        <v/>
      </c>
      <c r="K20" s="51" t="str">
        <f t="shared" si="4"/>
        <v/>
      </c>
      <c r="L20" s="52" t="str">
        <f t="shared" si="5"/>
        <v/>
      </c>
      <c r="M20" s="53" t="str">
        <f t="shared" si="6"/>
        <v/>
      </c>
      <c r="N20" s="53" t="str">
        <f t="shared" si="7"/>
        <v/>
      </c>
      <c r="O20" s="53" t="str">
        <f t="shared" si="8"/>
        <v/>
      </c>
      <c r="P20" s="53" t="str">
        <f t="shared" si="9"/>
        <v/>
      </c>
      <c r="Q20" s="53" t="str">
        <f t="shared" si="10"/>
        <v/>
      </c>
      <c r="R20" s="53" t="str">
        <f t="shared" si="11"/>
        <v/>
      </c>
      <c r="S20" s="53" t="str">
        <f t="shared" si="12"/>
        <v/>
      </c>
      <c r="T20" s="53" t="str">
        <f t="shared" si="13"/>
        <v/>
      </c>
    </row>
    <row r="21" spans="1:20">
      <c r="A21" s="47" t="str">
        <f>IF(archive!E21="","",archive!E21)</f>
        <v/>
      </c>
      <c r="B21" s="48" t="str">
        <f t="shared" si="0"/>
        <v/>
      </c>
      <c r="C21" s="49" t="str">
        <f>IF(archive!F21="","",archive!F21)</f>
        <v/>
      </c>
      <c r="D21" s="50" t="str">
        <f t="shared" si="1"/>
        <v/>
      </c>
      <c r="E21" s="50" t="str">
        <f t="shared" si="2"/>
        <v/>
      </c>
      <c r="F21" s="47" t="str">
        <f>IF(COUNTA(archive!H21:CI21)=0,"",COUNTA(archive!H21:CI21))</f>
        <v/>
      </c>
      <c r="G21" s="47" t="str">
        <f>IF(archive!G21="","",archive!G21)</f>
        <v/>
      </c>
      <c r="H21" s="51" t="str">
        <f>IF(archive!CJ21="","",archive!CJ21)</f>
        <v/>
      </c>
      <c r="I21" s="51" t="str">
        <f>IF(archive!CK21="","",archive!CK21)</f>
        <v/>
      </c>
      <c r="J21" s="47" t="str">
        <f t="shared" si="3"/>
        <v/>
      </c>
      <c r="K21" s="51" t="str">
        <f t="shared" si="4"/>
        <v/>
      </c>
      <c r="L21" s="52" t="str">
        <f t="shared" si="5"/>
        <v/>
      </c>
      <c r="M21" s="53" t="str">
        <f t="shared" si="6"/>
        <v/>
      </c>
      <c r="N21" s="53" t="str">
        <f t="shared" si="7"/>
        <v/>
      </c>
      <c r="O21" s="53" t="str">
        <f t="shared" si="8"/>
        <v/>
      </c>
      <c r="P21" s="53" t="str">
        <f t="shared" si="9"/>
        <v/>
      </c>
      <c r="Q21" s="53" t="str">
        <f t="shared" si="10"/>
        <v/>
      </c>
      <c r="R21" s="53" t="str">
        <f t="shared" si="11"/>
        <v/>
      </c>
      <c r="S21" s="53" t="str">
        <f t="shared" si="12"/>
        <v/>
      </c>
      <c r="T21" s="53" t="str">
        <f t="shared" si="13"/>
        <v/>
      </c>
    </row>
    <row r="22" spans="1:20">
      <c r="A22" s="47" t="str">
        <f>IF(archive!E22="","",archive!E22)</f>
        <v/>
      </c>
      <c r="B22" s="48" t="str">
        <f t="shared" si="0"/>
        <v/>
      </c>
      <c r="C22" s="49" t="str">
        <f>IF(archive!F22="","",archive!F22)</f>
        <v/>
      </c>
      <c r="D22" s="50" t="str">
        <f t="shared" si="1"/>
        <v/>
      </c>
      <c r="E22" s="50" t="str">
        <f t="shared" si="2"/>
        <v/>
      </c>
      <c r="F22" s="47" t="str">
        <f>IF(COUNTA(archive!H22:CI22)=0,"",COUNTA(archive!H22:CI22))</f>
        <v/>
      </c>
      <c r="G22" s="47" t="str">
        <f>IF(archive!G22="","",archive!G22)</f>
        <v/>
      </c>
      <c r="H22" s="51" t="str">
        <f>IF(archive!CJ22="","",archive!CJ22)</f>
        <v/>
      </c>
      <c r="I22" s="51" t="str">
        <f>IF(archive!CK22="","",archive!CK22)</f>
        <v/>
      </c>
      <c r="J22" s="47" t="str">
        <f t="shared" si="3"/>
        <v/>
      </c>
      <c r="K22" s="51" t="str">
        <f t="shared" si="4"/>
        <v/>
      </c>
      <c r="L22" s="52" t="str">
        <f t="shared" si="5"/>
        <v/>
      </c>
      <c r="M22" s="53" t="str">
        <f t="shared" si="6"/>
        <v/>
      </c>
      <c r="N22" s="53" t="str">
        <f t="shared" si="7"/>
        <v/>
      </c>
      <c r="O22" s="53" t="str">
        <f t="shared" si="8"/>
        <v/>
      </c>
      <c r="P22" s="53" t="str">
        <f t="shared" si="9"/>
        <v/>
      </c>
      <c r="Q22" s="53" t="str">
        <f t="shared" si="10"/>
        <v/>
      </c>
      <c r="R22" s="53" t="str">
        <f t="shared" si="11"/>
        <v/>
      </c>
      <c r="S22" s="53" t="str">
        <f t="shared" si="12"/>
        <v/>
      </c>
      <c r="T22" s="53" t="str">
        <f t="shared" si="13"/>
        <v/>
      </c>
    </row>
    <row r="23" spans="1:20">
      <c r="A23" s="47" t="str">
        <f>IF(archive!E23="","",archive!E23)</f>
        <v/>
      </c>
      <c r="B23" s="48" t="str">
        <f t="shared" si="0"/>
        <v/>
      </c>
      <c r="C23" s="49" t="str">
        <f>IF(archive!F23="","",archive!F23)</f>
        <v/>
      </c>
      <c r="D23" s="50" t="str">
        <f t="shared" si="1"/>
        <v/>
      </c>
      <c r="E23" s="50" t="str">
        <f t="shared" si="2"/>
        <v/>
      </c>
      <c r="F23" s="47" t="str">
        <f>IF(COUNTA(archive!H23:CI23)=0,"",COUNTA(archive!H23:CI23))</f>
        <v/>
      </c>
      <c r="G23" s="47" t="str">
        <f>IF(archive!G23="","",archive!G23)</f>
        <v/>
      </c>
      <c r="H23" s="51" t="str">
        <f>IF(archive!CJ23="","",archive!CJ23)</f>
        <v/>
      </c>
      <c r="I23" s="51" t="str">
        <f>IF(archive!CK23="","",archive!CK23)</f>
        <v/>
      </c>
      <c r="J23" s="47" t="str">
        <f t="shared" si="3"/>
        <v/>
      </c>
      <c r="K23" s="51" t="str">
        <f t="shared" si="4"/>
        <v/>
      </c>
      <c r="L23" s="52" t="str">
        <f t="shared" si="5"/>
        <v/>
      </c>
      <c r="M23" s="53" t="str">
        <f t="shared" si="6"/>
        <v/>
      </c>
      <c r="N23" s="53" t="str">
        <f t="shared" si="7"/>
        <v/>
      </c>
      <c r="O23" s="53" t="str">
        <f t="shared" si="8"/>
        <v/>
      </c>
      <c r="P23" s="53" t="str">
        <f t="shared" si="9"/>
        <v/>
      </c>
      <c r="Q23" s="53" t="str">
        <f t="shared" si="10"/>
        <v/>
      </c>
      <c r="R23" s="53" t="str">
        <f t="shared" si="11"/>
        <v/>
      </c>
      <c r="S23" s="53" t="str">
        <f t="shared" si="12"/>
        <v/>
      </c>
      <c r="T23" s="53" t="str">
        <f t="shared" si="13"/>
        <v/>
      </c>
    </row>
    <row r="24" spans="1:20">
      <c r="A24" s="47" t="str">
        <f>IF(archive!E24="","",archive!E24)</f>
        <v/>
      </c>
      <c r="B24" s="48" t="str">
        <f t="shared" si="0"/>
        <v/>
      </c>
      <c r="C24" s="49" t="str">
        <f>IF(archive!F24="","",archive!F24)</f>
        <v/>
      </c>
      <c r="D24" s="50" t="str">
        <f t="shared" si="1"/>
        <v/>
      </c>
      <c r="E24" s="50" t="str">
        <f t="shared" si="2"/>
        <v/>
      </c>
      <c r="F24" s="47" t="str">
        <f>IF(COUNTA(archive!H24:CI24)=0,"",COUNTA(archive!H24:CI24))</f>
        <v/>
      </c>
      <c r="G24" s="47" t="str">
        <f>IF(archive!G24="","",archive!G24)</f>
        <v/>
      </c>
      <c r="H24" s="51" t="str">
        <f>IF(archive!CJ24="","",archive!CJ24)</f>
        <v/>
      </c>
      <c r="I24" s="51" t="str">
        <f>IF(archive!CK24="","",archive!CK24)</f>
        <v/>
      </c>
      <c r="J24" s="47" t="str">
        <f t="shared" si="3"/>
        <v/>
      </c>
      <c r="K24" s="51" t="str">
        <f t="shared" si="4"/>
        <v/>
      </c>
      <c r="L24" s="52" t="str">
        <f t="shared" si="5"/>
        <v/>
      </c>
      <c r="M24" s="53" t="str">
        <f t="shared" si="6"/>
        <v/>
      </c>
      <c r="N24" s="53" t="str">
        <f t="shared" si="7"/>
        <v/>
      </c>
      <c r="O24" s="53" t="str">
        <f t="shared" si="8"/>
        <v/>
      </c>
      <c r="P24" s="53" t="str">
        <f t="shared" si="9"/>
        <v/>
      </c>
      <c r="Q24" s="53" t="str">
        <f t="shared" si="10"/>
        <v/>
      </c>
      <c r="R24" s="53" t="str">
        <f t="shared" si="11"/>
        <v/>
      </c>
      <c r="S24" s="53" t="str">
        <f t="shared" si="12"/>
        <v/>
      </c>
      <c r="T24" s="53" t="str">
        <f t="shared" si="13"/>
        <v/>
      </c>
    </row>
    <row r="25" spans="1:20">
      <c r="A25" s="47" t="str">
        <f>IF(archive!E25="","",archive!E25)</f>
        <v/>
      </c>
      <c r="B25" s="48" t="str">
        <f t="shared" si="0"/>
        <v/>
      </c>
      <c r="C25" s="49" t="str">
        <f>IF(archive!F25="","",archive!F25)</f>
        <v/>
      </c>
      <c r="D25" s="50" t="str">
        <f t="shared" si="1"/>
        <v/>
      </c>
      <c r="E25" s="50" t="str">
        <f t="shared" si="2"/>
        <v/>
      </c>
      <c r="F25" s="47" t="str">
        <f>IF(COUNTA(archive!H25:CI25)=0,"",COUNTA(archive!H25:CI25))</f>
        <v/>
      </c>
      <c r="G25" s="47" t="str">
        <f>IF(archive!G25="","",archive!G25)</f>
        <v/>
      </c>
      <c r="H25" s="51" t="str">
        <f>IF(archive!CJ25="","",archive!CJ25)</f>
        <v/>
      </c>
      <c r="I25" s="51" t="str">
        <f>IF(archive!CK25="","",archive!CK25)</f>
        <v/>
      </c>
      <c r="J25" s="47" t="str">
        <f t="shared" si="3"/>
        <v/>
      </c>
      <c r="K25" s="51" t="str">
        <f t="shared" si="4"/>
        <v/>
      </c>
      <c r="L25" s="52" t="str">
        <f t="shared" si="5"/>
        <v/>
      </c>
      <c r="M25" s="53" t="str">
        <f t="shared" si="6"/>
        <v/>
      </c>
      <c r="N25" s="53" t="str">
        <f t="shared" si="7"/>
        <v/>
      </c>
      <c r="O25" s="53" t="str">
        <f t="shared" si="8"/>
        <v/>
      </c>
      <c r="P25" s="53" t="str">
        <f t="shared" si="9"/>
        <v/>
      </c>
      <c r="Q25" s="53" t="str">
        <f t="shared" si="10"/>
        <v/>
      </c>
      <c r="R25" s="53" t="str">
        <f t="shared" si="11"/>
        <v/>
      </c>
      <c r="S25" s="53" t="str">
        <f t="shared" si="12"/>
        <v/>
      </c>
      <c r="T25" s="53" t="str">
        <f t="shared" si="13"/>
        <v/>
      </c>
    </row>
    <row r="26" spans="1:20">
      <c r="A26" s="47" t="str">
        <f>IF(archive!E26="","",archive!E26)</f>
        <v/>
      </c>
      <c r="B26" s="48" t="str">
        <f t="shared" si="0"/>
        <v/>
      </c>
      <c r="C26" s="49" t="str">
        <f>IF(archive!F26="","",archive!F26)</f>
        <v/>
      </c>
      <c r="D26" s="50" t="str">
        <f t="shared" si="1"/>
        <v/>
      </c>
      <c r="E26" s="50" t="str">
        <f t="shared" si="2"/>
        <v/>
      </c>
      <c r="F26" s="47" t="str">
        <f>IF(COUNTA(archive!H26:CI26)=0,"",COUNTA(archive!H26:CI26))</f>
        <v/>
      </c>
      <c r="G26" s="47" t="str">
        <f>IF(archive!G26="","",archive!G26)</f>
        <v/>
      </c>
      <c r="H26" s="51" t="str">
        <f>IF(archive!CJ26="","",archive!CJ26)</f>
        <v/>
      </c>
      <c r="I26" s="51" t="str">
        <f>IF(archive!CK26="","",archive!CK26)</f>
        <v/>
      </c>
      <c r="J26" s="47" t="str">
        <f t="shared" si="3"/>
        <v/>
      </c>
      <c r="K26" s="51" t="str">
        <f t="shared" si="4"/>
        <v/>
      </c>
      <c r="L26" s="52" t="str">
        <f t="shared" si="5"/>
        <v/>
      </c>
      <c r="M26" s="53" t="str">
        <f t="shared" si="6"/>
        <v/>
      </c>
      <c r="N26" s="53" t="str">
        <f t="shared" si="7"/>
        <v/>
      </c>
      <c r="O26" s="53" t="str">
        <f t="shared" si="8"/>
        <v/>
      </c>
      <c r="P26" s="53" t="str">
        <f t="shared" si="9"/>
        <v/>
      </c>
      <c r="Q26" s="53" t="str">
        <f t="shared" si="10"/>
        <v/>
      </c>
      <c r="R26" s="53" t="str">
        <f t="shared" si="11"/>
        <v/>
      </c>
      <c r="S26" s="53" t="str">
        <f t="shared" si="12"/>
        <v/>
      </c>
      <c r="T26" s="53" t="str">
        <f t="shared" si="13"/>
        <v/>
      </c>
    </row>
    <row r="27" spans="1:20">
      <c r="A27" s="47" t="str">
        <f>IF(archive!E27="","",archive!E27)</f>
        <v/>
      </c>
      <c r="B27" s="48" t="str">
        <f t="shared" si="0"/>
        <v/>
      </c>
      <c r="C27" s="49" t="str">
        <f>IF(archive!F27="","",archive!F27)</f>
        <v/>
      </c>
      <c r="D27" s="50" t="str">
        <f t="shared" si="1"/>
        <v/>
      </c>
      <c r="E27" s="50" t="str">
        <f t="shared" si="2"/>
        <v/>
      </c>
      <c r="F27" s="47" t="str">
        <f>IF(COUNTA(archive!H27:CI27)=0,"",COUNTA(archive!H27:CI27))</f>
        <v/>
      </c>
      <c r="G27" s="47" t="str">
        <f>IF(archive!G27="","",archive!G27)</f>
        <v/>
      </c>
      <c r="H27" s="51" t="str">
        <f>IF(archive!CJ27="","",archive!CJ27)</f>
        <v/>
      </c>
      <c r="I27" s="51" t="str">
        <f>IF(archive!CK27="","",archive!CK27)</f>
        <v/>
      </c>
      <c r="J27" s="47" t="str">
        <f t="shared" si="3"/>
        <v/>
      </c>
      <c r="K27" s="51" t="str">
        <f t="shared" si="4"/>
        <v/>
      </c>
      <c r="L27" s="52" t="str">
        <f t="shared" si="5"/>
        <v/>
      </c>
      <c r="M27" s="53" t="str">
        <f t="shared" si="6"/>
        <v/>
      </c>
      <c r="N27" s="53" t="str">
        <f t="shared" si="7"/>
        <v/>
      </c>
      <c r="O27" s="53" t="str">
        <f t="shared" si="8"/>
        <v/>
      </c>
      <c r="P27" s="53" t="str">
        <f t="shared" si="9"/>
        <v/>
      </c>
      <c r="Q27" s="53" t="str">
        <f t="shared" si="10"/>
        <v/>
      </c>
      <c r="R27" s="53" t="str">
        <f t="shared" si="11"/>
        <v/>
      </c>
      <c r="S27" s="53" t="str">
        <f t="shared" si="12"/>
        <v/>
      </c>
      <c r="T27" s="53" t="str">
        <f t="shared" si="13"/>
        <v/>
      </c>
    </row>
    <row r="28" spans="1:20">
      <c r="A28" s="47" t="str">
        <f>IF(archive!E28="","",archive!E28)</f>
        <v/>
      </c>
      <c r="B28" s="48" t="str">
        <f t="shared" si="0"/>
        <v/>
      </c>
      <c r="C28" s="49" t="str">
        <f>IF(archive!F28="","",archive!F28)</f>
        <v/>
      </c>
      <c r="D28" s="50" t="str">
        <f t="shared" si="1"/>
        <v/>
      </c>
      <c r="E28" s="50" t="str">
        <f t="shared" si="2"/>
        <v/>
      </c>
      <c r="F28" s="47" t="str">
        <f>IF(COUNTA(archive!H28:CI28)=0,"",COUNTA(archive!H28:CI28))</f>
        <v/>
      </c>
      <c r="G28" s="47" t="str">
        <f>IF(archive!G28="","",archive!G28)</f>
        <v/>
      </c>
      <c r="H28" s="51" t="str">
        <f>IF(archive!CJ28="","",archive!CJ28)</f>
        <v/>
      </c>
      <c r="I28" s="51" t="str">
        <f>IF(archive!CK28="","",archive!CK28)</f>
        <v/>
      </c>
      <c r="J28" s="47" t="str">
        <f t="shared" si="3"/>
        <v/>
      </c>
      <c r="K28" s="51" t="str">
        <f t="shared" si="4"/>
        <v/>
      </c>
      <c r="L28" s="52" t="str">
        <f t="shared" si="5"/>
        <v/>
      </c>
      <c r="M28" s="53" t="str">
        <f t="shared" si="6"/>
        <v/>
      </c>
      <c r="N28" s="53" t="str">
        <f t="shared" si="7"/>
        <v/>
      </c>
      <c r="O28" s="53" t="str">
        <f t="shared" si="8"/>
        <v/>
      </c>
      <c r="P28" s="53" t="str">
        <f t="shared" si="9"/>
        <v/>
      </c>
      <c r="Q28" s="53" t="str">
        <f t="shared" si="10"/>
        <v/>
      </c>
      <c r="R28" s="53" t="str">
        <f t="shared" si="11"/>
        <v/>
      </c>
      <c r="S28" s="53" t="str">
        <f t="shared" si="12"/>
        <v/>
      </c>
      <c r="T28" s="53" t="str">
        <f t="shared" si="13"/>
        <v/>
      </c>
    </row>
    <row r="29" spans="1:20">
      <c r="A29" s="47" t="str">
        <f>IF(archive!E29="","",archive!E29)</f>
        <v/>
      </c>
      <c r="B29" s="48" t="str">
        <f t="shared" si="0"/>
        <v/>
      </c>
      <c r="C29" s="49" t="str">
        <f>IF(archive!F29="","",archive!F29)</f>
        <v/>
      </c>
      <c r="D29" s="50" t="str">
        <f t="shared" si="1"/>
        <v/>
      </c>
      <c r="E29" s="50" t="str">
        <f t="shared" si="2"/>
        <v/>
      </c>
      <c r="F29" s="47" t="str">
        <f>IF(COUNTA(archive!H29:CI29)=0,"",COUNTA(archive!H29:CI29))</f>
        <v/>
      </c>
      <c r="G29" s="47" t="str">
        <f>IF(archive!G29="","",archive!G29)</f>
        <v/>
      </c>
      <c r="H29" s="51" t="str">
        <f>IF(archive!CJ29="","",archive!CJ29)</f>
        <v/>
      </c>
      <c r="I29" s="51" t="str">
        <f>IF(archive!CK29="","",archive!CK29)</f>
        <v/>
      </c>
      <c r="J29" s="47" t="str">
        <f t="shared" si="3"/>
        <v/>
      </c>
      <c r="K29" s="51" t="str">
        <f t="shared" si="4"/>
        <v/>
      </c>
      <c r="L29" s="52" t="str">
        <f t="shared" si="5"/>
        <v/>
      </c>
      <c r="M29" s="53" t="str">
        <f t="shared" si="6"/>
        <v/>
      </c>
      <c r="N29" s="53" t="str">
        <f t="shared" si="7"/>
        <v/>
      </c>
      <c r="O29" s="53" t="str">
        <f t="shared" si="8"/>
        <v/>
      </c>
      <c r="P29" s="53" t="str">
        <f t="shared" si="9"/>
        <v/>
      </c>
      <c r="Q29" s="53" t="str">
        <f t="shared" si="10"/>
        <v/>
      </c>
      <c r="R29" s="53" t="str">
        <f t="shared" si="11"/>
        <v/>
      </c>
      <c r="S29" s="53" t="str">
        <f t="shared" si="12"/>
        <v/>
      </c>
      <c r="T29" s="53" t="str">
        <f t="shared" si="13"/>
        <v/>
      </c>
    </row>
    <row r="30" spans="1:20">
      <c r="A30" s="47" t="str">
        <f>IF(archive!E30="","",archive!E30)</f>
        <v/>
      </c>
      <c r="B30" s="48" t="str">
        <f t="shared" si="0"/>
        <v/>
      </c>
      <c r="C30" s="49" t="str">
        <f>IF(archive!F30="","",archive!F30)</f>
        <v/>
      </c>
      <c r="D30" s="50" t="str">
        <f t="shared" si="1"/>
        <v/>
      </c>
      <c r="E30" s="50" t="str">
        <f t="shared" si="2"/>
        <v/>
      </c>
      <c r="F30" s="47" t="str">
        <f>IF(COUNTA(archive!H30:CI30)=0,"",COUNTA(archive!H30:CI30))</f>
        <v/>
      </c>
      <c r="G30" s="47" t="str">
        <f>IF(archive!G30="","",archive!G30)</f>
        <v/>
      </c>
      <c r="H30" s="51" t="str">
        <f>IF(archive!CJ30="","",archive!CJ30)</f>
        <v/>
      </c>
      <c r="I30" s="51" t="str">
        <f>IF(archive!CK30="","",archive!CK30)</f>
        <v/>
      </c>
      <c r="J30" s="47" t="str">
        <f t="shared" si="3"/>
        <v/>
      </c>
      <c r="K30" s="51" t="str">
        <f t="shared" si="4"/>
        <v/>
      </c>
      <c r="L30" s="52" t="str">
        <f t="shared" si="5"/>
        <v/>
      </c>
      <c r="M30" s="53" t="str">
        <f t="shared" si="6"/>
        <v/>
      </c>
      <c r="N30" s="53" t="str">
        <f t="shared" si="7"/>
        <v/>
      </c>
      <c r="O30" s="53" t="str">
        <f t="shared" si="8"/>
        <v/>
      </c>
      <c r="P30" s="53" t="str">
        <f t="shared" si="9"/>
        <v/>
      </c>
      <c r="Q30" s="53" t="str">
        <f t="shared" si="10"/>
        <v/>
      </c>
      <c r="R30" s="53" t="str">
        <f t="shared" si="11"/>
        <v/>
      </c>
      <c r="S30" s="53" t="str">
        <f t="shared" si="12"/>
        <v/>
      </c>
      <c r="T30" s="53" t="str">
        <f t="shared" si="13"/>
        <v/>
      </c>
    </row>
    <row r="31" spans="1:20">
      <c r="A31" s="47" t="str">
        <f>IF(archive!E31="","",archive!E31)</f>
        <v/>
      </c>
      <c r="B31" s="48" t="str">
        <f t="shared" si="0"/>
        <v/>
      </c>
      <c r="C31" s="49" t="str">
        <f>IF(archive!F31="","",archive!F31)</f>
        <v/>
      </c>
      <c r="D31" s="50" t="str">
        <f t="shared" si="1"/>
        <v/>
      </c>
      <c r="E31" s="50" t="str">
        <f t="shared" si="2"/>
        <v/>
      </c>
      <c r="F31" s="47" t="str">
        <f>IF(COUNTA(archive!H31:CI31)=0,"",COUNTA(archive!H31:CI31))</f>
        <v/>
      </c>
      <c r="G31" s="47" t="str">
        <f>IF(archive!G31="","",archive!G31)</f>
        <v/>
      </c>
      <c r="H31" s="51" t="str">
        <f>IF(archive!CJ31="","",archive!CJ31)</f>
        <v/>
      </c>
      <c r="I31" s="51" t="str">
        <f>IF(archive!CK31="","",archive!CK31)</f>
        <v/>
      </c>
      <c r="J31" s="47" t="str">
        <f t="shared" si="3"/>
        <v/>
      </c>
      <c r="K31" s="51" t="str">
        <f t="shared" si="4"/>
        <v/>
      </c>
      <c r="L31" s="52" t="str">
        <f t="shared" si="5"/>
        <v/>
      </c>
      <c r="M31" s="53" t="str">
        <f t="shared" si="6"/>
        <v/>
      </c>
      <c r="N31" s="53" t="str">
        <f t="shared" si="7"/>
        <v/>
      </c>
      <c r="O31" s="53" t="str">
        <f t="shared" si="8"/>
        <v/>
      </c>
      <c r="P31" s="53" t="str">
        <f t="shared" si="9"/>
        <v/>
      </c>
      <c r="Q31" s="53" t="str">
        <f t="shared" si="10"/>
        <v/>
      </c>
      <c r="R31" s="53" t="str">
        <f t="shared" si="11"/>
        <v/>
      </c>
      <c r="S31" s="53" t="str">
        <f t="shared" si="12"/>
        <v/>
      </c>
      <c r="T31" s="53" t="str">
        <f t="shared" si="13"/>
        <v/>
      </c>
    </row>
    <row r="32" spans="1:20">
      <c r="A32" s="47" t="str">
        <f>IF(archive!E32="","",archive!E32)</f>
        <v/>
      </c>
      <c r="B32" s="48" t="str">
        <f t="shared" si="0"/>
        <v/>
      </c>
      <c r="C32" s="49" t="str">
        <f>IF(archive!F32="","",archive!F32)</f>
        <v/>
      </c>
      <c r="D32" s="50" t="str">
        <f t="shared" si="1"/>
        <v/>
      </c>
      <c r="E32" s="50" t="str">
        <f t="shared" si="2"/>
        <v/>
      </c>
      <c r="F32" s="47" t="str">
        <f>IF(COUNTA(archive!H32:CI32)=0,"",COUNTA(archive!H32:CI32))</f>
        <v/>
      </c>
      <c r="G32" s="47" t="str">
        <f>IF(archive!G32="","",archive!G32)</f>
        <v/>
      </c>
      <c r="H32" s="51" t="str">
        <f>IF(archive!CJ32="","",archive!CJ32)</f>
        <v/>
      </c>
      <c r="I32" s="51" t="str">
        <f>IF(archive!CK32="","",archive!CK32)</f>
        <v/>
      </c>
      <c r="J32" s="47" t="str">
        <f t="shared" si="3"/>
        <v/>
      </c>
      <c r="K32" s="51" t="str">
        <f t="shared" si="4"/>
        <v/>
      </c>
      <c r="L32" s="52" t="str">
        <f t="shared" si="5"/>
        <v/>
      </c>
      <c r="M32" s="53" t="str">
        <f t="shared" si="6"/>
        <v/>
      </c>
      <c r="N32" s="53" t="str">
        <f t="shared" si="7"/>
        <v/>
      </c>
      <c r="O32" s="53" t="str">
        <f t="shared" si="8"/>
        <v/>
      </c>
      <c r="P32" s="53" t="str">
        <f t="shared" si="9"/>
        <v/>
      </c>
      <c r="Q32" s="53" t="str">
        <f t="shared" si="10"/>
        <v/>
      </c>
      <c r="R32" s="53" t="str">
        <f t="shared" si="11"/>
        <v/>
      </c>
      <c r="S32" s="53" t="str">
        <f t="shared" si="12"/>
        <v/>
      </c>
      <c r="T32" s="53" t="str">
        <f t="shared" si="13"/>
        <v/>
      </c>
    </row>
    <row r="33" spans="1:20">
      <c r="A33" s="47" t="str">
        <f>IF(archive!E33="","",archive!E33)</f>
        <v/>
      </c>
      <c r="B33" s="48" t="str">
        <f t="shared" si="0"/>
        <v/>
      </c>
      <c r="C33" s="49" t="str">
        <f>IF(archive!F33="","",archive!F33)</f>
        <v/>
      </c>
      <c r="D33" s="50" t="str">
        <f t="shared" si="1"/>
        <v/>
      </c>
      <c r="E33" s="50" t="str">
        <f t="shared" si="2"/>
        <v/>
      </c>
      <c r="F33" s="47" t="str">
        <f>IF(COUNTA(archive!H33:CI33)=0,"",COUNTA(archive!H33:CI33))</f>
        <v/>
      </c>
      <c r="G33" s="47" t="str">
        <f>IF(archive!G33="","",archive!G33)</f>
        <v/>
      </c>
      <c r="H33" s="51" t="str">
        <f>IF(archive!CJ33="","",archive!CJ33)</f>
        <v/>
      </c>
      <c r="I33" s="51" t="str">
        <f>IF(archive!CK33="","",archive!CK33)</f>
        <v/>
      </c>
      <c r="J33" s="47" t="str">
        <f t="shared" si="3"/>
        <v/>
      </c>
      <c r="K33" s="51" t="str">
        <f t="shared" si="4"/>
        <v/>
      </c>
      <c r="L33" s="52" t="str">
        <f t="shared" si="5"/>
        <v/>
      </c>
      <c r="M33" s="53" t="str">
        <f t="shared" si="6"/>
        <v/>
      </c>
      <c r="N33" s="53" t="str">
        <f t="shared" si="7"/>
        <v/>
      </c>
      <c r="O33" s="53" t="str">
        <f t="shared" si="8"/>
        <v/>
      </c>
      <c r="P33" s="53" t="str">
        <f t="shared" si="9"/>
        <v/>
      </c>
      <c r="Q33" s="53" t="str">
        <f t="shared" si="10"/>
        <v/>
      </c>
      <c r="R33" s="53" t="str">
        <f t="shared" si="11"/>
        <v/>
      </c>
      <c r="S33" s="53" t="str">
        <f t="shared" si="12"/>
        <v/>
      </c>
      <c r="T33" s="53" t="str">
        <f t="shared" si="13"/>
        <v/>
      </c>
    </row>
    <row r="34" spans="1:20">
      <c r="A34" s="47" t="str">
        <f>IF(archive!E34="","",archive!E34)</f>
        <v/>
      </c>
      <c r="B34" s="48" t="str">
        <f t="shared" si="0"/>
        <v/>
      </c>
      <c r="C34" s="49" t="str">
        <f>IF(archive!F34="","",archive!F34)</f>
        <v/>
      </c>
      <c r="D34" s="50" t="str">
        <f t="shared" si="1"/>
        <v/>
      </c>
      <c r="E34" s="50" t="str">
        <f t="shared" si="2"/>
        <v/>
      </c>
      <c r="F34" s="47" t="str">
        <f>IF(COUNTA(archive!H34:CI34)=0,"",COUNTA(archive!H34:CI34))</f>
        <v/>
      </c>
      <c r="G34" s="47" t="str">
        <f>IF(archive!G34="","",archive!G34)</f>
        <v/>
      </c>
      <c r="H34" s="51" t="str">
        <f>IF(archive!CJ34="","",archive!CJ34)</f>
        <v/>
      </c>
      <c r="I34" s="51" t="str">
        <f>IF(archive!CK34="","",archive!CK34)</f>
        <v/>
      </c>
      <c r="J34" s="47" t="str">
        <f t="shared" si="3"/>
        <v/>
      </c>
      <c r="K34" s="51" t="str">
        <f t="shared" si="4"/>
        <v/>
      </c>
      <c r="L34" s="52" t="str">
        <f t="shared" si="5"/>
        <v/>
      </c>
      <c r="M34" s="53" t="str">
        <f t="shared" si="6"/>
        <v/>
      </c>
      <c r="N34" s="53" t="str">
        <f t="shared" si="7"/>
        <v/>
      </c>
      <c r="O34" s="53" t="str">
        <f t="shared" si="8"/>
        <v/>
      </c>
      <c r="P34" s="53" t="str">
        <f t="shared" si="9"/>
        <v/>
      </c>
      <c r="Q34" s="53" t="str">
        <f t="shared" si="10"/>
        <v/>
      </c>
      <c r="R34" s="53" t="str">
        <f t="shared" si="11"/>
        <v/>
      </c>
      <c r="S34" s="53" t="str">
        <f t="shared" si="12"/>
        <v/>
      </c>
      <c r="T34" s="53" t="str">
        <f t="shared" si="13"/>
        <v/>
      </c>
    </row>
    <row r="35" spans="1:20">
      <c r="A35" s="47" t="str">
        <f>IF(archive!E35="","",archive!E35)</f>
        <v/>
      </c>
      <c r="B35" s="48" t="str">
        <f t="shared" si="0"/>
        <v/>
      </c>
      <c r="C35" s="49" t="str">
        <f>IF(archive!F35="","",archive!F35)</f>
        <v/>
      </c>
      <c r="D35" s="50" t="str">
        <f t="shared" si="1"/>
        <v/>
      </c>
      <c r="E35" s="50" t="str">
        <f t="shared" si="2"/>
        <v/>
      </c>
      <c r="F35" s="47" t="str">
        <f>IF(COUNTA(archive!H35:CI35)=0,"",COUNTA(archive!H35:CI35))</f>
        <v/>
      </c>
      <c r="G35" s="47" t="str">
        <f>IF(archive!G35="","",archive!G35)</f>
        <v/>
      </c>
      <c r="H35" s="51" t="str">
        <f>IF(archive!CJ35="","",archive!CJ35)</f>
        <v/>
      </c>
      <c r="I35" s="51" t="str">
        <f>IF(archive!CK35="","",archive!CK35)</f>
        <v/>
      </c>
      <c r="J35" s="47" t="str">
        <f t="shared" si="3"/>
        <v/>
      </c>
      <c r="K35" s="51" t="str">
        <f t="shared" si="4"/>
        <v/>
      </c>
      <c r="L35" s="52" t="str">
        <f t="shared" si="5"/>
        <v/>
      </c>
      <c r="M35" s="53" t="str">
        <f t="shared" si="6"/>
        <v/>
      </c>
      <c r="N35" s="53" t="str">
        <f t="shared" si="7"/>
        <v/>
      </c>
      <c r="O35" s="53" t="str">
        <f t="shared" si="8"/>
        <v/>
      </c>
      <c r="P35" s="53" t="str">
        <f t="shared" si="9"/>
        <v/>
      </c>
      <c r="Q35" s="53" t="str">
        <f t="shared" si="10"/>
        <v/>
      </c>
      <c r="R35" s="53" t="str">
        <f t="shared" si="11"/>
        <v/>
      </c>
      <c r="S35" s="53" t="str">
        <f t="shared" si="12"/>
        <v/>
      </c>
      <c r="T35" s="53" t="str">
        <f t="shared" si="13"/>
        <v/>
      </c>
    </row>
    <row r="36" spans="1:20">
      <c r="A36" s="47" t="str">
        <f>IF(archive!E36="","",archive!E36)</f>
        <v/>
      </c>
      <c r="B36" s="48" t="str">
        <f t="shared" si="0"/>
        <v/>
      </c>
      <c r="C36" s="49" t="str">
        <f>IF(archive!F36="","",archive!F36)</f>
        <v/>
      </c>
      <c r="D36" s="50" t="str">
        <f t="shared" si="1"/>
        <v/>
      </c>
      <c r="E36" s="50" t="str">
        <f t="shared" si="2"/>
        <v/>
      </c>
      <c r="F36" s="47" t="str">
        <f>IF(COUNTA(archive!H36:CI36)=0,"",COUNTA(archive!H36:CI36))</f>
        <v/>
      </c>
      <c r="G36" s="47" t="str">
        <f>IF(archive!G36="","",archive!G36)</f>
        <v/>
      </c>
      <c r="H36" s="51" t="str">
        <f>IF(archive!CJ36="","",archive!CJ36)</f>
        <v/>
      </c>
      <c r="I36" s="51" t="str">
        <f>IF(archive!CK36="","",archive!CK36)</f>
        <v/>
      </c>
      <c r="J36" s="47" t="str">
        <f t="shared" si="3"/>
        <v/>
      </c>
      <c r="K36" s="51" t="str">
        <f t="shared" si="4"/>
        <v/>
      </c>
      <c r="L36" s="52" t="str">
        <f t="shared" si="5"/>
        <v/>
      </c>
      <c r="M36" s="53" t="str">
        <f t="shared" si="6"/>
        <v/>
      </c>
      <c r="N36" s="53" t="str">
        <f t="shared" si="7"/>
        <v/>
      </c>
      <c r="O36" s="53" t="str">
        <f t="shared" si="8"/>
        <v/>
      </c>
      <c r="P36" s="53" t="str">
        <f t="shared" si="9"/>
        <v/>
      </c>
      <c r="Q36" s="53" t="str">
        <f t="shared" si="10"/>
        <v/>
      </c>
      <c r="R36" s="53" t="str">
        <f t="shared" si="11"/>
        <v/>
      </c>
      <c r="S36" s="53" t="str">
        <f t="shared" si="12"/>
        <v/>
      </c>
      <c r="T36" s="53" t="str">
        <f t="shared" si="13"/>
        <v/>
      </c>
    </row>
    <row r="37" spans="1:20">
      <c r="A37" s="47" t="str">
        <f>IF(archive!E37="","",archive!E37)</f>
        <v/>
      </c>
      <c r="B37" s="48" t="str">
        <f t="shared" si="0"/>
        <v/>
      </c>
      <c r="C37" s="49" t="str">
        <f>IF(archive!F37="","",archive!F37)</f>
        <v/>
      </c>
      <c r="D37" s="50" t="str">
        <f t="shared" si="1"/>
        <v/>
      </c>
      <c r="E37" s="50" t="str">
        <f t="shared" si="2"/>
        <v/>
      </c>
      <c r="F37" s="47" t="str">
        <f>IF(COUNTA(archive!H37:CI37)=0,"",COUNTA(archive!H37:CI37))</f>
        <v/>
      </c>
      <c r="G37" s="47" t="str">
        <f>IF(archive!G37="","",archive!G37)</f>
        <v/>
      </c>
      <c r="H37" s="51" t="str">
        <f>IF(archive!CJ37="","",archive!CJ37)</f>
        <v/>
      </c>
      <c r="I37" s="51" t="str">
        <f>IF(archive!CK37="","",archive!CK37)</f>
        <v/>
      </c>
      <c r="J37" s="47" t="str">
        <f t="shared" si="3"/>
        <v/>
      </c>
      <c r="K37" s="51" t="str">
        <f t="shared" si="4"/>
        <v/>
      </c>
      <c r="L37" s="52" t="str">
        <f t="shared" si="5"/>
        <v/>
      </c>
      <c r="M37" s="53" t="str">
        <f t="shared" si="6"/>
        <v/>
      </c>
      <c r="N37" s="53" t="str">
        <f t="shared" si="7"/>
        <v/>
      </c>
      <c r="O37" s="53" t="str">
        <f t="shared" si="8"/>
        <v/>
      </c>
      <c r="P37" s="53" t="str">
        <f t="shared" si="9"/>
        <v/>
      </c>
      <c r="Q37" s="53" t="str">
        <f t="shared" si="10"/>
        <v/>
      </c>
      <c r="R37" s="53" t="str">
        <f t="shared" si="11"/>
        <v/>
      </c>
      <c r="S37" s="53" t="str">
        <f t="shared" si="12"/>
        <v/>
      </c>
      <c r="T37" s="53" t="str">
        <f t="shared" si="13"/>
        <v/>
      </c>
    </row>
    <row r="38" spans="1:20">
      <c r="A38" s="47" t="str">
        <f>IF(archive!E38="","",archive!E38)</f>
        <v/>
      </c>
      <c r="B38" s="48" t="str">
        <f t="shared" si="0"/>
        <v/>
      </c>
      <c r="C38" s="49" t="str">
        <f>IF(archive!F38="","",archive!F38)</f>
        <v/>
      </c>
      <c r="D38" s="50" t="str">
        <f t="shared" si="1"/>
        <v/>
      </c>
      <c r="E38" s="50" t="str">
        <f t="shared" si="2"/>
        <v/>
      </c>
      <c r="F38" s="47" t="str">
        <f>IF(COUNTA(archive!H38:CI38)=0,"",COUNTA(archive!H38:CI38))</f>
        <v/>
      </c>
      <c r="G38" s="47" t="str">
        <f>IF(archive!G38="","",archive!G38)</f>
        <v/>
      </c>
      <c r="H38" s="51" t="str">
        <f>IF(archive!CJ38="","",archive!CJ38)</f>
        <v/>
      </c>
      <c r="I38" s="51" t="str">
        <f>IF(archive!CK38="","",archive!CK38)</f>
        <v/>
      </c>
      <c r="J38" s="47" t="str">
        <f t="shared" si="3"/>
        <v/>
      </c>
      <c r="K38" s="51" t="str">
        <f t="shared" si="4"/>
        <v/>
      </c>
      <c r="L38" s="52" t="str">
        <f t="shared" si="5"/>
        <v/>
      </c>
      <c r="M38" s="53" t="str">
        <f t="shared" si="6"/>
        <v/>
      </c>
      <c r="N38" s="53" t="str">
        <f t="shared" si="7"/>
        <v/>
      </c>
      <c r="O38" s="53" t="str">
        <f t="shared" si="8"/>
        <v/>
      </c>
      <c r="P38" s="53" t="str">
        <f t="shared" si="9"/>
        <v/>
      </c>
      <c r="Q38" s="53" t="str">
        <f t="shared" si="10"/>
        <v/>
      </c>
      <c r="R38" s="53" t="str">
        <f t="shared" si="11"/>
        <v/>
      </c>
      <c r="S38" s="53" t="str">
        <f t="shared" si="12"/>
        <v/>
      </c>
      <c r="T38" s="53" t="str">
        <f t="shared" si="13"/>
        <v/>
      </c>
    </row>
    <row r="39" spans="1:20">
      <c r="A39" s="47" t="str">
        <f>IF(archive!E39="","",archive!E39)</f>
        <v/>
      </c>
      <c r="B39" s="48" t="str">
        <f t="shared" si="0"/>
        <v/>
      </c>
      <c r="C39" s="49" t="str">
        <f>IF(archive!F39="","",archive!F39)</f>
        <v/>
      </c>
      <c r="D39" s="50" t="str">
        <f t="shared" si="1"/>
        <v/>
      </c>
      <c r="E39" s="50" t="str">
        <f t="shared" si="2"/>
        <v/>
      </c>
      <c r="F39" s="47" t="str">
        <f>IF(COUNTA(archive!H39:CI39)=0,"",COUNTA(archive!H39:CI39))</f>
        <v/>
      </c>
      <c r="G39" s="47" t="str">
        <f>IF(archive!G39="","",archive!G39)</f>
        <v/>
      </c>
      <c r="H39" s="51" t="str">
        <f>IF(archive!CJ39="","",archive!CJ39)</f>
        <v/>
      </c>
      <c r="I39" s="51" t="str">
        <f>IF(archive!CK39="","",archive!CK39)</f>
        <v/>
      </c>
      <c r="J39" s="47" t="str">
        <f t="shared" si="3"/>
        <v/>
      </c>
      <c r="K39" s="51" t="str">
        <f t="shared" si="4"/>
        <v/>
      </c>
      <c r="L39" s="52" t="str">
        <f t="shared" si="5"/>
        <v/>
      </c>
      <c r="M39" s="53" t="str">
        <f t="shared" si="6"/>
        <v/>
      </c>
      <c r="N39" s="53" t="str">
        <f t="shared" si="7"/>
        <v/>
      </c>
      <c r="O39" s="53" t="str">
        <f t="shared" si="8"/>
        <v/>
      </c>
      <c r="P39" s="53" t="str">
        <f t="shared" si="9"/>
        <v/>
      </c>
      <c r="Q39" s="53" t="str">
        <f t="shared" si="10"/>
        <v/>
      </c>
      <c r="R39" s="53" t="str">
        <f t="shared" si="11"/>
        <v/>
      </c>
      <c r="S39" s="53" t="str">
        <f t="shared" si="12"/>
        <v/>
      </c>
      <c r="T39" s="53" t="str">
        <f t="shared" si="13"/>
        <v/>
      </c>
    </row>
    <row r="40" spans="1:20">
      <c r="A40" s="47" t="str">
        <f>IF(archive!E40="","",archive!E40)</f>
        <v/>
      </c>
      <c r="B40" s="48" t="str">
        <f t="shared" si="0"/>
        <v/>
      </c>
      <c r="C40" s="49" t="str">
        <f>IF(archive!F40="","",archive!F40)</f>
        <v/>
      </c>
      <c r="D40" s="50" t="str">
        <f t="shared" si="1"/>
        <v/>
      </c>
      <c r="E40" s="50" t="str">
        <f t="shared" si="2"/>
        <v/>
      </c>
      <c r="F40" s="47" t="str">
        <f>IF(COUNTA(archive!H40:CI40)=0,"",COUNTA(archive!H40:CI40))</f>
        <v/>
      </c>
      <c r="G40" s="47" t="str">
        <f>IF(archive!G40="","",archive!G40)</f>
        <v/>
      </c>
      <c r="H40" s="51" t="str">
        <f>IF(archive!CJ40="","",archive!CJ40)</f>
        <v/>
      </c>
      <c r="I40" s="51" t="str">
        <f>IF(archive!CK40="","",archive!CK40)</f>
        <v/>
      </c>
      <c r="J40" s="47" t="str">
        <f t="shared" si="3"/>
        <v/>
      </c>
      <c r="K40" s="51" t="str">
        <f t="shared" si="4"/>
        <v/>
      </c>
      <c r="L40" s="52" t="str">
        <f t="shared" si="5"/>
        <v/>
      </c>
      <c r="M40" s="53" t="str">
        <f t="shared" si="6"/>
        <v/>
      </c>
      <c r="N40" s="53" t="str">
        <f t="shared" si="7"/>
        <v/>
      </c>
      <c r="O40" s="53" t="str">
        <f t="shared" si="8"/>
        <v/>
      </c>
      <c r="P40" s="53" t="str">
        <f t="shared" si="9"/>
        <v/>
      </c>
      <c r="Q40" s="53" t="str">
        <f t="shared" si="10"/>
        <v/>
      </c>
      <c r="R40" s="53" t="str">
        <f t="shared" si="11"/>
        <v/>
      </c>
      <c r="S40" s="53" t="str">
        <f t="shared" si="12"/>
        <v/>
      </c>
      <c r="T40" s="53" t="str">
        <f t="shared" si="13"/>
        <v/>
      </c>
    </row>
    <row r="41" spans="1:20">
      <c r="A41" s="47" t="str">
        <f>IF(archive!E41="","",archive!E41)</f>
        <v/>
      </c>
      <c r="B41" s="48" t="str">
        <f t="shared" si="0"/>
        <v/>
      </c>
      <c r="C41" s="49" t="str">
        <f>IF(archive!F41="","",archive!F41)</f>
        <v/>
      </c>
      <c r="D41" s="50" t="str">
        <f t="shared" si="1"/>
        <v/>
      </c>
      <c r="E41" s="50" t="str">
        <f t="shared" si="2"/>
        <v/>
      </c>
      <c r="F41" s="47" t="str">
        <f>IF(COUNTA(archive!H41:CI41)=0,"",COUNTA(archive!H41:CI41))</f>
        <v/>
      </c>
      <c r="G41" s="47" t="str">
        <f>IF(archive!G41="","",archive!G41)</f>
        <v/>
      </c>
      <c r="H41" s="51" t="str">
        <f>IF(archive!CJ41="","",archive!CJ41)</f>
        <v/>
      </c>
      <c r="I41" s="51" t="str">
        <f>IF(archive!CK41="","",archive!CK41)</f>
        <v/>
      </c>
      <c r="J41" s="47" t="str">
        <f t="shared" si="3"/>
        <v/>
      </c>
      <c r="K41" s="51" t="str">
        <f t="shared" si="4"/>
        <v/>
      </c>
      <c r="L41" s="52" t="str">
        <f t="shared" si="5"/>
        <v/>
      </c>
      <c r="M41" s="53" t="str">
        <f t="shared" si="6"/>
        <v/>
      </c>
      <c r="N41" s="53" t="str">
        <f t="shared" si="7"/>
        <v/>
      </c>
      <c r="O41" s="53" t="str">
        <f t="shared" si="8"/>
        <v/>
      </c>
      <c r="P41" s="53" t="str">
        <f t="shared" si="9"/>
        <v/>
      </c>
      <c r="Q41" s="53" t="str">
        <f t="shared" si="10"/>
        <v/>
      </c>
      <c r="R41" s="53" t="str">
        <f t="shared" si="11"/>
        <v/>
      </c>
      <c r="S41" s="53" t="str">
        <f t="shared" si="12"/>
        <v/>
      </c>
      <c r="T41" s="53" t="str">
        <f t="shared" si="13"/>
        <v/>
      </c>
    </row>
    <row r="42" spans="1:20">
      <c r="A42" s="47" t="str">
        <f>IF(archive!E42="","",archive!E42)</f>
        <v/>
      </c>
      <c r="B42" s="48" t="str">
        <f t="shared" si="0"/>
        <v/>
      </c>
      <c r="C42" s="49" t="str">
        <f>IF(archive!F42="","",archive!F42)</f>
        <v/>
      </c>
      <c r="D42" s="50" t="str">
        <f t="shared" si="1"/>
        <v/>
      </c>
      <c r="E42" s="50" t="str">
        <f t="shared" si="2"/>
        <v/>
      </c>
      <c r="F42" s="47" t="str">
        <f>IF(COUNTA(archive!H42:CI42)=0,"",COUNTA(archive!H42:CI42))</f>
        <v/>
      </c>
      <c r="G42" s="47" t="str">
        <f>IF(archive!G42="","",archive!G42)</f>
        <v/>
      </c>
      <c r="H42" s="51" t="str">
        <f>IF(archive!CJ42="","",archive!CJ42)</f>
        <v/>
      </c>
      <c r="I42" s="51" t="str">
        <f>IF(archive!CK42="","",archive!CK42)</f>
        <v/>
      </c>
      <c r="J42" s="47" t="str">
        <f t="shared" si="3"/>
        <v/>
      </c>
      <c r="K42" s="51" t="str">
        <f t="shared" si="4"/>
        <v/>
      </c>
      <c r="L42" s="52" t="str">
        <f t="shared" si="5"/>
        <v/>
      </c>
      <c r="M42" s="53" t="str">
        <f t="shared" si="6"/>
        <v/>
      </c>
      <c r="N42" s="53" t="str">
        <f t="shared" si="7"/>
        <v/>
      </c>
      <c r="O42" s="53" t="str">
        <f t="shared" si="8"/>
        <v/>
      </c>
      <c r="P42" s="53" t="str">
        <f t="shared" si="9"/>
        <v/>
      </c>
      <c r="Q42" s="53" t="str">
        <f t="shared" si="10"/>
        <v/>
      </c>
      <c r="R42" s="53" t="str">
        <f t="shared" si="11"/>
        <v/>
      </c>
      <c r="S42" s="53" t="str">
        <f t="shared" si="12"/>
        <v/>
      </c>
      <c r="T42" s="53" t="str">
        <f t="shared" si="13"/>
        <v/>
      </c>
    </row>
    <row r="43" spans="1:20">
      <c r="A43" s="47" t="str">
        <f>IF(archive!E43="","",archive!E43)</f>
        <v/>
      </c>
      <c r="B43" s="48" t="str">
        <f t="shared" si="0"/>
        <v/>
      </c>
      <c r="C43" s="49" t="str">
        <f>IF(archive!F43="","",archive!F43)</f>
        <v/>
      </c>
      <c r="D43" s="50" t="str">
        <f t="shared" si="1"/>
        <v/>
      </c>
      <c r="E43" s="50" t="str">
        <f t="shared" si="2"/>
        <v/>
      </c>
      <c r="F43" s="47" t="str">
        <f>IF(COUNTA(archive!H43:CI43)=0,"",COUNTA(archive!H43:CI43))</f>
        <v/>
      </c>
      <c r="G43" s="47" t="str">
        <f>IF(archive!G43="","",archive!G43)</f>
        <v/>
      </c>
      <c r="H43" s="51" t="str">
        <f>IF(archive!CJ43="","",archive!CJ43)</f>
        <v/>
      </c>
      <c r="I43" s="51" t="str">
        <f>IF(archive!CK43="","",archive!CK43)</f>
        <v/>
      </c>
      <c r="J43" s="47" t="str">
        <f t="shared" si="3"/>
        <v/>
      </c>
      <c r="K43" s="51" t="str">
        <f t="shared" si="4"/>
        <v/>
      </c>
      <c r="L43" s="52" t="str">
        <f t="shared" si="5"/>
        <v/>
      </c>
      <c r="M43" s="53" t="str">
        <f t="shared" si="6"/>
        <v/>
      </c>
      <c r="N43" s="53" t="str">
        <f t="shared" si="7"/>
        <v/>
      </c>
      <c r="O43" s="53" t="str">
        <f t="shared" si="8"/>
        <v/>
      </c>
      <c r="P43" s="53" t="str">
        <f t="shared" si="9"/>
        <v/>
      </c>
      <c r="Q43" s="53" t="str">
        <f t="shared" si="10"/>
        <v/>
      </c>
      <c r="R43" s="53" t="str">
        <f t="shared" si="11"/>
        <v/>
      </c>
      <c r="S43" s="53" t="str">
        <f t="shared" si="12"/>
        <v/>
      </c>
      <c r="T43" s="53" t="str">
        <f t="shared" si="13"/>
        <v/>
      </c>
    </row>
    <row r="44" spans="1:20">
      <c r="A44" s="47" t="str">
        <f>IF(archive!E44="","",archive!E44)</f>
        <v/>
      </c>
      <c r="B44" s="48" t="str">
        <f t="shared" si="0"/>
        <v/>
      </c>
      <c r="C44" s="49" t="str">
        <f>IF(archive!F44="","",archive!F44)</f>
        <v/>
      </c>
      <c r="D44" s="50" t="str">
        <f t="shared" si="1"/>
        <v/>
      </c>
      <c r="E44" s="50" t="str">
        <f t="shared" si="2"/>
        <v/>
      </c>
      <c r="F44" s="47" t="str">
        <f>IF(COUNTA(archive!H44:CI44)=0,"",COUNTA(archive!H44:CI44))</f>
        <v/>
      </c>
      <c r="G44" s="47" t="str">
        <f>IF(archive!G44="","",archive!G44)</f>
        <v/>
      </c>
      <c r="H44" s="51" t="str">
        <f>IF(archive!CJ44="","",archive!CJ44)</f>
        <v/>
      </c>
      <c r="I44" s="51" t="str">
        <f>IF(archive!CK44="","",archive!CK44)</f>
        <v/>
      </c>
      <c r="J44" s="47" t="str">
        <f t="shared" si="3"/>
        <v/>
      </c>
      <c r="K44" s="51" t="str">
        <f t="shared" si="4"/>
        <v/>
      </c>
      <c r="L44" s="52" t="str">
        <f t="shared" si="5"/>
        <v/>
      </c>
      <c r="M44" s="53" t="str">
        <f t="shared" si="6"/>
        <v/>
      </c>
      <c r="N44" s="53" t="str">
        <f t="shared" si="7"/>
        <v/>
      </c>
      <c r="O44" s="53" t="str">
        <f t="shared" si="8"/>
        <v/>
      </c>
      <c r="P44" s="53" t="str">
        <f t="shared" si="9"/>
        <v/>
      </c>
      <c r="Q44" s="53" t="str">
        <f t="shared" si="10"/>
        <v/>
      </c>
      <c r="R44" s="53" t="str">
        <f t="shared" si="11"/>
        <v/>
      </c>
      <c r="S44" s="53" t="str">
        <f t="shared" si="12"/>
        <v/>
      </c>
      <c r="T44" s="53" t="str">
        <f t="shared" si="13"/>
        <v/>
      </c>
    </row>
    <row r="45" spans="1:20">
      <c r="A45" s="47" t="str">
        <f>IF(archive!E45="","",archive!E45)</f>
        <v/>
      </c>
      <c r="B45" s="48" t="str">
        <f t="shared" si="0"/>
        <v/>
      </c>
      <c r="C45" s="49" t="str">
        <f>IF(archive!F45="","",archive!F45)</f>
        <v/>
      </c>
      <c r="D45" s="50" t="str">
        <f t="shared" si="1"/>
        <v/>
      </c>
      <c r="E45" s="50" t="str">
        <f t="shared" si="2"/>
        <v/>
      </c>
      <c r="F45" s="47" t="str">
        <f>IF(COUNTA(archive!H45:CI45)=0,"",COUNTA(archive!H45:CI45))</f>
        <v/>
      </c>
      <c r="G45" s="47" t="str">
        <f>IF(archive!G45="","",archive!G45)</f>
        <v/>
      </c>
      <c r="H45" s="51" t="str">
        <f>IF(archive!CJ45="","",archive!CJ45)</f>
        <v/>
      </c>
      <c r="I45" s="51" t="str">
        <f>IF(archive!CK45="","",archive!CK45)</f>
        <v/>
      </c>
      <c r="J45" s="47" t="str">
        <f t="shared" si="3"/>
        <v/>
      </c>
      <c r="K45" s="51" t="str">
        <f t="shared" si="4"/>
        <v/>
      </c>
      <c r="L45" s="52" t="str">
        <f t="shared" si="5"/>
        <v/>
      </c>
      <c r="M45" s="53" t="str">
        <f t="shared" si="6"/>
        <v/>
      </c>
      <c r="N45" s="53" t="str">
        <f t="shared" si="7"/>
        <v/>
      </c>
      <c r="O45" s="53" t="str">
        <f t="shared" si="8"/>
        <v/>
      </c>
      <c r="P45" s="53" t="str">
        <f t="shared" si="9"/>
        <v/>
      </c>
      <c r="Q45" s="53" t="str">
        <f t="shared" si="10"/>
        <v/>
      </c>
      <c r="R45" s="53" t="str">
        <f t="shared" si="11"/>
        <v/>
      </c>
      <c r="S45" s="53" t="str">
        <f t="shared" si="12"/>
        <v/>
      </c>
      <c r="T45" s="53" t="str">
        <f t="shared" si="13"/>
        <v/>
      </c>
    </row>
    <row r="46" spans="1:20">
      <c r="A46" s="47" t="str">
        <f>IF(archive!E46="","",archive!E46)</f>
        <v/>
      </c>
      <c r="B46" s="48" t="str">
        <f t="shared" si="0"/>
        <v/>
      </c>
      <c r="C46" s="49" t="str">
        <f>IF(archive!F46="","",archive!F46)</f>
        <v/>
      </c>
      <c r="D46" s="50" t="str">
        <f t="shared" si="1"/>
        <v/>
      </c>
      <c r="E46" s="50" t="str">
        <f t="shared" si="2"/>
        <v/>
      </c>
      <c r="F46" s="47" t="str">
        <f>IF(COUNTA(archive!H46:CI46)=0,"",COUNTA(archive!H46:CI46))</f>
        <v/>
      </c>
      <c r="G46" s="47" t="str">
        <f>IF(archive!G46="","",archive!G46)</f>
        <v/>
      </c>
      <c r="H46" s="51" t="str">
        <f>IF(archive!CJ46="","",archive!CJ46)</f>
        <v/>
      </c>
      <c r="I46" s="51" t="str">
        <f>IF(archive!CK46="","",archive!CK46)</f>
        <v/>
      </c>
      <c r="J46" s="47" t="str">
        <f t="shared" si="3"/>
        <v/>
      </c>
      <c r="K46" s="51" t="str">
        <f t="shared" si="4"/>
        <v/>
      </c>
      <c r="L46" s="52" t="str">
        <f t="shared" si="5"/>
        <v/>
      </c>
      <c r="M46" s="53" t="str">
        <f t="shared" si="6"/>
        <v/>
      </c>
      <c r="N46" s="53" t="str">
        <f t="shared" si="7"/>
        <v/>
      </c>
      <c r="O46" s="53" t="str">
        <f t="shared" si="8"/>
        <v/>
      </c>
      <c r="P46" s="53" t="str">
        <f t="shared" si="9"/>
        <v/>
      </c>
      <c r="Q46" s="53" t="str">
        <f t="shared" si="10"/>
        <v/>
      </c>
      <c r="R46" s="53" t="str">
        <f t="shared" si="11"/>
        <v/>
      </c>
      <c r="S46" s="53" t="str">
        <f t="shared" si="12"/>
        <v/>
      </c>
      <c r="T46" s="53" t="str">
        <f t="shared" si="13"/>
        <v/>
      </c>
    </row>
    <row r="47" spans="1:20">
      <c r="A47" s="47" t="str">
        <f>IF(archive!E47="","",archive!E47)</f>
        <v/>
      </c>
      <c r="B47" s="48" t="str">
        <f t="shared" si="0"/>
        <v/>
      </c>
      <c r="C47" s="49" t="str">
        <f>IF(archive!F47="","",archive!F47)</f>
        <v/>
      </c>
      <c r="D47" s="50" t="str">
        <f t="shared" si="1"/>
        <v/>
      </c>
      <c r="E47" s="50" t="str">
        <f t="shared" si="2"/>
        <v/>
      </c>
      <c r="F47" s="47" t="str">
        <f>IF(COUNTA(archive!H47:CI47)=0,"",COUNTA(archive!H47:CI47))</f>
        <v/>
      </c>
      <c r="G47" s="47" t="str">
        <f>IF(archive!G47="","",archive!G47)</f>
        <v/>
      </c>
      <c r="H47" s="51" t="str">
        <f>IF(archive!CJ47="","",archive!CJ47)</f>
        <v/>
      </c>
      <c r="I47" s="51" t="str">
        <f>IF(archive!CK47="","",archive!CK47)</f>
        <v/>
      </c>
      <c r="J47" s="47" t="str">
        <f t="shared" si="3"/>
        <v/>
      </c>
      <c r="K47" s="51" t="str">
        <f t="shared" si="4"/>
        <v/>
      </c>
      <c r="L47" s="52" t="str">
        <f t="shared" si="5"/>
        <v/>
      </c>
      <c r="M47" s="53" t="str">
        <f t="shared" si="6"/>
        <v/>
      </c>
      <c r="N47" s="53" t="str">
        <f t="shared" si="7"/>
        <v/>
      </c>
      <c r="O47" s="53" t="str">
        <f t="shared" si="8"/>
        <v/>
      </c>
      <c r="P47" s="53" t="str">
        <f t="shared" si="9"/>
        <v/>
      </c>
      <c r="Q47" s="53" t="str">
        <f t="shared" si="10"/>
        <v/>
      </c>
      <c r="R47" s="53" t="str">
        <f t="shared" si="11"/>
        <v/>
      </c>
      <c r="S47" s="53" t="str">
        <f t="shared" si="12"/>
        <v/>
      </c>
      <c r="T47" s="53" t="str">
        <f t="shared" si="13"/>
        <v/>
      </c>
    </row>
    <row r="48" spans="1:20">
      <c r="A48" s="47" t="str">
        <f>IF(archive!E48="","",archive!E48)</f>
        <v/>
      </c>
      <c r="B48" s="48" t="str">
        <f t="shared" si="0"/>
        <v/>
      </c>
      <c r="C48" s="49" t="str">
        <f>IF(archive!F48="","",archive!F48)</f>
        <v/>
      </c>
      <c r="D48" s="50" t="str">
        <f t="shared" si="1"/>
        <v/>
      </c>
      <c r="E48" s="50" t="str">
        <f t="shared" si="2"/>
        <v/>
      </c>
      <c r="F48" s="47" t="str">
        <f>IF(COUNTA(archive!H48:CI48)=0,"",COUNTA(archive!H48:CI48))</f>
        <v/>
      </c>
      <c r="G48" s="47" t="str">
        <f>IF(archive!G48="","",archive!G48)</f>
        <v/>
      </c>
      <c r="H48" s="51" t="str">
        <f>IF(archive!CJ48="","",archive!CJ48)</f>
        <v/>
      </c>
      <c r="I48" s="51" t="str">
        <f>IF(archive!CK48="","",archive!CK48)</f>
        <v/>
      </c>
      <c r="J48" s="47" t="str">
        <f t="shared" si="3"/>
        <v/>
      </c>
      <c r="K48" s="51" t="str">
        <f t="shared" si="4"/>
        <v/>
      </c>
      <c r="L48" s="52" t="str">
        <f t="shared" si="5"/>
        <v/>
      </c>
      <c r="M48" s="53" t="str">
        <f t="shared" si="6"/>
        <v/>
      </c>
      <c r="N48" s="53" t="str">
        <f t="shared" si="7"/>
        <v/>
      </c>
      <c r="O48" s="53" t="str">
        <f t="shared" si="8"/>
        <v/>
      </c>
      <c r="P48" s="53" t="str">
        <f t="shared" si="9"/>
        <v/>
      </c>
      <c r="Q48" s="53" t="str">
        <f t="shared" si="10"/>
        <v/>
      </c>
      <c r="R48" s="53" t="str">
        <f t="shared" si="11"/>
        <v/>
      </c>
      <c r="S48" s="53" t="str">
        <f t="shared" si="12"/>
        <v/>
      </c>
      <c r="T48" s="53" t="str">
        <f t="shared" si="13"/>
        <v/>
      </c>
    </row>
    <row r="49" spans="1:20">
      <c r="A49" s="47" t="str">
        <f>IF(archive!E49="","",archive!E49)</f>
        <v/>
      </c>
      <c r="B49" s="48" t="str">
        <f t="shared" si="0"/>
        <v/>
      </c>
      <c r="C49" s="49" t="str">
        <f>IF(archive!F49="","",archive!F49)</f>
        <v/>
      </c>
      <c r="D49" s="50" t="str">
        <f t="shared" si="1"/>
        <v/>
      </c>
      <c r="E49" s="50" t="str">
        <f t="shared" si="2"/>
        <v/>
      </c>
      <c r="F49" s="47" t="str">
        <f>IF(COUNTA(archive!H49:CI49)=0,"",COUNTA(archive!H49:CI49))</f>
        <v/>
      </c>
      <c r="G49" s="47" t="str">
        <f>IF(archive!G49="","",archive!G49)</f>
        <v/>
      </c>
      <c r="H49" s="51" t="str">
        <f>IF(archive!CJ49="","",archive!CJ49)</f>
        <v/>
      </c>
      <c r="I49" s="51" t="str">
        <f>IF(archive!CK49="","",archive!CK49)</f>
        <v/>
      </c>
      <c r="J49" s="47" t="str">
        <f t="shared" si="3"/>
        <v/>
      </c>
      <c r="K49" s="51" t="str">
        <f t="shared" si="4"/>
        <v/>
      </c>
      <c r="L49" s="52" t="str">
        <f t="shared" si="5"/>
        <v/>
      </c>
      <c r="M49" s="53" t="str">
        <f t="shared" si="6"/>
        <v/>
      </c>
      <c r="N49" s="53" t="str">
        <f t="shared" si="7"/>
        <v/>
      </c>
      <c r="O49" s="53" t="str">
        <f t="shared" si="8"/>
        <v/>
      </c>
      <c r="P49" s="53" t="str">
        <f t="shared" si="9"/>
        <v/>
      </c>
      <c r="Q49" s="53" t="str">
        <f t="shared" si="10"/>
        <v/>
      </c>
      <c r="R49" s="53" t="str">
        <f t="shared" si="11"/>
        <v/>
      </c>
      <c r="S49" s="53" t="str">
        <f t="shared" si="12"/>
        <v/>
      </c>
      <c r="T49" s="53" t="str">
        <f t="shared" si="13"/>
        <v/>
      </c>
    </row>
    <row r="50" spans="1:20">
      <c r="A50" s="47" t="str">
        <f>IF(archive!E50="","",archive!E50)</f>
        <v/>
      </c>
      <c r="B50" s="48" t="str">
        <f t="shared" si="0"/>
        <v/>
      </c>
      <c r="C50" s="49" t="str">
        <f>IF(archive!F50="","",archive!F50)</f>
        <v/>
      </c>
      <c r="D50" s="50" t="str">
        <f t="shared" si="1"/>
        <v/>
      </c>
      <c r="E50" s="50" t="str">
        <f t="shared" si="2"/>
        <v/>
      </c>
      <c r="F50" s="47" t="str">
        <f>IF(COUNTA(archive!H50:CI50)=0,"",COUNTA(archive!H50:CI50))</f>
        <v/>
      </c>
      <c r="G50" s="47" t="str">
        <f>IF(archive!G50="","",archive!G50)</f>
        <v/>
      </c>
      <c r="H50" s="51" t="str">
        <f>IF(archive!CJ50="","",archive!CJ50)</f>
        <v/>
      </c>
      <c r="I50" s="51" t="str">
        <f>IF(archive!CK50="","",archive!CK50)</f>
        <v/>
      </c>
      <c r="J50" s="47" t="str">
        <f t="shared" si="3"/>
        <v/>
      </c>
      <c r="K50" s="51" t="str">
        <f t="shared" si="4"/>
        <v/>
      </c>
      <c r="L50" s="52" t="str">
        <f t="shared" si="5"/>
        <v/>
      </c>
      <c r="M50" s="53" t="str">
        <f t="shared" si="6"/>
        <v/>
      </c>
      <c r="N50" s="53" t="str">
        <f t="shared" si="7"/>
        <v/>
      </c>
      <c r="O50" s="53" t="str">
        <f t="shared" si="8"/>
        <v/>
      </c>
      <c r="P50" s="53" t="str">
        <f t="shared" si="9"/>
        <v/>
      </c>
      <c r="Q50" s="53" t="str">
        <f t="shared" si="10"/>
        <v/>
      </c>
      <c r="R50" s="53" t="str">
        <f t="shared" si="11"/>
        <v/>
      </c>
      <c r="S50" s="53" t="str">
        <f t="shared" si="12"/>
        <v/>
      </c>
      <c r="T50" s="53" t="str">
        <f t="shared" si="13"/>
        <v/>
      </c>
    </row>
    <row r="51" spans="1:20">
      <c r="A51" s="47" t="str">
        <f>IF(archive!E51="","",archive!E51)</f>
        <v/>
      </c>
      <c r="B51" s="48" t="str">
        <f t="shared" si="0"/>
        <v/>
      </c>
      <c r="C51" s="49" t="str">
        <f>IF(archive!F51="","",archive!F51)</f>
        <v/>
      </c>
      <c r="D51" s="50" t="str">
        <f t="shared" si="1"/>
        <v/>
      </c>
      <c r="E51" s="50" t="str">
        <f t="shared" si="2"/>
        <v/>
      </c>
      <c r="F51" s="47" t="str">
        <f>IF(COUNTA(archive!H51:CI51)=0,"",COUNTA(archive!H51:CI51))</f>
        <v/>
      </c>
      <c r="G51" s="47" t="str">
        <f>IF(archive!G51="","",archive!G51)</f>
        <v/>
      </c>
      <c r="H51" s="51" t="str">
        <f>IF(archive!CJ51="","",archive!CJ51)</f>
        <v/>
      </c>
      <c r="I51" s="51" t="str">
        <f>IF(archive!CK51="","",archive!CK51)</f>
        <v/>
      </c>
      <c r="J51" s="47" t="str">
        <f t="shared" si="3"/>
        <v/>
      </c>
      <c r="K51" s="51" t="str">
        <f t="shared" si="4"/>
        <v/>
      </c>
      <c r="L51" s="52" t="str">
        <f t="shared" si="5"/>
        <v/>
      </c>
      <c r="M51" s="53" t="str">
        <f t="shared" si="6"/>
        <v/>
      </c>
      <c r="N51" s="53" t="str">
        <f t="shared" si="7"/>
        <v/>
      </c>
      <c r="O51" s="53" t="str">
        <f t="shared" si="8"/>
        <v/>
      </c>
      <c r="P51" s="53" t="str">
        <f t="shared" si="9"/>
        <v/>
      </c>
      <c r="Q51" s="53" t="str">
        <f t="shared" si="10"/>
        <v/>
      </c>
      <c r="R51" s="53" t="str">
        <f t="shared" si="11"/>
        <v/>
      </c>
      <c r="S51" s="53" t="str">
        <f t="shared" si="12"/>
        <v/>
      </c>
      <c r="T51" s="53" t="str">
        <f t="shared" si="13"/>
        <v/>
      </c>
    </row>
    <row r="52" spans="1:20">
      <c r="A52" s="47" t="str">
        <f>IF(archive!E52="","",archive!E52)</f>
        <v/>
      </c>
      <c r="B52" s="48" t="str">
        <f t="shared" si="0"/>
        <v/>
      </c>
      <c r="C52" s="49" t="str">
        <f>IF(archive!F52="","",archive!F52)</f>
        <v/>
      </c>
      <c r="D52" s="50" t="str">
        <f t="shared" si="1"/>
        <v/>
      </c>
      <c r="E52" s="50" t="str">
        <f t="shared" si="2"/>
        <v/>
      </c>
      <c r="F52" s="47" t="str">
        <f>IF(COUNTA(archive!H52:CI52)=0,"",COUNTA(archive!H52:CI52))</f>
        <v/>
      </c>
      <c r="G52" s="47" t="str">
        <f>IF(archive!G52="","",archive!G52)</f>
        <v/>
      </c>
      <c r="H52" s="51" t="str">
        <f>IF(archive!CJ52="","",archive!CJ52)</f>
        <v/>
      </c>
      <c r="I52" s="51" t="str">
        <f>IF(archive!CK52="","",archive!CK52)</f>
        <v/>
      </c>
      <c r="J52" s="47" t="str">
        <f t="shared" si="3"/>
        <v/>
      </c>
      <c r="K52" s="51" t="str">
        <f t="shared" si="4"/>
        <v/>
      </c>
      <c r="L52" s="52" t="str">
        <f t="shared" si="5"/>
        <v/>
      </c>
      <c r="M52" s="53" t="str">
        <f t="shared" si="6"/>
        <v/>
      </c>
      <c r="N52" s="53" t="str">
        <f t="shared" si="7"/>
        <v/>
      </c>
      <c r="O52" s="53" t="str">
        <f t="shared" si="8"/>
        <v/>
      </c>
      <c r="P52" s="53" t="str">
        <f t="shared" si="9"/>
        <v/>
      </c>
      <c r="Q52" s="53" t="str">
        <f t="shared" si="10"/>
        <v/>
      </c>
      <c r="R52" s="53" t="str">
        <f t="shared" si="11"/>
        <v/>
      </c>
      <c r="S52" s="53" t="str">
        <f t="shared" si="12"/>
        <v/>
      </c>
      <c r="T52" s="53" t="str">
        <f t="shared" si="13"/>
        <v/>
      </c>
    </row>
    <row r="53" spans="1:20">
      <c r="A53" s="47" t="str">
        <f>IF(archive!E53="","",archive!E53)</f>
        <v/>
      </c>
      <c r="B53" s="48" t="str">
        <f t="shared" si="0"/>
        <v/>
      </c>
      <c r="C53" s="49" t="str">
        <f>IF(archive!F53="","",archive!F53)</f>
        <v/>
      </c>
      <c r="D53" s="50" t="str">
        <f t="shared" si="1"/>
        <v/>
      </c>
      <c r="E53" s="50" t="str">
        <f t="shared" si="2"/>
        <v/>
      </c>
      <c r="F53" s="47" t="str">
        <f>IF(COUNTA(archive!H53:CI53)=0,"",COUNTA(archive!H53:CI53))</f>
        <v/>
      </c>
      <c r="G53" s="47" t="str">
        <f>IF(archive!G53="","",archive!G53)</f>
        <v/>
      </c>
      <c r="H53" s="51" t="str">
        <f>IF(archive!CJ53="","",archive!CJ53)</f>
        <v/>
      </c>
      <c r="I53" s="51" t="str">
        <f>IF(archive!CK53="","",archive!CK53)</f>
        <v/>
      </c>
      <c r="J53" s="47" t="str">
        <f t="shared" si="3"/>
        <v/>
      </c>
      <c r="K53" s="51" t="str">
        <f t="shared" si="4"/>
        <v/>
      </c>
      <c r="L53" s="52" t="str">
        <f t="shared" si="5"/>
        <v/>
      </c>
      <c r="M53" s="53" t="str">
        <f t="shared" si="6"/>
        <v/>
      </c>
      <c r="N53" s="53" t="str">
        <f t="shared" si="7"/>
        <v/>
      </c>
      <c r="O53" s="53" t="str">
        <f t="shared" si="8"/>
        <v/>
      </c>
      <c r="P53" s="53" t="str">
        <f t="shared" si="9"/>
        <v/>
      </c>
      <c r="Q53" s="53" t="str">
        <f t="shared" si="10"/>
        <v/>
      </c>
      <c r="R53" s="53" t="str">
        <f t="shared" si="11"/>
        <v/>
      </c>
      <c r="S53" s="53" t="str">
        <f t="shared" si="12"/>
        <v/>
      </c>
      <c r="T53" s="53" t="str">
        <f t="shared" si="13"/>
        <v/>
      </c>
    </row>
    <row r="54" spans="1:20">
      <c r="A54" s="47" t="str">
        <f>IF(archive!E54="","",archive!E54)</f>
        <v/>
      </c>
      <c r="B54" s="48" t="str">
        <f t="shared" si="0"/>
        <v/>
      </c>
      <c r="C54" s="49" t="str">
        <f>IF(archive!F54="","",archive!F54)</f>
        <v/>
      </c>
      <c r="D54" s="50" t="str">
        <f t="shared" si="1"/>
        <v/>
      </c>
      <c r="E54" s="50" t="str">
        <f t="shared" si="2"/>
        <v/>
      </c>
      <c r="F54" s="47" t="str">
        <f>IF(COUNTA(archive!H54:CI54)=0,"",COUNTA(archive!H54:CI54))</f>
        <v/>
      </c>
      <c r="G54" s="47" t="str">
        <f>IF(archive!G54="","",archive!G54)</f>
        <v/>
      </c>
      <c r="H54" s="51" t="str">
        <f>IF(archive!CJ54="","",archive!CJ54)</f>
        <v/>
      </c>
      <c r="I54" s="51" t="str">
        <f>IF(archive!CK54="","",archive!CK54)</f>
        <v/>
      </c>
      <c r="J54" s="47" t="str">
        <f t="shared" si="3"/>
        <v/>
      </c>
      <c r="K54" s="51" t="str">
        <f t="shared" si="4"/>
        <v/>
      </c>
      <c r="L54" s="52" t="str">
        <f t="shared" si="5"/>
        <v/>
      </c>
      <c r="M54" s="53" t="str">
        <f t="shared" si="6"/>
        <v/>
      </c>
      <c r="N54" s="53" t="str">
        <f t="shared" si="7"/>
        <v/>
      </c>
      <c r="O54" s="53" t="str">
        <f t="shared" si="8"/>
        <v/>
      </c>
      <c r="P54" s="53" t="str">
        <f t="shared" si="9"/>
        <v/>
      </c>
      <c r="Q54" s="53" t="str">
        <f t="shared" si="10"/>
        <v/>
      </c>
      <c r="R54" s="53" t="str">
        <f t="shared" si="11"/>
        <v/>
      </c>
      <c r="S54" s="53" t="str">
        <f t="shared" si="12"/>
        <v/>
      </c>
      <c r="T54" s="53" t="str">
        <f t="shared" si="13"/>
        <v/>
      </c>
    </row>
    <row r="55" spans="1:20">
      <c r="A55" s="47" t="str">
        <f>IF(archive!E55="","",archive!E55)</f>
        <v/>
      </c>
      <c r="B55" s="48" t="str">
        <f t="shared" si="0"/>
        <v/>
      </c>
      <c r="C55" s="49" t="str">
        <f>IF(archive!F55="","",archive!F55)</f>
        <v/>
      </c>
      <c r="D55" s="50" t="str">
        <f t="shared" si="1"/>
        <v/>
      </c>
      <c r="E55" s="50" t="str">
        <f t="shared" si="2"/>
        <v/>
      </c>
      <c r="F55" s="47" t="str">
        <f>IF(COUNTA(archive!H55:CI55)=0,"",COUNTA(archive!H55:CI55))</f>
        <v/>
      </c>
      <c r="G55" s="47" t="str">
        <f>IF(archive!G55="","",archive!G55)</f>
        <v/>
      </c>
      <c r="H55" s="51" t="str">
        <f>IF(archive!CJ55="","",archive!CJ55)</f>
        <v/>
      </c>
      <c r="I55" s="51" t="str">
        <f>IF(archive!CK55="","",archive!CK55)</f>
        <v/>
      </c>
      <c r="J55" s="47" t="str">
        <f t="shared" si="3"/>
        <v/>
      </c>
      <c r="K55" s="51" t="str">
        <f t="shared" si="4"/>
        <v/>
      </c>
      <c r="L55" s="52" t="str">
        <f t="shared" si="5"/>
        <v/>
      </c>
      <c r="M55" s="53" t="str">
        <f t="shared" si="6"/>
        <v/>
      </c>
      <c r="N55" s="53" t="str">
        <f t="shared" si="7"/>
        <v/>
      </c>
      <c r="O55" s="53" t="str">
        <f t="shared" si="8"/>
        <v/>
      </c>
      <c r="P55" s="53" t="str">
        <f t="shared" si="9"/>
        <v/>
      </c>
      <c r="Q55" s="53" t="str">
        <f t="shared" si="10"/>
        <v/>
      </c>
      <c r="R55" s="53" t="str">
        <f t="shared" si="11"/>
        <v/>
      </c>
      <c r="S55" s="53" t="str">
        <f t="shared" si="12"/>
        <v/>
      </c>
      <c r="T55" s="53" t="str">
        <f t="shared" si="13"/>
        <v/>
      </c>
    </row>
    <row r="56" spans="1:20">
      <c r="A56" s="47" t="str">
        <f>IF(archive!E56="","",archive!E56)</f>
        <v/>
      </c>
      <c r="B56" s="48" t="str">
        <f t="shared" si="0"/>
        <v/>
      </c>
      <c r="C56" s="49" t="str">
        <f>IF(archive!F56="","",archive!F56)</f>
        <v/>
      </c>
      <c r="D56" s="50" t="str">
        <f t="shared" si="1"/>
        <v/>
      </c>
      <c r="E56" s="50" t="str">
        <f t="shared" si="2"/>
        <v/>
      </c>
      <c r="F56" s="47" t="str">
        <f>IF(COUNTA(archive!H56:CI56)=0,"",COUNTA(archive!H56:CI56))</f>
        <v/>
      </c>
      <c r="G56" s="47" t="str">
        <f>IF(archive!G56="","",archive!G56)</f>
        <v/>
      </c>
      <c r="H56" s="51" t="str">
        <f>IF(archive!CJ56="","",archive!CJ56)</f>
        <v/>
      </c>
      <c r="I56" s="51" t="str">
        <f>IF(archive!CK56="","",archive!CK56)</f>
        <v/>
      </c>
      <c r="J56" s="47" t="str">
        <f t="shared" si="3"/>
        <v/>
      </c>
      <c r="K56" s="51" t="str">
        <f t="shared" si="4"/>
        <v/>
      </c>
      <c r="L56" s="52" t="str">
        <f t="shared" si="5"/>
        <v/>
      </c>
      <c r="M56" s="53" t="str">
        <f t="shared" si="6"/>
        <v/>
      </c>
      <c r="N56" s="53" t="str">
        <f t="shared" si="7"/>
        <v/>
      </c>
      <c r="O56" s="53" t="str">
        <f t="shared" si="8"/>
        <v/>
      </c>
      <c r="P56" s="53" t="str">
        <f t="shared" si="9"/>
        <v/>
      </c>
      <c r="Q56" s="53" t="str">
        <f t="shared" si="10"/>
        <v/>
      </c>
      <c r="R56" s="53" t="str">
        <f t="shared" si="11"/>
        <v/>
      </c>
      <c r="S56" s="53" t="str">
        <f t="shared" si="12"/>
        <v/>
      </c>
      <c r="T56" s="53" t="str">
        <f t="shared" si="13"/>
        <v/>
      </c>
    </row>
    <row r="57" spans="1:20">
      <c r="A57" s="47" t="str">
        <f>IF(archive!E57="","",archive!E57)</f>
        <v/>
      </c>
      <c r="B57" s="48" t="str">
        <f t="shared" si="0"/>
        <v/>
      </c>
      <c r="C57" s="49" t="str">
        <f>IF(archive!F57="","",archive!F57)</f>
        <v/>
      </c>
      <c r="D57" s="50" t="str">
        <f t="shared" si="1"/>
        <v/>
      </c>
      <c r="E57" s="50" t="str">
        <f t="shared" si="2"/>
        <v/>
      </c>
      <c r="F57" s="47" t="str">
        <f>IF(COUNTA(archive!H57:CI57)=0,"",COUNTA(archive!H57:CI57))</f>
        <v/>
      </c>
      <c r="G57" s="47" t="str">
        <f>IF(archive!G57="","",archive!G57)</f>
        <v/>
      </c>
      <c r="H57" s="51" t="str">
        <f>IF(archive!CJ57="","",archive!CJ57)</f>
        <v/>
      </c>
      <c r="I57" s="51" t="str">
        <f>IF(archive!CK57="","",archive!CK57)</f>
        <v/>
      </c>
      <c r="J57" s="47" t="str">
        <f t="shared" si="3"/>
        <v/>
      </c>
      <c r="K57" s="51" t="str">
        <f t="shared" si="4"/>
        <v/>
      </c>
      <c r="L57" s="52" t="str">
        <f t="shared" si="5"/>
        <v/>
      </c>
      <c r="M57" s="53" t="str">
        <f t="shared" si="6"/>
        <v/>
      </c>
      <c r="N57" s="53" t="str">
        <f t="shared" si="7"/>
        <v/>
      </c>
      <c r="O57" s="53" t="str">
        <f t="shared" si="8"/>
        <v/>
      </c>
      <c r="P57" s="53" t="str">
        <f t="shared" si="9"/>
        <v/>
      </c>
      <c r="Q57" s="53" t="str">
        <f t="shared" si="10"/>
        <v/>
      </c>
      <c r="R57" s="53" t="str">
        <f t="shared" si="11"/>
        <v/>
      </c>
      <c r="S57" s="53" t="str">
        <f t="shared" si="12"/>
        <v/>
      </c>
      <c r="T57" s="53" t="str">
        <f t="shared" si="13"/>
        <v/>
      </c>
    </row>
    <row r="58" spans="1:20">
      <c r="A58" s="47" t="str">
        <f>IF(archive!E58="","",archive!E58)</f>
        <v/>
      </c>
      <c r="B58" s="48" t="str">
        <f t="shared" si="0"/>
        <v/>
      </c>
      <c r="C58" s="49" t="str">
        <f>IF(archive!F58="","",archive!F58)</f>
        <v/>
      </c>
      <c r="D58" s="50" t="str">
        <f t="shared" si="1"/>
        <v/>
      </c>
      <c r="E58" s="50" t="str">
        <f t="shared" si="2"/>
        <v/>
      </c>
      <c r="F58" s="47" t="str">
        <f>IF(COUNTA(archive!H58:CI58)=0,"",COUNTA(archive!H58:CI58))</f>
        <v/>
      </c>
      <c r="G58" s="47" t="str">
        <f>IF(archive!G58="","",archive!G58)</f>
        <v/>
      </c>
      <c r="H58" s="51" t="str">
        <f>IF(archive!CJ58="","",archive!CJ58)</f>
        <v/>
      </c>
      <c r="I58" s="51" t="str">
        <f>IF(archive!CK58="","",archive!CK58)</f>
        <v/>
      </c>
      <c r="J58" s="47" t="str">
        <f t="shared" si="3"/>
        <v/>
      </c>
      <c r="K58" s="51" t="str">
        <f t="shared" si="4"/>
        <v/>
      </c>
      <c r="L58" s="52" t="str">
        <f t="shared" si="5"/>
        <v/>
      </c>
      <c r="M58" s="53" t="str">
        <f t="shared" si="6"/>
        <v/>
      </c>
      <c r="N58" s="53" t="str">
        <f t="shared" si="7"/>
        <v/>
      </c>
      <c r="O58" s="53" t="str">
        <f t="shared" si="8"/>
        <v/>
      </c>
      <c r="P58" s="53" t="str">
        <f t="shared" si="9"/>
        <v/>
      </c>
      <c r="Q58" s="53" t="str">
        <f t="shared" si="10"/>
        <v/>
      </c>
      <c r="R58" s="53" t="str">
        <f t="shared" si="11"/>
        <v/>
      </c>
      <c r="S58" s="53" t="str">
        <f t="shared" si="12"/>
        <v/>
      </c>
      <c r="T58" s="53" t="str">
        <f t="shared" si="13"/>
        <v/>
      </c>
    </row>
    <row r="59" spans="1:20">
      <c r="A59" s="47" t="str">
        <f>IF(archive!E59="","",archive!E59)</f>
        <v/>
      </c>
      <c r="B59" s="48" t="str">
        <f t="shared" si="0"/>
        <v/>
      </c>
      <c r="C59" s="49" t="str">
        <f>IF(archive!F59="","",archive!F59)</f>
        <v/>
      </c>
      <c r="D59" s="50" t="str">
        <f t="shared" si="1"/>
        <v/>
      </c>
      <c r="E59" s="50" t="str">
        <f t="shared" si="2"/>
        <v/>
      </c>
      <c r="F59" s="47" t="str">
        <f>IF(COUNTA(archive!H59:CI59)=0,"",COUNTA(archive!H59:CI59))</f>
        <v/>
      </c>
      <c r="G59" s="47" t="str">
        <f>IF(archive!G59="","",archive!G59)</f>
        <v/>
      </c>
      <c r="H59" s="51" t="str">
        <f>IF(archive!CJ59="","",archive!CJ59)</f>
        <v/>
      </c>
      <c r="I59" s="51" t="str">
        <f>IF(archive!CK59="","",archive!CK59)</f>
        <v/>
      </c>
      <c r="J59" s="47" t="str">
        <f t="shared" si="3"/>
        <v/>
      </c>
      <c r="K59" s="51" t="str">
        <f t="shared" si="4"/>
        <v/>
      </c>
      <c r="L59" s="52" t="str">
        <f t="shared" si="5"/>
        <v/>
      </c>
      <c r="M59" s="53" t="str">
        <f t="shared" si="6"/>
        <v/>
      </c>
      <c r="N59" s="53" t="str">
        <f t="shared" si="7"/>
        <v/>
      </c>
      <c r="O59" s="53" t="str">
        <f t="shared" si="8"/>
        <v/>
      </c>
      <c r="P59" s="53" t="str">
        <f t="shared" si="9"/>
        <v/>
      </c>
      <c r="Q59" s="53" t="str">
        <f t="shared" si="10"/>
        <v/>
      </c>
      <c r="R59" s="53" t="str">
        <f t="shared" si="11"/>
        <v/>
      </c>
      <c r="S59" s="53" t="str">
        <f t="shared" si="12"/>
        <v/>
      </c>
      <c r="T59" s="53" t="str">
        <f t="shared" si="13"/>
        <v/>
      </c>
    </row>
    <row r="60" spans="1:20">
      <c r="A60" s="47" t="str">
        <f>IF(archive!E60="","",archive!E60)</f>
        <v/>
      </c>
      <c r="B60" s="48" t="str">
        <f t="shared" si="0"/>
        <v/>
      </c>
      <c r="C60" s="49" t="str">
        <f>IF(archive!F60="","",archive!F60)</f>
        <v/>
      </c>
      <c r="D60" s="50" t="str">
        <f t="shared" si="1"/>
        <v/>
      </c>
      <c r="E60" s="50" t="str">
        <f t="shared" si="2"/>
        <v/>
      </c>
      <c r="F60" s="47" t="str">
        <f>IF(COUNTA(archive!H60:CI60)=0,"",COUNTA(archive!H60:CI60))</f>
        <v/>
      </c>
      <c r="G60" s="47" t="str">
        <f>IF(archive!G60="","",archive!G60)</f>
        <v/>
      </c>
      <c r="H60" s="51" t="str">
        <f>IF(archive!CJ60="","",archive!CJ60)</f>
        <v/>
      </c>
      <c r="I60" s="51" t="str">
        <f>IF(archive!CK60="","",archive!CK60)</f>
        <v/>
      </c>
      <c r="J60" s="47" t="str">
        <f t="shared" si="3"/>
        <v/>
      </c>
      <c r="K60" s="51" t="str">
        <f t="shared" si="4"/>
        <v/>
      </c>
      <c r="L60" s="52" t="str">
        <f t="shared" si="5"/>
        <v/>
      </c>
      <c r="M60" s="53" t="str">
        <f t="shared" si="6"/>
        <v/>
      </c>
      <c r="N60" s="53" t="str">
        <f t="shared" si="7"/>
        <v/>
      </c>
      <c r="O60" s="53" t="str">
        <f t="shared" si="8"/>
        <v/>
      </c>
      <c r="P60" s="53" t="str">
        <f t="shared" si="9"/>
        <v/>
      </c>
      <c r="Q60" s="53" t="str">
        <f t="shared" si="10"/>
        <v/>
      </c>
      <c r="R60" s="53" t="str">
        <f t="shared" si="11"/>
        <v/>
      </c>
      <c r="S60" s="53" t="str">
        <f t="shared" si="12"/>
        <v/>
      </c>
      <c r="T60" s="53" t="str">
        <f t="shared" si="13"/>
        <v/>
      </c>
    </row>
    <row r="61" spans="1:20">
      <c r="A61" s="47" t="str">
        <f>IF(archive!E61="","",archive!E61)</f>
        <v/>
      </c>
      <c r="B61" s="48" t="str">
        <f t="shared" si="0"/>
        <v/>
      </c>
      <c r="C61" s="49" t="str">
        <f>IF(archive!F61="","",archive!F61)</f>
        <v/>
      </c>
      <c r="D61" s="50" t="str">
        <f t="shared" si="1"/>
        <v/>
      </c>
      <c r="E61" s="50" t="str">
        <f t="shared" si="2"/>
        <v/>
      </c>
      <c r="F61" s="47" t="str">
        <f>IF(COUNTA(archive!H61:CI61)=0,"",COUNTA(archive!H61:CI61))</f>
        <v/>
      </c>
      <c r="G61" s="47" t="str">
        <f>IF(archive!G61="","",archive!G61)</f>
        <v/>
      </c>
      <c r="H61" s="51" t="str">
        <f>IF(archive!CJ61="","",archive!CJ61)</f>
        <v/>
      </c>
      <c r="I61" s="51" t="str">
        <f>IF(archive!CK61="","",archive!CK61)</f>
        <v/>
      </c>
      <c r="J61" s="47" t="str">
        <f t="shared" si="3"/>
        <v/>
      </c>
      <c r="K61" s="51" t="str">
        <f t="shared" si="4"/>
        <v/>
      </c>
      <c r="L61" s="52" t="str">
        <f t="shared" si="5"/>
        <v/>
      </c>
      <c r="M61" s="53" t="str">
        <f t="shared" si="6"/>
        <v/>
      </c>
      <c r="N61" s="53" t="str">
        <f t="shared" si="7"/>
        <v/>
      </c>
      <c r="O61" s="53" t="str">
        <f t="shared" si="8"/>
        <v/>
      </c>
      <c r="P61" s="53" t="str">
        <f t="shared" si="9"/>
        <v/>
      </c>
      <c r="Q61" s="53" t="str">
        <f t="shared" si="10"/>
        <v/>
      </c>
      <c r="R61" s="53" t="str">
        <f t="shared" si="11"/>
        <v/>
      </c>
      <c r="S61" s="53" t="str">
        <f t="shared" si="12"/>
        <v/>
      </c>
      <c r="T61" s="53" t="str">
        <f t="shared" si="13"/>
        <v/>
      </c>
    </row>
    <row r="62" spans="1:20">
      <c r="A62" s="47" t="str">
        <f>IF(archive!E62="","",archive!E62)</f>
        <v/>
      </c>
      <c r="B62" s="48" t="str">
        <f t="shared" si="0"/>
        <v/>
      </c>
      <c r="C62" s="49" t="str">
        <f>IF(archive!F62="","",archive!F62)</f>
        <v/>
      </c>
      <c r="D62" s="50" t="str">
        <f t="shared" si="1"/>
        <v/>
      </c>
      <c r="E62" s="50" t="str">
        <f t="shared" si="2"/>
        <v/>
      </c>
      <c r="F62" s="47" t="str">
        <f>IF(COUNTA(archive!H62:CI62)=0,"",COUNTA(archive!H62:CI62))</f>
        <v/>
      </c>
      <c r="G62" s="47" t="str">
        <f>IF(archive!G62="","",archive!G62)</f>
        <v/>
      </c>
      <c r="H62" s="51" t="str">
        <f>IF(archive!CJ62="","",archive!CJ62)</f>
        <v/>
      </c>
      <c r="I62" s="51" t="str">
        <f>IF(archive!CK62="","",archive!CK62)</f>
        <v/>
      </c>
      <c r="J62" s="47" t="str">
        <f t="shared" si="3"/>
        <v/>
      </c>
      <c r="K62" s="51" t="str">
        <f t="shared" si="4"/>
        <v/>
      </c>
      <c r="L62" s="52" t="str">
        <f t="shared" si="5"/>
        <v/>
      </c>
      <c r="M62" s="53" t="str">
        <f t="shared" si="6"/>
        <v/>
      </c>
      <c r="N62" s="53" t="str">
        <f t="shared" si="7"/>
        <v/>
      </c>
      <c r="O62" s="53" t="str">
        <f t="shared" si="8"/>
        <v/>
      </c>
      <c r="P62" s="53" t="str">
        <f t="shared" si="9"/>
        <v/>
      </c>
      <c r="Q62" s="53" t="str">
        <f t="shared" si="10"/>
        <v/>
      </c>
      <c r="R62" s="53" t="str">
        <f t="shared" si="11"/>
        <v/>
      </c>
      <c r="S62" s="53" t="str">
        <f t="shared" si="12"/>
        <v/>
      </c>
      <c r="T62" s="53" t="str">
        <f t="shared" si="13"/>
        <v/>
      </c>
    </row>
    <row r="63" spans="1:20">
      <c r="A63" s="47" t="str">
        <f>IF(archive!E63="","",archive!E63)</f>
        <v/>
      </c>
      <c r="B63" s="48" t="str">
        <f t="shared" si="0"/>
        <v/>
      </c>
      <c r="C63" s="49" t="str">
        <f>IF(archive!F63="","",archive!F63)</f>
        <v/>
      </c>
      <c r="D63" s="50" t="str">
        <f t="shared" si="1"/>
        <v/>
      </c>
      <c r="E63" s="50" t="str">
        <f t="shared" si="2"/>
        <v/>
      </c>
      <c r="F63" s="47" t="str">
        <f>IF(COUNTA(archive!H63:CI63)=0,"",COUNTA(archive!H63:CI63))</f>
        <v/>
      </c>
      <c r="G63" s="47" t="str">
        <f>IF(archive!G63="","",archive!G63)</f>
        <v/>
      </c>
      <c r="H63" s="51" t="str">
        <f>IF(archive!CJ63="","",archive!CJ63)</f>
        <v/>
      </c>
      <c r="I63" s="51" t="str">
        <f>IF(archive!CK63="","",archive!CK63)</f>
        <v/>
      </c>
      <c r="J63" s="47" t="str">
        <f t="shared" si="3"/>
        <v/>
      </c>
      <c r="K63" s="51" t="str">
        <f t="shared" si="4"/>
        <v/>
      </c>
      <c r="L63" s="52" t="str">
        <f t="shared" si="5"/>
        <v/>
      </c>
      <c r="M63" s="53" t="str">
        <f t="shared" si="6"/>
        <v/>
      </c>
      <c r="N63" s="53" t="str">
        <f t="shared" si="7"/>
        <v/>
      </c>
      <c r="O63" s="53" t="str">
        <f t="shared" si="8"/>
        <v/>
      </c>
      <c r="P63" s="53" t="str">
        <f t="shared" si="9"/>
        <v/>
      </c>
      <c r="Q63" s="53" t="str">
        <f t="shared" si="10"/>
        <v/>
      </c>
      <c r="R63" s="53" t="str">
        <f t="shared" si="11"/>
        <v/>
      </c>
      <c r="S63" s="53" t="str">
        <f t="shared" si="12"/>
        <v/>
      </c>
      <c r="T63" s="53" t="str">
        <f t="shared" si="13"/>
        <v/>
      </c>
    </row>
    <row r="64" spans="1:20">
      <c r="A64" s="47" t="str">
        <f>IF(archive!E64="","",archive!E64)</f>
        <v/>
      </c>
      <c r="B64" s="48" t="str">
        <f t="shared" si="0"/>
        <v/>
      </c>
      <c r="C64" s="49" t="str">
        <f>IF(archive!F64="","",archive!F64)</f>
        <v/>
      </c>
      <c r="D64" s="50" t="str">
        <f t="shared" si="1"/>
        <v/>
      </c>
      <c r="E64" s="50" t="str">
        <f t="shared" si="2"/>
        <v/>
      </c>
      <c r="F64" s="47" t="str">
        <f>IF(COUNTA(archive!H64:CI64)=0,"",COUNTA(archive!H64:CI64))</f>
        <v/>
      </c>
      <c r="G64" s="47" t="str">
        <f>IF(archive!G64="","",archive!G64)</f>
        <v/>
      </c>
      <c r="H64" s="51" t="str">
        <f>IF(archive!CJ64="","",archive!CJ64)</f>
        <v/>
      </c>
      <c r="I64" s="51" t="str">
        <f>IF(archive!CK64="","",archive!CK64)</f>
        <v/>
      </c>
      <c r="J64" s="47" t="str">
        <f t="shared" si="3"/>
        <v/>
      </c>
      <c r="K64" s="51" t="str">
        <f t="shared" si="4"/>
        <v/>
      </c>
      <c r="L64" s="52" t="str">
        <f t="shared" si="5"/>
        <v/>
      </c>
      <c r="M64" s="53" t="str">
        <f t="shared" si="6"/>
        <v/>
      </c>
      <c r="N64" s="53" t="str">
        <f t="shared" si="7"/>
        <v/>
      </c>
      <c r="O64" s="53" t="str">
        <f t="shared" si="8"/>
        <v/>
      </c>
      <c r="P64" s="53" t="str">
        <f t="shared" si="9"/>
        <v/>
      </c>
      <c r="Q64" s="53" t="str">
        <f t="shared" si="10"/>
        <v/>
      </c>
      <c r="R64" s="53" t="str">
        <f t="shared" si="11"/>
        <v/>
      </c>
      <c r="S64" s="53" t="str">
        <f t="shared" si="12"/>
        <v/>
      </c>
      <c r="T64" s="53" t="str">
        <f t="shared" si="13"/>
        <v/>
      </c>
    </row>
    <row r="65" spans="1:20">
      <c r="A65" s="47" t="str">
        <f>IF(archive!E65="","",archive!E65)</f>
        <v/>
      </c>
      <c r="B65" s="48" t="str">
        <f t="shared" si="0"/>
        <v/>
      </c>
      <c r="C65" s="49" t="str">
        <f>IF(archive!F65="","",archive!F65)</f>
        <v/>
      </c>
      <c r="D65" s="50" t="str">
        <f t="shared" si="1"/>
        <v/>
      </c>
      <c r="E65" s="50" t="str">
        <f t="shared" si="2"/>
        <v/>
      </c>
      <c r="F65" s="47" t="str">
        <f>IF(COUNTA(archive!H65:CI65)=0,"",COUNTA(archive!H65:CI65))</f>
        <v/>
      </c>
      <c r="G65" s="47" t="str">
        <f>IF(archive!G65="","",archive!G65)</f>
        <v/>
      </c>
      <c r="H65" s="51" t="str">
        <f>IF(archive!CJ65="","",archive!CJ65)</f>
        <v/>
      </c>
      <c r="I65" s="51" t="str">
        <f>IF(archive!CK65="","",archive!CK65)</f>
        <v/>
      </c>
      <c r="J65" s="47" t="str">
        <f t="shared" si="3"/>
        <v/>
      </c>
      <c r="K65" s="51" t="str">
        <f t="shared" si="4"/>
        <v/>
      </c>
      <c r="L65" s="52" t="str">
        <f t="shared" si="5"/>
        <v/>
      </c>
      <c r="M65" s="53" t="str">
        <f t="shared" si="6"/>
        <v/>
      </c>
      <c r="N65" s="53" t="str">
        <f t="shared" si="7"/>
        <v/>
      </c>
      <c r="O65" s="53" t="str">
        <f t="shared" si="8"/>
        <v/>
      </c>
      <c r="P65" s="53" t="str">
        <f t="shared" si="9"/>
        <v/>
      </c>
      <c r="Q65" s="53" t="str">
        <f t="shared" si="10"/>
        <v/>
      </c>
      <c r="R65" s="53" t="str">
        <f t="shared" si="11"/>
        <v/>
      </c>
      <c r="S65" s="53" t="str">
        <f t="shared" si="12"/>
        <v/>
      </c>
      <c r="T65" s="53" t="str">
        <f t="shared" si="13"/>
        <v/>
      </c>
    </row>
    <row r="66" spans="1:20">
      <c r="A66" s="47" t="str">
        <f>IF(archive!E66="","",archive!E66)</f>
        <v/>
      </c>
      <c r="B66" s="48" t="str">
        <f t="shared" si="0"/>
        <v/>
      </c>
      <c r="C66" s="49" t="str">
        <f>IF(archive!F66="","",archive!F66)</f>
        <v/>
      </c>
      <c r="D66" s="50" t="str">
        <f t="shared" si="1"/>
        <v/>
      </c>
      <c r="E66" s="50" t="str">
        <f t="shared" si="2"/>
        <v/>
      </c>
      <c r="F66" s="47" t="str">
        <f>IF(COUNTA(archive!H66:CI66)=0,"",COUNTA(archive!H66:CI66))</f>
        <v/>
      </c>
      <c r="G66" s="47" t="str">
        <f>IF(archive!G66="","",archive!G66)</f>
        <v/>
      </c>
      <c r="H66" s="51" t="str">
        <f>IF(archive!CJ66="","",archive!CJ66)</f>
        <v/>
      </c>
      <c r="I66" s="51" t="str">
        <f>IF(archive!CK66="","",archive!CK66)</f>
        <v/>
      </c>
      <c r="J66" s="47" t="str">
        <f t="shared" si="3"/>
        <v/>
      </c>
      <c r="K66" s="51" t="str">
        <f t="shared" si="4"/>
        <v/>
      </c>
      <c r="L66" s="52" t="str">
        <f t="shared" si="5"/>
        <v/>
      </c>
      <c r="M66" s="53" t="str">
        <f t="shared" si="6"/>
        <v/>
      </c>
      <c r="N66" s="53" t="str">
        <f t="shared" si="7"/>
        <v/>
      </c>
      <c r="O66" s="53" t="str">
        <f t="shared" si="8"/>
        <v/>
      </c>
      <c r="P66" s="53" t="str">
        <f t="shared" si="9"/>
        <v/>
      </c>
      <c r="Q66" s="53" t="str">
        <f t="shared" si="10"/>
        <v/>
      </c>
      <c r="R66" s="53" t="str">
        <f t="shared" si="11"/>
        <v/>
      </c>
      <c r="S66" s="53" t="str">
        <f t="shared" si="12"/>
        <v/>
      </c>
      <c r="T66" s="53" t="str">
        <f t="shared" si="13"/>
        <v/>
      </c>
    </row>
    <row r="67" spans="1:20">
      <c r="A67" s="47" t="str">
        <f>IF(archive!E67="","",archive!E67)</f>
        <v/>
      </c>
      <c r="B67" s="48" t="str">
        <f t="shared" si="0"/>
        <v/>
      </c>
      <c r="C67" s="49" t="str">
        <f>IF(archive!F67="","",archive!F67)</f>
        <v/>
      </c>
      <c r="D67" s="50" t="str">
        <f t="shared" si="1"/>
        <v/>
      </c>
      <c r="E67" s="50" t="str">
        <f t="shared" si="2"/>
        <v/>
      </c>
      <c r="F67" s="47" t="str">
        <f>IF(COUNTA(archive!H67:CI67)=0,"",COUNTA(archive!H67:CI67))</f>
        <v/>
      </c>
      <c r="G67" s="47" t="str">
        <f>IF(archive!G67="","",archive!G67)</f>
        <v/>
      </c>
      <c r="H67" s="51" t="str">
        <f>IF(archive!CJ67="","",archive!CJ67)</f>
        <v/>
      </c>
      <c r="I67" s="51" t="str">
        <f>IF(archive!CK67="","",archive!CK67)</f>
        <v/>
      </c>
      <c r="J67" s="47" t="str">
        <f t="shared" si="3"/>
        <v/>
      </c>
      <c r="K67" s="51" t="str">
        <f t="shared" si="4"/>
        <v/>
      </c>
      <c r="L67" s="52" t="str">
        <f t="shared" si="5"/>
        <v/>
      </c>
      <c r="M67" s="53" t="str">
        <f t="shared" si="6"/>
        <v/>
      </c>
      <c r="N67" s="53" t="str">
        <f t="shared" si="7"/>
        <v/>
      </c>
      <c r="O67" s="53" t="str">
        <f t="shared" si="8"/>
        <v/>
      </c>
      <c r="P67" s="53" t="str">
        <f t="shared" si="9"/>
        <v/>
      </c>
      <c r="Q67" s="53" t="str">
        <f t="shared" si="10"/>
        <v/>
      </c>
      <c r="R67" s="53" t="str">
        <f t="shared" si="11"/>
        <v/>
      </c>
      <c r="S67" s="53" t="str">
        <f t="shared" si="12"/>
        <v/>
      </c>
      <c r="T67" s="53" t="str">
        <f t="shared" si="13"/>
        <v/>
      </c>
    </row>
    <row r="68" spans="1:20">
      <c r="A68" s="47" t="str">
        <f>IF(archive!E68="","",archive!E68)</f>
        <v/>
      </c>
      <c r="B68" s="48" t="str">
        <f t="shared" ref="B68:B131" si="14">IF(C68="","",VLOOKUP($C68,Tare,2,0))</f>
        <v/>
      </c>
      <c r="C68" s="49" t="str">
        <f>IF(archive!F68="","",archive!F68)</f>
        <v/>
      </c>
      <c r="D68" s="50" t="str">
        <f t="shared" ref="D68:D131" si="15">IF(C68="","",C68+B68)</f>
        <v/>
      </c>
      <c r="E68" s="50" t="str">
        <f t="shared" ref="E68:E131" si="16">IF(C68="","",(C68*0.025)+D68)</f>
        <v/>
      </c>
      <c r="F68" s="47" t="str">
        <f>IF(COUNTA(archive!H68:CI68)=0,"",COUNTA(archive!H68:CI68))</f>
        <v/>
      </c>
      <c r="G68" s="47" t="str">
        <f>IF(archive!G68="","",archive!G68)</f>
        <v/>
      </c>
      <c r="H68" s="51" t="str">
        <f>IF(archive!CJ68="","",archive!CJ68)</f>
        <v/>
      </c>
      <c r="I68" s="51" t="str">
        <f>IF(archive!CK68="","",archive!CK68)</f>
        <v/>
      </c>
      <c r="J68" s="47" t="str">
        <f t="shared" ref="J68:J131" si="17">IF(F68="","",VLOOKUP(F68,Valeur_g,2,0))</f>
        <v/>
      </c>
      <c r="K68" s="51" t="str">
        <f t="shared" ref="K68:K131" si="18">IF(C68="","",D68+(J68*I68))</f>
        <v/>
      </c>
      <c r="L68" s="52" t="str">
        <f t="shared" ref="L68:L131" si="19">IF(C68="","",IF(K68&lt;H68,"Conforme","Non conforme"))</f>
        <v/>
      </c>
      <c r="M68" s="53" t="str">
        <f t="shared" ref="M68:M131" si="20">IF(C68="","",1)</f>
        <v/>
      </c>
      <c r="N68" s="53" t="str">
        <f t="shared" ref="N68:N131" si="21">IF(L68="","",COUNTIF(L68,"Non conforme"))</f>
        <v/>
      </c>
      <c r="O68" s="53" t="str">
        <f t="shared" ref="O68:O131" si="22">IF($C68="","",IF($C68=0.25,$G68,"-"))</f>
        <v/>
      </c>
      <c r="P68" s="53" t="str">
        <f t="shared" ref="P68:P131" si="23">IF($C68="","",IF($C68=0.4,$G68,"-"))</f>
        <v/>
      </c>
      <c r="Q68" s="53" t="str">
        <f t="shared" ref="Q68:Q131" si="24">IF($C68="","",IF($C68=0.5,$G68,"-"))</f>
        <v/>
      </c>
      <c r="R68" s="53" t="str">
        <f t="shared" ref="R68:R131" si="25">IF($C68="","",IF($C68=0.6,$G68,"-"))</f>
        <v/>
      </c>
      <c r="S68" s="53" t="str">
        <f t="shared" ref="S68:S131" si="26">IF($C68="","",IF($C68=0.8,$G68,"-"))</f>
        <v/>
      </c>
      <c r="T68" s="53" t="str">
        <f t="shared" ref="T68:T131" si="27">IF($C68="","",IF($C68=1,$G68,"-"))</f>
        <v/>
      </c>
    </row>
    <row r="69" spans="1:20">
      <c r="A69" s="47" t="str">
        <f>IF(archive!E69="","",archive!E69)</f>
        <v/>
      </c>
      <c r="B69" s="48" t="str">
        <f t="shared" si="14"/>
        <v/>
      </c>
      <c r="C69" s="49" t="str">
        <f>IF(archive!F69="","",archive!F69)</f>
        <v/>
      </c>
      <c r="D69" s="50" t="str">
        <f t="shared" si="15"/>
        <v/>
      </c>
      <c r="E69" s="50" t="str">
        <f t="shared" si="16"/>
        <v/>
      </c>
      <c r="F69" s="47" t="str">
        <f>IF(COUNTA(archive!H69:CI69)=0,"",COUNTA(archive!H69:CI69))</f>
        <v/>
      </c>
      <c r="G69" s="47" t="str">
        <f>IF(archive!G69="","",archive!G69)</f>
        <v/>
      </c>
      <c r="H69" s="51" t="str">
        <f>IF(archive!CJ69="","",archive!CJ69)</f>
        <v/>
      </c>
      <c r="I69" s="51" t="str">
        <f>IF(archive!CK69="","",archive!CK69)</f>
        <v/>
      </c>
      <c r="J69" s="47" t="str">
        <f t="shared" si="17"/>
        <v/>
      </c>
      <c r="K69" s="51" t="str">
        <f t="shared" si="18"/>
        <v/>
      </c>
      <c r="L69" s="52" t="str">
        <f t="shared" si="19"/>
        <v/>
      </c>
      <c r="M69" s="53" t="str">
        <f t="shared" si="20"/>
        <v/>
      </c>
      <c r="N69" s="53" t="str">
        <f t="shared" si="21"/>
        <v/>
      </c>
      <c r="O69" s="53" t="str">
        <f t="shared" si="22"/>
        <v/>
      </c>
      <c r="P69" s="53" t="str">
        <f t="shared" si="23"/>
        <v/>
      </c>
      <c r="Q69" s="53" t="str">
        <f t="shared" si="24"/>
        <v/>
      </c>
      <c r="R69" s="53" t="str">
        <f t="shared" si="25"/>
        <v/>
      </c>
      <c r="S69" s="53" t="str">
        <f t="shared" si="26"/>
        <v/>
      </c>
      <c r="T69" s="53" t="str">
        <f t="shared" si="27"/>
        <v/>
      </c>
    </row>
    <row r="70" spans="1:20">
      <c r="A70" s="47" t="str">
        <f>IF(archive!E70="","",archive!E70)</f>
        <v/>
      </c>
      <c r="B70" s="48" t="str">
        <f t="shared" si="14"/>
        <v/>
      </c>
      <c r="C70" s="49" t="str">
        <f>IF(archive!F70="","",archive!F70)</f>
        <v/>
      </c>
      <c r="D70" s="50" t="str">
        <f t="shared" si="15"/>
        <v/>
      </c>
      <c r="E70" s="50" t="str">
        <f t="shared" si="16"/>
        <v/>
      </c>
      <c r="F70" s="47" t="str">
        <f>IF(COUNTA(archive!H70:CI70)=0,"",COUNTA(archive!H70:CI70))</f>
        <v/>
      </c>
      <c r="G70" s="47" t="str">
        <f>IF(archive!G70="","",archive!G70)</f>
        <v/>
      </c>
      <c r="H70" s="51" t="str">
        <f>IF(archive!CJ70="","",archive!CJ70)</f>
        <v/>
      </c>
      <c r="I70" s="51" t="str">
        <f>IF(archive!CK70="","",archive!CK70)</f>
        <v/>
      </c>
      <c r="J70" s="47" t="str">
        <f t="shared" si="17"/>
        <v/>
      </c>
      <c r="K70" s="51" t="str">
        <f t="shared" si="18"/>
        <v/>
      </c>
      <c r="L70" s="52" t="str">
        <f t="shared" si="19"/>
        <v/>
      </c>
      <c r="M70" s="53" t="str">
        <f t="shared" si="20"/>
        <v/>
      </c>
      <c r="N70" s="53" t="str">
        <f t="shared" si="21"/>
        <v/>
      </c>
      <c r="O70" s="53" t="str">
        <f t="shared" si="22"/>
        <v/>
      </c>
      <c r="P70" s="53" t="str">
        <f t="shared" si="23"/>
        <v/>
      </c>
      <c r="Q70" s="53" t="str">
        <f t="shared" si="24"/>
        <v/>
      </c>
      <c r="R70" s="53" t="str">
        <f t="shared" si="25"/>
        <v/>
      </c>
      <c r="S70" s="53" t="str">
        <f t="shared" si="26"/>
        <v/>
      </c>
      <c r="T70" s="53" t="str">
        <f t="shared" si="27"/>
        <v/>
      </c>
    </row>
    <row r="71" spans="1:20">
      <c r="A71" s="47" t="str">
        <f>IF(archive!E71="","",archive!E71)</f>
        <v/>
      </c>
      <c r="B71" s="48" t="str">
        <f t="shared" si="14"/>
        <v/>
      </c>
      <c r="C71" s="49" t="str">
        <f>IF(archive!F71="","",archive!F71)</f>
        <v/>
      </c>
      <c r="D71" s="50" t="str">
        <f t="shared" si="15"/>
        <v/>
      </c>
      <c r="E71" s="50" t="str">
        <f t="shared" si="16"/>
        <v/>
      </c>
      <c r="F71" s="47" t="str">
        <f>IF(COUNTA(archive!H71:CI71)=0,"",COUNTA(archive!H71:CI71))</f>
        <v/>
      </c>
      <c r="G71" s="47" t="str">
        <f>IF(archive!G71="","",archive!G71)</f>
        <v/>
      </c>
      <c r="H71" s="51" t="str">
        <f>IF(archive!CJ71="","",archive!CJ71)</f>
        <v/>
      </c>
      <c r="I71" s="51" t="str">
        <f>IF(archive!CK71="","",archive!CK71)</f>
        <v/>
      </c>
      <c r="J71" s="47" t="str">
        <f t="shared" si="17"/>
        <v/>
      </c>
      <c r="K71" s="51" t="str">
        <f t="shared" si="18"/>
        <v/>
      </c>
      <c r="L71" s="52" t="str">
        <f t="shared" si="19"/>
        <v/>
      </c>
      <c r="M71" s="53" t="str">
        <f t="shared" si="20"/>
        <v/>
      </c>
      <c r="N71" s="53" t="str">
        <f t="shared" si="21"/>
        <v/>
      </c>
      <c r="O71" s="53" t="str">
        <f t="shared" si="22"/>
        <v/>
      </c>
      <c r="P71" s="53" t="str">
        <f t="shared" si="23"/>
        <v/>
      </c>
      <c r="Q71" s="53" t="str">
        <f t="shared" si="24"/>
        <v/>
      </c>
      <c r="R71" s="53" t="str">
        <f t="shared" si="25"/>
        <v/>
      </c>
      <c r="S71" s="53" t="str">
        <f t="shared" si="26"/>
        <v/>
      </c>
      <c r="T71" s="53" t="str">
        <f t="shared" si="27"/>
        <v/>
      </c>
    </row>
    <row r="72" spans="1:20">
      <c r="A72" s="47" t="str">
        <f>IF(archive!E72="","",archive!E72)</f>
        <v/>
      </c>
      <c r="B72" s="48" t="str">
        <f t="shared" si="14"/>
        <v/>
      </c>
      <c r="C72" s="49" t="str">
        <f>IF(archive!F72="","",archive!F72)</f>
        <v/>
      </c>
      <c r="D72" s="50" t="str">
        <f t="shared" si="15"/>
        <v/>
      </c>
      <c r="E72" s="50" t="str">
        <f t="shared" si="16"/>
        <v/>
      </c>
      <c r="F72" s="47" t="str">
        <f>IF(COUNTA(archive!H72:CI72)=0,"",COUNTA(archive!H72:CI72))</f>
        <v/>
      </c>
      <c r="G72" s="47" t="str">
        <f>IF(archive!G72="","",archive!G72)</f>
        <v/>
      </c>
      <c r="H72" s="51" t="str">
        <f>IF(archive!CJ72="","",archive!CJ72)</f>
        <v/>
      </c>
      <c r="I72" s="51" t="str">
        <f>IF(archive!CK72="","",archive!CK72)</f>
        <v/>
      </c>
      <c r="J72" s="47" t="str">
        <f t="shared" si="17"/>
        <v/>
      </c>
      <c r="K72" s="51" t="str">
        <f t="shared" si="18"/>
        <v/>
      </c>
      <c r="L72" s="52" t="str">
        <f t="shared" si="19"/>
        <v/>
      </c>
      <c r="M72" s="53" t="str">
        <f t="shared" si="20"/>
        <v/>
      </c>
      <c r="N72" s="53" t="str">
        <f t="shared" si="21"/>
        <v/>
      </c>
      <c r="O72" s="53" t="str">
        <f t="shared" si="22"/>
        <v/>
      </c>
      <c r="P72" s="53" t="str">
        <f t="shared" si="23"/>
        <v/>
      </c>
      <c r="Q72" s="53" t="str">
        <f t="shared" si="24"/>
        <v/>
      </c>
      <c r="R72" s="53" t="str">
        <f t="shared" si="25"/>
        <v/>
      </c>
      <c r="S72" s="53" t="str">
        <f t="shared" si="26"/>
        <v/>
      </c>
      <c r="T72" s="53" t="str">
        <f t="shared" si="27"/>
        <v/>
      </c>
    </row>
    <row r="73" spans="1:20">
      <c r="A73" s="47" t="str">
        <f>IF(archive!E73="","",archive!E73)</f>
        <v/>
      </c>
      <c r="B73" s="48" t="str">
        <f t="shared" si="14"/>
        <v/>
      </c>
      <c r="C73" s="49" t="str">
        <f>IF(archive!F73="","",archive!F73)</f>
        <v/>
      </c>
      <c r="D73" s="50" t="str">
        <f t="shared" si="15"/>
        <v/>
      </c>
      <c r="E73" s="50" t="str">
        <f t="shared" si="16"/>
        <v/>
      </c>
      <c r="F73" s="47" t="str">
        <f>IF(COUNTA(archive!H73:CI73)=0,"",COUNTA(archive!H73:CI73))</f>
        <v/>
      </c>
      <c r="G73" s="47" t="str">
        <f>IF(archive!G73="","",archive!G73)</f>
        <v/>
      </c>
      <c r="H73" s="51" t="str">
        <f>IF(archive!CJ73="","",archive!CJ73)</f>
        <v/>
      </c>
      <c r="I73" s="51" t="str">
        <f>IF(archive!CK73="","",archive!CK73)</f>
        <v/>
      </c>
      <c r="J73" s="47" t="str">
        <f t="shared" si="17"/>
        <v/>
      </c>
      <c r="K73" s="51" t="str">
        <f t="shared" si="18"/>
        <v/>
      </c>
      <c r="L73" s="52" t="str">
        <f t="shared" si="19"/>
        <v/>
      </c>
      <c r="M73" s="53" t="str">
        <f t="shared" si="20"/>
        <v/>
      </c>
      <c r="N73" s="53" t="str">
        <f t="shared" si="21"/>
        <v/>
      </c>
      <c r="O73" s="53" t="str">
        <f t="shared" si="22"/>
        <v/>
      </c>
      <c r="P73" s="53" t="str">
        <f t="shared" si="23"/>
        <v/>
      </c>
      <c r="Q73" s="53" t="str">
        <f t="shared" si="24"/>
        <v/>
      </c>
      <c r="R73" s="53" t="str">
        <f t="shared" si="25"/>
        <v/>
      </c>
      <c r="S73" s="53" t="str">
        <f t="shared" si="26"/>
        <v/>
      </c>
      <c r="T73" s="53" t="str">
        <f t="shared" si="27"/>
        <v/>
      </c>
    </row>
    <row r="74" spans="1:20">
      <c r="A74" s="47" t="str">
        <f>IF(archive!E74="","",archive!E74)</f>
        <v/>
      </c>
      <c r="B74" s="48" t="str">
        <f t="shared" si="14"/>
        <v/>
      </c>
      <c r="C74" s="49" t="str">
        <f>IF(archive!F74="","",archive!F74)</f>
        <v/>
      </c>
      <c r="D74" s="50" t="str">
        <f t="shared" si="15"/>
        <v/>
      </c>
      <c r="E74" s="50" t="str">
        <f t="shared" si="16"/>
        <v/>
      </c>
      <c r="F74" s="47" t="str">
        <f>IF(COUNTA(archive!H74:CI74)=0,"",COUNTA(archive!H74:CI74))</f>
        <v/>
      </c>
      <c r="G74" s="47" t="str">
        <f>IF(archive!G74="","",archive!G74)</f>
        <v/>
      </c>
      <c r="H74" s="51" t="str">
        <f>IF(archive!CJ74="","",archive!CJ74)</f>
        <v/>
      </c>
      <c r="I74" s="51" t="str">
        <f>IF(archive!CK74="","",archive!CK74)</f>
        <v/>
      </c>
      <c r="J74" s="47" t="str">
        <f t="shared" si="17"/>
        <v/>
      </c>
      <c r="K74" s="51" t="str">
        <f t="shared" si="18"/>
        <v/>
      </c>
      <c r="L74" s="52" t="str">
        <f t="shared" si="19"/>
        <v/>
      </c>
      <c r="M74" s="53" t="str">
        <f t="shared" si="20"/>
        <v/>
      </c>
      <c r="N74" s="53" t="str">
        <f t="shared" si="21"/>
        <v/>
      </c>
      <c r="O74" s="53" t="str">
        <f t="shared" si="22"/>
        <v/>
      </c>
      <c r="P74" s="53" t="str">
        <f t="shared" si="23"/>
        <v/>
      </c>
      <c r="Q74" s="53" t="str">
        <f t="shared" si="24"/>
        <v/>
      </c>
      <c r="R74" s="53" t="str">
        <f t="shared" si="25"/>
        <v/>
      </c>
      <c r="S74" s="53" t="str">
        <f t="shared" si="26"/>
        <v/>
      </c>
      <c r="T74" s="53" t="str">
        <f t="shared" si="27"/>
        <v/>
      </c>
    </row>
    <row r="75" spans="1:20">
      <c r="A75" s="47" t="str">
        <f>IF(archive!E75="","",archive!E75)</f>
        <v/>
      </c>
      <c r="B75" s="48" t="str">
        <f t="shared" si="14"/>
        <v/>
      </c>
      <c r="C75" s="49" t="str">
        <f>IF(archive!F75="","",archive!F75)</f>
        <v/>
      </c>
      <c r="D75" s="50" t="str">
        <f t="shared" si="15"/>
        <v/>
      </c>
      <c r="E75" s="50" t="str">
        <f t="shared" si="16"/>
        <v/>
      </c>
      <c r="F75" s="47" t="str">
        <f>IF(COUNTA(archive!H75:CI75)=0,"",COUNTA(archive!H75:CI75))</f>
        <v/>
      </c>
      <c r="G75" s="47" t="str">
        <f>IF(archive!G75="","",archive!G75)</f>
        <v/>
      </c>
      <c r="H75" s="51" t="str">
        <f>IF(archive!CJ75="","",archive!CJ75)</f>
        <v/>
      </c>
      <c r="I75" s="51" t="str">
        <f>IF(archive!CK75="","",archive!CK75)</f>
        <v/>
      </c>
      <c r="J75" s="47" t="str">
        <f t="shared" si="17"/>
        <v/>
      </c>
      <c r="K75" s="51" t="str">
        <f t="shared" si="18"/>
        <v/>
      </c>
      <c r="L75" s="52" t="str">
        <f t="shared" si="19"/>
        <v/>
      </c>
      <c r="M75" s="53" t="str">
        <f t="shared" si="20"/>
        <v/>
      </c>
      <c r="N75" s="53" t="str">
        <f t="shared" si="21"/>
        <v/>
      </c>
      <c r="O75" s="53" t="str">
        <f t="shared" si="22"/>
        <v/>
      </c>
      <c r="P75" s="53" t="str">
        <f t="shared" si="23"/>
        <v/>
      </c>
      <c r="Q75" s="53" t="str">
        <f t="shared" si="24"/>
        <v/>
      </c>
      <c r="R75" s="53" t="str">
        <f t="shared" si="25"/>
        <v/>
      </c>
      <c r="S75" s="53" t="str">
        <f t="shared" si="26"/>
        <v/>
      </c>
      <c r="T75" s="53" t="str">
        <f t="shared" si="27"/>
        <v/>
      </c>
    </row>
    <row r="76" spans="1:20">
      <c r="A76" s="47" t="str">
        <f>IF(archive!E76="","",archive!E76)</f>
        <v/>
      </c>
      <c r="B76" s="48" t="str">
        <f t="shared" si="14"/>
        <v/>
      </c>
      <c r="C76" s="49" t="str">
        <f>IF(archive!F76="","",archive!F76)</f>
        <v/>
      </c>
      <c r="D76" s="50" t="str">
        <f t="shared" si="15"/>
        <v/>
      </c>
      <c r="E76" s="50" t="str">
        <f t="shared" si="16"/>
        <v/>
      </c>
      <c r="F76" s="47" t="str">
        <f>IF(COUNTA(archive!H76:CI76)=0,"",COUNTA(archive!H76:CI76))</f>
        <v/>
      </c>
      <c r="G76" s="47" t="str">
        <f>IF(archive!G76="","",archive!G76)</f>
        <v/>
      </c>
      <c r="H76" s="51" t="str">
        <f>IF(archive!CJ76="","",archive!CJ76)</f>
        <v/>
      </c>
      <c r="I76" s="51" t="str">
        <f>IF(archive!CK76="","",archive!CK76)</f>
        <v/>
      </c>
      <c r="J76" s="47" t="str">
        <f t="shared" si="17"/>
        <v/>
      </c>
      <c r="K76" s="51" t="str">
        <f t="shared" si="18"/>
        <v/>
      </c>
      <c r="L76" s="52" t="str">
        <f t="shared" si="19"/>
        <v/>
      </c>
      <c r="M76" s="53" t="str">
        <f t="shared" si="20"/>
        <v/>
      </c>
      <c r="N76" s="53" t="str">
        <f t="shared" si="21"/>
        <v/>
      </c>
      <c r="O76" s="53" t="str">
        <f t="shared" si="22"/>
        <v/>
      </c>
      <c r="P76" s="53" t="str">
        <f t="shared" si="23"/>
        <v/>
      </c>
      <c r="Q76" s="53" t="str">
        <f t="shared" si="24"/>
        <v/>
      </c>
      <c r="R76" s="53" t="str">
        <f t="shared" si="25"/>
        <v/>
      </c>
      <c r="S76" s="53" t="str">
        <f t="shared" si="26"/>
        <v/>
      </c>
      <c r="T76" s="53" t="str">
        <f t="shared" si="27"/>
        <v/>
      </c>
    </row>
    <row r="77" spans="1:20">
      <c r="A77" s="47" t="str">
        <f>IF(archive!E77="","",archive!E77)</f>
        <v/>
      </c>
      <c r="B77" s="48" t="str">
        <f t="shared" si="14"/>
        <v/>
      </c>
      <c r="C77" s="49" t="str">
        <f>IF(archive!F77="","",archive!F77)</f>
        <v/>
      </c>
      <c r="D77" s="50" t="str">
        <f t="shared" si="15"/>
        <v/>
      </c>
      <c r="E77" s="50" t="str">
        <f t="shared" si="16"/>
        <v/>
      </c>
      <c r="F77" s="47" t="str">
        <f>IF(COUNTA(archive!H77:CI77)=0,"",COUNTA(archive!H77:CI77))</f>
        <v/>
      </c>
      <c r="G77" s="47" t="str">
        <f>IF(archive!G77="","",archive!G77)</f>
        <v/>
      </c>
      <c r="H77" s="51" t="str">
        <f>IF(archive!CJ77="","",archive!CJ77)</f>
        <v/>
      </c>
      <c r="I77" s="51" t="str">
        <f>IF(archive!CK77="","",archive!CK77)</f>
        <v/>
      </c>
      <c r="J77" s="47" t="str">
        <f t="shared" si="17"/>
        <v/>
      </c>
      <c r="K77" s="51" t="str">
        <f t="shared" si="18"/>
        <v/>
      </c>
      <c r="L77" s="52" t="str">
        <f t="shared" si="19"/>
        <v/>
      </c>
      <c r="M77" s="53" t="str">
        <f t="shared" si="20"/>
        <v/>
      </c>
      <c r="N77" s="53" t="str">
        <f t="shared" si="21"/>
        <v/>
      </c>
      <c r="O77" s="53" t="str">
        <f t="shared" si="22"/>
        <v/>
      </c>
      <c r="P77" s="53" t="str">
        <f t="shared" si="23"/>
        <v/>
      </c>
      <c r="Q77" s="53" t="str">
        <f t="shared" si="24"/>
        <v/>
      </c>
      <c r="R77" s="53" t="str">
        <f t="shared" si="25"/>
        <v/>
      </c>
      <c r="S77" s="53" t="str">
        <f t="shared" si="26"/>
        <v/>
      </c>
      <c r="T77" s="53" t="str">
        <f t="shared" si="27"/>
        <v/>
      </c>
    </row>
    <row r="78" spans="1:20">
      <c r="A78" s="47" t="str">
        <f>IF(archive!E78="","",archive!E78)</f>
        <v/>
      </c>
      <c r="B78" s="48" t="str">
        <f t="shared" si="14"/>
        <v/>
      </c>
      <c r="C78" s="49" t="str">
        <f>IF(archive!F78="","",archive!F78)</f>
        <v/>
      </c>
      <c r="D78" s="50" t="str">
        <f t="shared" si="15"/>
        <v/>
      </c>
      <c r="E78" s="50" t="str">
        <f t="shared" si="16"/>
        <v/>
      </c>
      <c r="F78" s="47" t="str">
        <f>IF(COUNTA(archive!H78:CI78)=0,"",COUNTA(archive!H78:CI78))</f>
        <v/>
      </c>
      <c r="G78" s="47" t="str">
        <f>IF(archive!G78="","",archive!G78)</f>
        <v/>
      </c>
      <c r="H78" s="51" t="str">
        <f>IF(archive!CJ78="","",archive!CJ78)</f>
        <v/>
      </c>
      <c r="I78" s="51" t="str">
        <f>IF(archive!CK78="","",archive!CK78)</f>
        <v/>
      </c>
      <c r="J78" s="47" t="str">
        <f t="shared" si="17"/>
        <v/>
      </c>
      <c r="K78" s="51" t="str">
        <f t="shared" si="18"/>
        <v/>
      </c>
      <c r="L78" s="52" t="str">
        <f t="shared" si="19"/>
        <v/>
      </c>
      <c r="M78" s="53" t="str">
        <f t="shared" si="20"/>
        <v/>
      </c>
      <c r="N78" s="53" t="str">
        <f t="shared" si="21"/>
        <v/>
      </c>
      <c r="O78" s="53" t="str">
        <f t="shared" si="22"/>
        <v/>
      </c>
      <c r="P78" s="53" t="str">
        <f t="shared" si="23"/>
        <v/>
      </c>
      <c r="Q78" s="53" t="str">
        <f t="shared" si="24"/>
        <v/>
      </c>
      <c r="R78" s="53" t="str">
        <f t="shared" si="25"/>
        <v/>
      </c>
      <c r="S78" s="53" t="str">
        <f t="shared" si="26"/>
        <v/>
      </c>
      <c r="T78" s="53" t="str">
        <f t="shared" si="27"/>
        <v/>
      </c>
    </row>
    <row r="79" spans="1:20">
      <c r="A79" s="47" t="str">
        <f>IF(archive!E79="","",archive!E79)</f>
        <v/>
      </c>
      <c r="B79" s="48" t="str">
        <f t="shared" si="14"/>
        <v/>
      </c>
      <c r="C79" s="49" t="str">
        <f>IF(archive!F79="","",archive!F79)</f>
        <v/>
      </c>
      <c r="D79" s="50" t="str">
        <f t="shared" si="15"/>
        <v/>
      </c>
      <c r="E79" s="50" t="str">
        <f t="shared" si="16"/>
        <v/>
      </c>
      <c r="F79" s="47" t="str">
        <f>IF(COUNTA(archive!H79:CI79)=0,"",COUNTA(archive!H79:CI79))</f>
        <v/>
      </c>
      <c r="G79" s="47" t="str">
        <f>IF(archive!G79="","",archive!G79)</f>
        <v/>
      </c>
      <c r="H79" s="51" t="str">
        <f>IF(archive!CJ79="","",archive!CJ79)</f>
        <v/>
      </c>
      <c r="I79" s="51" t="str">
        <f>IF(archive!CK79="","",archive!CK79)</f>
        <v/>
      </c>
      <c r="J79" s="47" t="str">
        <f t="shared" si="17"/>
        <v/>
      </c>
      <c r="K79" s="51" t="str">
        <f t="shared" si="18"/>
        <v/>
      </c>
      <c r="L79" s="52" t="str">
        <f t="shared" si="19"/>
        <v/>
      </c>
      <c r="M79" s="53" t="str">
        <f t="shared" si="20"/>
        <v/>
      </c>
      <c r="N79" s="53" t="str">
        <f t="shared" si="21"/>
        <v/>
      </c>
      <c r="O79" s="53" t="str">
        <f t="shared" si="22"/>
        <v/>
      </c>
      <c r="P79" s="53" t="str">
        <f t="shared" si="23"/>
        <v/>
      </c>
      <c r="Q79" s="53" t="str">
        <f t="shared" si="24"/>
        <v/>
      </c>
      <c r="R79" s="53" t="str">
        <f t="shared" si="25"/>
        <v/>
      </c>
      <c r="S79" s="53" t="str">
        <f t="shared" si="26"/>
        <v/>
      </c>
      <c r="T79" s="53" t="str">
        <f t="shared" si="27"/>
        <v/>
      </c>
    </row>
    <row r="80" spans="1:20">
      <c r="A80" s="47" t="str">
        <f>IF(archive!E80="","",archive!E80)</f>
        <v/>
      </c>
      <c r="B80" s="48" t="str">
        <f t="shared" si="14"/>
        <v/>
      </c>
      <c r="C80" s="49" t="str">
        <f>IF(archive!F80="","",archive!F80)</f>
        <v/>
      </c>
      <c r="D80" s="50" t="str">
        <f t="shared" si="15"/>
        <v/>
      </c>
      <c r="E80" s="50" t="str">
        <f t="shared" si="16"/>
        <v/>
      </c>
      <c r="F80" s="47" t="str">
        <f>IF(COUNTA(archive!H80:CI80)=0,"",COUNTA(archive!H80:CI80))</f>
        <v/>
      </c>
      <c r="G80" s="47" t="str">
        <f>IF(archive!G80="","",archive!G80)</f>
        <v/>
      </c>
      <c r="H80" s="51" t="str">
        <f>IF(archive!CJ80="","",archive!CJ80)</f>
        <v/>
      </c>
      <c r="I80" s="51" t="str">
        <f>IF(archive!CK80="","",archive!CK80)</f>
        <v/>
      </c>
      <c r="J80" s="47" t="str">
        <f t="shared" si="17"/>
        <v/>
      </c>
      <c r="K80" s="51" t="str">
        <f t="shared" si="18"/>
        <v/>
      </c>
      <c r="L80" s="52" t="str">
        <f t="shared" si="19"/>
        <v/>
      </c>
      <c r="M80" s="53" t="str">
        <f t="shared" si="20"/>
        <v/>
      </c>
      <c r="N80" s="53" t="str">
        <f t="shared" si="21"/>
        <v/>
      </c>
      <c r="O80" s="53" t="str">
        <f t="shared" si="22"/>
        <v/>
      </c>
      <c r="P80" s="53" t="str">
        <f t="shared" si="23"/>
        <v/>
      </c>
      <c r="Q80" s="53" t="str">
        <f t="shared" si="24"/>
        <v/>
      </c>
      <c r="R80" s="53" t="str">
        <f t="shared" si="25"/>
        <v/>
      </c>
      <c r="S80" s="53" t="str">
        <f t="shared" si="26"/>
        <v/>
      </c>
      <c r="T80" s="53" t="str">
        <f t="shared" si="27"/>
        <v/>
      </c>
    </row>
    <row r="81" spans="1:20">
      <c r="A81" s="47" t="str">
        <f>IF(archive!E81="","",archive!E81)</f>
        <v/>
      </c>
      <c r="B81" s="48" t="str">
        <f t="shared" si="14"/>
        <v/>
      </c>
      <c r="C81" s="49" t="str">
        <f>IF(archive!F81="","",archive!F81)</f>
        <v/>
      </c>
      <c r="D81" s="50" t="str">
        <f t="shared" si="15"/>
        <v/>
      </c>
      <c r="E81" s="50" t="str">
        <f t="shared" si="16"/>
        <v/>
      </c>
      <c r="F81" s="47" t="str">
        <f>IF(COUNTA(archive!H81:CI81)=0,"",COUNTA(archive!H81:CI81))</f>
        <v/>
      </c>
      <c r="G81" s="47" t="str">
        <f>IF(archive!G81="","",archive!G81)</f>
        <v/>
      </c>
      <c r="H81" s="51" t="str">
        <f>IF(archive!CJ81="","",archive!CJ81)</f>
        <v/>
      </c>
      <c r="I81" s="51" t="str">
        <f>IF(archive!CK81="","",archive!CK81)</f>
        <v/>
      </c>
      <c r="J81" s="47" t="str">
        <f t="shared" si="17"/>
        <v/>
      </c>
      <c r="K81" s="51" t="str">
        <f t="shared" si="18"/>
        <v/>
      </c>
      <c r="L81" s="52" t="str">
        <f t="shared" si="19"/>
        <v/>
      </c>
      <c r="M81" s="53" t="str">
        <f t="shared" si="20"/>
        <v/>
      </c>
      <c r="N81" s="53" t="str">
        <f t="shared" si="21"/>
        <v/>
      </c>
      <c r="O81" s="53" t="str">
        <f t="shared" si="22"/>
        <v/>
      </c>
      <c r="P81" s="53" t="str">
        <f t="shared" si="23"/>
        <v/>
      </c>
      <c r="Q81" s="53" t="str">
        <f t="shared" si="24"/>
        <v/>
      </c>
      <c r="R81" s="53" t="str">
        <f t="shared" si="25"/>
        <v/>
      </c>
      <c r="S81" s="53" t="str">
        <f t="shared" si="26"/>
        <v/>
      </c>
      <c r="T81" s="53" t="str">
        <f t="shared" si="27"/>
        <v/>
      </c>
    </row>
    <row r="82" spans="1:20">
      <c r="A82" s="47" t="str">
        <f>IF(archive!E82="","",archive!E82)</f>
        <v/>
      </c>
      <c r="B82" s="48" t="str">
        <f t="shared" si="14"/>
        <v/>
      </c>
      <c r="C82" s="49" t="str">
        <f>IF(archive!F82="","",archive!F82)</f>
        <v/>
      </c>
      <c r="D82" s="50" t="str">
        <f t="shared" si="15"/>
        <v/>
      </c>
      <c r="E82" s="50" t="str">
        <f t="shared" si="16"/>
        <v/>
      </c>
      <c r="F82" s="47" t="str">
        <f>IF(COUNTA(archive!H82:CI82)=0,"",COUNTA(archive!H82:CI82))</f>
        <v/>
      </c>
      <c r="G82" s="47" t="str">
        <f>IF(archive!G82="","",archive!G82)</f>
        <v/>
      </c>
      <c r="H82" s="51" t="str">
        <f>IF(archive!CJ82="","",archive!CJ82)</f>
        <v/>
      </c>
      <c r="I82" s="51" t="str">
        <f>IF(archive!CK82="","",archive!CK82)</f>
        <v/>
      </c>
      <c r="J82" s="47" t="str">
        <f t="shared" si="17"/>
        <v/>
      </c>
      <c r="K82" s="51" t="str">
        <f t="shared" si="18"/>
        <v/>
      </c>
      <c r="L82" s="52" t="str">
        <f t="shared" si="19"/>
        <v/>
      </c>
      <c r="M82" s="53" t="str">
        <f t="shared" si="20"/>
        <v/>
      </c>
      <c r="N82" s="53" t="str">
        <f t="shared" si="21"/>
        <v/>
      </c>
      <c r="O82" s="53" t="str">
        <f t="shared" si="22"/>
        <v/>
      </c>
      <c r="P82" s="53" t="str">
        <f t="shared" si="23"/>
        <v/>
      </c>
      <c r="Q82" s="53" t="str">
        <f t="shared" si="24"/>
        <v/>
      </c>
      <c r="R82" s="53" t="str">
        <f t="shared" si="25"/>
        <v/>
      </c>
      <c r="S82" s="53" t="str">
        <f t="shared" si="26"/>
        <v/>
      </c>
      <c r="T82" s="53" t="str">
        <f t="shared" si="27"/>
        <v/>
      </c>
    </row>
    <row r="83" spans="1:20">
      <c r="A83" s="47" t="str">
        <f>IF(archive!E83="","",archive!E83)</f>
        <v/>
      </c>
      <c r="B83" s="48" t="str">
        <f t="shared" si="14"/>
        <v/>
      </c>
      <c r="C83" s="49" t="str">
        <f>IF(archive!F83="","",archive!F83)</f>
        <v/>
      </c>
      <c r="D83" s="50" t="str">
        <f t="shared" si="15"/>
        <v/>
      </c>
      <c r="E83" s="50" t="str">
        <f t="shared" si="16"/>
        <v/>
      </c>
      <c r="F83" s="47" t="str">
        <f>IF(COUNTA(archive!H83:CI83)=0,"",COUNTA(archive!H83:CI83))</f>
        <v/>
      </c>
      <c r="G83" s="47" t="str">
        <f>IF(archive!G83="","",archive!G83)</f>
        <v/>
      </c>
      <c r="H83" s="51" t="str">
        <f>IF(archive!CJ83="","",archive!CJ83)</f>
        <v/>
      </c>
      <c r="I83" s="51" t="str">
        <f>IF(archive!CK83="","",archive!CK83)</f>
        <v/>
      </c>
      <c r="J83" s="47" t="str">
        <f t="shared" si="17"/>
        <v/>
      </c>
      <c r="K83" s="51" t="str">
        <f t="shared" si="18"/>
        <v/>
      </c>
      <c r="L83" s="52" t="str">
        <f t="shared" si="19"/>
        <v/>
      </c>
      <c r="M83" s="53" t="str">
        <f t="shared" si="20"/>
        <v/>
      </c>
      <c r="N83" s="53" t="str">
        <f t="shared" si="21"/>
        <v/>
      </c>
      <c r="O83" s="53" t="str">
        <f t="shared" si="22"/>
        <v/>
      </c>
      <c r="P83" s="53" t="str">
        <f t="shared" si="23"/>
        <v/>
      </c>
      <c r="Q83" s="53" t="str">
        <f t="shared" si="24"/>
        <v/>
      </c>
      <c r="R83" s="53" t="str">
        <f t="shared" si="25"/>
        <v/>
      </c>
      <c r="S83" s="53" t="str">
        <f t="shared" si="26"/>
        <v/>
      </c>
      <c r="T83" s="53" t="str">
        <f t="shared" si="27"/>
        <v/>
      </c>
    </row>
    <row r="84" spans="1:20">
      <c r="A84" s="47" t="str">
        <f>IF(archive!E84="","",archive!E84)</f>
        <v/>
      </c>
      <c r="B84" s="48" t="str">
        <f t="shared" si="14"/>
        <v/>
      </c>
      <c r="C84" s="49" t="str">
        <f>IF(archive!F84="","",archive!F84)</f>
        <v/>
      </c>
      <c r="D84" s="50" t="str">
        <f t="shared" si="15"/>
        <v/>
      </c>
      <c r="E84" s="50" t="str">
        <f t="shared" si="16"/>
        <v/>
      </c>
      <c r="F84" s="47" t="str">
        <f>IF(COUNTA(archive!H84:CI84)=0,"",COUNTA(archive!H84:CI84))</f>
        <v/>
      </c>
      <c r="G84" s="47" t="str">
        <f>IF(archive!G84="","",archive!G84)</f>
        <v/>
      </c>
      <c r="H84" s="51" t="str">
        <f>IF(archive!CJ84="","",archive!CJ84)</f>
        <v/>
      </c>
      <c r="I84" s="51" t="str">
        <f>IF(archive!CK84="","",archive!CK84)</f>
        <v/>
      </c>
      <c r="J84" s="47" t="str">
        <f t="shared" si="17"/>
        <v/>
      </c>
      <c r="K84" s="51" t="str">
        <f t="shared" si="18"/>
        <v/>
      </c>
      <c r="L84" s="52" t="str">
        <f t="shared" si="19"/>
        <v/>
      </c>
      <c r="M84" s="53" t="str">
        <f t="shared" si="20"/>
        <v/>
      </c>
      <c r="N84" s="53" t="str">
        <f t="shared" si="21"/>
        <v/>
      </c>
      <c r="O84" s="53" t="str">
        <f t="shared" si="22"/>
        <v/>
      </c>
      <c r="P84" s="53" t="str">
        <f t="shared" si="23"/>
        <v/>
      </c>
      <c r="Q84" s="53" t="str">
        <f t="shared" si="24"/>
        <v/>
      </c>
      <c r="R84" s="53" t="str">
        <f t="shared" si="25"/>
        <v/>
      </c>
      <c r="S84" s="53" t="str">
        <f t="shared" si="26"/>
        <v/>
      </c>
      <c r="T84" s="53" t="str">
        <f t="shared" si="27"/>
        <v/>
      </c>
    </row>
    <row r="85" spans="1:20">
      <c r="A85" s="47" t="str">
        <f>IF(archive!E85="","",archive!E85)</f>
        <v/>
      </c>
      <c r="B85" s="48" t="str">
        <f t="shared" si="14"/>
        <v/>
      </c>
      <c r="C85" s="49" t="str">
        <f>IF(archive!F85="","",archive!F85)</f>
        <v/>
      </c>
      <c r="D85" s="50" t="str">
        <f t="shared" si="15"/>
        <v/>
      </c>
      <c r="E85" s="50" t="str">
        <f t="shared" si="16"/>
        <v/>
      </c>
      <c r="F85" s="47" t="str">
        <f>IF(COUNTA(archive!H85:CI85)=0,"",COUNTA(archive!H85:CI85))</f>
        <v/>
      </c>
      <c r="G85" s="47" t="str">
        <f>IF(archive!G85="","",archive!G85)</f>
        <v/>
      </c>
      <c r="H85" s="51" t="str">
        <f>IF(archive!CJ85="","",archive!CJ85)</f>
        <v/>
      </c>
      <c r="I85" s="51" t="str">
        <f>IF(archive!CK85="","",archive!CK85)</f>
        <v/>
      </c>
      <c r="J85" s="47" t="str">
        <f t="shared" si="17"/>
        <v/>
      </c>
      <c r="K85" s="51" t="str">
        <f t="shared" si="18"/>
        <v/>
      </c>
      <c r="L85" s="52" t="str">
        <f t="shared" si="19"/>
        <v/>
      </c>
      <c r="M85" s="53" t="str">
        <f t="shared" si="20"/>
        <v/>
      </c>
      <c r="N85" s="53" t="str">
        <f t="shared" si="21"/>
        <v/>
      </c>
      <c r="O85" s="53" t="str">
        <f t="shared" si="22"/>
        <v/>
      </c>
      <c r="P85" s="53" t="str">
        <f t="shared" si="23"/>
        <v/>
      </c>
      <c r="Q85" s="53" t="str">
        <f t="shared" si="24"/>
        <v/>
      </c>
      <c r="R85" s="53" t="str">
        <f t="shared" si="25"/>
        <v/>
      </c>
      <c r="S85" s="53" t="str">
        <f t="shared" si="26"/>
        <v/>
      </c>
      <c r="T85" s="53" t="str">
        <f t="shared" si="27"/>
        <v/>
      </c>
    </row>
    <row r="86" spans="1:20">
      <c r="A86" s="47" t="str">
        <f>IF(archive!E86="","",archive!E86)</f>
        <v/>
      </c>
      <c r="B86" s="48" t="str">
        <f t="shared" si="14"/>
        <v/>
      </c>
      <c r="C86" s="49" t="str">
        <f>IF(archive!F86="","",archive!F86)</f>
        <v/>
      </c>
      <c r="D86" s="50" t="str">
        <f t="shared" si="15"/>
        <v/>
      </c>
      <c r="E86" s="50" t="str">
        <f t="shared" si="16"/>
        <v/>
      </c>
      <c r="F86" s="47" t="str">
        <f>IF(COUNTA(archive!H86:CI86)=0,"",COUNTA(archive!H86:CI86))</f>
        <v/>
      </c>
      <c r="G86" s="47" t="str">
        <f>IF(archive!G86="","",archive!G86)</f>
        <v/>
      </c>
      <c r="H86" s="51" t="str">
        <f>IF(archive!CJ86="","",archive!CJ86)</f>
        <v/>
      </c>
      <c r="I86" s="51" t="str">
        <f>IF(archive!CK86="","",archive!CK86)</f>
        <v/>
      </c>
      <c r="J86" s="47" t="str">
        <f t="shared" si="17"/>
        <v/>
      </c>
      <c r="K86" s="51" t="str">
        <f t="shared" si="18"/>
        <v/>
      </c>
      <c r="L86" s="52" t="str">
        <f t="shared" si="19"/>
        <v/>
      </c>
      <c r="M86" s="53" t="str">
        <f t="shared" si="20"/>
        <v/>
      </c>
      <c r="N86" s="53" t="str">
        <f t="shared" si="21"/>
        <v/>
      </c>
      <c r="O86" s="53" t="str">
        <f t="shared" si="22"/>
        <v/>
      </c>
      <c r="P86" s="53" t="str">
        <f t="shared" si="23"/>
        <v/>
      </c>
      <c r="Q86" s="53" t="str">
        <f t="shared" si="24"/>
        <v/>
      </c>
      <c r="R86" s="53" t="str">
        <f t="shared" si="25"/>
        <v/>
      </c>
      <c r="S86" s="53" t="str">
        <f t="shared" si="26"/>
        <v/>
      </c>
      <c r="T86" s="53" t="str">
        <f t="shared" si="27"/>
        <v/>
      </c>
    </row>
    <row r="87" spans="1:20">
      <c r="A87" s="47" t="str">
        <f>IF(archive!E87="","",archive!E87)</f>
        <v/>
      </c>
      <c r="B87" s="48" t="str">
        <f t="shared" si="14"/>
        <v/>
      </c>
      <c r="C87" s="49" t="str">
        <f>IF(archive!F87="","",archive!F87)</f>
        <v/>
      </c>
      <c r="D87" s="50" t="str">
        <f t="shared" si="15"/>
        <v/>
      </c>
      <c r="E87" s="50" t="str">
        <f t="shared" si="16"/>
        <v/>
      </c>
      <c r="F87" s="47" t="str">
        <f>IF(COUNTA(archive!H87:CI87)=0,"",COUNTA(archive!H87:CI87))</f>
        <v/>
      </c>
      <c r="G87" s="47" t="str">
        <f>IF(archive!G87="","",archive!G87)</f>
        <v/>
      </c>
      <c r="H87" s="51" t="str">
        <f>IF(archive!CJ87="","",archive!CJ87)</f>
        <v/>
      </c>
      <c r="I87" s="51" t="str">
        <f>IF(archive!CK87="","",archive!CK87)</f>
        <v/>
      </c>
      <c r="J87" s="47" t="str">
        <f t="shared" si="17"/>
        <v/>
      </c>
      <c r="K87" s="51" t="str">
        <f t="shared" si="18"/>
        <v/>
      </c>
      <c r="L87" s="52" t="str">
        <f t="shared" si="19"/>
        <v/>
      </c>
      <c r="M87" s="53" t="str">
        <f t="shared" si="20"/>
        <v/>
      </c>
      <c r="N87" s="53" t="str">
        <f t="shared" si="21"/>
        <v/>
      </c>
      <c r="O87" s="53" t="str">
        <f t="shared" si="22"/>
        <v/>
      </c>
      <c r="P87" s="53" t="str">
        <f t="shared" si="23"/>
        <v/>
      </c>
      <c r="Q87" s="53" t="str">
        <f t="shared" si="24"/>
        <v/>
      </c>
      <c r="R87" s="53" t="str">
        <f t="shared" si="25"/>
        <v/>
      </c>
      <c r="S87" s="53" t="str">
        <f t="shared" si="26"/>
        <v/>
      </c>
      <c r="T87" s="53" t="str">
        <f t="shared" si="27"/>
        <v/>
      </c>
    </row>
    <row r="88" spans="1:20">
      <c r="A88" s="47" t="str">
        <f>IF(archive!E88="","",archive!E88)</f>
        <v/>
      </c>
      <c r="B88" s="48" t="str">
        <f t="shared" si="14"/>
        <v/>
      </c>
      <c r="C88" s="49" t="str">
        <f>IF(archive!F88="","",archive!F88)</f>
        <v/>
      </c>
      <c r="D88" s="50" t="str">
        <f t="shared" si="15"/>
        <v/>
      </c>
      <c r="E88" s="50" t="str">
        <f t="shared" si="16"/>
        <v/>
      </c>
      <c r="F88" s="47" t="str">
        <f>IF(COUNTA(archive!H88:CI88)=0,"",COUNTA(archive!H88:CI88))</f>
        <v/>
      </c>
      <c r="G88" s="47" t="str">
        <f>IF(archive!G88="","",archive!G88)</f>
        <v/>
      </c>
      <c r="H88" s="51" t="str">
        <f>IF(archive!CJ88="","",archive!CJ88)</f>
        <v/>
      </c>
      <c r="I88" s="51" t="str">
        <f>IF(archive!CK88="","",archive!CK88)</f>
        <v/>
      </c>
      <c r="J88" s="47" t="str">
        <f t="shared" si="17"/>
        <v/>
      </c>
      <c r="K88" s="51" t="str">
        <f t="shared" si="18"/>
        <v/>
      </c>
      <c r="L88" s="52" t="str">
        <f t="shared" si="19"/>
        <v/>
      </c>
      <c r="M88" s="53" t="str">
        <f t="shared" si="20"/>
        <v/>
      </c>
      <c r="N88" s="53" t="str">
        <f t="shared" si="21"/>
        <v/>
      </c>
      <c r="O88" s="53" t="str">
        <f t="shared" si="22"/>
        <v/>
      </c>
      <c r="P88" s="53" t="str">
        <f t="shared" si="23"/>
        <v/>
      </c>
      <c r="Q88" s="53" t="str">
        <f t="shared" si="24"/>
        <v/>
      </c>
      <c r="R88" s="53" t="str">
        <f t="shared" si="25"/>
        <v/>
      </c>
      <c r="S88" s="53" t="str">
        <f t="shared" si="26"/>
        <v/>
      </c>
      <c r="T88" s="53" t="str">
        <f t="shared" si="27"/>
        <v/>
      </c>
    </row>
    <row r="89" spans="1:20">
      <c r="A89" s="47" t="str">
        <f>IF(archive!E89="","",archive!E89)</f>
        <v/>
      </c>
      <c r="B89" s="48" t="str">
        <f t="shared" si="14"/>
        <v/>
      </c>
      <c r="C89" s="49" t="str">
        <f>IF(archive!F89="","",archive!F89)</f>
        <v/>
      </c>
      <c r="D89" s="50" t="str">
        <f t="shared" si="15"/>
        <v/>
      </c>
      <c r="E89" s="50" t="str">
        <f t="shared" si="16"/>
        <v/>
      </c>
      <c r="F89" s="47" t="str">
        <f>IF(COUNTA(archive!H89:CI89)=0,"",COUNTA(archive!H89:CI89))</f>
        <v/>
      </c>
      <c r="G89" s="47" t="str">
        <f>IF(archive!G89="","",archive!G89)</f>
        <v/>
      </c>
      <c r="H89" s="51" t="str">
        <f>IF(archive!CJ89="","",archive!CJ89)</f>
        <v/>
      </c>
      <c r="I89" s="51" t="str">
        <f>IF(archive!CK89="","",archive!CK89)</f>
        <v/>
      </c>
      <c r="J89" s="47" t="str">
        <f t="shared" si="17"/>
        <v/>
      </c>
      <c r="K89" s="51" t="str">
        <f t="shared" si="18"/>
        <v/>
      </c>
      <c r="L89" s="52" t="str">
        <f t="shared" si="19"/>
        <v/>
      </c>
      <c r="M89" s="53" t="str">
        <f t="shared" si="20"/>
        <v/>
      </c>
      <c r="N89" s="53" t="str">
        <f t="shared" si="21"/>
        <v/>
      </c>
      <c r="O89" s="53" t="str">
        <f t="shared" si="22"/>
        <v/>
      </c>
      <c r="P89" s="53" t="str">
        <f t="shared" si="23"/>
        <v/>
      </c>
      <c r="Q89" s="53" t="str">
        <f t="shared" si="24"/>
        <v/>
      </c>
      <c r="R89" s="53" t="str">
        <f t="shared" si="25"/>
        <v/>
      </c>
      <c r="S89" s="53" t="str">
        <f t="shared" si="26"/>
        <v/>
      </c>
      <c r="T89" s="53" t="str">
        <f t="shared" si="27"/>
        <v/>
      </c>
    </row>
    <row r="90" spans="1:20">
      <c r="A90" s="47" t="str">
        <f>IF(archive!E90="","",archive!E90)</f>
        <v/>
      </c>
      <c r="B90" s="48" t="str">
        <f t="shared" si="14"/>
        <v/>
      </c>
      <c r="C90" s="49" t="str">
        <f>IF(archive!F90="","",archive!F90)</f>
        <v/>
      </c>
      <c r="D90" s="50" t="str">
        <f t="shared" si="15"/>
        <v/>
      </c>
      <c r="E90" s="50" t="str">
        <f t="shared" si="16"/>
        <v/>
      </c>
      <c r="F90" s="47" t="str">
        <f>IF(COUNTA(archive!H90:CI90)=0,"",COUNTA(archive!H90:CI90))</f>
        <v/>
      </c>
      <c r="G90" s="47" t="str">
        <f>IF(archive!G90="","",archive!G90)</f>
        <v/>
      </c>
      <c r="H90" s="51" t="str">
        <f>IF(archive!CJ90="","",archive!CJ90)</f>
        <v/>
      </c>
      <c r="I90" s="51" t="str">
        <f>IF(archive!CK90="","",archive!CK90)</f>
        <v/>
      </c>
      <c r="J90" s="47" t="str">
        <f t="shared" si="17"/>
        <v/>
      </c>
      <c r="K90" s="51" t="str">
        <f t="shared" si="18"/>
        <v/>
      </c>
      <c r="L90" s="52" t="str">
        <f t="shared" si="19"/>
        <v/>
      </c>
      <c r="M90" s="53" t="str">
        <f t="shared" si="20"/>
        <v/>
      </c>
      <c r="N90" s="53" t="str">
        <f t="shared" si="21"/>
        <v/>
      </c>
      <c r="O90" s="53" t="str">
        <f t="shared" si="22"/>
        <v/>
      </c>
      <c r="P90" s="53" t="str">
        <f t="shared" si="23"/>
        <v/>
      </c>
      <c r="Q90" s="53" t="str">
        <f t="shared" si="24"/>
        <v/>
      </c>
      <c r="R90" s="53" t="str">
        <f t="shared" si="25"/>
        <v/>
      </c>
      <c r="S90" s="53" t="str">
        <f t="shared" si="26"/>
        <v/>
      </c>
      <c r="T90" s="53" t="str">
        <f t="shared" si="27"/>
        <v/>
      </c>
    </row>
    <row r="91" spans="1:20">
      <c r="A91" s="47" t="str">
        <f>IF(archive!E91="","",archive!E91)</f>
        <v/>
      </c>
      <c r="B91" s="48" t="str">
        <f t="shared" si="14"/>
        <v/>
      </c>
      <c r="C91" s="49" t="str">
        <f>IF(archive!F91="","",archive!F91)</f>
        <v/>
      </c>
      <c r="D91" s="50" t="str">
        <f t="shared" si="15"/>
        <v/>
      </c>
      <c r="E91" s="50" t="str">
        <f t="shared" si="16"/>
        <v/>
      </c>
      <c r="F91" s="47" t="str">
        <f>IF(COUNTA(archive!H91:CI91)=0,"",COUNTA(archive!H91:CI91))</f>
        <v/>
      </c>
      <c r="G91" s="47" t="str">
        <f>IF(archive!G91="","",archive!G91)</f>
        <v/>
      </c>
      <c r="H91" s="51" t="str">
        <f>IF(archive!CJ91="","",archive!CJ91)</f>
        <v/>
      </c>
      <c r="I91" s="51" t="str">
        <f>IF(archive!CK91="","",archive!CK91)</f>
        <v/>
      </c>
      <c r="J91" s="47" t="str">
        <f t="shared" si="17"/>
        <v/>
      </c>
      <c r="K91" s="51" t="str">
        <f t="shared" si="18"/>
        <v/>
      </c>
      <c r="L91" s="52" t="str">
        <f t="shared" si="19"/>
        <v/>
      </c>
      <c r="M91" s="53" t="str">
        <f t="shared" si="20"/>
        <v/>
      </c>
      <c r="N91" s="53" t="str">
        <f t="shared" si="21"/>
        <v/>
      </c>
      <c r="O91" s="53" t="str">
        <f t="shared" si="22"/>
        <v/>
      </c>
      <c r="P91" s="53" t="str">
        <f t="shared" si="23"/>
        <v/>
      </c>
      <c r="Q91" s="53" t="str">
        <f t="shared" si="24"/>
        <v/>
      </c>
      <c r="R91" s="53" t="str">
        <f t="shared" si="25"/>
        <v/>
      </c>
      <c r="S91" s="53" t="str">
        <f t="shared" si="26"/>
        <v/>
      </c>
      <c r="T91" s="53" t="str">
        <f t="shared" si="27"/>
        <v/>
      </c>
    </row>
    <row r="92" spans="1:20">
      <c r="A92" s="47" t="str">
        <f>IF(archive!E92="","",archive!E92)</f>
        <v/>
      </c>
      <c r="B92" s="48" t="str">
        <f t="shared" si="14"/>
        <v/>
      </c>
      <c r="C92" s="49" t="str">
        <f>IF(archive!F92="","",archive!F92)</f>
        <v/>
      </c>
      <c r="D92" s="50" t="str">
        <f t="shared" si="15"/>
        <v/>
      </c>
      <c r="E92" s="50" t="str">
        <f t="shared" si="16"/>
        <v/>
      </c>
      <c r="F92" s="47" t="str">
        <f>IF(COUNTA(archive!H92:CI92)=0,"",COUNTA(archive!H92:CI92))</f>
        <v/>
      </c>
      <c r="G92" s="47" t="str">
        <f>IF(archive!G92="","",archive!G92)</f>
        <v/>
      </c>
      <c r="H92" s="51" t="str">
        <f>IF(archive!CJ92="","",archive!CJ92)</f>
        <v/>
      </c>
      <c r="I92" s="51" t="str">
        <f>IF(archive!CK92="","",archive!CK92)</f>
        <v/>
      </c>
      <c r="J92" s="47" t="str">
        <f t="shared" si="17"/>
        <v/>
      </c>
      <c r="K92" s="51" t="str">
        <f t="shared" si="18"/>
        <v/>
      </c>
      <c r="L92" s="52" t="str">
        <f t="shared" si="19"/>
        <v/>
      </c>
      <c r="M92" s="53" t="str">
        <f t="shared" si="20"/>
        <v/>
      </c>
      <c r="N92" s="53" t="str">
        <f t="shared" si="21"/>
        <v/>
      </c>
      <c r="O92" s="53" t="str">
        <f t="shared" si="22"/>
        <v/>
      </c>
      <c r="P92" s="53" t="str">
        <f t="shared" si="23"/>
        <v/>
      </c>
      <c r="Q92" s="53" t="str">
        <f t="shared" si="24"/>
        <v/>
      </c>
      <c r="R92" s="53" t="str">
        <f t="shared" si="25"/>
        <v/>
      </c>
      <c r="S92" s="53" t="str">
        <f t="shared" si="26"/>
        <v/>
      </c>
      <c r="T92" s="53" t="str">
        <f t="shared" si="27"/>
        <v/>
      </c>
    </row>
    <row r="93" spans="1:20">
      <c r="A93" s="47" t="str">
        <f>IF(archive!E93="","",archive!E93)</f>
        <v/>
      </c>
      <c r="B93" s="48" t="str">
        <f t="shared" si="14"/>
        <v/>
      </c>
      <c r="C93" s="49" t="str">
        <f>IF(archive!F93="","",archive!F93)</f>
        <v/>
      </c>
      <c r="D93" s="50" t="str">
        <f t="shared" si="15"/>
        <v/>
      </c>
      <c r="E93" s="50" t="str">
        <f t="shared" si="16"/>
        <v/>
      </c>
      <c r="F93" s="47" t="str">
        <f>IF(COUNTA(archive!H93:CI93)=0,"",COUNTA(archive!H93:CI93))</f>
        <v/>
      </c>
      <c r="G93" s="47" t="str">
        <f>IF(archive!G93="","",archive!G93)</f>
        <v/>
      </c>
      <c r="H93" s="51" t="str">
        <f>IF(archive!CJ93="","",archive!CJ93)</f>
        <v/>
      </c>
      <c r="I93" s="51" t="str">
        <f>IF(archive!CK93="","",archive!CK93)</f>
        <v/>
      </c>
      <c r="J93" s="47" t="str">
        <f t="shared" si="17"/>
        <v/>
      </c>
      <c r="K93" s="51" t="str">
        <f t="shared" si="18"/>
        <v/>
      </c>
      <c r="L93" s="52" t="str">
        <f t="shared" si="19"/>
        <v/>
      </c>
      <c r="M93" s="53" t="str">
        <f t="shared" si="20"/>
        <v/>
      </c>
      <c r="N93" s="53" t="str">
        <f t="shared" si="21"/>
        <v/>
      </c>
      <c r="O93" s="53" t="str">
        <f t="shared" si="22"/>
        <v/>
      </c>
      <c r="P93" s="53" t="str">
        <f t="shared" si="23"/>
        <v/>
      </c>
      <c r="Q93" s="53" t="str">
        <f t="shared" si="24"/>
        <v/>
      </c>
      <c r="R93" s="53" t="str">
        <f t="shared" si="25"/>
        <v/>
      </c>
      <c r="S93" s="53" t="str">
        <f t="shared" si="26"/>
        <v/>
      </c>
      <c r="T93" s="53" t="str">
        <f t="shared" si="27"/>
        <v/>
      </c>
    </row>
    <row r="94" spans="1:20">
      <c r="A94" s="47" t="str">
        <f>IF(archive!E94="","",archive!E94)</f>
        <v/>
      </c>
      <c r="B94" s="48" t="str">
        <f t="shared" si="14"/>
        <v/>
      </c>
      <c r="C94" s="49" t="str">
        <f>IF(archive!F94="","",archive!F94)</f>
        <v/>
      </c>
      <c r="D94" s="50" t="str">
        <f t="shared" si="15"/>
        <v/>
      </c>
      <c r="E94" s="50" t="str">
        <f t="shared" si="16"/>
        <v/>
      </c>
      <c r="F94" s="47" t="str">
        <f>IF(COUNTA(archive!H94:CI94)=0,"",COUNTA(archive!H94:CI94))</f>
        <v/>
      </c>
      <c r="G94" s="47" t="str">
        <f>IF(archive!G94="","",archive!G94)</f>
        <v/>
      </c>
      <c r="H94" s="51" t="str">
        <f>IF(archive!CJ94="","",archive!CJ94)</f>
        <v/>
      </c>
      <c r="I94" s="51" t="str">
        <f>IF(archive!CK94="","",archive!CK94)</f>
        <v/>
      </c>
      <c r="J94" s="47" t="str">
        <f t="shared" si="17"/>
        <v/>
      </c>
      <c r="K94" s="51" t="str">
        <f t="shared" si="18"/>
        <v/>
      </c>
      <c r="L94" s="52" t="str">
        <f t="shared" si="19"/>
        <v/>
      </c>
      <c r="M94" s="53" t="str">
        <f t="shared" si="20"/>
        <v/>
      </c>
      <c r="N94" s="53" t="str">
        <f t="shared" si="21"/>
        <v/>
      </c>
      <c r="O94" s="53" t="str">
        <f t="shared" si="22"/>
        <v/>
      </c>
      <c r="P94" s="53" t="str">
        <f t="shared" si="23"/>
        <v/>
      </c>
      <c r="Q94" s="53" t="str">
        <f t="shared" si="24"/>
        <v/>
      </c>
      <c r="R94" s="53" t="str">
        <f t="shared" si="25"/>
        <v/>
      </c>
      <c r="S94" s="53" t="str">
        <f t="shared" si="26"/>
        <v/>
      </c>
      <c r="T94" s="53" t="str">
        <f t="shared" si="27"/>
        <v/>
      </c>
    </row>
    <row r="95" spans="1:20">
      <c r="A95" s="47" t="str">
        <f>IF(archive!E95="","",archive!E95)</f>
        <v/>
      </c>
      <c r="B95" s="48" t="str">
        <f t="shared" si="14"/>
        <v/>
      </c>
      <c r="C95" s="49" t="str">
        <f>IF(archive!F95="","",archive!F95)</f>
        <v/>
      </c>
      <c r="D95" s="50" t="str">
        <f t="shared" si="15"/>
        <v/>
      </c>
      <c r="E95" s="50" t="str">
        <f t="shared" si="16"/>
        <v/>
      </c>
      <c r="F95" s="47" t="str">
        <f>IF(COUNTA(archive!H95:CI95)=0,"",COUNTA(archive!H95:CI95))</f>
        <v/>
      </c>
      <c r="G95" s="47" t="str">
        <f>IF(archive!G95="","",archive!G95)</f>
        <v/>
      </c>
      <c r="H95" s="51" t="str">
        <f>IF(archive!CJ95="","",archive!CJ95)</f>
        <v/>
      </c>
      <c r="I95" s="51" t="str">
        <f>IF(archive!CK95="","",archive!CK95)</f>
        <v/>
      </c>
      <c r="J95" s="47" t="str">
        <f t="shared" si="17"/>
        <v/>
      </c>
      <c r="K95" s="51" t="str">
        <f t="shared" si="18"/>
        <v/>
      </c>
      <c r="L95" s="52" t="str">
        <f t="shared" si="19"/>
        <v/>
      </c>
      <c r="M95" s="53" t="str">
        <f t="shared" si="20"/>
        <v/>
      </c>
      <c r="N95" s="53" t="str">
        <f t="shared" si="21"/>
        <v/>
      </c>
      <c r="O95" s="53" t="str">
        <f t="shared" si="22"/>
        <v/>
      </c>
      <c r="P95" s="53" t="str">
        <f t="shared" si="23"/>
        <v/>
      </c>
      <c r="Q95" s="53" t="str">
        <f t="shared" si="24"/>
        <v/>
      </c>
      <c r="R95" s="53" t="str">
        <f t="shared" si="25"/>
        <v/>
      </c>
      <c r="S95" s="53" t="str">
        <f t="shared" si="26"/>
        <v/>
      </c>
      <c r="T95" s="53" t="str">
        <f t="shared" si="27"/>
        <v/>
      </c>
    </row>
    <row r="96" spans="1:20">
      <c r="A96" s="47" t="str">
        <f>IF(archive!E96="","",archive!E96)</f>
        <v/>
      </c>
      <c r="B96" s="48" t="str">
        <f t="shared" si="14"/>
        <v/>
      </c>
      <c r="C96" s="49" t="str">
        <f>IF(archive!F96="","",archive!F96)</f>
        <v/>
      </c>
      <c r="D96" s="50" t="str">
        <f t="shared" si="15"/>
        <v/>
      </c>
      <c r="E96" s="50" t="str">
        <f t="shared" si="16"/>
        <v/>
      </c>
      <c r="F96" s="47" t="str">
        <f>IF(COUNTA(archive!H96:CI96)=0,"",COUNTA(archive!H96:CI96))</f>
        <v/>
      </c>
      <c r="G96" s="47" t="str">
        <f>IF(archive!G96="","",archive!G96)</f>
        <v/>
      </c>
      <c r="H96" s="51" t="str">
        <f>IF(archive!CJ96="","",archive!CJ96)</f>
        <v/>
      </c>
      <c r="I96" s="51" t="str">
        <f>IF(archive!CK96="","",archive!CK96)</f>
        <v/>
      </c>
      <c r="J96" s="47" t="str">
        <f t="shared" si="17"/>
        <v/>
      </c>
      <c r="K96" s="51" t="str">
        <f t="shared" si="18"/>
        <v/>
      </c>
      <c r="L96" s="52" t="str">
        <f t="shared" si="19"/>
        <v/>
      </c>
      <c r="M96" s="53" t="str">
        <f t="shared" si="20"/>
        <v/>
      </c>
      <c r="N96" s="53" t="str">
        <f t="shared" si="21"/>
        <v/>
      </c>
      <c r="O96" s="53" t="str">
        <f t="shared" si="22"/>
        <v/>
      </c>
      <c r="P96" s="53" t="str">
        <f t="shared" si="23"/>
        <v/>
      </c>
      <c r="Q96" s="53" t="str">
        <f t="shared" si="24"/>
        <v/>
      </c>
      <c r="R96" s="53" t="str">
        <f t="shared" si="25"/>
        <v/>
      </c>
      <c r="S96" s="53" t="str">
        <f t="shared" si="26"/>
        <v/>
      </c>
      <c r="T96" s="53" t="str">
        <f t="shared" si="27"/>
        <v/>
      </c>
    </row>
    <row r="97" spans="1:20">
      <c r="A97" s="47" t="str">
        <f>IF(archive!E97="","",archive!E97)</f>
        <v/>
      </c>
      <c r="B97" s="48" t="str">
        <f t="shared" si="14"/>
        <v/>
      </c>
      <c r="C97" s="49" t="str">
        <f>IF(archive!F97="","",archive!F97)</f>
        <v/>
      </c>
      <c r="D97" s="50" t="str">
        <f t="shared" si="15"/>
        <v/>
      </c>
      <c r="E97" s="50" t="str">
        <f t="shared" si="16"/>
        <v/>
      </c>
      <c r="F97" s="47" t="str">
        <f>IF(COUNTA(archive!H97:CI97)=0,"",COUNTA(archive!H97:CI97))</f>
        <v/>
      </c>
      <c r="G97" s="47" t="str">
        <f>IF(archive!G97="","",archive!G97)</f>
        <v/>
      </c>
      <c r="H97" s="51" t="str">
        <f>IF(archive!CJ97="","",archive!CJ97)</f>
        <v/>
      </c>
      <c r="I97" s="51" t="str">
        <f>IF(archive!CK97="","",archive!CK97)</f>
        <v/>
      </c>
      <c r="J97" s="47" t="str">
        <f t="shared" si="17"/>
        <v/>
      </c>
      <c r="K97" s="51" t="str">
        <f t="shared" si="18"/>
        <v/>
      </c>
      <c r="L97" s="52" t="str">
        <f t="shared" si="19"/>
        <v/>
      </c>
      <c r="M97" s="53" t="str">
        <f t="shared" si="20"/>
        <v/>
      </c>
      <c r="N97" s="53" t="str">
        <f t="shared" si="21"/>
        <v/>
      </c>
      <c r="O97" s="53" t="str">
        <f t="shared" si="22"/>
        <v/>
      </c>
      <c r="P97" s="53" t="str">
        <f t="shared" si="23"/>
        <v/>
      </c>
      <c r="Q97" s="53" t="str">
        <f t="shared" si="24"/>
        <v/>
      </c>
      <c r="R97" s="53" t="str">
        <f t="shared" si="25"/>
        <v/>
      </c>
      <c r="S97" s="53" t="str">
        <f t="shared" si="26"/>
        <v/>
      </c>
      <c r="T97" s="53" t="str">
        <f t="shared" si="27"/>
        <v/>
      </c>
    </row>
    <row r="98" spans="1:20">
      <c r="A98" s="47" t="str">
        <f>IF(archive!E98="","",archive!E98)</f>
        <v/>
      </c>
      <c r="B98" s="48" t="str">
        <f t="shared" si="14"/>
        <v/>
      </c>
      <c r="C98" s="49" t="str">
        <f>IF(archive!F98="","",archive!F98)</f>
        <v/>
      </c>
      <c r="D98" s="50" t="str">
        <f t="shared" si="15"/>
        <v/>
      </c>
      <c r="E98" s="50" t="str">
        <f t="shared" si="16"/>
        <v/>
      </c>
      <c r="F98" s="47" t="str">
        <f>IF(COUNTA(archive!H98:CI98)=0,"",COUNTA(archive!H98:CI98))</f>
        <v/>
      </c>
      <c r="G98" s="47" t="str">
        <f>IF(archive!G98="","",archive!G98)</f>
        <v/>
      </c>
      <c r="H98" s="51" t="str">
        <f>IF(archive!CJ98="","",archive!CJ98)</f>
        <v/>
      </c>
      <c r="I98" s="51" t="str">
        <f>IF(archive!CK98="","",archive!CK98)</f>
        <v/>
      </c>
      <c r="J98" s="47" t="str">
        <f t="shared" si="17"/>
        <v/>
      </c>
      <c r="K98" s="51" t="str">
        <f t="shared" si="18"/>
        <v/>
      </c>
      <c r="L98" s="52" t="str">
        <f t="shared" si="19"/>
        <v/>
      </c>
      <c r="M98" s="53" t="str">
        <f t="shared" si="20"/>
        <v/>
      </c>
      <c r="N98" s="53" t="str">
        <f t="shared" si="21"/>
        <v/>
      </c>
      <c r="O98" s="53" t="str">
        <f t="shared" si="22"/>
        <v/>
      </c>
      <c r="P98" s="53" t="str">
        <f t="shared" si="23"/>
        <v/>
      </c>
      <c r="Q98" s="53" t="str">
        <f t="shared" si="24"/>
        <v/>
      </c>
      <c r="R98" s="53" t="str">
        <f t="shared" si="25"/>
        <v/>
      </c>
      <c r="S98" s="53" t="str">
        <f t="shared" si="26"/>
        <v/>
      </c>
      <c r="T98" s="53" t="str">
        <f t="shared" si="27"/>
        <v/>
      </c>
    </row>
    <row r="99" spans="1:20">
      <c r="A99" s="47" t="str">
        <f>IF(archive!E99="","",archive!E99)</f>
        <v/>
      </c>
      <c r="B99" s="48" t="str">
        <f t="shared" si="14"/>
        <v/>
      </c>
      <c r="C99" s="49" t="str">
        <f>IF(archive!F99="","",archive!F99)</f>
        <v/>
      </c>
      <c r="D99" s="50" t="str">
        <f t="shared" si="15"/>
        <v/>
      </c>
      <c r="E99" s="50" t="str">
        <f t="shared" si="16"/>
        <v/>
      </c>
      <c r="F99" s="47" t="str">
        <f>IF(COUNTA(archive!H99:CI99)=0,"",COUNTA(archive!H99:CI99))</f>
        <v/>
      </c>
      <c r="G99" s="47" t="str">
        <f>IF(archive!G99="","",archive!G99)</f>
        <v/>
      </c>
      <c r="H99" s="51" t="str">
        <f>IF(archive!CJ99="","",archive!CJ99)</f>
        <v/>
      </c>
      <c r="I99" s="51" t="str">
        <f>IF(archive!CK99="","",archive!CK99)</f>
        <v/>
      </c>
      <c r="J99" s="47" t="str">
        <f t="shared" si="17"/>
        <v/>
      </c>
      <c r="K99" s="51" t="str">
        <f t="shared" si="18"/>
        <v/>
      </c>
      <c r="L99" s="52" t="str">
        <f t="shared" si="19"/>
        <v/>
      </c>
      <c r="M99" s="53" t="str">
        <f t="shared" si="20"/>
        <v/>
      </c>
      <c r="N99" s="53" t="str">
        <f t="shared" si="21"/>
        <v/>
      </c>
      <c r="O99" s="53" t="str">
        <f t="shared" si="22"/>
        <v/>
      </c>
      <c r="P99" s="53" t="str">
        <f t="shared" si="23"/>
        <v/>
      </c>
      <c r="Q99" s="53" t="str">
        <f t="shared" si="24"/>
        <v/>
      </c>
      <c r="R99" s="53" t="str">
        <f t="shared" si="25"/>
        <v/>
      </c>
      <c r="S99" s="53" t="str">
        <f t="shared" si="26"/>
        <v/>
      </c>
      <c r="T99" s="53" t="str">
        <f t="shared" si="27"/>
        <v/>
      </c>
    </row>
    <row r="100" spans="1:20">
      <c r="A100" s="47" t="str">
        <f>IF(archive!E100="","",archive!E100)</f>
        <v/>
      </c>
      <c r="B100" s="48" t="str">
        <f t="shared" si="14"/>
        <v/>
      </c>
      <c r="C100" s="49" t="str">
        <f>IF(archive!F100="","",archive!F100)</f>
        <v/>
      </c>
      <c r="D100" s="50" t="str">
        <f t="shared" si="15"/>
        <v/>
      </c>
      <c r="E100" s="50" t="str">
        <f t="shared" si="16"/>
        <v/>
      </c>
      <c r="F100" s="47" t="str">
        <f>IF(COUNTA(archive!H100:CI100)=0,"",COUNTA(archive!H100:CI100))</f>
        <v/>
      </c>
      <c r="G100" s="47" t="str">
        <f>IF(archive!G100="","",archive!G100)</f>
        <v/>
      </c>
      <c r="H100" s="51" t="str">
        <f>IF(archive!CJ100="","",archive!CJ100)</f>
        <v/>
      </c>
      <c r="I100" s="51" t="str">
        <f>IF(archive!CK100="","",archive!CK100)</f>
        <v/>
      </c>
      <c r="J100" s="47" t="str">
        <f t="shared" si="17"/>
        <v/>
      </c>
      <c r="K100" s="51" t="str">
        <f t="shared" si="18"/>
        <v/>
      </c>
      <c r="L100" s="52" t="str">
        <f t="shared" si="19"/>
        <v/>
      </c>
      <c r="M100" s="53" t="str">
        <f t="shared" si="20"/>
        <v/>
      </c>
      <c r="N100" s="53" t="str">
        <f t="shared" si="21"/>
        <v/>
      </c>
      <c r="O100" s="53" t="str">
        <f t="shared" si="22"/>
        <v/>
      </c>
      <c r="P100" s="53" t="str">
        <f t="shared" si="23"/>
        <v/>
      </c>
      <c r="Q100" s="53" t="str">
        <f t="shared" si="24"/>
        <v/>
      </c>
      <c r="R100" s="53" t="str">
        <f t="shared" si="25"/>
        <v/>
      </c>
      <c r="S100" s="53" t="str">
        <f t="shared" si="26"/>
        <v/>
      </c>
      <c r="T100" s="53" t="str">
        <f t="shared" si="27"/>
        <v/>
      </c>
    </row>
    <row r="101" spans="1:20">
      <c r="A101" s="47" t="str">
        <f>IF(archive!E101="","",archive!E101)</f>
        <v/>
      </c>
      <c r="B101" s="48" t="str">
        <f t="shared" si="14"/>
        <v/>
      </c>
      <c r="C101" s="49" t="str">
        <f>IF(archive!F101="","",archive!F101)</f>
        <v/>
      </c>
      <c r="D101" s="50" t="str">
        <f t="shared" si="15"/>
        <v/>
      </c>
      <c r="E101" s="50" t="str">
        <f t="shared" si="16"/>
        <v/>
      </c>
      <c r="F101" s="47" t="str">
        <f>IF(COUNTA(archive!H101:CI101)=0,"",COUNTA(archive!H101:CI101))</f>
        <v/>
      </c>
      <c r="G101" s="47" t="str">
        <f>IF(archive!G101="","",archive!G101)</f>
        <v/>
      </c>
      <c r="H101" s="51" t="str">
        <f>IF(archive!CJ101="","",archive!CJ101)</f>
        <v/>
      </c>
      <c r="I101" s="51" t="str">
        <f>IF(archive!CK101="","",archive!CK101)</f>
        <v/>
      </c>
      <c r="J101" s="47" t="str">
        <f t="shared" si="17"/>
        <v/>
      </c>
      <c r="K101" s="51" t="str">
        <f t="shared" si="18"/>
        <v/>
      </c>
      <c r="L101" s="52" t="str">
        <f t="shared" si="19"/>
        <v/>
      </c>
      <c r="M101" s="53" t="str">
        <f t="shared" si="20"/>
        <v/>
      </c>
      <c r="N101" s="53" t="str">
        <f t="shared" si="21"/>
        <v/>
      </c>
      <c r="O101" s="53" t="str">
        <f t="shared" si="22"/>
        <v/>
      </c>
      <c r="P101" s="53" t="str">
        <f t="shared" si="23"/>
        <v/>
      </c>
      <c r="Q101" s="53" t="str">
        <f t="shared" si="24"/>
        <v/>
      </c>
      <c r="R101" s="53" t="str">
        <f t="shared" si="25"/>
        <v/>
      </c>
      <c r="S101" s="53" t="str">
        <f t="shared" si="26"/>
        <v/>
      </c>
      <c r="T101" s="53" t="str">
        <f t="shared" si="27"/>
        <v/>
      </c>
    </row>
    <row r="102" spans="1:20">
      <c r="A102" s="47" t="str">
        <f>IF(archive!E102="","",archive!E102)</f>
        <v/>
      </c>
      <c r="B102" s="48" t="str">
        <f t="shared" si="14"/>
        <v/>
      </c>
      <c r="C102" s="49" t="str">
        <f>IF(archive!F102="","",archive!F102)</f>
        <v/>
      </c>
      <c r="D102" s="50" t="str">
        <f t="shared" si="15"/>
        <v/>
      </c>
      <c r="E102" s="50" t="str">
        <f t="shared" si="16"/>
        <v/>
      </c>
      <c r="F102" s="47" t="str">
        <f>IF(COUNTA(archive!H102:CI102)=0,"",COUNTA(archive!H102:CI102))</f>
        <v/>
      </c>
      <c r="G102" s="47" t="str">
        <f>IF(archive!G102="","",archive!G102)</f>
        <v/>
      </c>
      <c r="H102" s="51" t="str">
        <f>IF(archive!CJ102="","",archive!CJ102)</f>
        <v/>
      </c>
      <c r="I102" s="51" t="str">
        <f>IF(archive!CK102="","",archive!CK102)</f>
        <v/>
      </c>
      <c r="J102" s="47" t="str">
        <f t="shared" si="17"/>
        <v/>
      </c>
      <c r="K102" s="51" t="str">
        <f t="shared" si="18"/>
        <v/>
      </c>
      <c r="L102" s="52" t="str">
        <f t="shared" si="19"/>
        <v/>
      </c>
      <c r="M102" s="53" t="str">
        <f t="shared" si="20"/>
        <v/>
      </c>
      <c r="N102" s="53" t="str">
        <f t="shared" si="21"/>
        <v/>
      </c>
      <c r="O102" s="53" t="str">
        <f t="shared" si="22"/>
        <v/>
      </c>
      <c r="P102" s="53" t="str">
        <f t="shared" si="23"/>
        <v/>
      </c>
      <c r="Q102" s="53" t="str">
        <f t="shared" si="24"/>
        <v/>
      </c>
      <c r="R102" s="53" t="str">
        <f t="shared" si="25"/>
        <v/>
      </c>
      <c r="S102" s="53" t="str">
        <f t="shared" si="26"/>
        <v/>
      </c>
      <c r="T102" s="53" t="str">
        <f t="shared" si="27"/>
        <v/>
      </c>
    </row>
    <row r="103" spans="1:20">
      <c r="A103" s="47" t="str">
        <f>IF(archive!E103="","",archive!E103)</f>
        <v/>
      </c>
      <c r="B103" s="48" t="str">
        <f t="shared" si="14"/>
        <v/>
      </c>
      <c r="C103" s="49" t="str">
        <f>IF(archive!F103="","",archive!F103)</f>
        <v/>
      </c>
      <c r="D103" s="50" t="str">
        <f t="shared" si="15"/>
        <v/>
      </c>
      <c r="E103" s="50" t="str">
        <f t="shared" si="16"/>
        <v/>
      </c>
      <c r="F103" s="47" t="str">
        <f>IF(COUNTA(archive!H103:CI103)=0,"",COUNTA(archive!H103:CI103))</f>
        <v/>
      </c>
      <c r="G103" s="47" t="str">
        <f>IF(archive!G103="","",archive!G103)</f>
        <v/>
      </c>
      <c r="H103" s="51" t="str">
        <f>IF(archive!CJ103="","",archive!CJ103)</f>
        <v/>
      </c>
      <c r="I103" s="51" t="str">
        <f>IF(archive!CK103="","",archive!CK103)</f>
        <v/>
      </c>
      <c r="J103" s="47" t="str">
        <f t="shared" si="17"/>
        <v/>
      </c>
      <c r="K103" s="51" t="str">
        <f t="shared" si="18"/>
        <v/>
      </c>
      <c r="L103" s="52" t="str">
        <f t="shared" si="19"/>
        <v/>
      </c>
      <c r="M103" s="53" t="str">
        <f t="shared" si="20"/>
        <v/>
      </c>
      <c r="N103" s="53" t="str">
        <f t="shared" si="21"/>
        <v/>
      </c>
      <c r="O103" s="53" t="str">
        <f t="shared" si="22"/>
        <v/>
      </c>
      <c r="P103" s="53" t="str">
        <f t="shared" si="23"/>
        <v/>
      </c>
      <c r="Q103" s="53" t="str">
        <f t="shared" si="24"/>
        <v/>
      </c>
      <c r="R103" s="53" t="str">
        <f t="shared" si="25"/>
        <v/>
      </c>
      <c r="S103" s="53" t="str">
        <f t="shared" si="26"/>
        <v/>
      </c>
      <c r="T103" s="53" t="str">
        <f t="shared" si="27"/>
        <v/>
      </c>
    </row>
    <row r="104" spans="1:20">
      <c r="A104" s="47" t="str">
        <f>IF(archive!E104="","",archive!E104)</f>
        <v/>
      </c>
      <c r="B104" s="48" t="str">
        <f t="shared" si="14"/>
        <v/>
      </c>
      <c r="C104" s="49" t="str">
        <f>IF(archive!F104="","",archive!F104)</f>
        <v/>
      </c>
      <c r="D104" s="50" t="str">
        <f t="shared" si="15"/>
        <v/>
      </c>
      <c r="E104" s="50" t="str">
        <f t="shared" si="16"/>
        <v/>
      </c>
      <c r="F104" s="47" t="str">
        <f>IF(COUNTA(archive!H104:CI104)=0,"",COUNTA(archive!H104:CI104))</f>
        <v/>
      </c>
      <c r="G104" s="47" t="str">
        <f>IF(archive!G104="","",archive!G104)</f>
        <v/>
      </c>
      <c r="H104" s="51" t="str">
        <f>IF(archive!CJ104="","",archive!CJ104)</f>
        <v/>
      </c>
      <c r="I104" s="51" t="str">
        <f>IF(archive!CK104="","",archive!CK104)</f>
        <v/>
      </c>
      <c r="J104" s="47" t="str">
        <f t="shared" si="17"/>
        <v/>
      </c>
      <c r="K104" s="51" t="str">
        <f t="shared" si="18"/>
        <v/>
      </c>
      <c r="L104" s="52" t="str">
        <f t="shared" si="19"/>
        <v/>
      </c>
      <c r="M104" s="53" t="str">
        <f t="shared" si="20"/>
        <v/>
      </c>
      <c r="N104" s="53" t="str">
        <f t="shared" si="21"/>
        <v/>
      </c>
      <c r="O104" s="53" t="str">
        <f t="shared" si="22"/>
        <v/>
      </c>
      <c r="P104" s="53" t="str">
        <f t="shared" si="23"/>
        <v/>
      </c>
      <c r="Q104" s="53" t="str">
        <f t="shared" si="24"/>
        <v/>
      </c>
      <c r="R104" s="53" t="str">
        <f t="shared" si="25"/>
        <v/>
      </c>
      <c r="S104" s="53" t="str">
        <f t="shared" si="26"/>
        <v/>
      </c>
      <c r="T104" s="53" t="str">
        <f t="shared" si="27"/>
        <v/>
      </c>
    </row>
    <row r="105" spans="1:20">
      <c r="A105" s="47" t="str">
        <f>IF(archive!E105="","",archive!E105)</f>
        <v/>
      </c>
      <c r="B105" s="48" t="str">
        <f t="shared" si="14"/>
        <v/>
      </c>
      <c r="C105" s="49" t="str">
        <f>IF(archive!F105="","",archive!F105)</f>
        <v/>
      </c>
      <c r="D105" s="50" t="str">
        <f t="shared" si="15"/>
        <v/>
      </c>
      <c r="E105" s="50" t="str">
        <f t="shared" si="16"/>
        <v/>
      </c>
      <c r="F105" s="47" t="str">
        <f>IF(COUNTA(archive!H105:CI105)=0,"",COUNTA(archive!H105:CI105))</f>
        <v/>
      </c>
      <c r="G105" s="47" t="str">
        <f>IF(archive!G105="","",archive!G105)</f>
        <v/>
      </c>
      <c r="H105" s="51" t="str">
        <f>IF(archive!CJ105="","",archive!CJ105)</f>
        <v/>
      </c>
      <c r="I105" s="51" t="str">
        <f>IF(archive!CK105="","",archive!CK105)</f>
        <v/>
      </c>
      <c r="J105" s="47" t="str">
        <f t="shared" si="17"/>
        <v/>
      </c>
      <c r="K105" s="51" t="str">
        <f t="shared" si="18"/>
        <v/>
      </c>
      <c r="L105" s="52" t="str">
        <f t="shared" si="19"/>
        <v/>
      </c>
      <c r="M105" s="53" t="str">
        <f t="shared" si="20"/>
        <v/>
      </c>
      <c r="N105" s="53" t="str">
        <f t="shared" si="21"/>
        <v/>
      </c>
      <c r="O105" s="53" t="str">
        <f t="shared" si="22"/>
        <v/>
      </c>
      <c r="P105" s="53" t="str">
        <f t="shared" si="23"/>
        <v/>
      </c>
      <c r="Q105" s="53" t="str">
        <f t="shared" si="24"/>
        <v/>
      </c>
      <c r="R105" s="53" t="str">
        <f t="shared" si="25"/>
        <v/>
      </c>
      <c r="S105" s="53" t="str">
        <f t="shared" si="26"/>
        <v/>
      </c>
      <c r="T105" s="53" t="str">
        <f t="shared" si="27"/>
        <v/>
      </c>
    </row>
    <row r="106" spans="1:20">
      <c r="A106" s="47" t="str">
        <f>IF(archive!E106="","",archive!E106)</f>
        <v/>
      </c>
      <c r="B106" s="48" t="str">
        <f t="shared" si="14"/>
        <v/>
      </c>
      <c r="C106" s="49" t="str">
        <f>IF(archive!F106="","",archive!F106)</f>
        <v/>
      </c>
      <c r="D106" s="50" t="str">
        <f t="shared" si="15"/>
        <v/>
      </c>
      <c r="E106" s="50" t="str">
        <f t="shared" si="16"/>
        <v/>
      </c>
      <c r="F106" s="47" t="str">
        <f>IF(COUNTA(archive!H106:CI106)=0,"",COUNTA(archive!H106:CI106))</f>
        <v/>
      </c>
      <c r="G106" s="47" t="str">
        <f>IF(archive!G106="","",archive!G106)</f>
        <v/>
      </c>
      <c r="H106" s="51" t="str">
        <f>IF(archive!CJ106="","",archive!CJ106)</f>
        <v/>
      </c>
      <c r="I106" s="51" t="str">
        <f>IF(archive!CK106="","",archive!CK106)</f>
        <v/>
      </c>
      <c r="J106" s="47" t="str">
        <f t="shared" si="17"/>
        <v/>
      </c>
      <c r="K106" s="51" t="str">
        <f t="shared" si="18"/>
        <v/>
      </c>
      <c r="L106" s="52" t="str">
        <f t="shared" si="19"/>
        <v/>
      </c>
      <c r="M106" s="53" t="str">
        <f t="shared" si="20"/>
        <v/>
      </c>
      <c r="N106" s="53" t="str">
        <f t="shared" si="21"/>
        <v/>
      </c>
      <c r="O106" s="53" t="str">
        <f t="shared" si="22"/>
        <v/>
      </c>
      <c r="P106" s="53" t="str">
        <f t="shared" si="23"/>
        <v/>
      </c>
      <c r="Q106" s="53" t="str">
        <f t="shared" si="24"/>
        <v/>
      </c>
      <c r="R106" s="53" t="str">
        <f t="shared" si="25"/>
        <v/>
      </c>
      <c r="S106" s="53" t="str">
        <f t="shared" si="26"/>
        <v/>
      </c>
      <c r="T106" s="53" t="str">
        <f t="shared" si="27"/>
        <v/>
      </c>
    </row>
    <row r="107" spans="1:20">
      <c r="A107" s="47" t="str">
        <f>IF(archive!E107="","",archive!E107)</f>
        <v/>
      </c>
      <c r="B107" s="48" t="str">
        <f t="shared" si="14"/>
        <v/>
      </c>
      <c r="C107" s="49" t="str">
        <f>IF(archive!F107="","",archive!F107)</f>
        <v/>
      </c>
      <c r="D107" s="50" t="str">
        <f t="shared" si="15"/>
        <v/>
      </c>
      <c r="E107" s="50" t="str">
        <f t="shared" si="16"/>
        <v/>
      </c>
      <c r="F107" s="47" t="str">
        <f>IF(COUNTA(archive!H107:CI107)=0,"",COUNTA(archive!H107:CI107))</f>
        <v/>
      </c>
      <c r="G107" s="47" t="str">
        <f>IF(archive!G107="","",archive!G107)</f>
        <v/>
      </c>
      <c r="H107" s="51" t="str">
        <f>IF(archive!CJ107="","",archive!CJ107)</f>
        <v/>
      </c>
      <c r="I107" s="51" t="str">
        <f>IF(archive!CK107="","",archive!CK107)</f>
        <v/>
      </c>
      <c r="J107" s="47" t="str">
        <f t="shared" si="17"/>
        <v/>
      </c>
      <c r="K107" s="51" t="str">
        <f t="shared" si="18"/>
        <v/>
      </c>
      <c r="L107" s="52" t="str">
        <f t="shared" si="19"/>
        <v/>
      </c>
      <c r="M107" s="53" t="str">
        <f t="shared" si="20"/>
        <v/>
      </c>
      <c r="N107" s="53" t="str">
        <f t="shared" si="21"/>
        <v/>
      </c>
      <c r="O107" s="53" t="str">
        <f t="shared" si="22"/>
        <v/>
      </c>
      <c r="P107" s="53" t="str">
        <f t="shared" si="23"/>
        <v/>
      </c>
      <c r="Q107" s="53" t="str">
        <f t="shared" si="24"/>
        <v/>
      </c>
      <c r="R107" s="53" t="str">
        <f t="shared" si="25"/>
        <v/>
      </c>
      <c r="S107" s="53" t="str">
        <f t="shared" si="26"/>
        <v/>
      </c>
      <c r="T107" s="53" t="str">
        <f t="shared" si="27"/>
        <v/>
      </c>
    </row>
    <row r="108" spans="1:20">
      <c r="A108" s="47" t="str">
        <f>IF(archive!E108="","",archive!E108)</f>
        <v/>
      </c>
      <c r="B108" s="48" t="str">
        <f t="shared" si="14"/>
        <v/>
      </c>
      <c r="C108" s="49" t="str">
        <f>IF(archive!F108="","",archive!F108)</f>
        <v/>
      </c>
      <c r="D108" s="50" t="str">
        <f t="shared" si="15"/>
        <v/>
      </c>
      <c r="E108" s="50" t="str">
        <f t="shared" si="16"/>
        <v/>
      </c>
      <c r="F108" s="47" t="str">
        <f>IF(COUNTA(archive!H108:CI108)=0,"",COUNTA(archive!H108:CI108))</f>
        <v/>
      </c>
      <c r="G108" s="47" t="str">
        <f>IF(archive!G108="","",archive!G108)</f>
        <v/>
      </c>
      <c r="H108" s="51" t="str">
        <f>IF(archive!CJ108="","",archive!CJ108)</f>
        <v/>
      </c>
      <c r="I108" s="51" t="str">
        <f>IF(archive!CK108="","",archive!CK108)</f>
        <v/>
      </c>
      <c r="J108" s="47" t="str">
        <f t="shared" si="17"/>
        <v/>
      </c>
      <c r="K108" s="51" t="str">
        <f t="shared" si="18"/>
        <v/>
      </c>
      <c r="L108" s="52" t="str">
        <f t="shared" si="19"/>
        <v/>
      </c>
      <c r="M108" s="53" t="str">
        <f t="shared" si="20"/>
        <v/>
      </c>
      <c r="N108" s="53" t="str">
        <f t="shared" si="21"/>
        <v/>
      </c>
      <c r="O108" s="53" t="str">
        <f t="shared" si="22"/>
        <v/>
      </c>
      <c r="P108" s="53" t="str">
        <f t="shared" si="23"/>
        <v/>
      </c>
      <c r="Q108" s="53" t="str">
        <f t="shared" si="24"/>
        <v/>
      </c>
      <c r="R108" s="53" t="str">
        <f t="shared" si="25"/>
        <v/>
      </c>
      <c r="S108" s="53" t="str">
        <f t="shared" si="26"/>
        <v/>
      </c>
      <c r="T108" s="53" t="str">
        <f t="shared" si="27"/>
        <v/>
      </c>
    </row>
    <row r="109" spans="1:20">
      <c r="A109" s="47" t="str">
        <f>IF(archive!E109="","",archive!E109)</f>
        <v/>
      </c>
      <c r="B109" s="48" t="str">
        <f t="shared" si="14"/>
        <v/>
      </c>
      <c r="C109" s="49" t="str">
        <f>IF(archive!F109="","",archive!F109)</f>
        <v/>
      </c>
      <c r="D109" s="50" t="str">
        <f t="shared" si="15"/>
        <v/>
      </c>
      <c r="E109" s="50" t="str">
        <f t="shared" si="16"/>
        <v/>
      </c>
      <c r="F109" s="47" t="str">
        <f>IF(COUNTA(archive!H109:CI109)=0,"",COUNTA(archive!H109:CI109))</f>
        <v/>
      </c>
      <c r="G109" s="47" t="str">
        <f>IF(archive!G109="","",archive!G109)</f>
        <v/>
      </c>
      <c r="H109" s="51" t="str">
        <f>IF(archive!CJ109="","",archive!CJ109)</f>
        <v/>
      </c>
      <c r="I109" s="51" t="str">
        <f>IF(archive!CK109="","",archive!CK109)</f>
        <v/>
      </c>
      <c r="J109" s="47" t="str">
        <f t="shared" si="17"/>
        <v/>
      </c>
      <c r="K109" s="51" t="str">
        <f t="shared" si="18"/>
        <v/>
      </c>
      <c r="L109" s="52" t="str">
        <f t="shared" si="19"/>
        <v/>
      </c>
      <c r="M109" s="53" t="str">
        <f t="shared" si="20"/>
        <v/>
      </c>
      <c r="N109" s="53" t="str">
        <f t="shared" si="21"/>
        <v/>
      </c>
      <c r="O109" s="53" t="str">
        <f t="shared" si="22"/>
        <v/>
      </c>
      <c r="P109" s="53" t="str">
        <f t="shared" si="23"/>
        <v/>
      </c>
      <c r="Q109" s="53" t="str">
        <f t="shared" si="24"/>
        <v/>
      </c>
      <c r="R109" s="53" t="str">
        <f t="shared" si="25"/>
        <v/>
      </c>
      <c r="S109" s="53" t="str">
        <f t="shared" si="26"/>
        <v/>
      </c>
      <c r="T109" s="53" t="str">
        <f t="shared" si="27"/>
        <v/>
      </c>
    </row>
    <row r="110" spans="1:20">
      <c r="A110" s="47" t="str">
        <f>IF(archive!E110="","",archive!E110)</f>
        <v/>
      </c>
      <c r="B110" s="48" t="str">
        <f t="shared" si="14"/>
        <v/>
      </c>
      <c r="C110" s="49" t="str">
        <f>IF(archive!F110="","",archive!F110)</f>
        <v/>
      </c>
      <c r="D110" s="50" t="str">
        <f t="shared" si="15"/>
        <v/>
      </c>
      <c r="E110" s="50" t="str">
        <f t="shared" si="16"/>
        <v/>
      </c>
      <c r="F110" s="47" t="str">
        <f>IF(COUNTA(archive!H110:CI110)=0,"",COUNTA(archive!H110:CI110))</f>
        <v/>
      </c>
      <c r="G110" s="47" t="str">
        <f>IF(archive!G110="","",archive!G110)</f>
        <v/>
      </c>
      <c r="H110" s="51" t="str">
        <f>IF(archive!CJ110="","",archive!CJ110)</f>
        <v/>
      </c>
      <c r="I110" s="51" t="str">
        <f>IF(archive!CK110="","",archive!CK110)</f>
        <v/>
      </c>
      <c r="J110" s="47" t="str">
        <f t="shared" si="17"/>
        <v/>
      </c>
      <c r="K110" s="51" t="str">
        <f t="shared" si="18"/>
        <v/>
      </c>
      <c r="L110" s="52" t="str">
        <f t="shared" si="19"/>
        <v/>
      </c>
      <c r="M110" s="53" t="str">
        <f t="shared" si="20"/>
        <v/>
      </c>
      <c r="N110" s="53" t="str">
        <f t="shared" si="21"/>
        <v/>
      </c>
      <c r="O110" s="53" t="str">
        <f t="shared" si="22"/>
        <v/>
      </c>
      <c r="P110" s="53" t="str">
        <f t="shared" si="23"/>
        <v/>
      </c>
      <c r="Q110" s="53" t="str">
        <f t="shared" si="24"/>
        <v/>
      </c>
      <c r="R110" s="53" t="str">
        <f t="shared" si="25"/>
        <v/>
      </c>
      <c r="S110" s="53" t="str">
        <f t="shared" si="26"/>
        <v/>
      </c>
      <c r="T110" s="53" t="str">
        <f t="shared" si="27"/>
        <v/>
      </c>
    </row>
    <row r="111" spans="1:20">
      <c r="A111" s="47" t="str">
        <f>IF(archive!E111="","",archive!E111)</f>
        <v/>
      </c>
      <c r="B111" s="48" t="str">
        <f t="shared" si="14"/>
        <v/>
      </c>
      <c r="C111" s="49" t="str">
        <f>IF(archive!F111="","",archive!F111)</f>
        <v/>
      </c>
      <c r="D111" s="50" t="str">
        <f t="shared" si="15"/>
        <v/>
      </c>
      <c r="E111" s="50" t="str">
        <f t="shared" si="16"/>
        <v/>
      </c>
      <c r="F111" s="47" t="str">
        <f>IF(COUNTA(archive!H111:CI111)=0,"",COUNTA(archive!H111:CI111))</f>
        <v/>
      </c>
      <c r="G111" s="47" t="str">
        <f>IF(archive!G111="","",archive!G111)</f>
        <v/>
      </c>
      <c r="H111" s="51" t="str">
        <f>IF(archive!CJ111="","",archive!CJ111)</f>
        <v/>
      </c>
      <c r="I111" s="51" t="str">
        <f>IF(archive!CK111="","",archive!CK111)</f>
        <v/>
      </c>
      <c r="J111" s="47" t="str">
        <f t="shared" si="17"/>
        <v/>
      </c>
      <c r="K111" s="51" t="str">
        <f t="shared" si="18"/>
        <v/>
      </c>
      <c r="L111" s="52" t="str">
        <f t="shared" si="19"/>
        <v/>
      </c>
      <c r="M111" s="53" t="str">
        <f t="shared" si="20"/>
        <v/>
      </c>
      <c r="N111" s="53" t="str">
        <f t="shared" si="21"/>
        <v/>
      </c>
      <c r="O111" s="53" t="str">
        <f t="shared" si="22"/>
        <v/>
      </c>
      <c r="P111" s="53" t="str">
        <f t="shared" si="23"/>
        <v/>
      </c>
      <c r="Q111" s="53" t="str">
        <f t="shared" si="24"/>
        <v/>
      </c>
      <c r="R111" s="53" t="str">
        <f t="shared" si="25"/>
        <v/>
      </c>
      <c r="S111" s="53" t="str">
        <f t="shared" si="26"/>
        <v/>
      </c>
      <c r="T111" s="53" t="str">
        <f t="shared" si="27"/>
        <v/>
      </c>
    </row>
    <row r="112" spans="1:20">
      <c r="A112" s="47" t="str">
        <f>IF(archive!E112="","",archive!E112)</f>
        <v/>
      </c>
      <c r="B112" s="48" t="str">
        <f t="shared" si="14"/>
        <v/>
      </c>
      <c r="C112" s="49" t="str">
        <f>IF(archive!F112="","",archive!F112)</f>
        <v/>
      </c>
      <c r="D112" s="50" t="str">
        <f t="shared" si="15"/>
        <v/>
      </c>
      <c r="E112" s="50" t="str">
        <f t="shared" si="16"/>
        <v/>
      </c>
      <c r="F112" s="47" t="str">
        <f>IF(COUNTA(archive!H112:CI112)=0,"",COUNTA(archive!H112:CI112))</f>
        <v/>
      </c>
      <c r="G112" s="47" t="str">
        <f>IF(archive!G112="","",archive!G112)</f>
        <v/>
      </c>
      <c r="H112" s="51" t="str">
        <f>IF(archive!CJ112="","",archive!CJ112)</f>
        <v/>
      </c>
      <c r="I112" s="51" t="str">
        <f>IF(archive!CK112="","",archive!CK112)</f>
        <v/>
      </c>
      <c r="J112" s="47" t="str">
        <f t="shared" si="17"/>
        <v/>
      </c>
      <c r="K112" s="51" t="str">
        <f t="shared" si="18"/>
        <v/>
      </c>
      <c r="L112" s="52" t="str">
        <f t="shared" si="19"/>
        <v/>
      </c>
      <c r="M112" s="53" t="str">
        <f t="shared" si="20"/>
        <v/>
      </c>
      <c r="N112" s="53" t="str">
        <f t="shared" si="21"/>
        <v/>
      </c>
      <c r="O112" s="53" t="str">
        <f t="shared" si="22"/>
        <v/>
      </c>
      <c r="P112" s="53" t="str">
        <f t="shared" si="23"/>
        <v/>
      </c>
      <c r="Q112" s="53" t="str">
        <f t="shared" si="24"/>
        <v/>
      </c>
      <c r="R112" s="53" t="str">
        <f t="shared" si="25"/>
        <v/>
      </c>
      <c r="S112" s="53" t="str">
        <f t="shared" si="26"/>
        <v/>
      </c>
      <c r="T112" s="53" t="str">
        <f t="shared" si="27"/>
        <v/>
      </c>
    </row>
    <row r="113" spans="1:20">
      <c r="A113" s="47" t="str">
        <f>IF(archive!E113="","",archive!E113)</f>
        <v/>
      </c>
      <c r="B113" s="48" t="str">
        <f t="shared" si="14"/>
        <v/>
      </c>
      <c r="C113" s="49" t="str">
        <f>IF(archive!F113="","",archive!F113)</f>
        <v/>
      </c>
      <c r="D113" s="50" t="str">
        <f t="shared" si="15"/>
        <v/>
      </c>
      <c r="E113" s="50" t="str">
        <f t="shared" si="16"/>
        <v/>
      </c>
      <c r="F113" s="47" t="str">
        <f>IF(COUNTA(archive!H113:CI113)=0,"",COUNTA(archive!H113:CI113))</f>
        <v/>
      </c>
      <c r="G113" s="47" t="str">
        <f>IF(archive!G113="","",archive!G113)</f>
        <v/>
      </c>
      <c r="H113" s="51" t="str">
        <f>IF(archive!CJ113="","",archive!CJ113)</f>
        <v/>
      </c>
      <c r="I113" s="51" t="str">
        <f>IF(archive!CK113="","",archive!CK113)</f>
        <v/>
      </c>
      <c r="J113" s="47" t="str">
        <f t="shared" si="17"/>
        <v/>
      </c>
      <c r="K113" s="51" t="str">
        <f t="shared" si="18"/>
        <v/>
      </c>
      <c r="L113" s="52" t="str">
        <f t="shared" si="19"/>
        <v/>
      </c>
      <c r="M113" s="53" t="str">
        <f t="shared" si="20"/>
        <v/>
      </c>
      <c r="N113" s="53" t="str">
        <f t="shared" si="21"/>
        <v/>
      </c>
      <c r="O113" s="53" t="str">
        <f t="shared" si="22"/>
        <v/>
      </c>
      <c r="P113" s="53" t="str">
        <f t="shared" si="23"/>
        <v/>
      </c>
      <c r="Q113" s="53" t="str">
        <f t="shared" si="24"/>
        <v/>
      </c>
      <c r="R113" s="53" t="str">
        <f t="shared" si="25"/>
        <v/>
      </c>
      <c r="S113" s="53" t="str">
        <f t="shared" si="26"/>
        <v/>
      </c>
      <c r="T113" s="53" t="str">
        <f t="shared" si="27"/>
        <v/>
      </c>
    </row>
    <row r="114" spans="1:20">
      <c r="A114" s="47" t="str">
        <f>IF(archive!E114="","",archive!E114)</f>
        <v/>
      </c>
      <c r="B114" s="48" t="str">
        <f t="shared" si="14"/>
        <v/>
      </c>
      <c r="C114" s="49" t="str">
        <f>IF(archive!F114="","",archive!F114)</f>
        <v/>
      </c>
      <c r="D114" s="50" t="str">
        <f t="shared" si="15"/>
        <v/>
      </c>
      <c r="E114" s="50" t="str">
        <f t="shared" si="16"/>
        <v/>
      </c>
      <c r="F114" s="47" t="str">
        <f>IF(COUNTA(archive!H114:CI114)=0,"",COUNTA(archive!H114:CI114))</f>
        <v/>
      </c>
      <c r="G114" s="47" t="str">
        <f>IF(archive!G114="","",archive!G114)</f>
        <v/>
      </c>
      <c r="H114" s="51" t="str">
        <f>IF(archive!CJ114="","",archive!CJ114)</f>
        <v/>
      </c>
      <c r="I114" s="51" t="str">
        <f>IF(archive!CK114="","",archive!CK114)</f>
        <v/>
      </c>
      <c r="J114" s="47" t="str">
        <f t="shared" si="17"/>
        <v/>
      </c>
      <c r="K114" s="51" t="str">
        <f t="shared" si="18"/>
        <v/>
      </c>
      <c r="L114" s="52" t="str">
        <f t="shared" si="19"/>
        <v/>
      </c>
      <c r="M114" s="53" t="str">
        <f t="shared" si="20"/>
        <v/>
      </c>
      <c r="N114" s="53" t="str">
        <f t="shared" si="21"/>
        <v/>
      </c>
      <c r="O114" s="53" t="str">
        <f t="shared" si="22"/>
        <v/>
      </c>
      <c r="P114" s="53" t="str">
        <f t="shared" si="23"/>
        <v/>
      </c>
      <c r="Q114" s="53" t="str">
        <f t="shared" si="24"/>
        <v/>
      </c>
      <c r="R114" s="53" t="str">
        <f t="shared" si="25"/>
        <v/>
      </c>
      <c r="S114" s="53" t="str">
        <f t="shared" si="26"/>
        <v/>
      </c>
      <c r="T114" s="53" t="str">
        <f t="shared" si="27"/>
        <v/>
      </c>
    </row>
    <row r="115" spans="1:20">
      <c r="A115" s="47" t="str">
        <f>IF(archive!E115="","",archive!E115)</f>
        <v/>
      </c>
      <c r="B115" s="48" t="str">
        <f t="shared" si="14"/>
        <v/>
      </c>
      <c r="C115" s="49" t="str">
        <f>IF(archive!F115="","",archive!F115)</f>
        <v/>
      </c>
      <c r="D115" s="50" t="str">
        <f t="shared" si="15"/>
        <v/>
      </c>
      <c r="E115" s="50" t="str">
        <f t="shared" si="16"/>
        <v/>
      </c>
      <c r="F115" s="47" t="str">
        <f>IF(COUNTA(archive!H115:CI115)=0,"",COUNTA(archive!H115:CI115))</f>
        <v/>
      </c>
      <c r="G115" s="47" t="str">
        <f>IF(archive!G115="","",archive!G115)</f>
        <v/>
      </c>
      <c r="H115" s="51" t="str">
        <f>IF(archive!CJ115="","",archive!CJ115)</f>
        <v/>
      </c>
      <c r="I115" s="51" t="str">
        <f>IF(archive!CK115="","",archive!CK115)</f>
        <v/>
      </c>
      <c r="J115" s="47" t="str">
        <f t="shared" si="17"/>
        <v/>
      </c>
      <c r="K115" s="51" t="str">
        <f t="shared" si="18"/>
        <v/>
      </c>
      <c r="L115" s="52" t="str">
        <f t="shared" si="19"/>
        <v/>
      </c>
      <c r="M115" s="53" t="str">
        <f t="shared" si="20"/>
        <v/>
      </c>
      <c r="N115" s="53" t="str">
        <f t="shared" si="21"/>
        <v/>
      </c>
      <c r="O115" s="53" t="str">
        <f t="shared" si="22"/>
        <v/>
      </c>
      <c r="P115" s="53" t="str">
        <f t="shared" si="23"/>
        <v/>
      </c>
      <c r="Q115" s="53" t="str">
        <f t="shared" si="24"/>
        <v/>
      </c>
      <c r="R115" s="53" t="str">
        <f t="shared" si="25"/>
        <v/>
      </c>
      <c r="S115" s="53" t="str">
        <f t="shared" si="26"/>
        <v/>
      </c>
      <c r="T115" s="53" t="str">
        <f t="shared" si="27"/>
        <v/>
      </c>
    </row>
    <row r="116" spans="1:20">
      <c r="A116" s="47" t="str">
        <f>IF(archive!E116="","",archive!E116)</f>
        <v/>
      </c>
      <c r="B116" s="48" t="str">
        <f t="shared" si="14"/>
        <v/>
      </c>
      <c r="C116" s="49" t="str">
        <f>IF(archive!F116="","",archive!F116)</f>
        <v/>
      </c>
      <c r="D116" s="50" t="str">
        <f t="shared" si="15"/>
        <v/>
      </c>
      <c r="E116" s="50" t="str">
        <f t="shared" si="16"/>
        <v/>
      </c>
      <c r="F116" s="47" t="str">
        <f>IF(COUNTA(archive!H116:CI116)=0,"",COUNTA(archive!H116:CI116))</f>
        <v/>
      </c>
      <c r="G116" s="47" t="str">
        <f>IF(archive!G116="","",archive!G116)</f>
        <v/>
      </c>
      <c r="H116" s="51" t="str">
        <f>IF(archive!CJ116="","",archive!CJ116)</f>
        <v/>
      </c>
      <c r="I116" s="51" t="str">
        <f>IF(archive!CK116="","",archive!CK116)</f>
        <v/>
      </c>
      <c r="J116" s="47" t="str">
        <f t="shared" si="17"/>
        <v/>
      </c>
      <c r="K116" s="51" t="str">
        <f t="shared" si="18"/>
        <v/>
      </c>
      <c r="L116" s="52" t="str">
        <f t="shared" si="19"/>
        <v/>
      </c>
      <c r="M116" s="53" t="str">
        <f t="shared" si="20"/>
        <v/>
      </c>
      <c r="N116" s="53" t="str">
        <f t="shared" si="21"/>
        <v/>
      </c>
      <c r="O116" s="53" t="str">
        <f t="shared" si="22"/>
        <v/>
      </c>
      <c r="P116" s="53" t="str">
        <f t="shared" si="23"/>
        <v/>
      </c>
      <c r="Q116" s="53" t="str">
        <f t="shared" si="24"/>
        <v/>
      </c>
      <c r="R116" s="53" t="str">
        <f t="shared" si="25"/>
        <v/>
      </c>
      <c r="S116" s="53" t="str">
        <f t="shared" si="26"/>
        <v/>
      </c>
      <c r="T116" s="53" t="str">
        <f t="shared" si="27"/>
        <v/>
      </c>
    </row>
    <row r="117" spans="1:20">
      <c r="A117" s="47" t="str">
        <f>IF(archive!E117="","",archive!E117)</f>
        <v/>
      </c>
      <c r="B117" s="48" t="str">
        <f t="shared" si="14"/>
        <v/>
      </c>
      <c r="C117" s="49" t="str">
        <f>IF(archive!F117="","",archive!F117)</f>
        <v/>
      </c>
      <c r="D117" s="50" t="str">
        <f t="shared" si="15"/>
        <v/>
      </c>
      <c r="E117" s="50" t="str">
        <f t="shared" si="16"/>
        <v/>
      </c>
      <c r="F117" s="47" t="str">
        <f>IF(COUNTA(archive!H117:CI117)=0,"",COUNTA(archive!H117:CI117))</f>
        <v/>
      </c>
      <c r="G117" s="47" t="str">
        <f>IF(archive!G117="","",archive!G117)</f>
        <v/>
      </c>
      <c r="H117" s="51" t="str">
        <f>IF(archive!CJ117="","",archive!CJ117)</f>
        <v/>
      </c>
      <c r="I117" s="51" t="str">
        <f>IF(archive!CK117="","",archive!CK117)</f>
        <v/>
      </c>
      <c r="J117" s="47" t="str">
        <f t="shared" si="17"/>
        <v/>
      </c>
      <c r="K117" s="51" t="str">
        <f t="shared" si="18"/>
        <v/>
      </c>
      <c r="L117" s="52" t="str">
        <f t="shared" si="19"/>
        <v/>
      </c>
      <c r="M117" s="53" t="str">
        <f t="shared" si="20"/>
        <v/>
      </c>
      <c r="N117" s="53" t="str">
        <f t="shared" si="21"/>
        <v/>
      </c>
      <c r="O117" s="53" t="str">
        <f t="shared" si="22"/>
        <v/>
      </c>
      <c r="P117" s="53" t="str">
        <f t="shared" si="23"/>
        <v/>
      </c>
      <c r="Q117" s="53" t="str">
        <f t="shared" si="24"/>
        <v/>
      </c>
      <c r="R117" s="53" t="str">
        <f t="shared" si="25"/>
        <v/>
      </c>
      <c r="S117" s="53" t="str">
        <f t="shared" si="26"/>
        <v/>
      </c>
      <c r="T117" s="53" t="str">
        <f t="shared" si="27"/>
        <v/>
      </c>
    </row>
    <row r="118" spans="1:20">
      <c r="A118" s="47" t="str">
        <f>IF(archive!E118="","",archive!E118)</f>
        <v/>
      </c>
      <c r="B118" s="48" t="str">
        <f t="shared" si="14"/>
        <v/>
      </c>
      <c r="C118" s="49" t="str">
        <f>IF(archive!F118="","",archive!F118)</f>
        <v/>
      </c>
      <c r="D118" s="50" t="str">
        <f t="shared" si="15"/>
        <v/>
      </c>
      <c r="E118" s="50" t="str">
        <f t="shared" si="16"/>
        <v/>
      </c>
      <c r="F118" s="47" t="str">
        <f>IF(COUNTA(archive!H118:CI118)=0,"",COUNTA(archive!H118:CI118))</f>
        <v/>
      </c>
      <c r="G118" s="47" t="str">
        <f>IF(archive!G118="","",archive!G118)</f>
        <v/>
      </c>
      <c r="H118" s="51" t="str">
        <f>IF(archive!CJ118="","",archive!CJ118)</f>
        <v/>
      </c>
      <c r="I118" s="51" t="str">
        <f>IF(archive!CK118="","",archive!CK118)</f>
        <v/>
      </c>
      <c r="J118" s="47" t="str">
        <f t="shared" si="17"/>
        <v/>
      </c>
      <c r="K118" s="51" t="str">
        <f t="shared" si="18"/>
        <v/>
      </c>
      <c r="L118" s="52" t="str">
        <f t="shared" si="19"/>
        <v/>
      </c>
      <c r="M118" s="53" t="str">
        <f t="shared" si="20"/>
        <v/>
      </c>
      <c r="N118" s="53" t="str">
        <f t="shared" si="21"/>
        <v/>
      </c>
      <c r="O118" s="53" t="str">
        <f t="shared" si="22"/>
        <v/>
      </c>
      <c r="P118" s="53" t="str">
        <f t="shared" si="23"/>
        <v/>
      </c>
      <c r="Q118" s="53" t="str">
        <f t="shared" si="24"/>
        <v/>
      </c>
      <c r="R118" s="53" t="str">
        <f t="shared" si="25"/>
        <v/>
      </c>
      <c r="S118" s="53" t="str">
        <f t="shared" si="26"/>
        <v/>
      </c>
      <c r="T118" s="53" t="str">
        <f t="shared" si="27"/>
        <v/>
      </c>
    </row>
    <row r="119" spans="1:20">
      <c r="A119" s="47" t="str">
        <f>IF(archive!E119="","",archive!E119)</f>
        <v/>
      </c>
      <c r="B119" s="48" t="str">
        <f t="shared" si="14"/>
        <v/>
      </c>
      <c r="C119" s="49" t="str">
        <f>IF(archive!F119="","",archive!F119)</f>
        <v/>
      </c>
      <c r="D119" s="50" t="str">
        <f t="shared" si="15"/>
        <v/>
      </c>
      <c r="E119" s="50" t="str">
        <f t="shared" si="16"/>
        <v/>
      </c>
      <c r="F119" s="47" t="str">
        <f>IF(COUNTA(archive!H119:CI119)=0,"",COUNTA(archive!H119:CI119))</f>
        <v/>
      </c>
      <c r="G119" s="47" t="str">
        <f>IF(archive!G119="","",archive!G119)</f>
        <v/>
      </c>
      <c r="H119" s="51" t="str">
        <f>IF(archive!CJ119="","",archive!CJ119)</f>
        <v/>
      </c>
      <c r="I119" s="51" t="str">
        <f>IF(archive!CK119="","",archive!CK119)</f>
        <v/>
      </c>
      <c r="J119" s="47" t="str">
        <f t="shared" si="17"/>
        <v/>
      </c>
      <c r="K119" s="51" t="str">
        <f t="shared" si="18"/>
        <v/>
      </c>
      <c r="L119" s="52" t="str">
        <f t="shared" si="19"/>
        <v/>
      </c>
      <c r="M119" s="53" t="str">
        <f t="shared" si="20"/>
        <v/>
      </c>
      <c r="N119" s="53" t="str">
        <f t="shared" si="21"/>
        <v/>
      </c>
      <c r="O119" s="53" t="str">
        <f t="shared" si="22"/>
        <v/>
      </c>
      <c r="P119" s="53" t="str">
        <f t="shared" si="23"/>
        <v/>
      </c>
      <c r="Q119" s="53" t="str">
        <f t="shared" si="24"/>
        <v/>
      </c>
      <c r="R119" s="53" t="str">
        <f t="shared" si="25"/>
        <v/>
      </c>
      <c r="S119" s="53" t="str">
        <f t="shared" si="26"/>
        <v/>
      </c>
      <c r="T119" s="53" t="str">
        <f t="shared" si="27"/>
        <v/>
      </c>
    </row>
    <row r="120" spans="1:20">
      <c r="A120" s="47" t="str">
        <f>IF(archive!E120="","",archive!E120)</f>
        <v/>
      </c>
      <c r="B120" s="48" t="str">
        <f t="shared" si="14"/>
        <v/>
      </c>
      <c r="C120" s="49" t="str">
        <f>IF(archive!F120="","",archive!F120)</f>
        <v/>
      </c>
      <c r="D120" s="50" t="str">
        <f t="shared" si="15"/>
        <v/>
      </c>
      <c r="E120" s="50" t="str">
        <f t="shared" si="16"/>
        <v/>
      </c>
      <c r="F120" s="47" t="str">
        <f>IF(COUNTA(archive!H120:CI120)=0,"",COUNTA(archive!H120:CI120))</f>
        <v/>
      </c>
      <c r="G120" s="47" t="str">
        <f>IF(archive!G120="","",archive!G120)</f>
        <v/>
      </c>
      <c r="H120" s="51" t="str">
        <f>IF(archive!CJ120="","",archive!CJ120)</f>
        <v/>
      </c>
      <c r="I120" s="51" t="str">
        <f>IF(archive!CK120="","",archive!CK120)</f>
        <v/>
      </c>
      <c r="J120" s="47" t="str">
        <f t="shared" si="17"/>
        <v/>
      </c>
      <c r="K120" s="51" t="str">
        <f t="shared" si="18"/>
        <v/>
      </c>
      <c r="L120" s="52" t="str">
        <f t="shared" si="19"/>
        <v/>
      </c>
      <c r="M120" s="53" t="str">
        <f t="shared" si="20"/>
        <v/>
      </c>
      <c r="N120" s="53" t="str">
        <f t="shared" si="21"/>
        <v/>
      </c>
      <c r="O120" s="53" t="str">
        <f t="shared" si="22"/>
        <v/>
      </c>
      <c r="P120" s="53" t="str">
        <f t="shared" si="23"/>
        <v/>
      </c>
      <c r="Q120" s="53" t="str">
        <f t="shared" si="24"/>
        <v/>
      </c>
      <c r="R120" s="53" t="str">
        <f t="shared" si="25"/>
        <v/>
      </c>
      <c r="S120" s="53" t="str">
        <f t="shared" si="26"/>
        <v/>
      </c>
      <c r="T120" s="53" t="str">
        <f t="shared" si="27"/>
        <v/>
      </c>
    </row>
    <row r="121" spans="1:20">
      <c r="A121" s="47" t="str">
        <f>IF(archive!E121="","",archive!E121)</f>
        <v/>
      </c>
      <c r="B121" s="48" t="str">
        <f t="shared" si="14"/>
        <v/>
      </c>
      <c r="C121" s="49" t="str">
        <f>IF(archive!F121="","",archive!F121)</f>
        <v/>
      </c>
      <c r="D121" s="50" t="str">
        <f t="shared" si="15"/>
        <v/>
      </c>
      <c r="E121" s="50" t="str">
        <f t="shared" si="16"/>
        <v/>
      </c>
      <c r="F121" s="47" t="str">
        <f>IF(COUNTA(archive!H121:CI121)=0,"",COUNTA(archive!H121:CI121))</f>
        <v/>
      </c>
      <c r="G121" s="47" t="str">
        <f>IF(archive!G121="","",archive!G121)</f>
        <v/>
      </c>
      <c r="H121" s="51" t="str">
        <f>IF(archive!CJ121="","",archive!CJ121)</f>
        <v/>
      </c>
      <c r="I121" s="51" t="str">
        <f>IF(archive!CK121="","",archive!CK121)</f>
        <v/>
      </c>
      <c r="J121" s="47" t="str">
        <f t="shared" si="17"/>
        <v/>
      </c>
      <c r="K121" s="51" t="str">
        <f t="shared" si="18"/>
        <v/>
      </c>
      <c r="L121" s="52" t="str">
        <f t="shared" si="19"/>
        <v/>
      </c>
      <c r="M121" s="53" t="str">
        <f t="shared" si="20"/>
        <v/>
      </c>
      <c r="N121" s="53" t="str">
        <f t="shared" si="21"/>
        <v/>
      </c>
      <c r="O121" s="53" t="str">
        <f t="shared" si="22"/>
        <v/>
      </c>
      <c r="P121" s="53" t="str">
        <f t="shared" si="23"/>
        <v/>
      </c>
      <c r="Q121" s="53" t="str">
        <f t="shared" si="24"/>
        <v/>
      </c>
      <c r="R121" s="53" t="str">
        <f t="shared" si="25"/>
        <v/>
      </c>
      <c r="S121" s="53" t="str">
        <f t="shared" si="26"/>
        <v/>
      </c>
      <c r="T121" s="53" t="str">
        <f t="shared" si="27"/>
        <v/>
      </c>
    </row>
    <row r="122" spans="1:20">
      <c r="A122" s="47" t="str">
        <f>IF(archive!E122="","",archive!E122)</f>
        <v/>
      </c>
      <c r="B122" s="48" t="str">
        <f t="shared" si="14"/>
        <v/>
      </c>
      <c r="C122" s="49" t="str">
        <f>IF(archive!F122="","",archive!F122)</f>
        <v/>
      </c>
      <c r="D122" s="50" t="str">
        <f t="shared" si="15"/>
        <v/>
      </c>
      <c r="E122" s="50" t="str">
        <f t="shared" si="16"/>
        <v/>
      </c>
      <c r="F122" s="47" t="str">
        <f>IF(COUNTA(archive!H122:CI122)=0,"",COUNTA(archive!H122:CI122))</f>
        <v/>
      </c>
      <c r="G122" s="47" t="str">
        <f>IF(archive!G122="","",archive!G122)</f>
        <v/>
      </c>
      <c r="H122" s="51" t="str">
        <f>IF(archive!CJ122="","",archive!CJ122)</f>
        <v/>
      </c>
      <c r="I122" s="51" t="str">
        <f>IF(archive!CK122="","",archive!CK122)</f>
        <v/>
      </c>
      <c r="J122" s="47" t="str">
        <f t="shared" si="17"/>
        <v/>
      </c>
      <c r="K122" s="51" t="str">
        <f t="shared" si="18"/>
        <v/>
      </c>
      <c r="L122" s="52" t="str">
        <f t="shared" si="19"/>
        <v/>
      </c>
      <c r="M122" s="53" t="str">
        <f t="shared" si="20"/>
        <v/>
      </c>
      <c r="N122" s="53" t="str">
        <f t="shared" si="21"/>
        <v/>
      </c>
      <c r="O122" s="53" t="str">
        <f t="shared" si="22"/>
        <v/>
      </c>
      <c r="P122" s="53" t="str">
        <f t="shared" si="23"/>
        <v/>
      </c>
      <c r="Q122" s="53" t="str">
        <f t="shared" si="24"/>
        <v/>
      </c>
      <c r="R122" s="53" t="str">
        <f t="shared" si="25"/>
        <v/>
      </c>
      <c r="S122" s="53" t="str">
        <f t="shared" si="26"/>
        <v/>
      </c>
      <c r="T122" s="53" t="str">
        <f t="shared" si="27"/>
        <v/>
      </c>
    </row>
    <row r="123" spans="1:20">
      <c r="A123" s="47" t="str">
        <f>IF(archive!E123="","",archive!E123)</f>
        <v/>
      </c>
      <c r="B123" s="48" t="str">
        <f t="shared" si="14"/>
        <v/>
      </c>
      <c r="C123" s="49" t="str">
        <f>IF(archive!F123="","",archive!F123)</f>
        <v/>
      </c>
      <c r="D123" s="50" t="str">
        <f t="shared" si="15"/>
        <v/>
      </c>
      <c r="E123" s="50" t="str">
        <f t="shared" si="16"/>
        <v/>
      </c>
      <c r="F123" s="47" t="str">
        <f>IF(COUNTA(archive!H123:CI123)=0,"",COUNTA(archive!H123:CI123))</f>
        <v/>
      </c>
      <c r="G123" s="47" t="str">
        <f>IF(archive!G123="","",archive!G123)</f>
        <v/>
      </c>
      <c r="H123" s="51" t="str">
        <f>IF(archive!CJ123="","",archive!CJ123)</f>
        <v/>
      </c>
      <c r="I123" s="51" t="str">
        <f>IF(archive!CK123="","",archive!CK123)</f>
        <v/>
      </c>
      <c r="J123" s="47" t="str">
        <f t="shared" si="17"/>
        <v/>
      </c>
      <c r="K123" s="51" t="str">
        <f t="shared" si="18"/>
        <v/>
      </c>
      <c r="L123" s="52" t="str">
        <f t="shared" si="19"/>
        <v/>
      </c>
      <c r="M123" s="53" t="str">
        <f t="shared" si="20"/>
        <v/>
      </c>
      <c r="N123" s="53" t="str">
        <f t="shared" si="21"/>
        <v/>
      </c>
      <c r="O123" s="53" t="str">
        <f t="shared" si="22"/>
        <v/>
      </c>
      <c r="P123" s="53" t="str">
        <f t="shared" si="23"/>
        <v/>
      </c>
      <c r="Q123" s="53" t="str">
        <f t="shared" si="24"/>
        <v/>
      </c>
      <c r="R123" s="53" t="str">
        <f t="shared" si="25"/>
        <v/>
      </c>
      <c r="S123" s="53" t="str">
        <f t="shared" si="26"/>
        <v/>
      </c>
      <c r="T123" s="53" t="str">
        <f t="shared" si="27"/>
        <v/>
      </c>
    </row>
    <row r="124" spans="1:20">
      <c r="A124" s="47" t="str">
        <f>IF(archive!E124="","",archive!E124)</f>
        <v/>
      </c>
      <c r="B124" s="48" t="str">
        <f t="shared" si="14"/>
        <v/>
      </c>
      <c r="C124" s="49" t="str">
        <f>IF(archive!F124="","",archive!F124)</f>
        <v/>
      </c>
      <c r="D124" s="50" t="str">
        <f t="shared" si="15"/>
        <v/>
      </c>
      <c r="E124" s="50" t="str">
        <f t="shared" si="16"/>
        <v/>
      </c>
      <c r="F124" s="47" t="str">
        <f>IF(COUNTA(archive!H124:CI124)=0,"",COUNTA(archive!H124:CI124))</f>
        <v/>
      </c>
      <c r="G124" s="47" t="str">
        <f>IF(archive!G124="","",archive!G124)</f>
        <v/>
      </c>
      <c r="H124" s="51" t="str">
        <f>IF(archive!CJ124="","",archive!CJ124)</f>
        <v/>
      </c>
      <c r="I124" s="51" t="str">
        <f>IF(archive!CK124="","",archive!CK124)</f>
        <v/>
      </c>
      <c r="J124" s="47" t="str">
        <f t="shared" si="17"/>
        <v/>
      </c>
      <c r="K124" s="51" t="str">
        <f t="shared" si="18"/>
        <v/>
      </c>
      <c r="L124" s="52" t="str">
        <f t="shared" si="19"/>
        <v/>
      </c>
      <c r="M124" s="53" t="str">
        <f t="shared" si="20"/>
        <v/>
      </c>
      <c r="N124" s="53" t="str">
        <f t="shared" si="21"/>
        <v/>
      </c>
      <c r="O124" s="53" t="str">
        <f t="shared" si="22"/>
        <v/>
      </c>
      <c r="P124" s="53" t="str">
        <f t="shared" si="23"/>
        <v/>
      </c>
      <c r="Q124" s="53" t="str">
        <f t="shared" si="24"/>
        <v/>
      </c>
      <c r="R124" s="53" t="str">
        <f t="shared" si="25"/>
        <v/>
      </c>
      <c r="S124" s="53" t="str">
        <f t="shared" si="26"/>
        <v/>
      </c>
      <c r="T124" s="53" t="str">
        <f t="shared" si="27"/>
        <v/>
      </c>
    </row>
    <row r="125" spans="1:20">
      <c r="A125" s="47" t="str">
        <f>IF(archive!E125="","",archive!E125)</f>
        <v/>
      </c>
      <c r="B125" s="48" t="str">
        <f t="shared" si="14"/>
        <v/>
      </c>
      <c r="C125" s="49" t="str">
        <f>IF(archive!F125="","",archive!F125)</f>
        <v/>
      </c>
      <c r="D125" s="50" t="str">
        <f t="shared" si="15"/>
        <v/>
      </c>
      <c r="E125" s="50" t="str">
        <f t="shared" si="16"/>
        <v/>
      </c>
      <c r="F125" s="47" t="str">
        <f>IF(COUNTA(archive!H125:CI125)=0,"",COUNTA(archive!H125:CI125))</f>
        <v/>
      </c>
      <c r="G125" s="47" t="str">
        <f>IF(archive!G125="","",archive!G125)</f>
        <v/>
      </c>
      <c r="H125" s="51" t="str">
        <f>IF(archive!CJ125="","",archive!CJ125)</f>
        <v/>
      </c>
      <c r="I125" s="51" t="str">
        <f>IF(archive!CK125="","",archive!CK125)</f>
        <v/>
      </c>
      <c r="J125" s="47" t="str">
        <f t="shared" si="17"/>
        <v/>
      </c>
      <c r="K125" s="51" t="str">
        <f t="shared" si="18"/>
        <v/>
      </c>
      <c r="L125" s="52" t="str">
        <f t="shared" si="19"/>
        <v/>
      </c>
      <c r="M125" s="53" t="str">
        <f t="shared" si="20"/>
        <v/>
      </c>
      <c r="N125" s="53" t="str">
        <f t="shared" si="21"/>
        <v/>
      </c>
      <c r="O125" s="53" t="str">
        <f t="shared" si="22"/>
        <v/>
      </c>
      <c r="P125" s="53" t="str">
        <f t="shared" si="23"/>
        <v/>
      </c>
      <c r="Q125" s="53" t="str">
        <f t="shared" si="24"/>
        <v/>
      </c>
      <c r="R125" s="53" t="str">
        <f t="shared" si="25"/>
        <v/>
      </c>
      <c r="S125" s="53" t="str">
        <f t="shared" si="26"/>
        <v/>
      </c>
      <c r="T125" s="53" t="str">
        <f t="shared" si="27"/>
        <v/>
      </c>
    </row>
    <row r="126" spans="1:20">
      <c r="A126" s="47" t="str">
        <f>IF(archive!E126="","",archive!E126)</f>
        <v/>
      </c>
      <c r="B126" s="48" t="str">
        <f t="shared" si="14"/>
        <v/>
      </c>
      <c r="C126" s="49" t="str">
        <f>IF(archive!F126="","",archive!F126)</f>
        <v/>
      </c>
      <c r="D126" s="50" t="str">
        <f t="shared" si="15"/>
        <v/>
      </c>
      <c r="E126" s="50" t="str">
        <f t="shared" si="16"/>
        <v/>
      </c>
      <c r="F126" s="47" t="str">
        <f>IF(COUNTA(archive!H126:CI126)=0,"",COUNTA(archive!H126:CI126))</f>
        <v/>
      </c>
      <c r="G126" s="47" t="str">
        <f>IF(archive!G126="","",archive!G126)</f>
        <v/>
      </c>
      <c r="H126" s="51" t="str">
        <f>IF(archive!CJ126="","",archive!CJ126)</f>
        <v/>
      </c>
      <c r="I126" s="51" t="str">
        <f>IF(archive!CK126="","",archive!CK126)</f>
        <v/>
      </c>
      <c r="J126" s="47" t="str">
        <f t="shared" si="17"/>
        <v/>
      </c>
      <c r="K126" s="51" t="str">
        <f t="shared" si="18"/>
        <v/>
      </c>
      <c r="L126" s="52" t="str">
        <f t="shared" si="19"/>
        <v/>
      </c>
      <c r="M126" s="53" t="str">
        <f t="shared" si="20"/>
        <v/>
      </c>
      <c r="N126" s="53" t="str">
        <f t="shared" si="21"/>
        <v/>
      </c>
      <c r="O126" s="53" t="str">
        <f t="shared" si="22"/>
        <v/>
      </c>
      <c r="P126" s="53" t="str">
        <f t="shared" si="23"/>
        <v/>
      </c>
      <c r="Q126" s="53" t="str">
        <f t="shared" si="24"/>
        <v/>
      </c>
      <c r="R126" s="53" t="str">
        <f t="shared" si="25"/>
        <v/>
      </c>
      <c r="S126" s="53" t="str">
        <f t="shared" si="26"/>
        <v/>
      </c>
      <c r="T126" s="53" t="str">
        <f t="shared" si="27"/>
        <v/>
      </c>
    </row>
    <row r="127" spans="1:20">
      <c r="A127" s="47" t="str">
        <f>IF(archive!E127="","",archive!E127)</f>
        <v/>
      </c>
      <c r="B127" s="48" t="str">
        <f t="shared" si="14"/>
        <v/>
      </c>
      <c r="C127" s="49" t="str">
        <f>IF(archive!F127="","",archive!F127)</f>
        <v/>
      </c>
      <c r="D127" s="50" t="str">
        <f t="shared" si="15"/>
        <v/>
      </c>
      <c r="E127" s="50" t="str">
        <f t="shared" si="16"/>
        <v/>
      </c>
      <c r="F127" s="47" t="str">
        <f>IF(COUNTA(archive!H127:CI127)=0,"",COUNTA(archive!H127:CI127))</f>
        <v/>
      </c>
      <c r="G127" s="47" t="str">
        <f>IF(archive!G127="","",archive!G127)</f>
        <v/>
      </c>
      <c r="H127" s="51" t="str">
        <f>IF(archive!CJ127="","",archive!CJ127)</f>
        <v/>
      </c>
      <c r="I127" s="51" t="str">
        <f>IF(archive!CK127="","",archive!CK127)</f>
        <v/>
      </c>
      <c r="J127" s="47" t="str">
        <f t="shared" si="17"/>
        <v/>
      </c>
      <c r="K127" s="51" t="str">
        <f t="shared" si="18"/>
        <v/>
      </c>
      <c r="L127" s="52" t="str">
        <f t="shared" si="19"/>
        <v/>
      </c>
      <c r="M127" s="53" t="str">
        <f t="shared" si="20"/>
        <v/>
      </c>
      <c r="N127" s="53" t="str">
        <f t="shared" si="21"/>
        <v/>
      </c>
      <c r="O127" s="53" t="str">
        <f t="shared" si="22"/>
        <v/>
      </c>
      <c r="P127" s="53" t="str">
        <f t="shared" si="23"/>
        <v/>
      </c>
      <c r="Q127" s="53" t="str">
        <f t="shared" si="24"/>
        <v/>
      </c>
      <c r="R127" s="53" t="str">
        <f t="shared" si="25"/>
        <v/>
      </c>
      <c r="S127" s="53" t="str">
        <f t="shared" si="26"/>
        <v/>
      </c>
      <c r="T127" s="53" t="str">
        <f t="shared" si="27"/>
        <v/>
      </c>
    </row>
    <row r="128" spans="1:20">
      <c r="A128" s="47" t="str">
        <f>IF(archive!E128="","",archive!E128)</f>
        <v/>
      </c>
      <c r="B128" s="48" t="str">
        <f t="shared" si="14"/>
        <v/>
      </c>
      <c r="C128" s="49" t="str">
        <f>IF(archive!F128="","",archive!F128)</f>
        <v/>
      </c>
      <c r="D128" s="50" t="str">
        <f t="shared" si="15"/>
        <v/>
      </c>
      <c r="E128" s="50" t="str">
        <f t="shared" si="16"/>
        <v/>
      </c>
      <c r="F128" s="47" t="str">
        <f>IF(COUNTA(archive!H128:CI128)=0,"",COUNTA(archive!H128:CI128))</f>
        <v/>
      </c>
      <c r="G128" s="47" t="str">
        <f>IF(archive!G128="","",archive!G128)</f>
        <v/>
      </c>
      <c r="H128" s="51" t="str">
        <f>IF(archive!CJ128="","",archive!CJ128)</f>
        <v/>
      </c>
      <c r="I128" s="51" t="str">
        <f>IF(archive!CK128="","",archive!CK128)</f>
        <v/>
      </c>
      <c r="J128" s="47" t="str">
        <f t="shared" si="17"/>
        <v/>
      </c>
      <c r="K128" s="51" t="str">
        <f t="shared" si="18"/>
        <v/>
      </c>
      <c r="L128" s="52" t="str">
        <f t="shared" si="19"/>
        <v/>
      </c>
      <c r="M128" s="53" t="str">
        <f t="shared" si="20"/>
        <v/>
      </c>
      <c r="N128" s="53" t="str">
        <f t="shared" si="21"/>
        <v/>
      </c>
      <c r="O128" s="53" t="str">
        <f t="shared" si="22"/>
        <v/>
      </c>
      <c r="P128" s="53" t="str">
        <f t="shared" si="23"/>
        <v/>
      </c>
      <c r="Q128" s="53" t="str">
        <f t="shared" si="24"/>
        <v/>
      </c>
      <c r="R128" s="53" t="str">
        <f t="shared" si="25"/>
        <v/>
      </c>
      <c r="S128" s="53" t="str">
        <f t="shared" si="26"/>
        <v/>
      </c>
      <c r="T128" s="53" t="str">
        <f t="shared" si="27"/>
        <v/>
      </c>
    </row>
    <row r="129" spans="1:20">
      <c r="A129" s="47" t="str">
        <f>IF(archive!E129="","",archive!E129)</f>
        <v/>
      </c>
      <c r="B129" s="48" t="str">
        <f t="shared" si="14"/>
        <v/>
      </c>
      <c r="C129" s="49" t="str">
        <f>IF(archive!F129="","",archive!F129)</f>
        <v/>
      </c>
      <c r="D129" s="50" t="str">
        <f t="shared" si="15"/>
        <v/>
      </c>
      <c r="E129" s="50" t="str">
        <f t="shared" si="16"/>
        <v/>
      </c>
      <c r="F129" s="47" t="str">
        <f>IF(COUNTA(archive!H129:CI129)=0,"",COUNTA(archive!H129:CI129))</f>
        <v/>
      </c>
      <c r="G129" s="47" t="str">
        <f>IF(archive!G129="","",archive!G129)</f>
        <v/>
      </c>
      <c r="H129" s="51" t="str">
        <f>IF(archive!CJ129="","",archive!CJ129)</f>
        <v/>
      </c>
      <c r="I129" s="51" t="str">
        <f>IF(archive!CK129="","",archive!CK129)</f>
        <v/>
      </c>
      <c r="J129" s="47" t="str">
        <f t="shared" si="17"/>
        <v/>
      </c>
      <c r="K129" s="51" t="str">
        <f t="shared" si="18"/>
        <v/>
      </c>
      <c r="L129" s="52" t="str">
        <f t="shared" si="19"/>
        <v/>
      </c>
      <c r="M129" s="53" t="str">
        <f t="shared" si="20"/>
        <v/>
      </c>
      <c r="N129" s="53" t="str">
        <f t="shared" si="21"/>
        <v/>
      </c>
      <c r="O129" s="53" t="str">
        <f t="shared" si="22"/>
        <v/>
      </c>
      <c r="P129" s="53" t="str">
        <f t="shared" si="23"/>
        <v/>
      </c>
      <c r="Q129" s="53" t="str">
        <f t="shared" si="24"/>
        <v/>
      </c>
      <c r="R129" s="53" t="str">
        <f t="shared" si="25"/>
        <v/>
      </c>
      <c r="S129" s="53" t="str">
        <f t="shared" si="26"/>
        <v/>
      </c>
      <c r="T129" s="53" t="str">
        <f t="shared" si="27"/>
        <v/>
      </c>
    </row>
    <row r="130" spans="1:20">
      <c r="A130" s="47" t="str">
        <f>IF(archive!E130="","",archive!E130)</f>
        <v/>
      </c>
      <c r="B130" s="48" t="str">
        <f t="shared" si="14"/>
        <v/>
      </c>
      <c r="C130" s="49" t="str">
        <f>IF(archive!F130="","",archive!F130)</f>
        <v/>
      </c>
      <c r="D130" s="50" t="str">
        <f t="shared" si="15"/>
        <v/>
      </c>
      <c r="E130" s="50" t="str">
        <f t="shared" si="16"/>
        <v/>
      </c>
      <c r="F130" s="47" t="str">
        <f>IF(COUNTA(archive!H130:CI130)=0,"",COUNTA(archive!H130:CI130))</f>
        <v/>
      </c>
      <c r="G130" s="47" t="str">
        <f>IF(archive!G130="","",archive!G130)</f>
        <v/>
      </c>
      <c r="H130" s="51" t="str">
        <f>IF(archive!CJ130="","",archive!CJ130)</f>
        <v/>
      </c>
      <c r="I130" s="51" t="str">
        <f>IF(archive!CK130="","",archive!CK130)</f>
        <v/>
      </c>
      <c r="J130" s="47" t="str">
        <f t="shared" si="17"/>
        <v/>
      </c>
      <c r="K130" s="51" t="str">
        <f t="shared" si="18"/>
        <v/>
      </c>
      <c r="L130" s="52" t="str">
        <f t="shared" si="19"/>
        <v/>
      </c>
      <c r="M130" s="53" t="str">
        <f t="shared" si="20"/>
        <v/>
      </c>
      <c r="N130" s="53" t="str">
        <f t="shared" si="21"/>
        <v/>
      </c>
      <c r="O130" s="53" t="str">
        <f t="shared" si="22"/>
        <v/>
      </c>
      <c r="P130" s="53" t="str">
        <f t="shared" si="23"/>
        <v/>
      </c>
      <c r="Q130" s="53" t="str">
        <f t="shared" si="24"/>
        <v/>
      </c>
      <c r="R130" s="53" t="str">
        <f t="shared" si="25"/>
        <v/>
      </c>
      <c r="S130" s="53" t="str">
        <f t="shared" si="26"/>
        <v/>
      </c>
      <c r="T130" s="53" t="str">
        <f t="shared" si="27"/>
        <v/>
      </c>
    </row>
    <row r="131" spans="1:20">
      <c r="A131" s="47" t="str">
        <f>IF(archive!E131="","",archive!E131)</f>
        <v/>
      </c>
      <c r="B131" s="48" t="str">
        <f t="shared" si="14"/>
        <v/>
      </c>
      <c r="C131" s="49" t="str">
        <f>IF(archive!F131="","",archive!F131)</f>
        <v/>
      </c>
      <c r="D131" s="50" t="str">
        <f t="shared" si="15"/>
        <v/>
      </c>
      <c r="E131" s="50" t="str">
        <f t="shared" si="16"/>
        <v/>
      </c>
      <c r="F131" s="47" t="str">
        <f>IF(COUNTA(archive!H131:CI131)=0,"",COUNTA(archive!H131:CI131))</f>
        <v/>
      </c>
      <c r="G131" s="47" t="str">
        <f>IF(archive!G131="","",archive!G131)</f>
        <v/>
      </c>
      <c r="H131" s="51" t="str">
        <f>IF(archive!CJ131="","",archive!CJ131)</f>
        <v/>
      </c>
      <c r="I131" s="51" t="str">
        <f>IF(archive!CK131="","",archive!CK131)</f>
        <v/>
      </c>
      <c r="J131" s="47" t="str">
        <f t="shared" si="17"/>
        <v/>
      </c>
      <c r="K131" s="51" t="str">
        <f t="shared" si="18"/>
        <v/>
      </c>
      <c r="L131" s="52" t="str">
        <f t="shared" si="19"/>
        <v/>
      </c>
      <c r="M131" s="53" t="str">
        <f t="shared" si="20"/>
        <v/>
      </c>
      <c r="N131" s="53" t="str">
        <f t="shared" si="21"/>
        <v/>
      </c>
      <c r="O131" s="53" t="str">
        <f t="shared" si="22"/>
        <v/>
      </c>
      <c r="P131" s="53" t="str">
        <f t="shared" si="23"/>
        <v/>
      </c>
      <c r="Q131" s="53" t="str">
        <f t="shared" si="24"/>
        <v/>
      </c>
      <c r="R131" s="53" t="str">
        <f t="shared" si="25"/>
        <v/>
      </c>
      <c r="S131" s="53" t="str">
        <f t="shared" si="26"/>
        <v/>
      </c>
      <c r="T131" s="53" t="str">
        <f t="shared" si="27"/>
        <v/>
      </c>
    </row>
    <row r="132" spans="1:20">
      <c r="A132" s="47" t="str">
        <f>IF(archive!E132="","",archive!E132)</f>
        <v/>
      </c>
      <c r="B132" s="48" t="str">
        <f t="shared" ref="B132:B195" si="28">IF(C132="","",VLOOKUP($C132,Tare,2,0))</f>
        <v/>
      </c>
      <c r="C132" s="49" t="str">
        <f>IF(archive!F132="","",archive!F132)</f>
        <v/>
      </c>
      <c r="D132" s="50" t="str">
        <f t="shared" ref="D132:D195" si="29">IF(C132="","",C132+B132)</f>
        <v/>
      </c>
      <c r="E132" s="50" t="str">
        <f t="shared" ref="E132:E195" si="30">IF(C132="","",(C132*0.025)+D132)</f>
        <v/>
      </c>
      <c r="F132" s="47" t="str">
        <f>IF(COUNTA(archive!H132:CI132)=0,"",COUNTA(archive!H132:CI132))</f>
        <v/>
      </c>
      <c r="G132" s="47" t="str">
        <f>IF(archive!G132="","",archive!G132)</f>
        <v/>
      </c>
      <c r="H132" s="51" t="str">
        <f>IF(archive!CJ132="","",archive!CJ132)</f>
        <v/>
      </c>
      <c r="I132" s="51" t="str">
        <f>IF(archive!CK132="","",archive!CK132)</f>
        <v/>
      </c>
      <c r="J132" s="47" t="str">
        <f t="shared" ref="J132:J195" si="31">IF(F132="","",VLOOKUP(F132,Valeur_g,2,0))</f>
        <v/>
      </c>
      <c r="K132" s="51" t="str">
        <f t="shared" ref="K132:K195" si="32">IF(C132="","",D132+(J132*I132))</f>
        <v/>
      </c>
      <c r="L132" s="52" t="str">
        <f t="shared" ref="L132:L195" si="33">IF(C132="","",IF(K132&lt;H132,"Conforme","Non conforme"))</f>
        <v/>
      </c>
      <c r="M132" s="53" t="str">
        <f t="shared" ref="M132:M195" si="34">IF(C132="","",1)</f>
        <v/>
      </c>
      <c r="N132" s="53" t="str">
        <f t="shared" ref="N132:N195" si="35">IF(L132="","",COUNTIF(L132,"Non conforme"))</f>
        <v/>
      </c>
      <c r="O132" s="53" t="str">
        <f t="shared" ref="O132:O195" si="36">IF($C132="","",IF($C132=0.25,$G132,"-"))</f>
        <v/>
      </c>
      <c r="P132" s="53" t="str">
        <f t="shared" ref="P132:P195" si="37">IF($C132="","",IF($C132=0.4,$G132,"-"))</f>
        <v/>
      </c>
      <c r="Q132" s="53" t="str">
        <f t="shared" ref="Q132:Q195" si="38">IF($C132="","",IF($C132=0.5,$G132,"-"))</f>
        <v/>
      </c>
      <c r="R132" s="53" t="str">
        <f t="shared" ref="R132:R195" si="39">IF($C132="","",IF($C132=0.6,$G132,"-"))</f>
        <v/>
      </c>
      <c r="S132" s="53" t="str">
        <f t="shared" ref="S132:S195" si="40">IF($C132="","",IF($C132=0.8,$G132,"-"))</f>
        <v/>
      </c>
      <c r="T132" s="53" t="str">
        <f t="shared" ref="T132:T195" si="41">IF($C132="","",IF($C132=1,$G132,"-"))</f>
        <v/>
      </c>
    </row>
    <row r="133" spans="1:20">
      <c r="A133" s="47" t="str">
        <f>IF(archive!E133="","",archive!E133)</f>
        <v/>
      </c>
      <c r="B133" s="48" t="str">
        <f t="shared" si="28"/>
        <v/>
      </c>
      <c r="C133" s="49" t="str">
        <f>IF(archive!F133="","",archive!F133)</f>
        <v/>
      </c>
      <c r="D133" s="50" t="str">
        <f t="shared" si="29"/>
        <v/>
      </c>
      <c r="E133" s="50" t="str">
        <f t="shared" si="30"/>
        <v/>
      </c>
      <c r="F133" s="47" t="str">
        <f>IF(COUNTA(archive!H133:CI133)=0,"",COUNTA(archive!H133:CI133))</f>
        <v/>
      </c>
      <c r="G133" s="47" t="str">
        <f>IF(archive!G133="","",archive!G133)</f>
        <v/>
      </c>
      <c r="H133" s="51" t="str">
        <f>IF(archive!CJ133="","",archive!CJ133)</f>
        <v/>
      </c>
      <c r="I133" s="51" t="str">
        <f>IF(archive!CK133="","",archive!CK133)</f>
        <v/>
      </c>
      <c r="J133" s="47" t="str">
        <f t="shared" si="31"/>
        <v/>
      </c>
      <c r="K133" s="51" t="str">
        <f t="shared" si="32"/>
        <v/>
      </c>
      <c r="L133" s="52" t="str">
        <f t="shared" si="33"/>
        <v/>
      </c>
      <c r="M133" s="53" t="str">
        <f t="shared" si="34"/>
        <v/>
      </c>
      <c r="N133" s="53" t="str">
        <f t="shared" si="35"/>
        <v/>
      </c>
      <c r="O133" s="53" t="str">
        <f t="shared" si="36"/>
        <v/>
      </c>
      <c r="P133" s="53" t="str">
        <f t="shared" si="37"/>
        <v/>
      </c>
      <c r="Q133" s="53" t="str">
        <f t="shared" si="38"/>
        <v/>
      </c>
      <c r="R133" s="53" t="str">
        <f t="shared" si="39"/>
        <v/>
      </c>
      <c r="S133" s="53" t="str">
        <f t="shared" si="40"/>
        <v/>
      </c>
      <c r="T133" s="53" t="str">
        <f t="shared" si="41"/>
        <v/>
      </c>
    </row>
    <row r="134" spans="1:20">
      <c r="A134" s="47" t="str">
        <f>IF(archive!E134="","",archive!E134)</f>
        <v/>
      </c>
      <c r="B134" s="48" t="str">
        <f t="shared" si="28"/>
        <v/>
      </c>
      <c r="C134" s="49" t="str">
        <f>IF(archive!F134="","",archive!F134)</f>
        <v/>
      </c>
      <c r="D134" s="50" t="str">
        <f t="shared" si="29"/>
        <v/>
      </c>
      <c r="E134" s="50" t="str">
        <f t="shared" si="30"/>
        <v/>
      </c>
      <c r="F134" s="47" t="str">
        <f>IF(COUNTA(archive!H134:CI134)=0,"",COUNTA(archive!H134:CI134))</f>
        <v/>
      </c>
      <c r="G134" s="47" t="str">
        <f>IF(archive!G134="","",archive!G134)</f>
        <v/>
      </c>
      <c r="H134" s="51" t="str">
        <f>IF(archive!CJ134="","",archive!CJ134)</f>
        <v/>
      </c>
      <c r="I134" s="51" t="str">
        <f>IF(archive!CK134="","",archive!CK134)</f>
        <v/>
      </c>
      <c r="J134" s="47" t="str">
        <f t="shared" si="31"/>
        <v/>
      </c>
      <c r="K134" s="51" t="str">
        <f t="shared" si="32"/>
        <v/>
      </c>
      <c r="L134" s="52" t="str">
        <f t="shared" si="33"/>
        <v/>
      </c>
      <c r="M134" s="53" t="str">
        <f t="shared" si="34"/>
        <v/>
      </c>
      <c r="N134" s="53" t="str">
        <f t="shared" si="35"/>
        <v/>
      </c>
      <c r="O134" s="53" t="str">
        <f t="shared" si="36"/>
        <v/>
      </c>
      <c r="P134" s="53" t="str">
        <f t="shared" si="37"/>
        <v/>
      </c>
      <c r="Q134" s="53" t="str">
        <f t="shared" si="38"/>
        <v/>
      </c>
      <c r="R134" s="53" t="str">
        <f t="shared" si="39"/>
        <v/>
      </c>
      <c r="S134" s="53" t="str">
        <f t="shared" si="40"/>
        <v/>
      </c>
      <c r="T134" s="53" t="str">
        <f t="shared" si="41"/>
        <v/>
      </c>
    </row>
    <row r="135" spans="1:20">
      <c r="A135" s="47" t="str">
        <f>IF(archive!E135="","",archive!E135)</f>
        <v/>
      </c>
      <c r="B135" s="48" t="str">
        <f t="shared" si="28"/>
        <v/>
      </c>
      <c r="C135" s="49" t="str">
        <f>IF(archive!F135="","",archive!F135)</f>
        <v/>
      </c>
      <c r="D135" s="50" t="str">
        <f t="shared" si="29"/>
        <v/>
      </c>
      <c r="E135" s="50" t="str">
        <f t="shared" si="30"/>
        <v/>
      </c>
      <c r="F135" s="47" t="str">
        <f>IF(COUNTA(archive!H135:CI135)=0,"",COUNTA(archive!H135:CI135))</f>
        <v/>
      </c>
      <c r="G135" s="47" t="str">
        <f>IF(archive!G135="","",archive!G135)</f>
        <v/>
      </c>
      <c r="H135" s="51" t="str">
        <f>IF(archive!CJ135="","",archive!CJ135)</f>
        <v/>
      </c>
      <c r="I135" s="51" t="str">
        <f>IF(archive!CK135="","",archive!CK135)</f>
        <v/>
      </c>
      <c r="J135" s="47" t="str">
        <f t="shared" si="31"/>
        <v/>
      </c>
      <c r="K135" s="51" t="str">
        <f t="shared" si="32"/>
        <v/>
      </c>
      <c r="L135" s="52" t="str">
        <f t="shared" si="33"/>
        <v/>
      </c>
      <c r="M135" s="53" t="str">
        <f t="shared" si="34"/>
        <v/>
      </c>
      <c r="N135" s="53" t="str">
        <f t="shared" si="35"/>
        <v/>
      </c>
      <c r="O135" s="53" t="str">
        <f t="shared" si="36"/>
        <v/>
      </c>
      <c r="P135" s="53" t="str">
        <f t="shared" si="37"/>
        <v/>
      </c>
      <c r="Q135" s="53" t="str">
        <f t="shared" si="38"/>
        <v/>
      </c>
      <c r="R135" s="53" t="str">
        <f t="shared" si="39"/>
        <v/>
      </c>
      <c r="S135" s="53" t="str">
        <f t="shared" si="40"/>
        <v/>
      </c>
      <c r="T135" s="53" t="str">
        <f t="shared" si="41"/>
        <v/>
      </c>
    </row>
    <row r="136" spans="1:20">
      <c r="A136" s="47" t="str">
        <f>IF(archive!E136="","",archive!E136)</f>
        <v/>
      </c>
      <c r="B136" s="48" t="str">
        <f t="shared" si="28"/>
        <v/>
      </c>
      <c r="C136" s="49" t="str">
        <f>IF(archive!F136="","",archive!F136)</f>
        <v/>
      </c>
      <c r="D136" s="50" t="str">
        <f t="shared" si="29"/>
        <v/>
      </c>
      <c r="E136" s="50" t="str">
        <f t="shared" si="30"/>
        <v/>
      </c>
      <c r="F136" s="47" t="str">
        <f>IF(COUNTA(archive!H136:CI136)=0,"",COUNTA(archive!H136:CI136))</f>
        <v/>
      </c>
      <c r="G136" s="47" t="str">
        <f>IF(archive!G136="","",archive!G136)</f>
        <v/>
      </c>
      <c r="H136" s="51" t="str">
        <f>IF(archive!CJ136="","",archive!CJ136)</f>
        <v/>
      </c>
      <c r="I136" s="51" t="str">
        <f>IF(archive!CK136="","",archive!CK136)</f>
        <v/>
      </c>
      <c r="J136" s="47" t="str">
        <f t="shared" si="31"/>
        <v/>
      </c>
      <c r="K136" s="51" t="str">
        <f t="shared" si="32"/>
        <v/>
      </c>
      <c r="L136" s="52" t="str">
        <f t="shared" si="33"/>
        <v/>
      </c>
      <c r="M136" s="53" t="str">
        <f t="shared" si="34"/>
        <v/>
      </c>
      <c r="N136" s="53" t="str">
        <f t="shared" si="35"/>
        <v/>
      </c>
      <c r="O136" s="53" t="str">
        <f t="shared" si="36"/>
        <v/>
      </c>
      <c r="P136" s="53" t="str">
        <f t="shared" si="37"/>
        <v/>
      </c>
      <c r="Q136" s="53" t="str">
        <f t="shared" si="38"/>
        <v/>
      </c>
      <c r="R136" s="53" t="str">
        <f t="shared" si="39"/>
        <v/>
      </c>
      <c r="S136" s="53" t="str">
        <f t="shared" si="40"/>
        <v/>
      </c>
      <c r="T136" s="53" t="str">
        <f t="shared" si="41"/>
        <v/>
      </c>
    </row>
    <row r="137" spans="1:20">
      <c r="A137" s="47" t="str">
        <f>IF(archive!E137="","",archive!E137)</f>
        <v/>
      </c>
      <c r="B137" s="48" t="str">
        <f t="shared" si="28"/>
        <v/>
      </c>
      <c r="C137" s="49" t="str">
        <f>IF(archive!F137="","",archive!F137)</f>
        <v/>
      </c>
      <c r="D137" s="50" t="str">
        <f t="shared" si="29"/>
        <v/>
      </c>
      <c r="E137" s="50" t="str">
        <f t="shared" si="30"/>
        <v/>
      </c>
      <c r="F137" s="47" t="str">
        <f>IF(COUNTA(archive!H137:CI137)=0,"",COUNTA(archive!H137:CI137))</f>
        <v/>
      </c>
      <c r="G137" s="47" t="str">
        <f>IF(archive!G137="","",archive!G137)</f>
        <v/>
      </c>
      <c r="H137" s="51" t="str">
        <f>IF(archive!CJ137="","",archive!CJ137)</f>
        <v/>
      </c>
      <c r="I137" s="51" t="str">
        <f>IF(archive!CK137="","",archive!CK137)</f>
        <v/>
      </c>
      <c r="J137" s="47" t="str">
        <f t="shared" si="31"/>
        <v/>
      </c>
      <c r="K137" s="51" t="str">
        <f t="shared" si="32"/>
        <v/>
      </c>
      <c r="L137" s="52" t="str">
        <f t="shared" si="33"/>
        <v/>
      </c>
      <c r="M137" s="53" t="str">
        <f t="shared" si="34"/>
        <v/>
      </c>
      <c r="N137" s="53" t="str">
        <f t="shared" si="35"/>
        <v/>
      </c>
      <c r="O137" s="53" t="str">
        <f t="shared" si="36"/>
        <v/>
      </c>
      <c r="P137" s="53" t="str">
        <f t="shared" si="37"/>
        <v/>
      </c>
      <c r="Q137" s="53" t="str">
        <f t="shared" si="38"/>
        <v/>
      </c>
      <c r="R137" s="53" t="str">
        <f t="shared" si="39"/>
        <v/>
      </c>
      <c r="S137" s="53" t="str">
        <f t="shared" si="40"/>
        <v/>
      </c>
      <c r="T137" s="53" t="str">
        <f t="shared" si="41"/>
        <v/>
      </c>
    </row>
    <row r="138" spans="1:20">
      <c r="A138" s="47" t="str">
        <f>IF(archive!E138="","",archive!E138)</f>
        <v/>
      </c>
      <c r="B138" s="48" t="str">
        <f t="shared" si="28"/>
        <v/>
      </c>
      <c r="C138" s="49" t="str">
        <f>IF(archive!F138="","",archive!F138)</f>
        <v/>
      </c>
      <c r="D138" s="50" t="str">
        <f t="shared" si="29"/>
        <v/>
      </c>
      <c r="E138" s="50" t="str">
        <f t="shared" si="30"/>
        <v/>
      </c>
      <c r="F138" s="47" t="str">
        <f>IF(COUNTA(archive!H138:CI138)=0,"",COUNTA(archive!H138:CI138))</f>
        <v/>
      </c>
      <c r="G138" s="47" t="str">
        <f>IF(archive!G138="","",archive!G138)</f>
        <v/>
      </c>
      <c r="H138" s="51" t="str">
        <f>IF(archive!CJ138="","",archive!CJ138)</f>
        <v/>
      </c>
      <c r="I138" s="51" t="str">
        <f>IF(archive!CK138="","",archive!CK138)</f>
        <v/>
      </c>
      <c r="J138" s="47" t="str">
        <f t="shared" si="31"/>
        <v/>
      </c>
      <c r="K138" s="51" t="str">
        <f t="shared" si="32"/>
        <v/>
      </c>
      <c r="L138" s="52" t="str">
        <f t="shared" si="33"/>
        <v/>
      </c>
      <c r="M138" s="53" t="str">
        <f t="shared" si="34"/>
        <v/>
      </c>
      <c r="N138" s="53" t="str">
        <f t="shared" si="35"/>
        <v/>
      </c>
      <c r="O138" s="53" t="str">
        <f t="shared" si="36"/>
        <v/>
      </c>
      <c r="P138" s="53" t="str">
        <f t="shared" si="37"/>
        <v/>
      </c>
      <c r="Q138" s="53" t="str">
        <f t="shared" si="38"/>
        <v/>
      </c>
      <c r="R138" s="53" t="str">
        <f t="shared" si="39"/>
        <v/>
      </c>
      <c r="S138" s="53" t="str">
        <f t="shared" si="40"/>
        <v/>
      </c>
      <c r="T138" s="53" t="str">
        <f t="shared" si="41"/>
        <v/>
      </c>
    </row>
    <row r="139" spans="1:20">
      <c r="A139" s="47" t="str">
        <f>IF(archive!E139="","",archive!E139)</f>
        <v/>
      </c>
      <c r="B139" s="48" t="str">
        <f t="shared" si="28"/>
        <v/>
      </c>
      <c r="C139" s="49" t="str">
        <f>IF(archive!F139="","",archive!F139)</f>
        <v/>
      </c>
      <c r="D139" s="50" t="str">
        <f t="shared" si="29"/>
        <v/>
      </c>
      <c r="E139" s="50" t="str">
        <f t="shared" si="30"/>
        <v/>
      </c>
      <c r="F139" s="47" t="str">
        <f>IF(COUNTA(archive!H139:CI139)=0,"",COUNTA(archive!H139:CI139))</f>
        <v/>
      </c>
      <c r="G139" s="47" t="str">
        <f>IF(archive!G139="","",archive!G139)</f>
        <v/>
      </c>
      <c r="H139" s="51" t="str">
        <f>IF(archive!CJ139="","",archive!CJ139)</f>
        <v/>
      </c>
      <c r="I139" s="51" t="str">
        <f>IF(archive!CK139="","",archive!CK139)</f>
        <v/>
      </c>
      <c r="J139" s="47" t="str">
        <f t="shared" si="31"/>
        <v/>
      </c>
      <c r="K139" s="51" t="str">
        <f t="shared" si="32"/>
        <v/>
      </c>
      <c r="L139" s="52" t="str">
        <f t="shared" si="33"/>
        <v/>
      </c>
      <c r="M139" s="53" t="str">
        <f t="shared" si="34"/>
        <v/>
      </c>
      <c r="N139" s="53" t="str">
        <f t="shared" si="35"/>
        <v/>
      </c>
      <c r="O139" s="53" t="str">
        <f t="shared" si="36"/>
        <v/>
      </c>
      <c r="P139" s="53" t="str">
        <f t="shared" si="37"/>
        <v/>
      </c>
      <c r="Q139" s="53" t="str">
        <f t="shared" si="38"/>
        <v/>
      </c>
      <c r="R139" s="53" t="str">
        <f t="shared" si="39"/>
        <v/>
      </c>
      <c r="S139" s="53" t="str">
        <f t="shared" si="40"/>
        <v/>
      </c>
      <c r="T139" s="53" t="str">
        <f t="shared" si="41"/>
        <v/>
      </c>
    </row>
    <row r="140" spans="1:20">
      <c r="A140" s="47" t="str">
        <f>IF(archive!E140="","",archive!E140)</f>
        <v/>
      </c>
      <c r="B140" s="48" t="str">
        <f t="shared" si="28"/>
        <v/>
      </c>
      <c r="C140" s="49" t="str">
        <f>IF(archive!F140="","",archive!F140)</f>
        <v/>
      </c>
      <c r="D140" s="50" t="str">
        <f t="shared" si="29"/>
        <v/>
      </c>
      <c r="E140" s="50" t="str">
        <f t="shared" si="30"/>
        <v/>
      </c>
      <c r="F140" s="47" t="str">
        <f>IF(COUNTA(archive!H140:CI140)=0,"",COUNTA(archive!H140:CI140))</f>
        <v/>
      </c>
      <c r="G140" s="47" t="str">
        <f>IF(archive!G140="","",archive!G140)</f>
        <v/>
      </c>
      <c r="H140" s="51" t="str">
        <f>IF(archive!CJ140="","",archive!CJ140)</f>
        <v/>
      </c>
      <c r="I140" s="51" t="str">
        <f>IF(archive!CK140="","",archive!CK140)</f>
        <v/>
      </c>
      <c r="J140" s="47" t="str">
        <f t="shared" si="31"/>
        <v/>
      </c>
      <c r="K140" s="51" t="str">
        <f t="shared" si="32"/>
        <v/>
      </c>
      <c r="L140" s="52" t="str">
        <f t="shared" si="33"/>
        <v/>
      </c>
      <c r="M140" s="53" t="str">
        <f t="shared" si="34"/>
        <v/>
      </c>
      <c r="N140" s="53" t="str">
        <f t="shared" si="35"/>
        <v/>
      </c>
      <c r="O140" s="53" t="str">
        <f t="shared" si="36"/>
        <v/>
      </c>
      <c r="P140" s="53" t="str">
        <f t="shared" si="37"/>
        <v/>
      </c>
      <c r="Q140" s="53" t="str">
        <f t="shared" si="38"/>
        <v/>
      </c>
      <c r="R140" s="53" t="str">
        <f t="shared" si="39"/>
        <v/>
      </c>
      <c r="S140" s="53" t="str">
        <f t="shared" si="40"/>
        <v/>
      </c>
      <c r="T140" s="53" t="str">
        <f t="shared" si="41"/>
        <v/>
      </c>
    </row>
    <row r="141" spans="1:20">
      <c r="A141" s="47" t="str">
        <f>IF(archive!E141="","",archive!E141)</f>
        <v/>
      </c>
      <c r="B141" s="48" t="str">
        <f t="shared" si="28"/>
        <v/>
      </c>
      <c r="C141" s="49" t="str">
        <f>IF(archive!F141="","",archive!F141)</f>
        <v/>
      </c>
      <c r="D141" s="50" t="str">
        <f t="shared" si="29"/>
        <v/>
      </c>
      <c r="E141" s="50" t="str">
        <f t="shared" si="30"/>
        <v/>
      </c>
      <c r="F141" s="47" t="str">
        <f>IF(COUNTA(archive!H141:CI141)=0,"",COUNTA(archive!H141:CI141))</f>
        <v/>
      </c>
      <c r="G141" s="47" t="str">
        <f>IF(archive!G141="","",archive!G141)</f>
        <v/>
      </c>
      <c r="H141" s="51" t="str">
        <f>IF(archive!CJ141="","",archive!CJ141)</f>
        <v/>
      </c>
      <c r="I141" s="51" t="str">
        <f>IF(archive!CK141="","",archive!CK141)</f>
        <v/>
      </c>
      <c r="J141" s="47" t="str">
        <f t="shared" si="31"/>
        <v/>
      </c>
      <c r="K141" s="51" t="str">
        <f t="shared" si="32"/>
        <v/>
      </c>
      <c r="L141" s="52" t="str">
        <f t="shared" si="33"/>
        <v/>
      </c>
      <c r="M141" s="53" t="str">
        <f t="shared" si="34"/>
        <v/>
      </c>
      <c r="N141" s="53" t="str">
        <f t="shared" si="35"/>
        <v/>
      </c>
      <c r="O141" s="53" t="str">
        <f t="shared" si="36"/>
        <v/>
      </c>
      <c r="P141" s="53" t="str">
        <f t="shared" si="37"/>
        <v/>
      </c>
      <c r="Q141" s="53" t="str">
        <f t="shared" si="38"/>
        <v/>
      </c>
      <c r="R141" s="53" t="str">
        <f t="shared" si="39"/>
        <v/>
      </c>
      <c r="S141" s="53" t="str">
        <f t="shared" si="40"/>
        <v/>
      </c>
      <c r="T141" s="53" t="str">
        <f t="shared" si="41"/>
        <v/>
      </c>
    </row>
    <row r="142" spans="1:20">
      <c r="A142" s="47" t="str">
        <f>IF(archive!E142="","",archive!E142)</f>
        <v/>
      </c>
      <c r="B142" s="48" t="str">
        <f t="shared" si="28"/>
        <v/>
      </c>
      <c r="C142" s="49" t="str">
        <f>IF(archive!F142="","",archive!F142)</f>
        <v/>
      </c>
      <c r="D142" s="50" t="str">
        <f t="shared" si="29"/>
        <v/>
      </c>
      <c r="E142" s="50" t="str">
        <f t="shared" si="30"/>
        <v/>
      </c>
      <c r="F142" s="47" t="str">
        <f>IF(COUNTA(archive!H142:CI142)=0,"",COUNTA(archive!H142:CI142))</f>
        <v/>
      </c>
      <c r="G142" s="47" t="str">
        <f>IF(archive!G142="","",archive!G142)</f>
        <v/>
      </c>
      <c r="H142" s="51" t="str">
        <f>IF(archive!CJ142="","",archive!CJ142)</f>
        <v/>
      </c>
      <c r="I142" s="51" t="str">
        <f>IF(archive!CK142="","",archive!CK142)</f>
        <v/>
      </c>
      <c r="J142" s="47" t="str">
        <f t="shared" si="31"/>
        <v/>
      </c>
      <c r="K142" s="51" t="str">
        <f t="shared" si="32"/>
        <v/>
      </c>
      <c r="L142" s="52" t="str">
        <f t="shared" si="33"/>
        <v/>
      </c>
      <c r="M142" s="53" t="str">
        <f t="shared" si="34"/>
        <v/>
      </c>
      <c r="N142" s="53" t="str">
        <f t="shared" si="35"/>
        <v/>
      </c>
      <c r="O142" s="53" t="str">
        <f t="shared" si="36"/>
        <v/>
      </c>
      <c r="P142" s="53" t="str">
        <f t="shared" si="37"/>
        <v/>
      </c>
      <c r="Q142" s="53" t="str">
        <f t="shared" si="38"/>
        <v/>
      </c>
      <c r="R142" s="53" t="str">
        <f t="shared" si="39"/>
        <v/>
      </c>
      <c r="S142" s="53" t="str">
        <f t="shared" si="40"/>
        <v/>
      </c>
      <c r="T142" s="53" t="str">
        <f t="shared" si="41"/>
        <v/>
      </c>
    </row>
    <row r="143" spans="1:20">
      <c r="A143" s="47" t="str">
        <f>IF(archive!E143="","",archive!E143)</f>
        <v/>
      </c>
      <c r="B143" s="48" t="str">
        <f t="shared" si="28"/>
        <v/>
      </c>
      <c r="C143" s="49" t="str">
        <f>IF(archive!F143="","",archive!F143)</f>
        <v/>
      </c>
      <c r="D143" s="50" t="str">
        <f t="shared" si="29"/>
        <v/>
      </c>
      <c r="E143" s="50" t="str">
        <f t="shared" si="30"/>
        <v/>
      </c>
      <c r="F143" s="47" t="str">
        <f>IF(COUNTA(archive!H143:CI143)=0,"",COUNTA(archive!H143:CI143))</f>
        <v/>
      </c>
      <c r="G143" s="47" t="str">
        <f>IF(archive!G143="","",archive!G143)</f>
        <v/>
      </c>
      <c r="H143" s="51" t="str">
        <f>IF(archive!CJ143="","",archive!CJ143)</f>
        <v/>
      </c>
      <c r="I143" s="51" t="str">
        <f>IF(archive!CK143="","",archive!CK143)</f>
        <v/>
      </c>
      <c r="J143" s="47" t="str">
        <f t="shared" si="31"/>
        <v/>
      </c>
      <c r="K143" s="51" t="str">
        <f t="shared" si="32"/>
        <v/>
      </c>
      <c r="L143" s="52" t="str">
        <f t="shared" si="33"/>
        <v/>
      </c>
      <c r="M143" s="53" t="str">
        <f t="shared" si="34"/>
        <v/>
      </c>
      <c r="N143" s="53" t="str">
        <f t="shared" si="35"/>
        <v/>
      </c>
      <c r="O143" s="53" t="str">
        <f t="shared" si="36"/>
        <v/>
      </c>
      <c r="P143" s="53" t="str">
        <f t="shared" si="37"/>
        <v/>
      </c>
      <c r="Q143" s="53" t="str">
        <f t="shared" si="38"/>
        <v/>
      </c>
      <c r="R143" s="53" t="str">
        <f t="shared" si="39"/>
        <v/>
      </c>
      <c r="S143" s="53" t="str">
        <f t="shared" si="40"/>
        <v/>
      </c>
      <c r="T143" s="53" t="str">
        <f t="shared" si="41"/>
        <v/>
      </c>
    </row>
    <row r="144" spans="1:20">
      <c r="A144" s="47" t="str">
        <f>IF(archive!E144="","",archive!E144)</f>
        <v/>
      </c>
      <c r="B144" s="48" t="str">
        <f t="shared" si="28"/>
        <v/>
      </c>
      <c r="C144" s="49" t="str">
        <f>IF(archive!F144="","",archive!F144)</f>
        <v/>
      </c>
      <c r="D144" s="50" t="str">
        <f t="shared" si="29"/>
        <v/>
      </c>
      <c r="E144" s="50" t="str">
        <f t="shared" si="30"/>
        <v/>
      </c>
      <c r="F144" s="47" t="str">
        <f>IF(COUNTA(archive!H144:CI144)=0,"",COUNTA(archive!H144:CI144))</f>
        <v/>
      </c>
      <c r="G144" s="47" t="str">
        <f>IF(archive!G144="","",archive!G144)</f>
        <v/>
      </c>
      <c r="H144" s="51" t="str">
        <f>IF(archive!CJ144="","",archive!CJ144)</f>
        <v/>
      </c>
      <c r="I144" s="51" t="str">
        <f>IF(archive!CK144="","",archive!CK144)</f>
        <v/>
      </c>
      <c r="J144" s="47" t="str">
        <f t="shared" si="31"/>
        <v/>
      </c>
      <c r="K144" s="51" t="str">
        <f t="shared" si="32"/>
        <v/>
      </c>
      <c r="L144" s="52" t="str">
        <f t="shared" si="33"/>
        <v/>
      </c>
      <c r="M144" s="53" t="str">
        <f t="shared" si="34"/>
        <v/>
      </c>
      <c r="N144" s="53" t="str">
        <f t="shared" si="35"/>
        <v/>
      </c>
      <c r="O144" s="53" t="str">
        <f t="shared" si="36"/>
        <v/>
      </c>
      <c r="P144" s="53" t="str">
        <f t="shared" si="37"/>
        <v/>
      </c>
      <c r="Q144" s="53" t="str">
        <f t="shared" si="38"/>
        <v/>
      </c>
      <c r="R144" s="53" t="str">
        <f t="shared" si="39"/>
        <v/>
      </c>
      <c r="S144" s="53" t="str">
        <f t="shared" si="40"/>
        <v/>
      </c>
      <c r="T144" s="53" t="str">
        <f t="shared" si="41"/>
        <v/>
      </c>
    </row>
    <row r="145" spans="1:20">
      <c r="A145" s="47" t="str">
        <f>IF(archive!E145="","",archive!E145)</f>
        <v/>
      </c>
      <c r="B145" s="48" t="str">
        <f t="shared" si="28"/>
        <v/>
      </c>
      <c r="C145" s="49" t="str">
        <f>IF(archive!F145="","",archive!F145)</f>
        <v/>
      </c>
      <c r="D145" s="50" t="str">
        <f t="shared" si="29"/>
        <v/>
      </c>
      <c r="E145" s="50" t="str">
        <f t="shared" si="30"/>
        <v/>
      </c>
      <c r="F145" s="47" t="str">
        <f>IF(COUNTA(archive!H145:CI145)=0,"",COUNTA(archive!H145:CI145))</f>
        <v/>
      </c>
      <c r="G145" s="47" t="str">
        <f>IF(archive!G145="","",archive!G145)</f>
        <v/>
      </c>
      <c r="H145" s="51" t="str">
        <f>IF(archive!CJ145="","",archive!CJ145)</f>
        <v/>
      </c>
      <c r="I145" s="51" t="str">
        <f>IF(archive!CK145="","",archive!CK145)</f>
        <v/>
      </c>
      <c r="J145" s="47" t="str">
        <f t="shared" si="31"/>
        <v/>
      </c>
      <c r="K145" s="51" t="str">
        <f t="shared" si="32"/>
        <v/>
      </c>
      <c r="L145" s="52" t="str">
        <f t="shared" si="33"/>
        <v/>
      </c>
      <c r="M145" s="53" t="str">
        <f t="shared" si="34"/>
        <v/>
      </c>
      <c r="N145" s="53" t="str">
        <f t="shared" si="35"/>
        <v/>
      </c>
      <c r="O145" s="53" t="str">
        <f t="shared" si="36"/>
        <v/>
      </c>
      <c r="P145" s="53" t="str">
        <f t="shared" si="37"/>
        <v/>
      </c>
      <c r="Q145" s="53" t="str">
        <f t="shared" si="38"/>
        <v/>
      </c>
      <c r="R145" s="53" t="str">
        <f t="shared" si="39"/>
        <v/>
      </c>
      <c r="S145" s="53" t="str">
        <f t="shared" si="40"/>
        <v/>
      </c>
      <c r="T145" s="53" t="str">
        <f t="shared" si="41"/>
        <v/>
      </c>
    </row>
    <row r="146" spans="1:20">
      <c r="A146" s="47" t="str">
        <f>IF(archive!E146="","",archive!E146)</f>
        <v/>
      </c>
      <c r="B146" s="48" t="str">
        <f t="shared" si="28"/>
        <v/>
      </c>
      <c r="C146" s="49" t="str">
        <f>IF(archive!F146="","",archive!F146)</f>
        <v/>
      </c>
      <c r="D146" s="50" t="str">
        <f t="shared" si="29"/>
        <v/>
      </c>
      <c r="E146" s="50" t="str">
        <f t="shared" si="30"/>
        <v/>
      </c>
      <c r="F146" s="47" t="str">
        <f>IF(COUNTA(archive!H146:CI146)=0,"",COUNTA(archive!H146:CI146))</f>
        <v/>
      </c>
      <c r="G146" s="47" t="str">
        <f>IF(archive!G146="","",archive!G146)</f>
        <v/>
      </c>
      <c r="H146" s="51" t="str">
        <f>IF(archive!CJ146="","",archive!CJ146)</f>
        <v/>
      </c>
      <c r="I146" s="51" t="str">
        <f>IF(archive!CK146="","",archive!CK146)</f>
        <v/>
      </c>
      <c r="J146" s="47" t="str">
        <f t="shared" si="31"/>
        <v/>
      </c>
      <c r="K146" s="51" t="str">
        <f t="shared" si="32"/>
        <v/>
      </c>
      <c r="L146" s="52" t="str">
        <f t="shared" si="33"/>
        <v/>
      </c>
      <c r="M146" s="53" t="str">
        <f t="shared" si="34"/>
        <v/>
      </c>
      <c r="N146" s="53" t="str">
        <f t="shared" si="35"/>
        <v/>
      </c>
      <c r="O146" s="53" t="str">
        <f t="shared" si="36"/>
        <v/>
      </c>
      <c r="P146" s="53" t="str">
        <f t="shared" si="37"/>
        <v/>
      </c>
      <c r="Q146" s="53" t="str">
        <f t="shared" si="38"/>
        <v/>
      </c>
      <c r="R146" s="53" t="str">
        <f t="shared" si="39"/>
        <v/>
      </c>
      <c r="S146" s="53" t="str">
        <f t="shared" si="40"/>
        <v/>
      </c>
      <c r="T146" s="53" t="str">
        <f t="shared" si="41"/>
        <v/>
      </c>
    </row>
    <row r="147" spans="1:20">
      <c r="A147" s="47" t="str">
        <f>IF(archive!E147="","",archive!E147)</f>
        <v/>
      </c>
      <c r="B147" s="48" t="str">
        <f t="shared" si="28"/>
        <v/>
      </c>
      <c r="C147" s="49" t="str">
        <f>IF(archive!F147="","",archive!F147)</f>
        <v/>
      </c>
      <c r="D147" s="50" t="str">
        <f t="shared" si="29"/>
        <v/>
      </c>
      <c r="E147" s="50" t="str">
        <f t="shared" si="30"/>
        <v/>
      </c>
      <c r="F147" s="47" t="str">
        <f>IF(COUNTA(archive!H147:CI147)=0,"",COUNTA(archive!H147:CI147))</f>
        <v/>
      </c>
      <c r="G147" s="47" t="str">
        <f>IF(archive!G147="","",archive!G147)</f>
        <v/>
      </c>
      <c r="H147" s="51" t="str">
        <f>IF(archive!CJ147="","",archive!CJ147)</f>
        <v/>
      </c>
      <c r="I147" s="51" t="str">
        <f>IF(archive!CK147="","",archive!CK147)</f>
        <v/>
      </c>
      <c r="J147" s="47" t="str">
        <f t="shared" si="31"/>
        <v/>
      </c>
      <c r="K147" s="51" t="str">
        <f t="shared" si="32"/>
        <v/>
      </c>
      <c r="L147" s="52" t="str">
        <f t="shared" si="33"/>
        <v/>
      </c>
      <c r="M147" s="53" t="str">
        <f t="shared" si="34"/>
        <v/>
      </c>
      <c r="N147" s="53" t="str">
        <f t="shared" si="35"/>
        <v/>
      </c>
      <c r="O147" s="53" t="str">
        <f t="shared" si="36"/>
        <v/>
      </c>
      <c r="P147" s="53" t="str">
        <f t="shared" si="37"/>
        <v/>
      </c>
      <c r="Q147" s="53" t="str">
        <f t="shared" si="38"/>
        <v/>
      </c>
      <c r="R147" s="53" t="str">
        <f t="shared" si="39"/>
        <v/>
      </c>
      <c r="S147" s="53" t="str">
        <f t="shared" si="40"/>
        <v/>
      </c>
      <c r="T147" s="53" t="str">
        <f t="shared" si="41"/>
        <v/>
      </c>
    </row>
    <row r="148" spans="1:20">
      <c r="A148" s="47" t="str">
        <f>IF(archive!E148="","",archive!E148)</f>
        <v/>
      </c>
      <c r="B148" s="48" t="str">
        <f t="shared" si="28"/>
        <v/>
      </c>
      <c r="C148" s="49" t="str">
        <f>IF(archive!F148="","",archive!F148)</f>
        <v/>
      </c>
      <c r="D148" s="50" t="str">
        <f t="shared" si="29"/>
        <v/>
      </c>
      <c r="E148" s="50" t="str">
        <f t="shared" si="30"/>
        <v/>
      </c>
      <c r="F148" s="47" t="str">
        <f>IF(COUNTA(archive!H148:CI148)=0,"",COUNTA(archive!H148:CI148))</f>
        <v/>
      </c>
      <c r="G148" s="47" t="str">
        <f>IF(archive!G148="","",archive!G148)</f>
        <v/>
      </c>
      <c r="H148" s="51" t="str">
        <f>IF(archive!CJ148="","",archive!CJ148)</f>
        <v/>
      </c>
      <c r="I148" s="51" t="str">
        <f>IF(archive!CK148="","",archive!CK148)</f>
        <v/>
      </c>
      <c r="J148" s="47" t="str">
        <f t="shared" si="31"/>
        <v/>
      </c>
      <c r="K148" s="51" t="str">
        <f t="shared" si="32"/>
        <v/>
      </c>
      <c r="L148" s="52" t="str">
        <f t="shared" si="33"/>
        <v/>
      </c>
      <c r="M148" s="53" t="str">
        <f t="shared" si="34"/>
        <v/>
      </c>
      <c r="N148" s="53" t="str">
        <f t="shared" si="35"/>
        <v/>
      </c>
      <c r="O148" s="53" t="str">
        <f t="shared" si="36"/>
        <v/>
      </c>
      <c r="P148" s="53" t="str">
        <f t="shared" si="37"/>
        <v/>
      </c>
      <c r="Q148" s="53" t="str">
        <f t="shared" si="38"/>
        <v/>
      </c>
      <c r="R148" s="53" t="str">
        <f t="shared" si="39"/>
        <v/>
      </c>
      <c r="S148" s="53" t="str">
        <f t="shared" si="40"/>
        <v/>
      </c>
      <c r="T148" s="53" t="str">
        <f t="shared" si="41"/>
        <v/>
      </c>
    </row>
    <row r="149" spans="1:20">
      <c r="A149" s="47" t="str">
        <f>IF(archive!E149="","",archive!E149)</f>
        <v/>
      </c>
      <c r="B149" s="48" t="str">
        <f t="shared" si="28"/>
        <v/>
      </c>
      <c r="C149" s="49" t="str">
        <f>IF(archive!F149="","",archive!F149)</f>
        <v/>
      </c>
      <c r="D149" s="50" t="str">
        <f t="shared" si="29"/>
        <v/>
      </c>
      <c r="E149" s="50" t="str">
        <f t="shared" si="30"/>
        <v/>
      </c>
      <c r="F149" s="47" t="str">
        <f>IF(COUNTA(archive!H149:CI149)=0,"",COUNTA(archive!H149:CI149))</f>
        <v/>
      </c>
      <c r="G149" s="47" t="str">
        <f>IF(archive!G149="","",archive!G149)</f>
        <v/>
      </c>
      <c r="H149" s="51" t="str">
        <f>IF(archive!CJ149="","",archive!CJ149)</f>
        <v/>
      </c>
      <c r="I149" s="51" t="str">
        <f>IF(archive!CK149="","",archive!CK149)</f>
        <v/>
      </c>
      <c r="J149" s="47" t="str">
        <f t="shared" si="31"/>
        <v/>
      </c>
      <c r="K149" s="51" t="str">
        <f t="shared" si="32"/>
        <v/>
      </c>
      <c r="L149" s="52" t="str">
        <f t="shared" si="33"/>
        <v/>
      </c>
      <c r="M149" s="53" t="str">
        <f t="shared" si="34"/>
        <v/>
      </c>
      <c r="N149" s="53" t="str">
        <f t="shared" si="35"/>
        <v/>
      </c>
      <c r="O149" s="53" t="str">
        <f t="shared" si="36"/>
        <v/>
      </c>
      <c r="P149" s="53" t="str">
        <f t="shared" si="37"/>
        <v/>
      </c>
      <c r="Q149" s="53" t="str">
        <f t="shared" si="38"/>
        <v/>
      </c>
      <c r="R149" s="53" t="str">
        <f t="shared" si="39"/>
        <v/>
      </c>
      <c r="S149" s="53" t="str">
        <f t="shared" si="40"/>
        <v/>
      </c>
      <c r="T149" s="53" t="str">
        <f t="shared" si="41"/>
        <v/>
      </c>
    </row>
    <row r="150" spans="1:20">
      <c r="A150" s="47" t="str">
        <f>IF(archive!E150="","",archive!E150)</f>
        <v/>
      </c>
      <c r="B150" s="48" t="str">
        <f t="shared" si="28"/>
        <v/>
      </c>
      <c r="C150" s="49" t="str">
        <f>IF(archive!F150="","",archive!F150)</f>
        <v/>
      </c>
      <c r="D150" s="50" t="str">
        <f t="shared" si="29"/>
        <v/>
      </c>
      <c r="E150" s="50" t="str">
        <f t="shared" si="30"/>
        <v/>
      </c>
      <c r="F150" s="47" t="str">
        <f>IF(COUNTA(archive!H150:CI150)=0,"",COUNTA(archive!H150:CI150))</f>
        <v/>
      </c>
      <c r="G150" s="47" t="str">
        <f>IF(archive!G150="","",archive!G150)</f>
        <v/>
      </c>
      <c r="H150" s="51" t="str">
        <f>IF(archive!CJ150="","",archive!CJ150)</f>
        <v/>
      </c>
      <c r="I150" s="51" t="str">
        <f>IF(archive!CK150="","",archive!CK150)</f>
        <v/>
      </c>
      <c r="J150" s="47" t="str">
        <f t="shared" si="31"/>
        <v/>
      </c>
      <c r="K150" s="51" t="str">
        <f t="shared" si="32"/>
        <v/>
      </c>
      <c r="L150" s="52" t="str">
        <f t="shared" si="33"/>
        <v/>
      </c>
      <c r="M150" s="53" t="str">
        <f t="shared" si="34"/>
        <v/>
      </c>
      <c r="N150" s="53" t="str">
        <f t="shared" si="35"/>
        <v/>
      </c>
      <c r="O150" s="53" t="str">
        <f t="shared" si="36"/>
        <v/>
      </c>
      <c r="P150" s="53" t="str">
        <f t="shared" si="37"/>
        <v/>
      </c>
      <c r="Q150" s="53" t="str">
        <f t="shared" si="38"/>
        <v/>
      </c>
      <c r="R150" s="53" t="str">
        <f t="shared" si="39"/>
        <v/>
      </c>
      <c r="S150" s="53" t="str">
        <f t="shared" si="40"/>
        <v/>
      </c>
      <c r="T150" s="53" t="str">
        <f t="shared" si="41"/>
        <v/>
      </c>
    </row>
    <row r="151" spans="1:20">
      <c r="A151" s="47" t="str">
        <f>IF(archive!E151="","",archive!E151)</f>
        <v/>
      </c>
      <c r="B151" s="48" t="str">
        <f t="shared" si="28"/>
        <v/>
      </c>
      <c r="C151" s="49" t="str">
        <f>IF(archive!F151="","",archive!F151)</f>
        <v/>
      </c>
      <c r="D151" s="50" t="str">
        <f t="shared" si="29"/>
        <v/>
      </c>
      <c r="E151" s="50" t="str">
        <f t="shared" si="30"/>
        <v/>
      </c>
      <c r="F151" s="47" t="str">
        <f>IF(COUNTA(archive!H151:CI151)=0,"",COUNTA(archive!H151:CI151))</f>
        <v/>
      </c>
      <c r="G151" s="47" t="str">
        <f>IF(archive!G151="","",archive!G151)</f>
        <v/>
      </c>
      <c r="H151" s="51" t="str">
        <f>IF(archive!CJ151="","",archive!CJ151)</f>
        <v/>
      </c>
      <c r="I151" s="51" t="str">
        <f>IF(archive!CK151="","",archive!CK151)</f>
        <v/>
      </c>
      <c r="J151" s="47" t="str">
        <f t="shared" si="31"/>
        <v/>
      </c>
      <c r="K151" s="51" t="str">
        <f t="shared" si="32"/>
        <v/>
      </c>
      <c r="L151" s="52" t="str">
        <f t="shared" si="33"/>
        <v/>
      </c>
      <c r="M151" s="53" t="str">
        <f t="shared" si="34"/>
        <v/>
      </c>
      <c r="N151" s="53" t="str">
        <f t="shared" si="35"/>
        <v/>
      </c>
      <c r="O151" s="53" t="str">
        <f t="shared" si="36"/>
        <v/>
      </c>
      <c r="P151" s="53" t="str">
        <f t="shared" si="37"/>
        <v/>
      </c>
      <c r="Q151" s="53" t="str">
        <f t="shared" si="38"/>
        <v/>
      </c>
      <c r="R151" s="53" t="str">
        <f t="shared" si="39"/>
        <v/>
      </c>
      <c r="S151" s="53" t="str">
        <f t="shared" si="40"/>
        <v/>
      </c>
      <c r="T151" s="53" t="str">
        <f t="shared" si="41"/>
        <v/>
      </c>
    </row>
    <row r="152" spans="1:20">
      <c r="A152" s="47" t="str">
        <f>IF(archive!E152="","",archive!E152)</f>
        <v/>
      </c>
      <c r="B152" s="48" t="str">
        <f t="shared" si="28"/>
        <v/>
      </c>
      <c r="C152" s="49" t="str">
        <f>IF(archive!F152="","",archive!F152)</f>
        <v/>
      </c>
      <c r="D152" s="50" t="str">
        <f t="shared" si="29"/>
        <v/>
      </c>
      <c r="E152" s="50" t="str">
        <f t="shared" si="30"/>
        <v/>
      </c>
      <c r="F152" s="47" t="str">
        <f>IF(COUNTA(archive!H152:CI152)=0,"",COUNTA(archive!H152:CI152))</f>
        <v/>
      </c>
      <c r="G152" s="47" t="str">
        <f>IF(archive!G152="","",archive!G152)</f>
        <v/>
      </c>
      <c r="H152" s="51" t="str">
        <f>IF(archive!CJ152="","",archive!CJ152)</f>
        <v/>
      </c>
      <c r="I152" s="51" t="str">
        <f>IF(archive!CK152="","",archive!CK152)</f>
        <v/>
      </c>
      <c r="J152" s="47" t="str">
        <f t="shared" si="31"/>
        <v/>
      </c>
      <c r="K152" s="51" t="str">
        <f t="shared" si="32"/>
        <v/>
      </c>
      <c r="L152" s="52" t="str">
        <f t="shared" si="33"/>
        <v/>
      </c>
      <c r="M152" s="53" t="str">
        <f t="shared" si="34"/>
        <v/>
      </c>
      <c r="N152" s="53" t="str">
        <f t="shared" si="35"/>
        <v/>
      </c>
      <c r="O152" s="53" t="str">
        <f t="shared" si="36"/>
        <v/>
      </c>
      <c r="P152" s="53" t="str">
        <f t="shared" si="37"/>
        <v/>
      </c>
      <c r="Q152" s="53" t="str">
        <f t="shared" si="38"/>
        <v/>
      </c>
      <c r="R152" s="53" t="str">
        <f t="shared" si="39"/>
        <v/>
      </c>
      <c r="S152" s="53" t="str">
        <f t="shared" si="40"/>
        <v/>
      </c>
      <c r="T152" s="53" t="str">
        <f t="shared" si="41"/>
        <v/>
      </c>
    </row>
    <row r="153" spans="1:20">
      <c r="A153" s="47" t="str">
        <f>IF(archive!E153="","",archive!E153)</f>
        <v/>
      </c>
      <c r="B153" s="48" t="str">
        <f t="shared" si="28"/>
        <v/>
      </c>
      <c r="C153" s="49" t="str">
        <f>IF(archive!F153="","",archive!F153)</f>
        <v/>
      </c>
      <c r="D153" s="50" t="str">
        <f t="shared" si="29"/>
        <v/>
      </c>
      <c r="E153" s="50" t="str">
        <f t="shared" si="30"/>
        <v/>
      </c>
      <c r="F153" s="47" t="str">
        <f>IF(COUNTA(archive!H153:CI153)=0,"",COUNTA(archive!H153:CI153))</f>
        <v/>
      </c>
      <c r="G153" s="47" t="str">
        <f>IF(archive!G153="","",archive!G153)</f>
        <v/>
      </c>
      <c r="H153" s="51" t="str">
        <f>IF(archive!CJ153="","",archive!CJ153)</f>
        <v/>
      </c>
      <c r="I153" s="51" t="str">
        <f>IF(archive!CK153="","",archive!CK153)</f>
        <v/>
      </c>
      <c r="J153" s="47" t="str">
        <f t="shared" si="31"/>
        <v/>
      </c>
      <c r="K153" s="51" t="str">
        <f t="shared" si="32"/>
        <v/>
      </c>
      <c r="L153" s="52" t="str">
        <f t="shared" si="33"/>
        <v/>
      </c>
      <c r="M153" s="53" t="str">
        <f t="shared" si="34"/>
        <v/>
      </c>
      <c r="N153" s="53" t="str">
        <f t="shared" si="35"/>
        <v/>
      </c>
      <c r="O153" s="53" t="str">
        <f t="shared" si="36"/>
        <v/>
      </c>
      <c r="P153" s="53" t="str">
        <f t="shared" si="37"/>
        <v/>
      </c>
      <c r="Q153" s="53" t="str">
        <f t="shared" si="38"/>
        <v/>
      </c>
      <c r="R153" s="53" t="str">
        <f t="shared" si="39"/>
        <v/>
      </c>
      <c r="S153" s="53" t="str">
        <f t="shared" si="40"/>
        <v/>
      </c>
      <c r="T153" s="53" t="str">
        <f t="shared" si="41"/>
        <v/>
      </c>
    </row>
    <row r="154" spans="1:20">
      <c r="A154" s="47" t="str">
        <f>IF(archive!E154="","",archive!E154)</f>
        <v/>
      </c>
      <c r="B154" s="48" t="str">
        <f t="shared" si="28"/>
        <v/>
      </c>
      <c r="C154" s="49" t="str">
        <f>IF(archive!F154="","",archive!F154)</f>
        <v/>
      </c>
      <c r="D154" s="50" t="str">
        <f t="shared" si="29"/>
        <v/>
      </c>
      <c r="E154" s="50" t="str">
        <f t="shared" si="30"/>
        <v/>
      </c>
      <c r="F154" s="47" t="str">
        <f>IF(COUNTA(archive!H154:CI154)=0,"",COUNTA(archive!H154:CI154))</f>
        <v/>
      </c>
      <c r="G154" s="47" t="str">
        <f>IF(archive!G154="","",archive!G154)</f>
        <v/>
      </c>
      <c r="H154" s="51" t="str">
        <f>IF(archive!CJ154="","",archive!CJ154)</f>
        <v/>
      </c>
      <c r="I154" s="51" t="str">
        <f>IF(archive!CK154="","",archive!CK154)</f>
        <v/>
      </c>
      <c r="J154" s="47" t="str">
        <f t="shared" si="31"/>
        <v/>
      </c>
      <c r="K154" s="51" t="str">
        <f t="shared" si="32"/>
        <v/>
      </c>
      <c r="L154" s="52" t="str">
        <f t="shared" si="33"/>
        <v/>
      </c>
      <c r="M154" s="53" t="str">
        <f t="shared" si="34"/>
        <v/>
      </c>
      <c r="N154" s="53" t="str">
        <f t="shared" si="35"/>
        <v/>
      </c>
      <c r="O154" s="53" t="str">
        <f t="shared" si="36"/>
        <v/>
      </c>
      <c r="P154" s="53" t="str">
        <f t="shared" si="37"/>
        <v/>
      </c>
      <c r="Q154" s="53" t="str">
        <f t="shared" si="38"/>
        <v/>
      </c>
      <c r="R154" s="53" t="str">
        <f t="shared" si="39"/>
        <v/>
      </c>
      <c r="S154" s="53" t="str">
        <f t="shared" si="40"/>
        <v/>
      </c>
      <c r="T154" s="53" t="str">
        <f t="shared" si="41"/>
        <v/>
      </c>
    </row>
    <row r="155" spans="1:20">
      <c r="A155" s="47" t="str">
        <f>IF(archive!E155="","",archive!E155)</f>
        <v/>
      </c>
      <c r="B155" s="48" t="str">
        <f t="shared" si="28"/>
        <v/>
      </c>
      <c r="C155" s="49" t="str">
        <f>IF(archive!F155="","",archive!F155)</f>
        <v/>
      </c>
      <c r="D155" s="50" t="str">
        <f t="shared" si="29"/>
        <v/>
      </c>
      <c r="E155" s="50" t="str">
        <f t="shared" si="30"/>
        <v/>
      </c>
      <c r="F155" s="47" t="str">
        <f>IF(COUNTA(archive!H155:CI155)=0,"",COUNTA(archive!H155:CI155))</f>
        <v/>
      </c>
      <c r="G155" s="47" t="str">
        <f>IF(archive!G155="","",archive!G155)</f>
        <v/>
      </c>
      <c r="H155" s="51" t="str">
        <f>IF(archive!CJ155="","",archive!CJ155)</f>
        <v/>
      </c>
      <c r="I155" s="51" t="str">
        <f>IF(archive!CK155="","",archive!CK155)</f>
        <v/>
      </c>
      <c r="J155" s="47" t="str">
        <f t="shared" si="31"/>
        <v/>
      </c>
      <c r="K155" s="51" t="str">
        <f t="shared" si="32"/>
        <v/>
      </c>
      <c r="L155" s="52" t="str">
        <f t="shared" si="33"/>
        <v/>
      </c>
      <c r="M155" s="53" t="str">
        <f t="shared" si="34"/>
        <v/>
      </c>
      <c r="N155" s="53" t="str">
        <f t="shared" si="35"/>
        <v/>
      </c>
      <c r="O155" s="53" t="str">
        <f t="shared" si="36"/>
        <v/>
      </c>
      <c r="P155" s="53" t="str">
        <f t="shared" si="37"/>
        <v/>
      </c>
      <c r="Q155" s="53" t="str">
        <f t="shared" si="38"/>
        <v/>
      </c>
      <c r="R155" s="53" t="str">
        <f t="shared" si="39"/>
        <v/>
      </c>
      <c r="S155" s="53" t="str">
        <f t="shared" si="40"/>
        <v/>
      </c>
      <c r="T155" s="53" t="str">
        <f t="shared" si="41"/>
        <v/>
      </c>
    </row>
    <row r="156" spans="1:20">
      <c r="A156" s="47" t="str">
        <f>IF(archive!E156="","",archive!E156)</f>
        <v/>
      </c>
      <c r="B156" s="48" t="str">
        <f t="shared" si="28"/>
        <v/>
      </c>
      <c r="C156" s="49" t="str">
        <f>IF(archive!F156="","",archive!F156)</f>
        <v/>
      </c>
      <c r="D156" s="50" t="str">
        <f t="shared" si="29"/>
        <v/>
      </c>
      <c r="E156" s="50" t="str">
        <f t="shared" si="30"/>
        <v/>
      </c>
      <c r="F156" s="47" t="str">
        <f>IF(COUNTA(archive!H156:CI156)=0,"",COUNTA(archive!H156:CI156))</f>
        <v/>
      </c>
      <c r="G156" s="47" t="str">
        <f>IF(archive!G156="","",archive!G156)</f>
        <v/>
      </c>
      <c r="H156" s="51" t="str">
        <f>IF(archive!CJ156="","",archive!CJ156)</f>
        <v/>
      </c>
      <c r="I156" s="51" t="str">
        <f>IF(archive!CK156="","",archive!CK156)</f>
        <v/>
      </c>
      <c r="J156" s="47" t="str">
        <f t="shared" si="31"/>
        <v/>
      </c>
      <c r="K156" s="51" t="str">
        <f t="shared" si="32"/>
        <v/>
      </c>
      <c r="L156" s="52" t="str">
        <f t="shared" si="33"/>
        <v/>
      </c>
      <c r="M156" s="53" t="str">
        <f t="shared" si="34"/>
        <v/>
      </c>
      <c r="N156" s="53" t="str">
        <f t="shared" si="35"/>
        <v/>
      </c>
      <c r="O156" s="53" t="str">
        <f t="shared" si="36"/>
        <v/>
      </c>
      <c r="P156" s="53" t="str">
        <f t="shared" si="37"/>
        <v/>
      </c>
      <c r="Q156" s="53" t="str">
        <f t="shared" si="38"/>
        <v/>
      </c>
      <c r="R156" s="53" t="str">
        <f t="shared" si="39"/>
        <v/>
      </c>
      <c r="S156" s="53" t="str">
        <f t="shared" si="40"/>
        <v/>
      </c>
      <c r="T156" s="53" t="str">
        <f t="shared" si="41"/>
        <v/>
      </c>
    </row>
    <row r="157" spans="1:20">
      <c r="A157" s="47" t="str">
        <f>IF(archive!E157="","",archive!E157)</f>
        <v/>
      </c>
      <c r="B157" s="48" t="str">
        <f t="shared" si="28"/>
        <v/>
      </c>
      <c r="C157" s="49" t="str">
        <f>IF(archive!F157="","",archive!F157)</f>
        <v/>
      </c>
      <c r="D157" s="50" t="str">
        <f t="shared" si="29"/>
        <v/>
      </c>
      <c r="E157" s="50" t="str">
        <f t="shared" si="30"/>
        <v/>
      </c>
      <c r="F157" s="47" t="str">
        <f>IF(COUNTA(archive!H157:CI157)=0,"",COUNTA(archive!H157:CI157))</f>
        <v/>
      </c>
      <c r="G157" s="47" t="str">
        <f>IF(archive!G157="","",archive!G157)</f>
        <v/>
      </c>
      <c r="H157" s="51" t="str">
        <f>IF(archive!CJ157="","",archive!CJ157)</f>
        <v/>
      </c>
      <c r="I157" s="51" t="str">
        <f>IF(archive!CK157="","",archive!CK157)</f>
        <v/>
      </c>
      <c r="J157" s="47" t="str">
        <f t="shared" si="31"/>
        <v/>
      </c>
      <c r="K157" s="51" t="str">
        <f t="shared" si="32"/>
        <v/>
      </c>
      <c r="L157" s="52" t="str">
        <f t="shared" si="33"/>
        <v/>
      </c>
      <c r="M157" s="53" t="str">
        <f t="shared" si="34"/>
        <v/>
      </c>
      <c r="N157" s="53" t="str">
        <f t="shared" si="35"/>
        <v/>
      </c>
      <c r="O157" s="53" t="str">
        <f t="shared" si="36"/>
        <v/>
      </c>
      <c r="P157" s="53" t="str">
        <f t="shared" si="37"/>
        <v/>
      </c>
      <c r="Q157" s="53" t="str">
        <f t="shared" si="38"/>
        <v/>
      </c>
      <c r="R157" s="53" t="str">
        <f t="shared" si="39"/>
        <v/>
      </c>
      <c r="S157" s="53" t="str">
        <f t="shared" si="40"/>
        <v/>
      </c>
      <c r="T157" s="53" t="str">
        <f t="shared" si="41"/>
        <v/>
      </c>
    </row>
    <row r="158" spans="1:20">
      <c r="A158" s="47" t="str">
        <f>IF(archive!E158="","",archive!E158)</f>
        <v/>
      </c>
      <c r="B158" s="48" t="str">
        <f t="shared" si="28"/>
        <v/>
      </c>
      <c r="C158" s="49" t="str">
        <f>IF(archive!F158="","",archive!F158)</f>
        <v/>
      </c>
      <c r="D158" s="50" t="str">
        <f t="shared" si="29"/>
        <v/>
      </c>
      <c r="E158" s="50" t="str">
        <f t="shared" si="30"/>
        <v/>
      </c>
      <c r="F158" s="47" t="str">
        <f>IF(COUNTA(archive!H158:CI158)=0,"",COUNTA(archive!H158:CI158))</f>
        <v/>
      </c>
      <c r="G158" s="47" t="str">
        <f>IF(archive!G158="","",archive!G158)</f>
        <v/>
      </c>
      <c r="H158" s="51" t="str">
        <f>IF(archive!CJ158="","",archive!CJ158)</f>
        <v/>
      </c>
      <c r="I158" s="51" t="str">
        <f>IF(archive!CK158="","",archive!CK158)</f>
        <v/>
      </c>
      <c r="J158" s="47" t="str">
        <f t="shared" si="31"/>
        <v/>
      </c>
      <c r="K158" s="51" t="str">
        <f t="shared" si="32"/>
        <v/>
      </c>
      <c r="L158" s="52" t="str">
        <f t="shared" si="33"/>
        <v/>
      </c>
      <c r="M158" s="53" t="str">
        <f t="shared" si="34"/>
        <v/>
      </c>
      <c r="N158" s="53" t="str">
        <f t="shared" si="35"/>
        <v/>
      </c>
      <c r="O158" s="53" t="str">
        <f t="shared" si="36"/>
        <v/>
      </c>
      <c r="P158" s="53" t="str">
        <f t="shared" si="37"/>
        <v/>
      </c>
      <c r="Q158" s="53" t="str">
        <f t="shared" si="38"/>
        <v/>
      </c>
      <c r="R158" s="53" t="str">
        <f t="shared" si="39"/>
        <v/>
      </c>
      <c r="S158" s="53" t="str">
        <f t="shared" si="40"/>
        <v/>
      </c>
      <c r="T158" s="53" t="str">
        <f t="shared" si="41"/>
        <v/>
      </c>
    </row>
    <row r="159" spans="1:20">
      <c r="A159" s="47" t="str">
        <f>IF(archive!E159="","",archive!E159)</f>
        <v/>
      </c>
      <c r="B159" s="48" t="str">
        <f t="shared" si="28"/>
        <v/>
      </c>
      <c r="C159" s="49" t="str">
        <f>IF(archive!F159="","",archive!F159)</f>
        <v/>
      </c>
      <c r="D159" s="50" t="str">
        <f t="shared" si="29"/>
        <v/>
      </c>
      <c r="E159" s="50" t="str">
        <f t="shared" si="30"/>
        <v/>
      </c>
      <c r="F159" s="47" t="str">
        <f>IF(COUNTA(archive!H159:CI159)=0,"",COUNTA(archive!H159:CI159))</f>
        <v/>
      </c>
      <c r="G159" s="47" t="str">
        <f>IF(archive!G159="","",archive!G159)</f>
        <v/>
      </c>
      <c r="H159" s="51" t="str">
        <f>IF(archive!CJ159="","",archive!CJ159)</f>
        <v/>
      </c>
      <c r="I159" s="51" t="str">
        <f>IF(archive!CK159="","",archive!CK159)</f>
        <v/>
      </c>
      <c r="J159" s="47" t="str">
        <f t="shared" si="31"/>
        <v/>
      </c>
      <c r="K159" s="51" t="str">
        <f t="shared" si="32"/>
        <v/>
      </c>
      <c r="L159" s="52" t="str">
        <f t="shared" si="33"/>
        <v/>
      </c>
      <c r="M159" s="53" t="str">
        <f t="shared" si="34"/>
        <v/>
      </c>
      <c r="N159" s="53" t="str">
        <f t="shared" si="35"/>
        <v/>
      </c>
      <c r="O159" s="53" t="str">
        <f t="shared" si="36"/>
        <v/>
      </c>
      <c r="P159" s="53" t="str">
        <f t="shared" si="37"/>
        <v/>
      </c>
      <c r="Q159" s="53" t="str">
        <f t="shared" si="38"/>
        <v/>
      </c>
      <c r="R159" s="53" t="str">
        <f t="shared" si="39"/>
        <v/>
      </c>
      <c r="S159" s="53" t="str">
        <f t="shared" si="40"/>
        <v/>
      </c>
      <c r="T159" s="53" t="str">
        <f t="shared" si="41"/>
        <v/>
      </c>
    </row>
    <row r="160" spans="1:20">
      <c r="A160" s="47" t="str">
        <f>IF(archive!E160="","",archive!E160)</f>
        <v/>
      </c>
      <c r="B160" s="48" t="str">
        <f t="shared" si="28"/>
        <v/>
      </c>
      <c r="C160" s="49" t="str">
        <f>IF(archive!F160="","",archive!F160)</f>
        <v/>
      </c>
      <c r="D160" s="50" t="str">
        <f t="shared" si="29"/>
        <v/>
      </c>
      <c r="E160" s="50" t="str">
        <f t="shared" si="30"/>
        <v/>
      </c>
      <c r="F160" s="47" t="str">
        <f>IF(COUNTA(archive!H160:CI160)=0,"",COUNTA(archive!H160:CI160))</f>
        <v/>
      </c>
      <c r="G160" s="47" t="str">
        <f>IF(archive!G160="","",archive!G160)</f>
        <v/>
      </c>
      <c r="H160" s="51" t="str">
        <f>IF(archive!CJ160="","",archive!CJ160)</f>
        <v/>
      </c>
      <c r="I160" s="51" t="str">
        <f>IF(archive!CK160="","",archive!CK160)</f>
        <v/>
      </c>
      <c r="J160" s="47" t="str">
        <f t="shared" si="31"/>
        <v/>
      </c>
      <c r="K160" s="51" t="str">
        <f t="shared" si="32"/>
        <v/>
      </c>
      <c r="L160" s="52" t="str">
        <f t="shared" si="33"/>
        <v/>
      </c>
      <c r="M160" s="53" t="str">
        <f t="shared" si="34"/>
        <v/>
      </c>
      <c r="N160" s="53" t="str">
        <f t="shared" si="35"/>
        <v/>
      </c>
      <c r="O160" s="53" t="str">
        <f t="shared" si="36"/>
        <v/>
      </c>
      <c r="P160" s="53" t="str">
        <f t="shared" si="37"/>
        <v/>
      </c>
      <c r="Q160" s="53" t="str">
        <f t="shared" si="38"/>
        <v/>
      </c>
      <c r="R160" s="53" t="str">
        <f t="shared" si="39"/>
        <v/>
      </c>
      <c r="S160" s="53" t="str">
        <f t="shared" si="40"/>
        <v/>
      </c>
      <c r="T160" s="53" t="str">
        <f t="shared" si="41"/>
        <v/>
      </c>
    </row>
    <row r="161" spans="1:20">
      <c r="A161" s="47" t="str">
        <f>IF(archive!E161="","",archive!E161)</f>
        <v/>
      </c>
      <c r="B161" s="48" t="str">
        <f t="shared" si="28"/>
        <v/>
      </c>
      <c r="C161" s="49" t="str">
        <f>IF(archive!F161="","",archive!F161)</f>
        <v/>
      </c>
      <c r="D161" s="50" t="str">
        <f t="shared" si="29"/>
        <v/>
      </c>
      <c r="E161" s="50" t="str">
        <f t="shared" si="30"/>
        <v/>
      </c>
      <c r="F161" s="47" t="str">
        <f>IF(COUNTA(archive!H161:CI161)=0,"",COUNTA(archive!H161:CI161))</f>
        <v/>
      </c>
      <c r="G161" s="47" t="str">
        <f>IF(archive!G161="","",archive!G161)</f>
        <v/>
      </c>
      <c r="H161" s="51" t="str">
        <f>IF(archive!CJ161="","",archive!CJ161)</f>
        <v/>
      </c>
      <c r="I161" s="51" t="str">
        <f>IF(archive!CK161="","",archive!CK161)</f>
        <v/>
      </c>
      <c r="J161" s="47" t="str">
        <f t="shared" si="31"/>
        <v/>
      </c>
      <c r="K161" s="51" t="str">
        <f t="shared" si="32"/>
        <v/>
      </c>
      <c r="L161" s="52" t="str">
        <f t="shared" si="33"/>
        <v/>
      </c>
      <c r="M161" s="53" t="str">
        <f t="shared" si="34"/>
        <v/>
      </c>
      <c r="N161" s="53" t="str">
        <f t="shared" si="35"/>
        <v/>
      </c>
      <c r="O161" s="53" t="str">
        <f t="shared" si="36"/>
        <v/>
      </c>
      <c r="P161" s="53" t="str">
        <f t="shared" si="37"/>
        <v/>
      </c>
      <c r="Q161" s="53" t="str">
        <f t="shared" si="38"/>
        <v/>
      </c>
      <c r="R161" s="53" t="str">
        <f t="shared" si="39"/>
        <v/>
      </c>
      <c r="S161" s="53" t="str">
        <f t="shared" si="40"/>
        <v/>
      </c>
      <c r="T161" s="53" t="str">
        <f t="shared" si="41"/>
        <v/>
      </c>
    </row>
    <row r="162" spans="1:20">
      <c r="A162" s="47" t="str">
        <f>IF(archive!E162="","",archive!E162)</f>
        <v/>
      </c>
      <c r="B162" s="48" t="str">
        <f t="shared" si="28"/>
        <v/>
      </c>
      <c r="C162" s="49" t="str">
        <f>IF(archive!F162="","",archive!F162)</f>
        <v/>
      </c>
      <c r="D162" s="50" t="str">
        <f t="shared" si="29"/>
        <v/>
      </c>
      <c r="E162" s="50" t="str">
        <f t="shared" si="30"/>
        <v/>
      </c>
      <c r="F162" s="47" t="str">
        <f>IF(COUNTA(archive!H162:CI162)=0,"",COUNTA(archive!H162:CI162))</f>
        <v/>
      </c>
      <c r="G162" s="47" t="str">
        <f>IF(archive!G162="","",archive!G162)</f>
        <v/>
      </c>
      <c r="H162" s="51" t="str">
        <f>IF(archive!CJ162="","",archive!CJ162)</f>
        <v/>
      </c>
      <c r="I162" s="51" t="str">
        <f>IF(archive!CK162="","",archive!CK162)</f>
        <v/>
      </c>
      <c r="J162" s="47" t="str">
        <f t="shared" si="31"/>
        <v/>
      </c>
      <c r="K162" s="51" t="str">
        <f t="shared" si="32"/>
        <v/>
      </c>
      <c r="L162" s="52" t="str">
        <f t="shared" si="33"/>
        <v/>
      </c>
      <c r="M162" s="53" t="str">
        <f t="shared" si="34"/>
        <v/>
      </c>
      <c r="N162" s="53" t="str">
        <f t="shared" si="35"/>
        <v/>
      </c>
      <c r="O162" s="53" t="str">
        <f t="shared" si="36"/>
        <v/>
      </c>
      <c r="P162" s="53" t="str">
        <f t="shared" si="37"/>
        <v/>
      </c>
      <c r="Q162" s="53" t="str">
        <f t="shared" si="38"/>
        <v/>
      </c>
      <c r="R162" s="53" t="str">
        <f t="shared" si="39"/>
        <v/>
      </c>
      <c r="S162" s="53" t="str">
        <f t="shared" si="40"/>
        <v/>
      </c>
      <c r="T162" s="53" t="str">
        <f t="shared" si="41"/>
        <v/>
      </c>
    </row>
    <row r="163" spans="1:20">
      <c r="A163" s="47" t="str">
        <f>IF(archive!E163="","",archive!E163)</f>
        <v/>
      </c>
      <c r="B163" s="48" t="str">
        <f t="shared" si="28"/>
        <v/>
      </c>
      <c r="C163" s="49" t="str">
        <f>IF(archive!F163="","",archive!F163)</f>
        <v/>
      </c>
      <c r="D163" s="50" t="str">
        <f t="shared" si="29"/>
        <v/>
      </c>
      <c r="E163" s="50" t="str">
        <f t="shared" si="30"/>
        <v/>
      </c>
      <c r="F163" s="47" t="str">
        <f>IF(COUNTA(archive!H163:CI163)=0,"",COUNTA(archive!H163:CI163))</f>
        <v/>
      </c>
      <c r="G163" s="47" t="str">
        <f>IF(archive!G163="","",archive!G163)</f>
        <v/>
      </c>
      <c r="H163" s="51" t="str">
        <f>IF(archive!CJ163="","",archive!CJ163)</f>
        <v/>
      </c>
      <c r="I163" s="51" t="str">
        <f>IF(archive!CK163="","",archive!CK163)</f>
        <v/>
      </c>
      <c r="J163" s="47" t="str">
        <f t="shared" si="31"/>
        <v/>
      </c>
      <c r="K163" s="51" t="str">
        <f t="shared" si="32"/>
        <v/>
      </c>
      <c r="L163" s="52" t="str">
        <f t="shared" si="33"/>
        <v/>
      </c>
      <c r="M163" s="53" t="str">
        <f t="shared" si="34"/>
        <v/>
      </c>
      <c r="N163" s="53" t="str">
        <f t="shared" si="35"/>
        <v/>
      </c>
      <c r="O163" s="53" t="str">
        <f t="shared" si="36"/>
        <v/>
      </c>
      <c r="P163" s="53" t="str">
        <f t="shared" si="37"/>
        <v/>
      </c>
      <c r="Q163" s="53" t="str">
        <f t="shared" si="38"/>
        <v/>
      </c>
      <c r="R163" s="53" t="str">
        <f t="shared" si="39"/>
        <v/>
      </c>
      <c r="S163" s="53" t="str">
        <f t="shared" si="40"/>
        <v/>
      </c>
      <c r="T163" s="53" t="str">
        <f t="shared" si="41"/>
        <v/>
      </c>
    </row>
    <row r="164" spans="1:20">
      <c r="A164" s="47" t="str">
        <f>IF(archive!E164="","",archive!E164)</f>
        <v/>
      </c>
      <c r="B164" s="48" t="str">
        <f t="shared" si="28"/>
        <v/>
      </c>
      <c r="C164" s="49" t="str">
        <f>IF(archive!F164="","",archive!F164)</f>
        <v/>
      </c>
      <c r="D164" s="50" t="str">
        <f t="shared" si="29"/>
        <v/>
      </c>
      <c r="E164" s="50" t="str">
        <f t="shared" si="30"/>
        <v/>
      </c>
      <c r="F164" s="47" t="str">
        <f>IF(COUNTA(archive!H164:CI164)=0,"",COUNTA(archive!H164:CI164))</f>
        <v/>
      </c>
      <c r="G164" s="47" t="str">
        <f>IF(archive!G164="","",archive!G164)</f>
        <v/>
      </c>
      <c r="H164" s="51" t="str">
        <f>IF(archive!CJ164="","",archive!CJ164)</f>
        <v/>
      </c>
      <c r="I164" s="51" t="str">
        <f>IF(archive!CK164="","",archive!CK164)</f>
        <v/>
      </c>
      <c r="J164" s="47" t="str">
        <f t="shared" si="31"/>
        <v/>
      </c>
      <c r="K164" s="51" t="str">
        <f t="shared" si="32"/>
        <v/>
      </c>
      <c r="L164" s="52" t="str">
        <f t="shared" si="33"/>
        <v/>
      </c>
      <c r="M164" s="53" t="str">
        <f t="shared" si="34"/>
        <v/>
      </c>
      <c r="N164" s="53" t="str">
        <f t="shared" si="35"/>
        <v/>
      </c>
      <c r="O164" s="53" t="str">
        <f t="shared" si="36"/>
        <v/>
      </c>
      <c r="P164" s="53" t="str">
        <f t="shared" si="37"/>
        <v/>
      </c>
      <c r="Q164" s="53" t="str">
        <f t="shared" si="38"/>
        <v/>
      </c>
      <c r="R164" s="53" t="str">
        <f t="shared" si="39"/>
        <v/>
      </c>
      <c r="S164" s="53" t="str">
        <f t="shared" si="40"/>
        <v/>
      </c>
      <c r="T164" s="53" t="str">
        <f t="shared" si="41"/>
        <v/>
      </c>
    </row>
    <row r="165" spans="1:20">
      <c r="A165" s="47" t="str">
        <f>IF(archive!E165="","",archive!E165)</f>
        <v/>
      </c>
      <c r="B165" s="48" t="str">
        <f t="shared" si="28"/>
        <v/>
      </c>
      <c r="C165" s="49" t="str">
        <f>IF(archive!F165="","",archive!F165)</f>
        <v/>
      </c>
      <c r="D165" s="50" t="str">
        <f t="shared" si="29"/>
        <v/>
      </c>
      <c r="E165" s="50" t="str">
        <f t="shared" si="30"/>
        <v/>
      </c>
      <c r="F165" s="47" t="str">
        <f>IF(COUNTA(archive!H165:CI165)=0,"",COUNTA(archive!H165:CI165))</f>
        <v/>
      </c>
      <c r="G165" s="47" t="str">
        <f>IF(archive!G165="","",archive!G165)</f>
        <v/>
      </c>
      <c r="H165" s="51" t="str">
        <f>IF(archive!CJ165="","",archive!CJ165)</f>
        <v/>
      </c>
      <c r="I165" s="51" t="str">
        <f>IF(archive!CK165="","",archive!CK165)</f>
        <v/>
      </c>
      <c r="J165" s="47" t="str">
        <f t="shared" si="31"/>
        <v/>
      </c>
      <c r="K165" s="51" t="str">
        <f t="shared" si="32"/>
        <v/>
      </c>
      <c r="L165" s="52" t="str">
        <f t="shared" si="33"/>
        <v/>
      </c>
      <c r="M165" s="53" t="str">
        <f t="shared" si="34"/>
        <v/>
      </c>
      <c r="N165" s="53" t="str">
        <f t="shared" si="35"/>
        <v/>
      </c>
      <c r="O165" s="53" t="str">
        <f t="shared" si="36"/>
        <v/>
      </c>
      <c r="P165" s="53" t="str">
        <f t="shared" si="37"/>
        <v/>
      </c>
      <c r="Q165" s="53" t="str">
        <f t="shared" si="38"/>
        <v/>
      </c>
      <c r="R165" s="53" t="str">
        <f t="shared" si="39"/>
        <v/>
      </c>
      <c r="S165" s="53" t="str">
        <f t="shared" si="40"/>
        <v/>
      </c>
      <c r="T165" s="53" t="str">
        <f t="shared" si="41"/>
        <v/>
      </c>
    </row>
    <row r="166" spans="1:20">
      <c r="A166" s="47" t="str">
        <f>IF(archive!E166="","",archive!E166)</f>
        <v/>
      </c>
      <c r="B166" s="48" t="str">
        <f t="shared" si="28"/>
        <v/>
      </c>
      <c r="C166" s="49" t="str">
        <f>IF(archive!F166="","",archive!F166)</f>
        <v/>
      </c>
      <c r="D166" s="50" t="str">
        <f t="shared" si="29"/>
        <v/>
      </c>
      <c r="E166" s="50" t="str">
        <f t="shared" si="30"/>
        <v/>
      </c>
      <c r="F166" s="47" t="str">
        <f>IF(COUNTA(archive!H166:CI166)=0,"",COUNTA(archive!H166:CI166))</f>
        <v/>
      </c>
      <c r="G166" s="47" t="str">
        <f>IF(archive!G166="","",archive!G166)</f>
        <v/>
      </c>
      <c r="H166" s="51" t="str">
        <f>IF(archive!CJ166="","",archive!CJ166)</f>
        <v/>
      </c>
      <c r="I166" s="51" t="str">
        <f>IF(archive!CK166="","",archive!CK166)</f>
        <v/>
      </c>
      <c r="J166" s="47" t="str">
        <f t="shared" si="31"/>
        <v/>
      </c>
      <c r="K166" s="51" t="str">
        <f t="shared" si="32"/>
        <v/>
      </c>
      <c r="L166" s="52" t="str">
        <f t="shared" si="33"/>
        <v/>
      </c>
      <c r="M166" s="53" t="str">
        <f t="shared" si="34"/>
        <v/>
      </c>
      <c r="N166" s="53" t="str">
        <f t="shared" si="35"/>
        <v/>
      </c>
      <c r="O166" s="53" t="str">
        <f t="shared" si="36"/>
        <v/>
      </c>
      <c r="P166" s="53" t="str">
        <f t="shared" si="37"/>
        <v/>
      </c>
      <c r="Q166" s="53" t="str">
        <f t="shared" si="38"/>
        <v/>
      </c>
      <c r="R166" s="53" t="str">
        <f t="shared" si="39"/>
        <v/>
      </c>
      <c r="S166" s="53" t="str">
        <f t="shared" si="40"/>
        <v/>
      </c>
      <c r="T166" s="53" t="str">
        <f t="shared" si="41"/>
        <v/>
      </c>
    </row>
    <row r="167" spans="1:20">
      <c r="A167" s="47" t="str">
        <f>IF(archive!E167="","",archive!E167)</f>
        <v/>
      </c>
      <c r="B167" s="48" t="str">
        <f t="shared" si="28"/>
        <v/>
      </c>
      <c r="C167" s="49" t="str">
        <f>IF(archive!F167="","",archive!F167)</f>
        <v/>
      </c>
      <c r="D167" s="50" t="str">
        <f t="shared" si="29"/>
        <v/>
      </c>
      <c r="E167" s="50" t="str">
        <f t="shared" si="30"/>
        <v/>
      </c>
      <c r="F167" s="47" t="str">
        <f>IF(COUNTA(archive!H167:CI167)=0,"",COUNTA(archive!H167:CI167))</f>
        <v/>
      </c>
      <c r="G167" s="47" t="str">
        <f>IF(archive!G167="","",archive!G167)</f>
        <v/>
      </c>
      <c r="H167" s="51" t="str">
        <f>IF(archive!CJ167="","",archive!CJ167)</f>
        <v/>
      </c>
      <c r="I167" s="51" t="str">
        <f>IF(archive!CK167="","",archive!CK167)</f>
        <v/>
      </c>
      <c r="J167" s="47" t="str">
        <f t="shared" si="31"/>
        <v/>
      </c>
      <c r="K167" s="51" t="str">
        <f t="shared" si="32"/>
        <v/>
      </c>
      <c r="L167" s="52" t="str">
        <f t="shared" si="33"/>
        <v/>
      </c>
      <c r="M167" s="53" t="str">
        <f t="shared" si="34"/>
        <v/>
      </c>
      <c r="N167" s="53" t="str">
        <f t="shared" si="35"/>
        <v/>
      </c>
      <c r="O167" s="53" t="str">
        <f t="shared" si="36"/>
        <v/>
      </c>
      <c r="P167" s="53" t="str">
        <f t="shared" si="37"/>
        <v/>
      </c>
      <c r="Q167" s="53" t="str">
        <f t="shared" si="38"/>
        <v/>
      </c>
      <c r="R167" s="53" t="str">
        <f t="shared" si="39"/>
        <v/>
      </c>
      <c r="S167" s="53" t="str">
        <f t="shared" si="40"/>
        <v/>
      </c>
      <c r="T167" s="53" t="str">
        <f t="shared" si="41"/>
        <v/>
      </c>
    </row>
    <row r="168" spans="1:20">
      <c r="A168" s="47" t="str">
        <f>IF(archive!E168="","",archive!E168)</f>
        <v/>
      </c>
      <c r="B168" s="48" t="str">
        <f t="shared" si="28"/>
        <v/>
      </c>
      <c r="C168" s="49" t="str">
        <f>IF(archive!F168="","",archive!F168)</f>
        <v/>
      </c>
      <c r="D168" s="50" t="str">
        <f t="shared" si="29"/>
        <v/>
      </c>
      <c r="E168" s="50" t="str">
        <f t="shared" si="30"/>
        <v/>
      </c>
      <c r="F168" s="47" t="str">
        <f>IF(COUNTA(archive!H168:CI168)=0,"",COUNTA(archive!H168:CI168))</f>
        <v/>
      </c>
      <c r="G168" s="47" t="str">
        <f>IF(archive!G168="","",archive!G168)</f>
        <v/>
      </c>
      <c r="H168" s="51" t="str">
        <f>IF(archive!CJ168="","",archive!CJ168)</f>
        <v/>
      </c>
      <c r="I168" s="51" t="str">
        <f>IF(archive!CK168="","",archive!CK168)</f>
        <v/>
      </c>
      <c r="J168" s="47" t="str">
        <f t="shared" si="31"/>
        <v/>
      </c>
      <c r="K168" s="51" t="str">
        <f t="shared" si="32"/>
        <v/>
      </c>
      <c r="L168" s="52" t="str">
        <f t="shared" si="33"/>
        <v/>
      </c>
      <c r="M168" s="53" t="str">
        <f t="shared" si="34"/>
        <v/>
      </c>
      <c r="N168" s="53" t="str">
        <f t="shared" si="35"/>
        <v/>
      </c>
      <c r="O168" s="53" t="str">
        <f t="shared" si="36"/>
        <v/>
      </c>
      <c r="P168" s="53" t="str">
        <f t="shared" si="37"/>
        <v/>
      </c>
      <c r="Q168" s="53" t="str">
        <f t="shared" si="38"/>
        <v/>
      </c>
      <c r="R168" s="53" t="str">
        <f t="shared" si="39"/>
        <v/>
      </c>
      <c r="S168" s="53" t="str">
        <f t="shared" si="40"/>
        <v/>
      </c>
      <c r="T168" s="53" t="str">
        <f t="shared" si="41"/>
        <v/>
      </c>
    </row>
    <row r="169" spans="1:20">
      <c r="A169" s="47" t="str">
        <f>IF(archive!E169="","",archive!E169)</f>
        <v/>
      </c>
      <c r="B169" s="48" t="str">
        <f t="shared" si="28"/>
        <v/>
      </c>
      <c r="C169" s="49" t="str">
        <f>IF(archive!F169="","",archive!F169)</f>
        <v/>
      </c>
      <c r="D169" s="50" t="str">
        <f t="shared" si="29"/>
        <v/>
      </c>
      <c r="E169" s="50" t="str">
        <f t="shared" si="30"/>
        <v/>
      </c>
      <c r="F169" s="47" t="str">
        <f>IF(COUNTA(archive!H169:CI169)=0,"",COUNTA(archive!H169:CI169))</f>
        <v/>
      </c>
      <c r="G169" s="47" t="str">
        <f>IF(archive!G169="","",archive!G169)</f>
        <v/>
      </c>
      <c r="H169" s="51" t="str">
        <f>IF(archive!CJ169="","",archive!CJ169)</f>
        <v/>
      </c>
      <c r="I169" s="51" t="str">
        <f>IF(archive!CK169="","",archive!CK169)</f>
        <v/>
      </c>
      <c r="J169" s="47" t="str">
        <f t="shared" si="31"/>
        <v/>
      </c>
      <c r="K169" s="51" t="str">
        <f t="shared" si="32"/>
        <v/>
      </c>
      <c r="L169" s="52" t="str">
        <f t="shared" si="33"/>
        <v/>
      </c>
      <c r="M169" s="53" t="str">
        <f t="shared" si="34"/>
        <v/>
      </c>
      <c r="N169" s="53" t="str">
        <f t="shared" si="35"/>
        <v/>
      </c>
      <c r="O169" s="53" t="str">
        <f t="shared" si="36"/>
        <v/>
      </c>
      <c r="P169" s="53" t="str">
        <f t="shared" si="37"/>
        <v/>
      </c>
      <c r="Q169" s="53" t="str">
        <f t="shared" si="38"/>
        <v/>
      </c>
      <c r="R169" s="53" t="str">
        <f t="shared" si="39"/>
        <v/>
      </c>
      <c r="S169" s="53" t="str">
        <f t="shared" si="40"/>
        <v/>
      </c>
      <c r="T169" s="53" t="str">
        <f t="shared" si="41"/>
        <v/>
      </c>
    </row>
    <row r="170" spans="1:20">
      <c r="A170" s="47" t="str">
        <f>IF(archive!E170="","",archive!E170)</f>
        <v/>
      </c>
      <c r="B170" s="48" t="str">
        <f t="shared" si="28"/>
        <v/>
      </c>
      <c r="C170" s="49" t="str">
        <f>IF(archive!F170="","",archive!F170)</f>
        <v/>
      </c>
      <c r="D170" s="50" t="str">
        <f t="shared" si="29"/>
        <v/>
      </c>
      <c r="E170" s="50" t="str">
        <f t="shared" si="30"/>
        <v/>
      </c>
      <c r="F170" s="47" t="str">
        <f>IF(COUNTA(archive!H170:CI170)=0,"",COUNTA(archive!H170:CI170))</f>
        <v/>
      </c>
      <c r="G170" s="47" t="str">
        <f>IF(archive!G170="","",archive!G170)</f>
        <v/>
      </c>
      <c r="H170" s="51" t="str">
        <f>IF(archive!CJ170="","",archive!CJ170)</f>
        <v/>
      </c>
      <c r="I170" s="51" t="str">
        <f>IF(archive!CK170="","",archive!CK170)</f>
        <v/>
      </c>
      <c r="J170" s="47" t="str">
        <f t="shared" si="31"/>
        <v/>
      </c>
      <c r="K170" s="51" t="str">
        <f t="shared" si="32"/>
        <v/>
      </c>
      <c r="L170" s="52" t="str">
        <f t="shared" si="33"/>
        <v/>
      </c>
      <c r="M170" s="53" t="str">
        <f t="shared" si="34"/>
        <v/>
      </c>
      <c r="N170" s="53" t="str">
        <f t="shared" si="35"/>
        <v/>
      </c>
      <c r="O170" s="53" t="str">
        <f t="shared" si="36"/>
        <v/>
      </c>
      <c r="P170" s="53" t="str">
        <f t="shared" si="37"/>
        <v/>
      </c>
      <c r="Q170" s="53" t="str">
        <f t="shared" si="38"/>
        <v/>
      </c>
      <c r="R170" s="53" t="str">
        <f t="shared" si="39"/>
        <v/>
      </c>
      <c r="S170" s="53" t="str">
        <f t="shared" si="40"/>
        <v/>
      </c>
      <c r="T170" s="53" t="str">
        <f t="shared" si="41"/>
        <v/>
      </c>
    </row>
    <row r="171" spans="1:20">
      <c r="A171" s="47" t="str">
        <f>IF(archive!E171="","",archive!E171)</f>
        <v/>
      </c>
      <c r="B171" s="48" t="str">
        <f t="shared" si="28"/>
        <v/>
      </c>
      <c r="C171" s="49" t="str">
        <f>IF(archive!F171="","",archive!F171)</f>
        <v/>
      </c>
      <c r="D171" s="50" t="str">
        <f t="shared" si="29"/>
        <v/>
      </c>
      <c r="E171" s="50" t="str">
        <f t="shared" si="30"/>
        <v/>
      </c>
      <c r="F171" s="47" t="str">
        <f>IF(COUNTA(archive!H171:CI171)=0,"",COUNTA(archive!H171:CI171))</f>
        <v/>
      </c>
      <c r="G171" s="47" t="str">
        <f>IF(archive!G171="","",archive!G171)</f>
        <v/>
      </c>
      <c r="H171" s="51" t="str">
        <f>IF(archive!CJ171="","",archive!CJ171)</f>
        <v/>
      </c>
      <c r="I171" s="51" t="str">
        <f>IF(archive!CK171="","",archive!CK171)</f>
        <v/>
      </c>
      <c r="J171" s="47" t="str">
        <f t="shared" si="31"/>
        <v/>
      </c>
      <c r="K171" s="51" t="str">
        <f t="shared" si="32"/>
        <v/>
      </c>
      <c r="L171" s="52" t="str">
        <f t="shared" si="33"/>
        <v/>
      </c>
      <c r="M171" s="53" t="str">
        <f t="shared" si="34"/>
        <v/>
      </c>
      <c r="N171" s="53" t="str">
        <f t="shared" si="35"/>
        <v/>
      </c>
      <c r="O171" s="53" t="str">
        <f t="shared" si="36"/>
        <v/>
      </c>
      <c r="P171" s="53" t="str">
        <f t="shared" si="37"/>
        <v/>
      </c>
      <c r="Q171" s="53" t="str">
        <f t="shared" si="38"/>
        <v/>
      </c>
      <c r="R171" s="53" t="str">
        <f t="shared" si="39"/>
        <v/>
      </c>
      <c r="S171" s="53" t="str">
        <f t="shared" si="40"/>
        <v/>
      </c>
      <c r="T171" s="53" t="str">
        <f t="shared" si="41"/>
        <v/>
      </c>
    </row>
    <row r="172" spans="1:20">
      <c r="A172" s="47" t="str">
        <f>IF(archive!E172="","",archive!E172)</f>
        <v/>
      </c>
      <c r="B172" s="48" t="str">
        <f t="shared" si="28"/>
        <v/>
      </c>
      <c r="C172" s="49" t="str">
        <f>IF(archive!F172="","",archive!F172)</f>
        <v/>
      </c>
      <c r="D172" s="50" t="str">
        <f t="shared" si="29"/>
        <v/>
      </c>
      <c r="E172" s="50" t="str">
        <f t="shared" si="30"/>
        <v/>
      </c>
      <c r="F172" s="47" t="str">
        <f>IF(COUNTA(archive!H172:CI172)=0,"",COUNTA(archive!H172:CI172))</f>
        <v/>
      </c>
      <c r="G172" s="47" t="str">
        <f>IF(archive!G172="","",archive!G172)</f>
        <v/>
      </c>
      <c r="H172" s="51" t="str">
        <f>IF(archive!CJ172="","",archive!CJ172)</f>
        <v/>
      </c>
      <c r="I172" s="51" t="str">
        <f>IF(archive!CK172="","",archive!CK172)</f>
        <v/>
      </c>
      <c r="J172" s="47" t="str">
        <f t="shared" si="31"/>
        <v/>
      </c>
      <c r="K172" s="51" t="str">
        <f t="shared" si="32"/>
        <v/>
      </c>
      <c r="L172" s="52" t="str">
        <f t="shared" si="33"/>
        <v/>
      </c>
      <c r="M172" s="53" t="str">
        <f t="shared" si="34"/>
        <v/>
      </c>
      <c r="N172" s="53" t="str">
        <f t="shared" si="35"/>
        <v/>
      </c>
      <c r="O172" s="53" t="str">
        <f t="shared" si="36"/>
        <v/>
      </c>
      <c r="P172" s="53" t="str">
        <f t="shared" si="37"/>
        <v/>
      </c>
      <c r="Q172" s="53" t="str">
        <f t="shared" si="38"/>
        <v/>
      </c>
      <c r="R172" s="53" t="str">
        <f t="shared" si="39"/>
        <v/>
      </c>
      <c r="S172" s="53" t="str">
        <f t="shared" si="40"/>
        <v/>
      </c>
      <c r="T172" s="53" t="str">
        <f t="shared" si="41"/>
        <v/>
      </c>
    </row>
    <row r="173" spans="1:20">
      <c r="A173" s="47" t="str">
        <f>IF(archive!E173="","",archive!E173)</f>
        <v/>
      </c>
      <c r="B173" s="48" t="str">
        <f t="shared" si="28"/>
        <v/>
      </c>
      <c r="C173" s="49" t="str">
        <f>IF(archive!F173="","",archive!F173)</f>
        <v/>
      </c>
      <c r="D173" s="50" t="str">
        <f t="shared" si="29"/>
        <v/>
      </c>
      <c r="E173" s="50" t="str">
        <f t="shared" si="30"/>
        <v/>
      </c>
      <c r="F173" s="47" t="str">
        <f>IF(COUNTA(archive!H173:CI173)=0,"",COUNTA(archive!H173:CI173))</f>
        <v/>
      </c>
      <c r="G173" s="47" t="str">
        <f>IF(archive!G173="","",archive!G173)</f>
        <v/>
      </c>
      <c r="H173" s="51" t="str">
        <f>IF(archive!CJ173="","",archive!CJ173)</f>
        <v/>
      </c>
      <c r="I173" s="51" t="str">
        <f>IF(archive!CK173="","",archive!CK173)</f>
        <v/>
      </c>
      <c r="J173" s="47" t="str">
        <f t="shared" si="31"/>
        <v/>
      </c>
      <c r="K173" s="51" t="str">
        <f t="shared" si="32"/>
        <v/>
      </c>
      <c r="L173" s="52" t="str">
        <f t="shared" si="33"/>
        <v/>
      </c>
      <c r="M173" s="53" t="str">
        <f t="shared" si="34"/>
        <v/>
      </c>
      <c r="N173" s="53" t="str">
        <f t="shared" si="35"/>
        <v/>
      </c>
      <c r="O173" s="53" t="str">
        <f t="shared" si="36"/>
        <v/>
      </c>
      <c r="P173" s="53" t="str">
        <f t="shared" si="37"/>
        <v/>
      </c>
      <c r="Q173" s="53" t="str">
        <f t="shared" si="38"/>
        <v/>
      </c>
      <c r="R173" s="53" t="str">
        <f t="shared" si="39"/>
        <v/>
      </c>
      <c r="S173" s="53" t="str">
        <f t="shared" si="40"/>
        <v/>
      </c>
      <c r="T173" s="53" t="str">
        <f t="shared" si="41"/>
        <v/>
      </c>
    </row>
    <row r="174" spans="1:20">
      <c r="A174" s="47" t="str">
        <f>IF(archive!E174="","",archive!E174)</f>
        <v/>
      </c>
      <c r="B174" s="48" t="str">
        <f t="shared" si="28"/>
        <v/>
      </c>
      <c r="C174" s="49" t="str">
        <f>IF(archive!F174="","",archive!F174)</f>
        <v/>
      </c>
      <c r="D174" s="50" t="str">
        <f t="shared" si="29"/>
        <v/>
      </c>
      <c r="E174" s="50" t="str">
        <f t="shared" si="30"/>
        <v/>
      </c>
      <c r="F174" s="47" t="str">
        <f>IF(COUNTA(archive!H174:CI174)=0,"",COUNTA(archive!H174:CI174))</f>
        <v/>
      </c>
      <c r="G174" s="47" t="str">
        <f>IF(archive!G174="","",archive!G174)</f>
        <v/>
      </c>
      <c r="H174" s="51" t="str">
        <f>IF(archive!CJ174="","",archive!CJ174)</f>
        <v/>
      </c>
      <c r="I174" s="51" t="str">
        <f>IF(archive!CK174="","",archive!CK174)</f>
        <v/>
      </c>
      <c r="J174" s="47" t="str">
        <f t="shared" si="31"/>
        <v/>
      </c>
      <c r="K174" s="51" t="str">
        <f t="shared" si="32"/>
        <v/>
      </c>
      <c r="L174" s="52" t="str">
        <f t="shared" si="33"/>
        <v/>
      </c>
      <c r="M174" s="53" t="str">
        <f t="shared" si="34"/>
        <v/>
      </c>
      <c r="N174" s="53" t="str">
        <f t="shared" si="35"/>
        <v/>
      </c>
      <c r="O174" s="53" t="str">
        <f t="shared" si="36"/>
        <v/>
      </c>
      <c r="P174" s="53" t="str">
        <f t="shared" si="37"/>
        <v/>
      </c>
      <c r="Q174" s="53" t="str">
        <f t="shared" si="38"/>
        <v/>
      </c>
      <c r="R174" s="53" t="str">
        <f t="shared" si="39"/>
        <v/>
      </c>
      <c r="S174" s="53" t="str">
        <f t="shared" si="40"/>
        <v/>
      </c>
      <c r="T174" s="53" t="str">
        <f t="shared" si="41"/>
        <v/>
      </c>
    </row>
    <row r="175" spans="1:20">
      <c r="A175" s="47" t="str">
        <f>IF(archive!E175="","",archive!E175)</f>
        <v/>
      </c>
      <c r="B175" s="48" t="str">
        <f t="shared" si="28"/>
        <v/>
      </c>
      <c r="C175" s="49" t="str">
        <f>IF(archive!F175="","",archive!F175)</f>
        <v/>
      </c>
      <c r="D175" s="50" t="str">
        <f t="shared" si="29"/>
        <v/>
      </c>
      <c r="E175" s="50" t="str">
        <f t="shared" si="30"/>
        <v/>
      </c>
      <c r="F175" s="47" t="str">
        <f>IF(COUNTA(archive!H175:CI175)=0,"",COUNTA(archive!H175:CI175))</f>
        <v/>
      </c>
      <c r="G175" s="47" t="str">
        <f>IF(archive!G175="","",archive!G175)</f>
        <v/>
      </c>
      <c r="H175" s="51" t="str">
        <f>IF(archive!CJ175="","",archive!CJ175)</f>
        <v/>
      </c>
      <c r="I175" s="51" t="str">
        <f>IF(archive!CK175="","",archive!CK175)</f>
        <v/>
      </c>
      <c r="J175" s="47" t="str">
        <f t="shared" si="31"/>
        <v/>
      </c>
      <c r="K175" s="51" t="str">
        <f t="shared" si="32"/>
        <v/>
      </c>
      <c r="L175" s="52" t="str">
        <f t="shared" si="33"/>
        <v/>
      </c>
      <c r="M175" s="53" t="str">
        <f t="shared" si="34"/>
        <v/>
      </c>
      <c r="N175" s="53" t="str">
        <f t="shared" si="35"/>
        <v/>
      </c>
      <c r="O175" s="53" t="str">
        <f t="shared" si="36"/>
        <v/>
      </c>
      <c r="P175" s="53" t="str">
        <f t="shared" si="37"/>
        <v/>
      </c>
      <c r="Q175" s="53" t="str">
        <f t="shared" si="38"/>
        <v/>
      </c>
      <c r="R175" s="53" t="str">
        <f t="shared" si="39"/>
        <v/>
      </c>
      <c r="S175" s="53" t="str">
        <f t="shared" si="40"/>
        <v/>
      </c>
      <c r="T175" s="53" t="str">
        <f t="shared" si="41"/>
        <v/>
      </c>
    </row>
    <row r="176" spans="1:20">
      <c r="A176" s="47" t="str">
        <f>IF(archive!E176="","",archive!E176)</f>
        <v/>
      </c>
      <c r="B176" s="48" t="str">
        <f t="shared" si="28"/>
        <v/>
      </c>
      <c r="C176" s="49" t="str">
        <f>IF(archive!F176="","",archive!F176)</f>
        <v/>
      </c>
      <c r="D176" s="50" t="str">
        <f t="shared" si="29"/>
        <v/>
      </c>
      <c r="E176" s="50" t="str">
        <f t="shared" si="30"/>
        <v/>
      </c>
      <c r="F176" s="47" t="str">
        <f>IF(COUNTA(archive!H176:CI176)=0,"",COUNTA(archive!H176:CI176))</f>
        <v/>
      </c>
      <c r="G176" s="47" t="str">
        <f>IF(archive!G176="","",archive!G176)</f>
        <v/>
      </c>
      <c r="H176" s="51" t="str">
        <f>IF(archive!CJ176="","",archive!CJ176)</f>
        <v/>
      </c>
      <c r="I176" s="51" t="str">
        <f>IF(archive!CK176="","",archive!CK176)</f>
        <v/>
      </c>
      <c r="J176" s="47" t="str">
        <f t="shared" si="31"/>
        <v/>
      </c>
      <c r="K176" s="51" t="str">
        <f t="shared" si="32"/>
        <v/>
      </c>
      <c r="L176" s="52" t="str">
        <f t="shared" si="33"/>
        <v/>
      </c>
      <c r="M176" s="53" t="str">
        <f t="shared" si="34"/>
        <v/>
      </c>
      <c r="N176" s="53" t="str">
        <f t="shared" si="35"/>
        <v/>
      </c>
      <c r="O176" s="53" t="str">
        <f t="shared" si="36"/>
        <v/>
      </c>
      <c r="P176" s="53" t="str">
        <f t="shared" si="37"/>
        <v/>
      </c>
      <c r="Q176" s="53" t="str">
        <f t="shared" si="38"/>
        <v/>
      </c>
      <c r="R176" s="53" t="str">
        <f t="shared" si="39"/>
        <v/>
      </c>
      <c r="S176" s="53" t="str">
        <f t="shared" si="40"/>
        <v/>
      </c>
      <c r="T176" s="53" t="str">
        <f t="shared" si="41"/>
        <v/>
      </c>
    </row>
    <row r="177" spans="1:20">
      <c r="A177" s="47" t="str">
        <f>IF(archive!E177="","",archive!E177)</f>
        <v/>
      </c>
      <c r="B177" s="48" t="str">
        <f t="shared" si="28"/>
        <v/>
      </c>
      <c r="C177" s="49" t="str">
        <f>IF(archive!F177="","",archive!F177)</f>
        <v/>
      </c>
      <c r="D177" s="50" t="str">
        <f t="shared" si="29"/>
        <v/>
      </c>
      <c r="E177" s="50" t="str">
        <f t="shared" si="30"/>
        <v/>
      </c>
      <c r="F177" s="47" t="str">
        <f>IF(COUNTA(archive!H177:CI177)=0,"",COUNTA(archive!H177:CI177))</f>
        <v/>
      </c>
      <c r="G177" s="47" t="str">
        <f>IF(archive!G177="","",archive!G177)</f>
        <v/>
      </c>
      <c r="H177" s="51" t="str">
        <f>IF(archive!CJ177="","",archive!CJ177)</f>
        <v/>
      </c>
      <c r="I177" s="51" t="str">
        <f>IF(archive!CK177="","",archive!CK177)</f>
        <v/>
      </c>
      <c r="J177" s="47" t="str">
        <f t="shared" si="31"/>
        <v/>
      </c>
      <c r="K177" s="51" t="str">
        <f t="shared" si="32"/>
        <v/>
      </c>
      <c r="L177" s="52" t="str">
        <f t="shared" si="33"/>
        <v/>
      </c>
      <c r="M177" s="53" t="str">
        <f t="shared" si="34"/>
        <v/>
      </c>
      <c r="N177" s="53" t="str">
        <f t="shared" si="35"/>
        <v/>
      </c>
      <c r="O177" s="53" t="str">
        <f t="shared" si="36"/>
        <v/>
      </c>
      <c r="P177" s="53" t="str">
        <f t="shared" si="37"/>
        <v/>
      </c>
      <c r="Q177" s="53" t="str">
        <f t="shared" si="38"/>
        <v/>
      </c>
      <c r="R177" s="53" t="str">
        <f t="shared" si="39"/>
        <v/>
      </c>
      <c r="S177" s="53" t="str">
        <f t="shared" si="40"/>
        <v/>
      </c>
      <c r="T177" s="53" t="str">
        <f t="shared" si="41"/>
        <v/>
      </c>
    </row>
    <row r="178" spans="1:20">
      <c r="A178" s="47" t="str">
        <f>IF(archive!E178="","",archive!E178)</f>
        <v/>
      </c>
      <c r="B178" s="48" t="str">
        <f t="shared" si="28"/>
        <v/>
      </c>
      <c r="C178" s="49" t="str">
        <f>IF(archive!F178="","",archive!F178)</f>
        <v/>
      </c>
      <c r="D178" s="50" t="str">
        <f t="shared" si="29"/>
        <v/>
      </c>
      <c r="E178" s="50" t="str">
        <f t="shared" si="30"/>
        <v/>
      </c>
      <c r="F178" s="47" t="str">
        <f>IF(COUNTA(archive!H178:CI178)=0,"",COUNTA(archive!H178:CI178))</f>
        <v/>
      </c>
      <c r="G178" s="47" t="str">
        <f>IF(archive!G178="","",archive!G178)</f>
        <v/>
      </c>
      <c r="H178" s="51" t="str">
        <f>IF(archive!CJ178="","",archive!CJ178)</f>
        <v/>
      </c>
      <c r="I178" s="51" t="str">
        <f>IF(archive!CK178="","",archive!CK178)</f>
        <v/>
      </c>
      <c r="J178" s="47" t="str">
        <f t="shared" si="31"/>
        <v/>
      </c>
      <c r="K178" s="51" t="str">
        <f t="shared" si="32"/>
        <v/>
      </c>
      <c r="L178" s="52" t="str">
        <f t="shared" si="33"/>
        <v/>
      </c>
      <c r="M178" s="53" t="str">
        <f t="shared" si="34"/>
        <v/>
      </c>
      <c r="N178" s="53" t="str">
        <f t="shared" si="35"/>
        <v/>
      </c>
      <c r="O178" s="53" t="str">
        <f t="shared" si="36"/>
        <v/>
      </c>
      <c r="P178" s="53" t="str">
        <f t="shared" si="37"/>
        <v/>
      </c>
      <c r="Q178" s="53" t="str">
        <f t="shared" si="38"/>
        <v/>
      </c>
      <c r="R178" s="53" t="str">
        <f t="shared" si="39"/>
        <v/>
      </c>
      <c r="S178" s="53" t="str">
        <f t="shared" si="40"/>
        <v/>
      </c>
      <c r="T178" s="53" t="str">
        <f t="shared" si="41"/>
        <v/>
      </c>
    </row>
    <row r="179" spans="1:20">
      <c r="A179" s="47" t="str">
        <f>IF(archive!E179="","",archive!E179)</f>
        <v/>
      </c>
      <c r="B179" s="48" t="str">
        <f t="shared" si="28"/>
        <v/>
      </c>
      <c r="C179" s="49" t="str">
        <f>IF(archive!F179="","",archive!F179)</f>
        <v/>
      </c>
      <c r="D179" s="50" t="str">
        <f t="shared" si="29"/>
        <v/>
      </c>
      <c r="E179" s="50" t="str">
        <f t="shared" si="30"/>
        <v/>
      </c>
      <c r="F179" s="47" t="str">
        <f>IF(COUNTA(archive!H179:CI179)=0,"",COUNTA(archive!H179:CI179))</f>
        <v/>
      </c>
      <c r="G179" s="47" t="str">
        <f>IF(archive!G179="","",archive!G179)</f>
        <v/>
      </c>
      <c r="H179" s="51" t="str">
        <f>IF(archive!CJ179="","",archive!CJ179)</f>
        <v/>
      </c>
      <c r="I179" s="51" t="str">
        <f>IF(archive!CK179="","",archive!CK179)</f>
        <v/>
      </c>
      <c r="J179" s="47" t="str">
        <f t="shared" si="31"/>
        <v/>
      </c>
      <c r="K179" s="51" t="str">
        <f t="shared" si="32"/>
        <v/>
      </c>
      <c r="L179" s="52" t="str">
        <f t="shared" si="33"/>
        <v/>
      </c>
      <c r="M179" s="53" t="str">
        <f t="shared" si="34"/>
        <v/>
      </c>
      <c r="N179" s="53" t="str">
        <f t="shared" si="35"/>
        <v/>
      </c>
      <c r="O179" s="53" t="str">
        <f t="shared" si="36"/>
        <v/>
      </c>
      <c r="P179" s="53" t="str">
        <f t="shared" si="37"/>
        <v/>
      </c>
      <c r="Q179" s="53" t="str">
        <f t="shared" si="38"/>
        <v/>
      </c>
      <c r="R179" s="53" t="str">
        <f t="shared" si="39"/>
        <v/>
      </c>
      <c r="S179" s="53" t="str">
        <f t="shared" si="40"/>
        <v/>
      </c>
      <c r="T179" s="53" t="str">
        <f t="shared" si="41"/>
        <v/>
      </c>
    </row>
    <row r="180" spans="1:20">
      <c r="A180" s="47" t="str">
        <f>IF(archive!E180="","",archive!E180)</f>
        <v/>
      </c>
      <c r="B180" s="48" t="str">
        <f t="shared" si="28"/>
        <v/>
      </c>
      <c r="C180" s="49" t="str">
        <f>IF(archive!F180="","",archive!F180)</f>
        <v/>
      </c>
      <c r="D180" s="50" t="str">
        <f t="shared" si="29"/>
        <v/>
      </c>
      <c r="E180" s="50" t="str">
        <f t="shared" si="30"/>
        <v/>
      </c>
      <c r="F180" s="47" t="str">
        <f>IF(COUNTA(archive!H180:CI180)=0,"",COUNTA(archive!H180:CI180))</f>
        <v/>
      </c>
      <c r="G180" s="47" t="str">
        <f>IF(archive!G180="","",archive!G180)</f>
        <v/>
      </c>
      <c r="H180" s="51" t="str">
        <f>IF(archive!CJ180="","",archive!CJ180)</f>
        <v/>
      </c>
      <c r="I180" s="51" t="str">
        <f>IF(archive!CK180="","",archive!CK180)</f>
        <v/>
      </c>
      <c r="J180" s="47" t="str">
        <f t="shared" si="31"/>
        <v/>
      </c>
      <c r="K180" s="51" t="str">
        <f t="shared" si="32"/>
        <v/>
      </c>
      <c r="L180" s="52" t="str">
        <f t="shared" si="33"/>
        <v/>
      </c>
      <c r="M180" s="53" t="str">
        <f t="shared" si="34"/>
        <v/>
      </c>
      <c r="N180" s="53" t="str">
        <f t="shared" si="35"/>
        <v/>
      </c>
      <c r="O180" s="53" t="str">
        <f t="shared" si="36"/>
        <v/>
      </c>
      <c r="P180" s="53" t="str">
        <f t="shared" si="37"/>
        <v/>
      </c>
      <c r="Q180" s="53" t="str">
        <f t="shared" si="38"/>
        <v/>
      </c>
      <c r="R180" s="53" t="str">
        <f t="shared" si="39"/>
        <v/>
      </c>
      <c r="S180" s="53" t="str">
        <f t="shared" si="40"/>
        <v/>
      </c>
      <c r="T180" s="53" t="str">
        <f t="shared" si="41"/>
        <v/>
      </c>
    </row>
    <row r="181" spans="1:20">
      <c r="A181" s="47" t="str">
        <f>IF(archive!E181="","",archive!E181)</f>
        <v/>
      </c>
      <c r="B181" s="48" t="str">
        <f t="shared" si="28"/>
        <v/>
      </c>
      <c r="C181" s="49" t="str">
        <f>IF(archive!F181="","",archive!F181)</f>
        <v/>
      </c>
      <c r="D181" s="50" t="str">
        <f t="shared" si="29"/>
        <v/>
      </c>
      <c r="E181" s="50" t="str">
        <f t="shared" si="30"/>
        <v/>
      </c>
      <c r="F181" s="47" t="str">
        <f>IF(COUNTA(archive!H181:CI181)=0,"",COUNTA(archive!H181:CI181))</f>
        <v/>
      </c>
      <c r="G181" s="47" t="str">
        <f>IF(archive!G181="","",archive!G181)</f>
        <v/>
      </c>
      <c r="H181" s="51" t="str">
        <f>IF(archive!CJ181="","",archive!CJ181)</f>
        <v/>
      </c>
      <c r="I181" s="51" t="str">
        <f>IF(archive!CK181="","",archive!CK181)</f>
        <v/>
      </c>
      <c r="J181" s="47" t="str">
        <f t="shared" si="31"/>
        <v/>
      </c>
      <c r="K181" s="51" t="str">
        <f t="shared" si="32"/>
        <v/>
      </c>
      <c r="L181" s="52" t="str">
        <f t="shared" si="33"/>
        <v/>
      </c>
      <c r="M181" s="53" t="str">
        <f t="shared" si="34"/>
        <v/>
      </c>
      <c r="N181" s="53" t="str">
        <f t="shared" si="35"/>
        <v/>
      </c>
      <c r="O181" s="53" t="str">
        <f t="shared" si="36"/>
        <v/>
      </c>
      <c r="P181" s="53" t="str">
        <f t="shared" si="37"/>
        <v/>
      </c>
      <c r="Q181" s="53" t="str">
        <f t="shared" si="38"/>
        <v/>
      </c>
      <c r="R181" s="53" t="str">
        <f t="shared" si="39"/>
        <v/>
      </c>
      <c r="S181" s="53" t="str">
        <f t="shared" si="40"/>
        <v/>
      </c>
      <c r="T181" s="53" t="str">
        <f t="shared" si="41"/>
        <v/>
      </c>
    </row>
    <row r="182" spans="1:20">
      <c r="A182" s="47" t="str">
        <f>IF(archive!E182="","",archive!E182)</f>
        <v/>
      </c>
      <c r="B182" s="48" t="str">
        <f t="shared" si="28"/>
        <v/>
      </c>
      <c r="C182" s="49" t="str">
        <f>IF(archive!F182="","",archive!F182)</f>
        <v/>
      </c>
      <c r="D182" s="50" t="str">
        <f t="shared" si="29"/>
        <v/>
      </c>
      <c r="E182" s="50" t="str">
        <f t="shared" si="30"/>
        <v/>
      </c>
      <c r="F182" s="47" t="str">
        <f>IF(COUNTA(archive!H182:CI182)=0,"",COUNTA(archive!H182:CI182))</f>
        <v/>
      </c>
      <c r="G182" s="47" t="str">
        <f>IF(archive!G182="","",archive!G182)</f>
        <v/>
      </c>
      <c r="H182" s="51" t="str">
        <f>IF(archive!CJ182="","",archive!CJ182)</f>
        <v/>
      </c>
      <c r="I182" s="51" t="str">
        <f>IF(archive!CK182="","",archive!CK182)</f>
        <v/>
      </c>
      <c r="J182" s="47" t="str">
        <f t="shared" si="31"/>
        <v/>
      </c>
      <c r="K182" s="51" t="str">
        <f t="shared" si="32"/>
        <v/>
      </c>
      <c r="L182" s="52" t="str">
        <f t="shared" si="33"/>
        <v/>
      </c>
      <c r="M182" s="53" t="str">
        <f t="shared" si="34"/>
        <v/>
      </c>
      <c r="N182" s="53" t="str">
        <f t="shared" si="35"/>
        <v/>
      </c>
      <c r="O182" s="53" t="str">
        <f t="shared" si="36"/>
        <v/>
      </c>
      <c r="P182" s="53" t="str">
        <f t="shared" si="37"/>
        <v/>
      </c>
      <c r="Q182" s="53" t="str">
        <f t="shared" si="38"/>
        <v/>
      </c>
      <c r="R182" s="53" t="str">
        <f t="shared" si="39"/>
        <v/>
      </c>
      <c r="S182" s="53" t="str">
        <f t="shared" si="40"/>
        <v/>
      </c>
      <c r="T182" s="53" t="str">
        <f t="shared" si="41"/>
        <v/>
      </c>
    </row>
    <row r="183" spans="1:20">
      <c r="A183" s="47" t="str">
        <f>IF(archive!E183="","",archive!E183)</f>
        <v/>
      </c>
      <c r="B183" s="48" t="str">
        <f t="shared" si="28"/>
        <v/>
      </c>
      <c r="C183" s="49" t="str">
        <f>IF(archive!F183="","",archive!F183)</f>
        <v/>
      </c>
      <c r="D183" s="50" t="str">
        <f t="shared" si="29"/>
        <v/>
      </c>
      <c r="E183" s="50" t="str">
        <f t="shared" si="30"/>
        <v/>
      </c>
      <c r="F183" s="47" t="str">
        <f>IF(COUNTA(archive!H183:CI183)=0,"",COUNTA(archive!H183:CI183))</f>
        <v/>
      </c>
      <c r="G183" s="47" t="str">
        <f>IF(archive!G183="","",archive!G183)</f>
        <v/>
      </c>
      <c r="H183" s="51" t="str">
        <f>IF(archive!CJ183="","",archive!CJ183)</f>
        <v/>
      </c>
      <c r="I183" s="51" t="str">
        <f>IF(archive!CK183="","",archive!CK183)</f>
        <v/>
      </c>
      <c r="J183" s="47" t="str">
        <f t="shared" si="31"/>
        <v/>
      </c>
      <c r="K183" s="51" t="str">
        <f t="shared" si="32"/>
        <v/>
      </c>
      <c r="L183" s="52" t="str">
        <f t="shared" si="33"/>
        <v/>
      </c>
      <c r="M183" s="53" t="str">
        <f t="shared" si="34"/>
        <v/>
      </c>
      <c r="N183" s="53" t="str">
        <f t="shared" si="35"/>
        <v/>
      </c>
      <c r="O183" s="53" t="str">
        <f t="shared" si="36"/>
        <v/>
      </c>
      <c r="P183" s="53" t="str">
        <f t="shared" si="37"/>
        <v/>
      </c>
      <c r="Q183" s="53" t="str">
        <f t="shared" si="38"/>
        <v/>
      </c>
      <c r="R183" s="53" t="str">
        <f t="shared" si="39"/>
        <v/>
      </c>
      <c r="S183" s="53" t="str">
        <f t="shared" si="40"/>
        <v/>
      </c>
      <c r="T183" s="53" t="str">
        <f t="shared" si="41"/>
        <v/>
      </c>
    </row>
    <row r="184" spans="1:20">
      <c r="A184" s="47" t="str">
        <f>IF(archive!E184="","",archive!E184)</f>
        <v/>
      </c>
      <c r="B184" s="48" t="str">
        <f t="shared" si="28"/>
        <v/>
      </c>
      <c r="C184" s="49" t="str">
        <f>IF(archive!F184="","",archive!F184)</f>
        <v/>
      </c>
      <c r="D184" s="50" t="str">
        <f t="shared" si="29"/>
        <v/>
      </c>
      <c r="E184" s="50" t="str">
        <f t="shared" si="30"/>
        <v/>
      </c>
      <c r="F184" s="47" t="str">
        <f>IF(COUNTA(archive!H184:CI184)=0,"",COUNTA(archive!H184:CI184))</f>
        <v/>
      </c>
      <c r="G184" s="47" t="str">
        <f>IF(archive!G184="","",archive!G184)</f>
        <v/>
      </c>
      <c r="H184" s="51" t="str">
        <f>IF(archive!CJ184="","",archive!CJ184)</f>
        <v/>
      </c>
      <c r="I184" s="51" t="str">
        <f>IF(archive!CK184="","",archive!CK184)</f>
        <v/>
      </c>
      <c r="J184" s="47" t="str">
        <f t="shared" si="31"/>
        <v/>
      </c>
      <c r="K184" s="51" t="str">
        <f t="shared" si="32"/>
        <v/>
      </c>
      <c r="L184" s="52" t="str">
        <f t="shared" si="33"/>
        <v/>
      </c>
      <c r="M184" s="53" t="str">
        <f t="shared" si="34"/>
        <v/>
      </c>
      <c r="N184" s="53" t="str">
        <f t="shared" si="35"/>
        <v/>
      </c>
      <c r="O184" s="53" t="str">
        <f t="shared" si="36"/>
        <v/>
      </c>
      <c r="P184" s="53" t="str">
        <f t="shared" si="37"/>
        <v/>
      </c>
      <c r="Q184" s="53" t="str">
        <f t="shared" si="38"/>
        <v/>
      </c>
      <c r="R184" s="53" t="str">
        <f t="shared" si="39"/>
        <v/>
      </c>
      <c r="S184" s="53" t="str">
        <f t="shared" si="40"/>
        <v/>
      </c>
      <c r="T184" s="53" t="str">
        <f t="shared" si="41"/>
        <v/>
      </c>
    </row>
    <row r="185" spans="1:20">
      <c r="A185" s="47" t="str">
        <f>IF(archive!E185="","",archive!E185)</f>
        <v/>
      </c>
      <c r="B185" s="48" t="str">
        <f t="shared" si="28"/>
        <v/>
      </c>
      <c r="C185" s="49" t="str">
        <f>IF(archive!F185="","",archive!F185)</f>
        <v/>
      </c>
      <c r="D185" s="50" t="str">
        <f t="shared" si="29"/>
        <v/>
      </c>
      <c r="E185" s="50" t="str">
        <f t="shared" si="30"/>
        <v/>
      </c>
      <c r="F185" s="47" t="str">
        <f>IF(COUNTA(archive!H185:CI185)=0,"",COUNTA(archive!H185:CI185))</f>
        <v/>
      </c>
      <c r="G185" s="47" t="str">
        <f>IF(archive!G185="","",archive!G185)</f>
        <v/>
      </c>
      <c r="H185" s="51" t="str">
        <f>IF(archive!CJ185="","",archive!CJ185)</f>
        <v/>
      </c>
      <c r="I185" s="51" t="str">
        <f>IF(archive!CK185="","",archive!CK185)</f>
        <v/>
      </c>
      <c r="J185" s="47" t="str">
        <f t="shared" si="31"/>
        <v/>
      </c>
      <c r="K185" s="51" t="str">
        <f t="shared" si="32"/>
        <v/>
      </c>
      <c r="L185" s="52" t="str">
        <f t="shared" si="33"/>
        <v/>
      </c>
      <c r="M185" s="53" t="str">
        <f t="shared" si="34"/>
        <v/>
      </c>
      <c r="N185" s="53" t="str">
        <f t="shared" si="35"/>
        <v/>
      </c>
      <c r="O185" s="53" t="str">
        <f t="shared" si="36"/>
        <v/>
      </c>
      <c r="P185" s="53" t="str">
        <f t="shared" si="37"/>
        <v/>
      </c>
      <c r="Q185" s="53" t="str">
        <f t="shared" si="38"/>
        <v/>
      </c>
      <c r="R185" s="53" t="str">
        <f t="shared" si="39"/>
        <v/>
      </c>
      <c r="S185" s="53" t="str">
        <f t="shared" si="40"/>
        <v/>
      </c>
      <c r="T185" s="53" t="str">
        <f t="shared" si="41"/>
        <v/>
      </c>
    </row>
    <row r="186" spans="1:20">
      <c r="A186" s="47" t="str">
        <f>IF(archive!E186="","",archive!E186)</f>
        <v/>
      </c>
      <c r="B186" s="48" t="str">
        <f t="shared" si="28"/>
        <v/>
      </c>
      <c r="C186" s="49" t="str">
        <f>IF(archive!F186="","",archive!F186)</f>
        <v/>
      </c>
      <c r="D186" s="50" t="str">
        <f t="shared" si="29"/>
        <v/>
      </c>
      <c r="E186" s="50" t="str">
        <f t="shared" si="30"/>
        <v/>
      </c>
      <c r="F186" s="47" t="str">
        <f>IF(COUNTA(archive!H186:CI186)=0,"",COUNTA(archive!H186:CI186))</f>
        <v/>
      </c>
      <c r="G186" s="47" t="str">
        <f>IF(archive!G186="","",archive!G186)</f>
        <v/>
      </c>
      <c r="H186" s="51" t="str">
        <f>IF(archive!CJ186="","",archive!CJ186)</f>
        <v/>
      </c>
      <c r="I186" s="51" t="str">
        <f>IF(archive!CK186="","",archive!CK186)</f>
        <v/>
      </c>
      <c r="J186" s="47" t="str">
        <f t="shared" si="31"/>
        <v/>
      </c>
      <c r="K186" s="51" t="str">
        <f t="shared" si="32"/>
        <v/>
      </c>
      <c r="L186" s="52" t="str">
        <f t="shared" si="33"/>
        <v/>
      </c>
      <c r="M186" s="53" t="str">
        <f t="shared" si="34"/>
        <v/>
      </c>
      <c r="N186" s="53" t="str">
        <f t="shared" si="35"/>
        <v/>
      </c>
      <c r="O186" s="53" t="str">
        <f t="shared" si="36"/>
        <v/>
      </c>
      <c r="P186" s="53" t="str">
        <f t="shared" si="37"/>
        <v/>
      </c>
      <c r="Q186" s="53" t="str">
        <f t="shared" si="38"/>
        <v/>
      </c>
      <c r="R186" s="53" t="str">
        <f t="shared" si="39"/>
        <v/>
      </c>
      <c r="S186" s="53" t="str">
        <f t="shared" si="40"/>
        <v/>
      </c>
      <c r="T186" s="53" t="str">
        <f t="shared" si="41"/>
        <v/>
      </c>
    </row>
    <row r="187" spans="1:20">
      <c r="A187" s="47" t="str">
        <f>IF(archive!E187="","",archive!E187)</f>
        <v/>
      </c>
      <c r="B187" s="48" t="str">
        <f t="shared" si="28"/>
        <v/>
      </c>
      <c r="C187" s="49" t="str">
        <f>IF(archive!F187="","",archive!F187)</f>
        <v/>
      </c>
      <c r="D187" s="50" t="str">
        <f t="shared" si="29"/>
        <v/>
      </c>
      <c r="E187" s="50" t="str">
        <f t="shared" si="30"/>
        <v/>
      </c>
      <c r="F187" s="47" t="str">
        <f>IF(COUNTA(archive!H187:CI187)=0,"",COUNTA(archive!H187:CI187))</f>
        <v/>
      </c>
      <c r="G187" s="47" t="str">
        <f>IF(archive!G187="","",archive!G187)</f>
        <v/>
      </c>
      <c r="H187" s="51" t="str">
        <f>IF(archive!CJ187="","",archive!CJ187)</f>
        <v/>
      </c>
      <c r="I187" s="51" t="str">
        <f>IF(archive!CK187="","",archive!CK187)</f>
        <v/>
      </c>
      <c r="J187" s="47" t="str">
        <f t="shared" si="31"/>
        <v/>
      </c>
      <c r="K187" s="51" t="str">
        <f t="shared" si="32"/>
        <v/>
      </c>
      <c r="L187" s="52" t="str">
        <f t="shared" si="33"/>
        <v/>
      </c>
      <c r="M187" s="53" t="str">
        <f t="shared" si="34"/>
        <v/>
      </c>
      <c r="N187" s="53" t="str">
        <f t="shared" si="35"/>
        <v/>
      </c>
      <c r="O187" s="53" t="str">
        <f t="shared" si="36"/>
        <v/>
      </c>
      <c r="P187" s="53" t="str">
        <f t="shared" si="37"/>
        <v/>
      </c>
      <c r="Q187" s="53" t="str">
        <f t="shared" si="38"/>
        <v/>
      </c>
      <c r="R187" s="53" t="str">
        <f t="shared" si="39"/>
        <v/>
      </c>
      <c r="S187" s="53" t="str">
        <f t="shared" si="40"/>
        <v/>
      </c>
      <c r="T187" s="53" t="str">
        <f t="shared" si="41"/>
        <v/>
      </c>
    </row>
    <row r="188" spans="1:20">
      <c r="A188" s="47" t="str">
        <f>IF(archive!E188="","",archive!E188)</f>
        <v/>
      </c>
      <c r="B188" s="48" t="str">
        <f t="shared" si="28"/>
        <v/>
      </c>
      <c r="C188" s="49" t="str">
        <f>IF(archive!F188="","",archive!F188)</f>
        <v/>
      </c>
      <c r="D188" s="50" t="str">
        <f t="shared" si="29"/>
        <v/>
      </c>
      <c r="E188" s="50" t="str">
        <f t="shared" si="30"/>
        <v/>
      </c>
      <c r="F188" s="47" t="str">
        <f>IF(COUNTA(archive!H188:CI188)=0,"",COUNTA(archive!H188:CI188))</f>
        <v/>
      </c>
      <c r="G188" s="47" t="str">
        <f>IF(archive!G188="","",archive!G188)</f>
        <v/>
      </c>
      <c r="H188" s="51" t="str">
        <f>IF(archive!CJ188="","",archive!CJ188)</f>
        <v/>
      </c>
      <c r="I188" s="51" t="str">
        <f>IF(archive!CK188="","",archive!CK188)</f>
        <v/>
      </c>
      <c r="J188" s="47" t="str">
        <f t="shared" si="31"/>
        <v/>
      </c>
      <c r="K188" s="51" t="str">
        <f t="shared" si="32"/>
        <v/>
      </c>
      <c r="L188" s="52" t="str">
        <f t="shared" si="33"/>
        <v/>
      </c>
      <c r="M188" s="53" t="str">
        <f t="shared" si="34"/>
        <v/>
      </c>
      <c r="N188" s="53" t="str">
        <f t="shared" si="35"/>
        <v/>
      </c>
      <c r="O188" s="53" t="str">
        <f t="shared" si="36"/>
        <v/>
      </c>
      <c r="P188" s="53" t="str">
        <f t="shared" si="37"/>
        <v/>
      </c>
      <c r="Q188" s="53" t="str">
        <f t="shared" si="38"/>
        <v/>
      </c>
      <c r="R188" s="53" t="str">
        <f t="shared" si="39"/>
        <v/>
      </c>
      <c r="S188" s="53" t="str">
        <f t="shared" si="40"/>
        <v/>
      </c>
      <c r="T188" s="53" t="str">
        <f t="shared" si="41"/>
        <v/>
      </c>
    </row>
    <row r="189" spans="1:20">
      <c r="A189" s="47" t="str">
        <f>IF(archive!E189="","",archive!E189)</f>
        <v/>
      </c>
      <c r="B189" s="48" t="str">
        <f t="shared" si="28"/>
        <v/>
      </c>
      <c r="C189" s="49" t="str">
        <f>IF(archive!F189="","",archive!F189)</f>
        <v/>
      </c>
      <c r="D189" s="50" t="str">
        <f t="shared" si="29"/>
        <v/>
      </c>
      <c r="E189" s="50" t="str">
        <f t="shared" si="30"/>
        <v/>
      </c>
      <c r="F189" s="47" t="str">
        <f>IF(COUNTA(archive!H189:CI189)=0,"",COUNTA(archive!H189:CI189))</f>
        <v/>
      </c>
      <c r="G189" s="47" t="str">
        <f>IF(archive!G189="","",archive!G189)</f>
        <v/>
      </c>
      <c r="H189" s="51" t="str">
        <f>IF(archive!CJ189="","",archive!CJ189)</f>
        <v/>
      </c>
      <c r="I189" s="51" t="str">
        <f>IF(archive!CK189="","",archive!CK189)</f>
        <v/>
      </c>
      <c r="J189" s="47" t="str">
        <f t="shared" si="31"/>
        <v/>
      </c>
      <c r="K189" s="51" t="str">
        <f t="shared" si="32"/>
        <v/>
      </c>
      <c r="L189" s="52" t="str">
        <f t="shared" si="33"/>
        <v/>
      </c>
      <c r="M189" s="53" t="str">
        <f t="shared" si="34"/>
        <v/>
      </c>
      <c r="N189" s="53" t="str">
        <f t="shared" si="35"/>
        <v/>
      </c>
      <c r="O189" s="53" t="str">
        <f t="shared" si="36"/>
        <v/>
      </c>
      <c r="P189" s="53" t="str">
        <f t="shared" si="37"/>
        <v/>
      </c>
      <c r="Q189" s="53" t="str">
        <f t="shared" si="38"/>
        <v/>
      </c>
      <c r="R189" s="53" t="str">
        <f t="shared" si="39"/>
        <v/>
      </c>
      <c r="S189" s="53" t="str">
        <f t="shared" si="40"/>
        <v/>
      </c>
      <c r="T189" s="53" t="str">
        <f t="shared" si="41"/>
        <v/>
      </c>
    </row>
    <row r="190" spans="1:20">
      <c r="A190" s="47" t="str">
        <f>IF(archive!E190="","",archive!E190)</f>
        <v/>
      </c>
      <c r="B190" s="48" t="str">
        <f t="shared" si="28"/>
        <v/>
      </c>
      <c r="C190" s="49" t="str">
        <f>IF(archive!F190="","",archive!F190)</f>
        <v/>
      </c>
      <c r="D190" s="50" t="str">
        <f t="shared" si="29"/>
        <v/>
      </c>
      <c r="E190" s="50" t="str">
        <f t="shared" si="30"/>
        <v/>
      </c>
      <c r="F190" s="47" t="str">
        <f>IF(COUNTA(archive!H190:CI190)=0,"",COUNTA(archive!H190:CI190))</f>
        <v/>
      </c>
      <c r="G190" s="47" t="str">
        <f>IF(archive!G190="","",archive!G190)</f>
        <v/>
      </c>
      <c r="H190" s="51" t="str">
        <f>IF(archive!CJ190="","",archive!CJ190)</f>
        <v/>
      </c>
      <c r="I190" s="51" t="str">
        <f>IF(archive!CK190="","",archive!CK190)</f>
        <v/>
      </c>
      <c r="J190" s="47" t="str">
        <f t="shared" si="31"/>
        <v/>
      </c>
      <c r="K190" s="51" t="str">
        <f t="shared" si="32"/>
        <v/>
      </c>
      <c r="L190" s="52" t="str">
        <f t="shared" si="33"/>
        <v/>
      </c>
      <c r="M190" s="53" t="str">
        <f t="shared" si="34"/>
        <v/>
      </c>
      <c r="N190" s="53" t="str">
        <f t="shared" si="35"/>
        <v/>
      </c>
      <c r="O190" s="53" t="str">
        <f t="shared" si="36"/>
        <v/>
      </c>
      <c r="P190" s="53" t="str">
        <f t="shared" si="37"/>
        <v/>
      </c>
      <c r="Q190" s="53" t="str">
        <f t="shared" si="38"/>
        <v/>
      </c>
      <c r="R190" s="53" t="str">
        <f t="shared" si="39"/>
        <v/>
      </c>
      <c r="S190" s="53" t="str">
        <f t="shared" si="40"/>
        <v/>
      </c>
      <c r="T190" s="53" t="str">
        <f t="shared" si="41"/>
        <v/>
      </c>
    </row>
    <row r="191" spans="1:20">
      <c r="A191" s="47" t="str">
        <f>IF(archive!E191="","",archive!E191)</f>
        <v/>
      </c>
      <c r="B191" s="48" t="str">
        <f t="shared" si="28"/>
        <v/>
      </c>
      <c r="C191" s="49" t="str">
        <f>IF(archive!F191="","",archive!F191)</f>
        <v/>
      </c>
      <c r="D191" s="50" t="str">
        <f t="shared" si="29"/>
        <v/>
      </c>
      <c r="E191" s="50" t="str">
        <f t="shared" si="30"/>
        <v/>
      </c>
      <c r="F191" s="47" t="str">
        <f>IF(COUNTA(archive!H191:CI191)=0,"",COUNTA(archive!H191:CI191))</f>
        <v/>
      </c>
      <c r="G191" s="47" t="str">
        <f>IF(archive!G191="","",archive!G191)</f>
        <v/>
      </c>
      <c r="H191" s="51" t="str">
        <f>IF(archive!CJ191="","",archive!CJ191)</f>
        <v/>
      </c>
      <c r="I191" s="51" t="str">
        <f>IF(archive!CK191="","",archive!CK191)</f>
        <v/>
      </c>
      <c r="J191" s="47" t="str">
        <f t="shared" si="31"/>
        <v/>
      </c>
      <c r="K191" s="51" t="str">
        <f t="shared" si="32"/>
        <v/>
      </c>
      <c r="L191" s="52" t="str">
        <f t="shared" si="33"/>
        <v/>
      </c>
      <c r="M191" s="53" t="str">
        <f t="shared" si="34"/>
        <v/>
      </c>
      <c r="N191" s="53" t="str">
        <f t="shared" si="35"/>
        <v/>
      </c>
      <c r="O191" s="53" t="str">
        <f t="shared" si="36"/>
        <v/>
      </c>
      <c r="P191" s="53" t="str">
        <f t="shared" si="37"/>
        <v/>
      </c>
      <c r="Q191" s="53" t="str">
        <f t="shared" si="38"/>
        <v/>
      </c>
      <c r="R191" s="53" t="str">
        <f t="shared" si="39"/>
        <v/>
      </c>
      <c r="S191" s="53" t="str">
        <f t="shared" si="40"/>
        <v/>
      </c>
      <c r="T191" s="53" t="str">
        <f t="shared" si="41"/>
        <v/>
      </c>
    </row>
    <row r="192" spans="1:20">
      <c r="A192" s="47" t="str">
        <f>IF(archive!E192="","",archive!E192)</f>
        <v/>
      </c>
      <c r="B192" s="48" t="str">
        <f t="shared" si="28"/>
        <v/>
      </c>
      <c r="C192" s="49" t="str">
        <f>IF(archive!F192="","",archive!F192)</f>
        <v/>
      </c>
      <c r="D192" s="50" t="str">
        <f t="shared" si="29"/>
        <v/>
      </c>
      <c r="E192" s="50" t="str">
        <f t="shared" si="30"/>
        <v/>
      </c>
      <c r="F192" s="47" t="str">
        <f>IF(COUNTA(archive!H192:CI192)=0,"",COUNTA(archive!H192:CI192))</f>
        <v/>
      </c>
      <c r="G192" s="47" t="str">
        <f>IF(archive!G192="","",archive!G192)</f>
        <v/>
      </c>
      <c r="H192" s="51" t="str">
        <f>IF(archive!CJ192="","",archive!CJ192)</f>
        <v/>
      </c>
      <c r="I192" s="51" t="str">
        <f>IF(archive!CK192="","",archive!CK192)</f>
        <v/>
      </c>
      <c r="J192" s="47" t="str">
        <f t="shared" si="31"/>
        <v/>
      </c>
      <c r="K192" s="51" t="str">
        <f t="shared" si="32"/>
        <v/>
      </c>
      <c r="L192" s="52" t="str">
        <f t="shared" si="33"/>
        <v/>
      </c>
      <c r="M192" s="53" t="str">
        <f t="shared" si="34"/>
        <v/>
      </c>
      <c r="N192" s="53" t="str">
        <f t="shared" si="35"/>
        <v/>
      </c>
      <c r="O192" s="53" t="str">
        <f t="shared" si="36"/>
        <v/>
      </c>
      <c r="P192" s="53" t="str">
        <f t="shared" si="37"/>
        <v/>
      </c>
      <c r="Q192" s="53" t="str">
        <f t="shared" si="38"/>
        <v/>
      </c>
      <c r="R192" s="53" t="str">
        <f t="shared" si="39"/>
        <v/>
      </c>
      <c r="S192" s="53" t="str">
        <f t="shared" si="40"/>
        <v/>
      </c>
      <c r="T192" s="53" t="str">
        <f t="shared" si="41"/>
        <v/>
      </c>
    </row>
    <row r="193" spans="1:20">
      <c r="A193" s="47" t="str">
        <f>IF(archive!E193="","",archive!E193)</f>
        <v/>
      </c>
      <c r="B193" s="48" t="str">
        <f t="shared" si="28"/>
        <v/>
      </c>
      <c r="C193" s="49" t="str">
        <f>IF(archive!F193="","",archive!F193)</f>
        <v/>
      </c>
      <c r="D193" s="50" t="str">
        <f t="shared" si="29"/>
        <v/>
      </c>
      <c r="E193" s="50" t="str">
        <f t="shared" si="30"/>
        <v/>
      </c>
      <c r="F193" s="47" t="str">
        <f>IF(COUNTA(archive!H193:CI193)=0,"",COUNTA(archive!H193:CI193))</f>
        <v/>
      </c>
      <c r="G193" s="47" t="str">
        <f>IF(archive!G193="","",archive!G193)</f>
        <v/>
      </c>
      <c r="H193" s="51" t="str">
        <f>IF(archive!CJ193="","",archive!CJ193)</f>
        <v/>
      </c>
      <c r="I193" s="51" t="str">
        <f>IF(archive!CK193="","",archive!CK193)</f>
        <v/>
      </c>
      <c r="J193" s="47" t="str">
        <f t="shared" si="31"/>
        <v/>
      </c>
      <c r="K193" s="51" t="str">
        <f t="shared" si="32"/>
        <v/>
      </c>
      <c r="L193" s="52" t="str">
        <f t="shared" si="33"/>
        <v/>
      </c>
      <c r="M193" s="53" t="str">
        <f t="shared" si="34"/>
        <v/>
      </c>
      <c r="N193" s="53" t="str">
        <f t="shared" si="35"/>
        <v/>
      </c>
      <c r="O193" s="53" t="str">
        <f t="shared" si="36"/>
        <v/>
      </c>
      <c r="P193" s="53" t="str">
        <f t="shared" si="37"/>
        <v/>
      </c>
      <c r="Q193" s="53" t="str">
        <f t="shared" si="38"/>
        <v/>
      </c>
      <c r="R193" s="53" t="str">
        <f t="shared" si="39"/>
        <v/>
      </c>
      <c r="S193" s="53" t="str">
        <f t="shared" si="40"/>
        <v/>
      </c>
      <c r="T193" s="53" t="str">
        <f t="shared" si="41"/>
        <v/>
      </c>
    </row>
    <row r="194" spans="1:20">
      <c r="A194" s="47" t="str">
        <f>IF(archive!E194="","",archive!E194)</f>
        <v/>
      </c>
      <c r="B194" s="48" t="str">
        <f t="shared" si="28"/>
        <v/>
      </c>
      <c r="C194" s="49" t="str">
        <f>IF(archive!F194="","",archive!F194)</f>
        <v/>
      </c>
      <c r="D194" s="50" t="str">
        <f t="shared" si="29"/>
        <v/>
      </c>
      <c r="E194" s="50" t="str">
        <f t="shared" si="30"/>
        <v/>
      </c>
      <c r="F194" s="47" t="str">
        <f>IF(COUNTA(archive!H194:CI194)=0,"",COUNTA(archive!H194:CI194))</f>
        <v/>
      </c>
      <c r="G194" s="47" t="str">
        <f>IF(archive!G194="","",archive!G194)</f>
        <v/>
      </c>
      <c r="H194" s="51" t="str">
        <f>IF(archive!CJ194="","",archive!CJ194)</f>
        <v/>
      </c>
      <c r="I194" s="51" t="str">
        <f>IF(archive!CK194="","",archive!CK194)</f>
        <v/>
      </c>
      <c r="J194" s="47" t="str">
        <f t="shared" si="31"/>
        <v/>
      </c>
      <c r="K194" s="51" t="str">
        <f t="shared" si="32"/>
        <v/>
      </c>
      <c r="L194" s="52" t="str">
        <f t="shared" si="33"/>
        <v/>
      </c>
      <c r="M194" s="53" t="str">
        <f t="shared" si="34"/>
        <v/>
      </c>
      <c r="N194" s="53" t="str">
        <f t="shared" si="35"/>
        <v/>
      </c>
      <c r="O194" s="53" t="str">
        <f t="shared" si="36"/>
        <v/>
      </c>
      <c r="P194" s="53" t="str">
        <f t="shared" si="37"/>
        <v/>
      </c>
      <c r="Q194" s="53" t="str">
        <f t="shared" si="38"/>
        <v/>
      </c>
      <c r="R194" s="53" t="str">
        <f t="shared" si="39"/>
        <v/>
      </c>
      <c r="S194" s="53" t="str">
        <f t="shared" si="40"/>
        <v/>
      </c>
      <c r="T194" s="53" t="str">
        <f t="shared" si="41"/>
        <v/>
      </c>
    </row>
    <row r="195" spans="1:20">
      <c r="A195" s="47" t="str">
        <f>IF(archive!E195="","",archive!E195)</f>
        <v/>
      </c>
      <c r="B195" s="48" t="str">
        <f t="shared" si="28"/>
        <v/>
      </c>
      <c r="C195" s="49" t="str">
        <f>IF(archive!F195="","",archive!F195)</f>
        <v/>
      </c>
      <c r="D195" s="50" t="str">
        <f t="shared" si="29"/>
        <v/>
      </c>
      <c r="E195" s="50" t="str">
        <f t="shared" si="30"/>
        <v/>
      </c>
      <c r="F195" s="47" t="str">
        <f>IF(COUNTA(archive!H195:CI195)=0,"",COUNTA(archive!H195:CI195))</f>
        <v/>
      </c>
      <c r="G195" s="47" t="str">
        <f>IF(archive!G195="","",archive!G195)</f>
        <v/>
      </c>
      <c r="H195" s="51" t="str">
        <f>IF(archive!CJ195="","",archive!CJ195)</f>
        <v/>
      </c>
      <c r="I195" s="51" t="str">
        <f>IF(archive!CK195="","",archive!CK195)</f>
        <v/>
      </c>
      <c r="J195" s="47" t="str">
        <f t="shared" si="31"/>
        <v/>
      </c>
      <c r="K195" s="51" t="str">
        <f t="shared" si="32"/>
        <v/>
      </c>
      <c r="L195" s="52" t="str">
        <f t="shared" si="33"/>
        <v/>
      </c>
      <c r="M195" s="53" t="str">
        <f t="shared" si="34"/>
        <v/>
      </c>
      <c r="N195" s="53" t="str">
        <f t="shared" si="35"/>
        <v/>
      </c>
      <c r="O195" s="53" t="str">
        <f t="shared" si="36"/>
        <v/>
      </c>
      <c r="P195" s="53" t="str">
        <f t="shared" si="37"/>
        <v/>
      </c>
      <c r="Q195" s="53" t="str">
        <f t="shared" si="38"/>
        <v/>
      </c>
      <c r="R195" s="53" t="str">
        <f t="shared" si="39"/>
        <v/>
      </c>
      <c r="S195" s="53" t="str">
        <f t="shared" si="40"/>
        <v/>
      </c>
      <c r="T195" s="53" t="str">
        <f t="shared" si="41"/>
        <v/>
      </c>
    </row>
    <row r="196" spans="1:20">
      <c r="A196" s="47" t="str">
        <f>IF(archive!E196="","",archive!E196)</f>
        <v/>
      </c>
      <c r="B196" s="48" t="str">
        <f t="shared" ref="B196:B259" si="42">IF(C196="","",VLOOKUP($C196,Tare,2,0))</f>
        <v/>
      </c>
      <c r="C196" s="49" t="str">
        <f>IF(archive!F196="","",archive!F196)</f>
        <v/>
      </c>
      <c r="D196" s="50" t="str">
        <f t="shared" ref="D196:D259" si="43">IF(C196="","",C196+B196)</f>
        <v/>
      </c>
      <c r="E196" s="50" t="str">
        <f t="shared" ref="E196:E259" si="44">IF(C196="","",(C196*0.025)+D196)</f>
        <v/>
      </c>
      <c r="F196" s="47" t="str">
        <f>IF(COUNTA(archive!H196:CI196)=0,"",COUNTA(archive!H196:CI196))</f>
        <v/>
      </c>
      <c r="G196" s="47" t="str">
        <f>IF(archive!G196="","",archive!G196)</f>
        <v/>
      </c>
      <c r="H196" s="51" t="str">
        <f>IF(archive!CJ196="","",archive!CJ196)</f>
        <v/>
      </c>
      <c r="I196" s="51" t="str">
        <f>IF(archive!CK196="","",archive!CK196)</f>
        <v/>
      </c>
      <c r="J196" s="47" t="str">
        <f t="shared" ref="J196:J259" si="45">IF(F196="","",VLOOKUP(F196,Valeur_g,2,0))</f>
        <v/>
      </c>
      <c r="K196" s="51" t="str">
        <f t="shared" ref="K196:K259" si="46">IF(C196="","",D196+(J196*I196))</f>
        <v/>
      </c>
      <c r="L196" s="52" t="str">
        <f t="shared" ref="L196:L259" si="47">IF(C196="","",IF(K196&lt;H196,"Conforme","Non conforme"))</f>
        <v/>
      </c>
      <c r="M196" s="53" t="str">
        <f t="shared" ref="M196:M259" si="48">IF(C196="","",1)</f>
        <v/>
      </c>
      <c r="N196" s="53" t="str">
        <f t="shared" ref="N196:N259" si="49">IF(L196="","",COUNTIF(L196,"Non conforme"))</f>
        <v/>
      </c>
      <c r="O196" s="53" t="str">
        <f t="shared" ref="O196:O259" si="50">IF($C196="","",IF($C196=0.25,$G196,"-"))</f>
        <v/>
      </c>
      <c r="P196" s="53" t="str">
        <f t="shared" ref="P196:P259" si="51">IF($C196="","",IF($C196=0.4,$G196,"-"))</f>
        <v/>
      </c>
      <c r="Q196" s="53" t="str">
        <f t="shared" ref="Q196:Q259" si="52">IF($C196="","",IF($C196=0.5,$G196,"-"))</f>
        <v/>
      </c>
      <c r="R196" s="53" t="str">
        <f t="shared" ref="R196:R259" si="53">IF($C196="","",IF($C196=0.6,$G196,"-"))</f>
        <v/>
      </c>
      <c r="S196" s="53" t="str">
        <f t="shared" ref="S196:S259" si="54">IF($C196="","",IF($C196=0.8,$G196,"-"))</f>
        <v/>
      </c>
      <c r="T196" s="53" t="str">
        <f t="shared" ref="T196:T259" si="55">IF($C196="","",IF($C196=1,$G196,"-"))</f>
        <v/>
      </c>
    </row>
    <row r="197" spans="1:20">
      <c r="A197" s="47" t="str">
        <f>IF(archive!E197="","",archive!E197)</f>
        <v/>
      </c>
      <c r="B197" s="48" t="str">
        <f t="shared" si="42"/>
        <v/>
      </c>
      <c r="C197" s="49" t="str">
        <f>IF(archive!F197="","",archive!F197)</f>
        <v/>
      </c>
      <c r="D197" s="50" t="str">
        <f t="shared" si="43"/>
        <v/>
      </c>
      <c r="E197" s="50" t="str">
        <f t="shared" si="44"/>
        <v/>
      </c>
      <c r="F197" s="47" t="str">
        <f>IF(COUNTA(archive!H197:CI197)=0,"",COUNTA(archive!H197:CI197))</f>
        <v/>
      </c>
      <c r="G197" s="47" t="str">
        <f>IF(archive!G197="","",archive!G197)</f>
        <v/>
      </c>
      <c r="H197" s="51" t="str">
        <f>IF(archive!CJ197="","",archive!CJ197)</f>
        <v/>
      </c>
      <c r="I197" s="51" t="str">
        <f>IF(archive!CK197="","",archive!CK197)</f>
        <v/>
      </c>
      <c r="J197" s="47" t="str">
        <f t="shared" si="45"/>
        <v/>
      </c>
      <c r="K197" s="51" t="str">
        <f t="shared" si="46"/>
        <v/>
      </c>
      <c r="L197" s="52" t="str">
        <f t="shared" si="47"/>
        <v/>
      </c>
      <c r="M197" s="53" t="str">
        <f t="shared" si="48"/>
        <v/>
      </c>
      <c r="N197" s="53" t="str">
        <f t="shared" si="49"/>
        <v/>
      </c>
      <c r="O197" s="53" t="str">
        <f t="shared" si="50"/>
        <v/>
      </c>
      <c r="P197" s="53" t="str">
        <f t="shared" si="51"/>
        <v/>
      </c>
      <c r="Q197" s="53" t="str">
        <f t="shared" si="52"/>
        <v/>
      </c>
      <c r="R197" s="53" t="str">
        <f t="shared" si="53"/>
        <v/>
      </c>
      <c r="S197" s="53" t="str">
        <f t="shared" si="54"/>
        <v/>
      </c>
      <c r="T197" s="53" t="str">
        <f t="shared" si="55"/>
        <v/>
      </c>
    </row>
    <row r="198" spans="1:20">
      <c r="A198" s="47" t="str">
        <f>IF(archive!E198="","",archive!E198)</f>
        <v/>
      </c>
      <c r="B198" s="48" t="str">
        <f t="shared" si="42"/>
        <v/>
      </c>
      <c r="C198" s="49" t="str">
        <f>IF(archive!F198="","",archive!F198)</f>
        <v/>
      </c>
      <c r="D198" s="50" t="str">
        <f t="shared" si="43"/>
        <v/>
      </c>
      <c r="E198" s="50" t="str">
        <f t="shared" si="44"/>
        <v/>
      </c>
      <c r="F198" s="47" t="str">
        <f>IF(COUNTA(archive!H198:CI198)=0,"",COUNTA(archive!H198:CI198))</f>
        <v/>
      </c>
      <c r="G198" s="47" t="str">
        <f>IF(archive!G198="","",archive!G198)</f>
        <v/>
      </c>
      <c r="H198" s="51" t="str">
        <f>IF(archive!CJ198="","",archive!CJ198)</f>
        <v/>
      </c>
      <c r="I198" s="51" t="str">
        <f>IF(archive!CK198="","",archive!CK198)</f>
        <v/>
      </c>
      <c r="J198" s="47" t="str">
        <f t="shared" si="45"/>
        <v/>
      </c>
      <c r="K198" s="51" t="str">
        <f t="shared" si="46"/>
        <v/>
      </c>
      <c r="L198" s="52" t="str">
        <f t="shared" si="47"/>
        <v/>
      </c>
      <c r="M198" s="53" t="str">
        <f t="shared" si="48"/>
        <v/>
      </c>
      <c r="N198" s="53" t="str">
        <f t="shared" si="49"/>
        <v/>
      </c>
      <c r="O198" s="53" t="str">
        <f t="shared" si="50"/>
        <v/>
      </c>
      <c r="P198" s="53" t="str">
        <f t="shared" si="51"/>
        <v/>
      </c>
      <c r="Q198" s="53" t="str">
        <f t="shared" si="52"/>
        <v/>
      </c>
      <c r="R198" s="53" t="str">
        <f t="shared" si="53"/>
        <v/>
      </c>
      <c r="S198" s="53" t="str">
        <f t="shared" si="54"/>
        <v/>
      </c>
      <c r="T198" s="53" t="str">
        <f t="shared" si="55"/>
        <v/>
      </c>
    </row>
    <row r="199" spans="1:20">
      <c r="A199" s="47" t="str">
        <f>IF(archive!E199="","",archive!E199)</f>
        <v/>
      </c>
      <c r="B199" s="48" t="str">
        <f t="shared" si="42"/>
        <v/>
      </c>
      <c r="C199" s="49" t="str">
        <f>IF(archive!F199="","",archive!F199)</f>
        <v/>
      </c>
      <c r="D199" s="50" t="str">
        <f t="shared" si="43"/>
        <v/>
      </c>
      <c r="E199" s="50" t="str">
        <f t="shared" si="44"/>
        <v/>
      </c>
      <c r="F199" s="47" t="str">
        <f>IF(COUNTA(archive!H199:CI199)=0,"",COUNTA(archive!H199:CI199))</f>
        <v/>
      </c>
      <c r="G199" s="47" t="str">
        <f>IF(archive!G199="","",archive!G199)</f>
        <v/>
      </c>
      <c r="H199" s="51" t="str">
        <f>IF(archive!CJ199="","",archive!CJ199)</f>
        <v/>
      </c>
      <c r="I199" s="51" t="str">
        <f>IF(archive!CK199="","",archive!CK199)</f>
        <v/>
      </c>
      <c r="J199" s="47" t="str">
        <f t="shared" si="45"/>
        <v/>
      </c>
      <c r="K199" s="51" t="str">
        <f t="shared" si="46"/>
        <v/>
      </c>
      <c r="L199" s="52" t="str">
        <f t="shared" si="47"/>
        <v/>
      </c>
      <c r="M199" s="53" t="str">
        <f t="shared" si="48"/>
        <v/>
      </c>
      <c r="N199" s="53" t="str">
        <f t="shared" si="49"/>
        <v/>
      </c>
      <c r="O199" s="53" t="str">
        <f t="shared" si="50"/>
        <v/>
      </c>
      <c r="P199" s="53" t="str">
        <f t="shared" si="51"/>
        <v/>
      </c>
      <c r="Q199" s="53" t="str">
        <f t="shared" si="52"/>
        <v/>
      </c>
      <c r="R199" s="53" t="str">
        <f t="shared" si="53"/>
        <v/>
      </c>
      <c r="S199" s="53" t="str">
        <f t="shared" si="54"/>
        <v/>
      </c>
      <c r="T199" s="53" t="str">
        <f t="shared" si="55"/>
        <v/>
      </c>
    </row>
    <row r="200" spans="1:20">
      <c r="A200" s="47" t="str">
        <f>IF(archive!E200="","",archive!E200)</f>
        <v/>
      </c>
      <c r="B200" s="48" t="str">
        <f t="shared" si="42"/>
        <v/>
      </c>
      <c r="C200" s="49" t="str">
        <f>IF(archive!F200="","",archive!F200)</f>
        <v/>
      </c>
      <c r="D200" s="50" t="str">
        <f t="shared" si="43"/>
        <v/>
      </c>
      <c r="E200" s="50" t="str">
        <f t="shared" si="44"/>
        <v/>
      </c>
      <c r="F200" s="47" t="str">
        <f>IF(COUNTA(archive!H200:CI200)=0,"",COUNTA(archive!H200:CI200))</f>
        <v/>
      </c>
      <c r="G200" s="47" t="str">
        <f>IF(archive!G200="","",archive!G200)</f>
        <v/>
      </c>
      <c r="H200" s="51" t="str">
        <f>IF(archive!CJ200="","",archive!CJ200)</f>
        <v/>
      </c>
      <c r="I200" s="51" t="str">
        <f>IF(archive!CK200="","",archive!CK200)</f>
        <v/>
      </c>
      <c r="J200" s="47" t="str">
        <f t="shared" si="45"/>
        <v/>
      </c>
      <c r="K200" s="51" t="str">
        <f t="shared" si="46"/>
        <v/>
      </c>
      <c r="L200" s="52" t="str">
        <f t="shared" si="47"/>
        <v/>
      </c>
      <c r="M200" s="53" t="str">
        <f t="shared" si="48"/>
        <v/>
      </c>
      <c r="N200" s="53" t="str">
        <f t="shared" si="49"/>
        <v/>
      </c>
      <c r="O200" s="53" t="str">
        <f t="shared" si="50"/>
        <v/>
      </c>
      <c r="P200" s="53" t="str">
        <f t="shared" si="51"/>
        <v/>
      </c>
      <c r="Q200" s="53" t="str">
        <f t="shared" si="52"/>
        <v/>
      </c>
      <c r="R200" s="53" t="str">
        <f t="shared" si="53"/>
        <v/>
      </c>
      <c r="S200" s="53" t="str">
        <f t="shared" si="54"/>
        <v/>
      </c>
      <c r="T200" s="53" t="str">
        <f t="shared" si="55"/>
        <v/>
      </c>
    </row>
    <row r="201" spans="1:20">
      <c r="A201" s="47" t="str">
        <f>IF(archive!E201="","",archive!E201)</f>
        <v/>
      </c>
      <c r="B201" s="48" t="str">
        <f t="shared" si="42"/>
        <v/>
      </c>
      <c r="C201" s="49" t="str">
        <f>IF(archive!F201="","",archive!F201)</f>
        <v/>
      </c>
      <c r="D201" s="50" t="str">
        <f t="shared" si="43"/>
        <v/>
      </c>
      <c r="E201" s="50" t="str">
        <f t="shared" si="44"/>
        <v/>
      </c>
      <c r="F201" s="47" t="str">
        <f>IF(COUNTA(archive!H201:CI201)=0,"",COUNTA(archive!H201:CI201))</f>
        <v/>
      </c>
      <c r="G201" s="47" t="str">
        <f>IF(archive!G201="","",archive!G201)</f>
        <v/>
      </c>
      <c r="H201" s="51" t="str">
        <f>IF(archive!CJ201="","",archive!CJ201)</f>
        <v/>
      </c>
      <c r="I201" s="51" t="str">
        <f>IF(archive!CK201="","",archive!CK201)</f>
        <v/>
      </c>
      <c r="J201" s="47" t="str">
        <f t="shared" si="45"/>
        <v/>
      </c>
      <c r="K201" s="51" t="str">
        <f t="shared" si="46"/>
        <v/>
      </c>
      <c r="L201" s="52" t="str">
        <f t="shared" si="47"/>
        <v/>
      </c>
      <c r="M201" s="53" t="str">
        <f t="shared" si="48"/>
        <v/>
      </c>
      <c r="N201" s="53" t="str">
        <f t="shared" si="49"/>
        <v/>
      </c>
      <c r="O201" s="53" t="str">
        <f t="shared" si="50"/>
        <v/>
      </c>
      <c r="P201" s="53" t="str">
        <f t="shared" si="51"/>
        <v/>
      </c>
      <c r="Q201" s="53" t="str">
        <f t="shared" si="52"/>
        <v/>
      </c>
      <c r="R201" s="53" t="str">
        <f t="shared" si="53"/>
        <v/>
      </c>
      <c r="S201" s="53" t="str">
        <f t="shared" si="54"/>
        <v/>
      </c>
      <c r="T201" s="53" t="str">
        <f t="shared" si="55"/>
        <v/>
      </c>
    </row>
    <row r="202" spans="1:20">
      <c r="A202" s="47" t="str">
        <f>IF(archive!E202="","",archive!E202)</f>
        <v/>
      </c>
      <c r="B202" s="48" t="str">
        <f t="shared" si="42"/>
        <v/>
      </c>
      <c r="C202" s="49" t="str">
        <f>IF(archive!F202="","",archive!F202)</f>
        <v/>
      </c>
      <c r="D202" s="50" t="str">
        <f t="shared" si="43"/>
        <v/>
      </c>
      <c r="E202" s="50" t="str">
        <f t="shared" si="44"/>
        <v/>
      </c>
      <c r="F202" s="47" t="str">
        <f>IF(COUNTA(archive!H202:CI202)=0,"",COUNTA(archive!H202:CI202))</f>
        <v/>
      </c>
      <c r="G202" s="47" t="str">
        <f>IF(archive!G202="","",archive!G202)</f>
        <v/>
      </c>
      <c r="H202" s="51" t="str">
        <f>IF(archive!CJ202="","",archive!CJ202)</f>
        <v/>
      </c>
      <c r="I202" s="51" t="str">
        <f>IF(archive!CK202="","",archive!CK202)</f>
        <v/>
      </c>
      <c r="J202" s="47" t="str">
        <f t="shared" si="45"/>
        <v/>
      </c>
      <c r="K202" s="51" t="str">
        <f t="shared" si="46"/>
        <v/>
      </c>
      <c r="L202" s="52" t="str">
        <f t="shared" si="47"/>
        <v/>
      </c>
      <c r="M202" s="53" t="str">
        <f t="shared" si="48"/>
        <v/>
      </c>
      <c r="N202" s="53" t="str">
        <f t="shared" si="49"/>
        <v/>
      </c>
      <c r="O202" s="53" t="str">
        <f t="shared" si="50"/>
        <v/>
      </c>
      <c r="P202" s="53" t="str">
        <f t="shared" si="51"/>
        <v/>
      </c>
      <c r="Q202" s="53" t="str">
        <f t="shared" si="52"/>
        <v/>
      </c>
      <c r="R202" s="53" t="str">
        <f t="shared" si="53"/>
        <v/>
      </c>
      <c r="S202" s="53" t="str">
        <f t="shared" si="54"/>
        <v/>
      </c>
      <c r="T202" s="53" t="str">
        <f t="shared" si="55"/>
        <v/>
      </c>
    </row>
    <row r="203" spans="1:20">
      <c r="A203" s="47" t="str">
        <f>IF(archive!E203="","",archive!E203)</f>
        <v/>
      </c>
      <c r="B203" s="48" t="str">
        <f t="shared" si="42"/>
        <v/>
      </c>
      <c r="C203" s="49" t="str">
        <f>IF(archive!F203="","",archive!F203)</f>
        <v/>
      </c>
      <c r="D203" s="50" t="str">
        <f t="shared" si="43"/>
        <v/>
      </c>
      <c r="E203" s="50" t="str">
        <f t="shared" si="44"/>
        <v/>
      </c>
      <c r="F203" s="47" t="str">
        <f>IF(COUNTA(archive!H203:CI203)=0,"",COUNTA(archive!H203:CI203))</f>
        <v/>
      </c>
      <c r="G203" s="47" t="str">
        <f>IF(archive!G203="","",archive!G203)</f>
        <v/>
      </c>
      <c r="H203" s="51" t="str">
        <f>IF(archive!CJ203="","",archive!CJ203)</f>
        <v/>
      </c>
      <c r="I203" s="51" t="str">
        <f>IF(archive!CK203="","",archive!CK203)</f>
        <v/>
      </c>
      <c r="J203" s="47" t="str">
        <f t="shared" si="45"/>
        <v/>
      </c>
      <c r="K203" s="51" t="str">
        <f t="shared" si="46"/>
        <v/>
      </c>
      <c r="L203" s="52" t="str">
        <f t="shared" si="47"/>
        <v/>
      </c>
      <c r="M203" s="53" t="str">
        <f t="shared" si="48"/>
        <v/>
      </c>
      <c r="N203" s="53" t="str">
        <f t="shared" si="49"/>
        <v/>
      </c>
      <c r="O203" s="53" t="str">
        <f t="shared" si="50"/>
        <v/>
      </c>
      <c r="P203" s="53" t="str">
        <f t="shared" si="51"/>
        <v/>
      </c>
      <c r="Q203" s="53" t="str">
        <f t="shared" si="52"/>
        <v/>
      </c>
      <c r="R203" s="53" t="str">
        <f t="shared" si="53"/>
        <v/>
      </c>
      <c r="S203" s="53" t="str">
        <f t="shared" si="54"/>
        <v/>
      </c>
      <c r="T203" s="53" t="str">
        <f t="shared" si="55"/>
        <v/>
      </c>
    </row>
    <row r="204" spans="1:20">
      <c r="A204" s="47" t="str">
        <f>IF(archive!E204="","",archive!E204)</f>
        <v/>
      </c>
      <c r="B204" s="48" t="str">
        <f t="shared" si="42"/>
        <v/>
      </c>
      <c r="C204" s="49" t="str">
        <f>IF(archive!F204="","",archive!F204)</f>
        <v/>
      </c>
      <c r="D204" s="50" t="str">
        <f t="shared" si="43"/>
        <v/>
      </c>
      <c r="E204" s="50" t="str">
        <f t="shared" si="44"/>
        <v/>
      </c>
      <c r="F204" s="47" t="str">
        <f>IF(COUNTA(archive!H204:CI204)=0,"",COUNTA(archive!H204:CI204))</f>
        <v/>
      </c>
      <c r="G204" s="47" t="str">
        <f>IF(archive!G204="","",archive!G204)</f>
        <v/>
      </c>
      <c r="H204" s="51" t="str">
        <f>IF(archive!CJ204="","",archive!CJ204)</f>
        <v/>
      </c>
      <c r="I204" s="51" t="str">
        <f>IF(archive!CK204="","",archive!CK204)</f>
        <v/>
      </c>
      <c r="J204" s="47" t="str">
        <f t="shared" si="45"/>
        <v/>
      </c>
      <c r="K204" s="51" t="str">
        <f t="shared" si="46"/>
        <v/>
      </c>
      <c r="L204" s="52" t="str">
        <f t="shared" si="47"/>
        <v/>
      </c>
      <c r="M204" s="53" t="str">
        <f t="shared" si="48"/>
        <v/>
      </c>
      <c r="N204" s="53" t="str">
        <f t="shared" si="49"/>
        <v/>
      </c>
      <c r="O204" s="53" t="str">
        <f t="shared" si="50"/>
        <v/>
      </c>
      <c r="P204" s="53" t="str">
        <f t="shared" si="51"/>
        <v/>
      </c>
      <c r="Q204" s="53" t="str">
        <f t="shared" si="52"/>
        <v/>
      </c>
      <c r="R204" s="53" t="str">
        <f t="shared" si="53"/>
        <v/>
      </c>
      <c r="S204" s="53" t="str">
        <f t="shared" si="54"/>
        <v/>
      </c>
      <c r="T204" s="53" t="str">
        <f t="shared" si="55"/>
        <v/>
      </c>
    </row>
    <row r="205" spans="1:20">
      <c r="A205" s="47" t="str">
        <f>IF(archive!E205="","",archive!E205)</f>
        <v/>
      </c>
      <c r="B205" s="48" t="str">
        <f t="shared" si="42"/>
        <v/>
      </c>
      <c r="C205" s="49" t="str">
        <f>IF(archive!F205="","",archive!F205)</f>
        <v/>
      </c>
      <c r="D205" s="50" t="str">
        <f t="shared" si="43"/>
        <v/>
      </c>
      <c r="E205" s="50" t="str">
        <f t="shared" si="44"/>
        <v/>
      </c>
      <c r="F205" s="47" t="str">
        <f>IF(COUNTA(archive!H205:CI205)=0,"",COUNTA(archive!H205:CI205))</f>
        <v/>
      </c>
      <c r="G205" s="47" t="str">
        <f>IF(archive!G205="","",archive!G205)</f>
        <v/>
      </c>
      <c r="H205" s="51" t="str">
        <f>IF(archive!CJ205="","",archive!CJ205)</f>
        <v/>
      </c>
      <c r="I205" s="51" t="str">
        <f>IF(archive!CK205="","",archive!CK205)</f>
        <v/>
      </c>
      <c r="J205" s="47" t="str">
        <f t="shared" si="45"/>
        <v/>
      </c>
      <c r="K205" s="51" t="str">
        <f t="shared" si="46"/>
        <v/>
      </c>
      <c r="L205" s="52" t="str">
        <f t="shared" si="47"/>
        <v/>
      </c>
      <c r="M205" s="53" t="str">
        <f t="shared" si="48"/>
        <v/>
      </c>
      <c r="N205" s="53" t="str">
        <f t="shared" si="49"/>
        <v/>
      </c>
      <c r="O205" s="53" t="str">
        <f t="shared" si="50"/>
        <v/>
      </c>
      <c r="P205" s="53" t="str">
        <f t="shared" si="51"/>
        <v/>
      </c>
      <c r="Q205" s="53" t="str">
        <f t="shared" si="52"/>
        <v/>
      </c>
      <c r="R205" s="53" t="str">
        <f t="shared" si="53"/>
        <v/>
      </c>
      <c r="S205" s="53" t="str">
        <f t="shared" si="54"/>
        <v/>
      </c>
      <c r="T205" s="53" t="str">
        <f t="shared" si="55"/>
        <v/>
      </c>
    </row>
    <row r="206" spans="1:20">
      <c r="A206" s="47" t="str">
        <f>IF(archive!E206="","",archive!E206)</f>
        <v/>
      </c>
      <c r="B206" s="48" t="str">
        <f t="shared" si="42"/>
        <v/>
      </c>
      <c r="C206" s="49" t="str">
        <f>IF(archive!F206="","",archive!F206)</f>
        <v/>
      </c>
      <c r="D206" s="50" t="str">
        <f t="shared" si="43"/>
        <v/>
      </c>
      <c r="E206" s="50" t="str">
        <f t="shared" si="44"/>
        <v/>
      </c>
      <c r="F206" s="47" t="str">
        <f>IF(COUNTA(archive!H206:CI206)=0,"",COUNTA(archive!H206:CI206))</f>
        <v/>
      </c>
      <c r="G206" s="47" t="str">
        <f>IF(archive!G206="","",archive!G206)</f>
        <v/>
      </c>
      <c r="H206" s="51" t="str">
        <f>IF(archive!CJ206="","",archive!CJ206)</f>
        <v/>
      </c>
      <c r="I206" s="51" t="str">
        <f>IF(archive!CK206="","",archive!CK206)</f>
        <v/>
      </c>
      <c r="J206" s="47" t="str">
        <f t="shared" si="45"/>
        <v/>
      </c>
      <c r="K206" s="51" t="str">
        <f t="shared" si="46"/>
        <v/>
      </c>
      <c r="L206" s="52" t="str">
        <f t="shared" si="47"/>
        <v/>
      </c>
      <c r="M206" s="53" t="str">
        <f t="shared" si="48"/>
        <v/>
      </c>
      <c r="N206" s="53" t="str">
        <f t="shared" si="49"/>
        <v/>
      </c>
      <c r="O206" s="53" t="str">
        <f t="shared" si="50"/>
        <v/>
      </c>
      <c r="P206" s="53" t="str">
        <f t="shared" si="51"/>
        <v/>
      </c>
      <c r="Q206" s="53" t="str">
        <f t="shared" si="52"/>
        <v/>
      </c>
      <c r="R206" s="53" t="str">
        <f t="shared" si="53"/>
        <v/>
      </c>
      <c r="S206" s="53" t="str">
        <f t="shared" si="54"/>
        <v/>
      </c>
      <c r="T206" s="53" t="str">
        <f t="shared" si="55"/>
        <v/>
      </c>
    </row>
    <row r="207" spans="1:20">
      <c r="A207" s="47" t="str">
        <f>IF(archive!E207="","",archive!E207)</f>
        <v/>
      </c>
      <c r="B207" s="48" t="str">
        <f t="shared" si="42"/>
        <v/>
      </c>
      <c r="C207" s="49" t="str">
        <f>IF(archive!F207="","",archive!F207)</f>
        <v/>
      </c>
      <c r="D207" s="50" t="str">
        <f t="shared" si="43"/>
        <v/>
      </c>
      <c r="E207" s="50" t="str">
        <f t="shared" si="44"/>
        <v/>
      </c>
      <c r="F207" s="47" t="str">
        <f>IF(COUNTA(archive!H207:CI207)=0,"",COUNTA(archive!H207:CI207))</f>
        <v/>
      </c>
      <c r="G207" s="47" t="str">
        <f>IF(archive!G207="","",archive!G207)</f>
        <v/>
      </c>
      <c r="H207" s="51" t="str">
        <f>IF(archive!CJ207="","",archive!CJ207)</f>
        <v/>
      </c>
      <c r="I207" s="51" t="str">
        <f>IF(archive!CK207="","",archive!CK207)</f>
        <v/>
      </c>
      <c r="J207" s="47" t="str">
        <f t="shared" si="45"/>
        <v/>
      </c>
      <c r="K207" s="51" t="str">
        <f t="shared" si="46"/>
        <v/>
      </c>
      <c r="L207" s="52" t="str">
        <f t="shared" si="47"/>
        <v/>
      </c>
      <c r="M207" s="53" t="str">
        <f t="shared" si="48"/>
        <v/>
      </c>
      <c r="N207" s="53" t="str">
        <f t="shared" si="49"/>
        <v/>
      </c>
      <c r="O207" s="53" t="str">
        <f t="shared" si="50"/>
        <v/>
      </c>
      <c r="P207" s="53" t="str">
        <f t="shared" si="51"/>
        <v/>
      </c>
      <c r="Q207" s="53" t="str">
        <f t="shared" si="52"/>
        <v/>
      </c>
      <c r="R207" s="53" t="str">
        <f t="shared" si="53"/>
        <v/>
      </c>
      <c r="S207" s="53" t="str">
        <f t="shared" si="54"/>
        <v/>
      </c>
      <c r="T207" s="53" t="str">
        <f t="shared" si="55"/>
        <v/>
      </c>
    </row>
    <row r="208" spans="1:20">
      <c r="A208" s="47" t="str">
        <f>IF(archive!E208="","",archive!E208)</f>
        <v/>
      </c>
      <c r="B208" s="48" t="str">
        <f t="shared" si="42"/>
        <v/>
      </c>
      <c r="C208" s="49" t="str">
        <f>IF(archive!F208="","",archive!F208)</f>
        <v/>
      </c>
      <c r="D208" s="50" t="str">
        <f t="shared" si="43"/>
        <v/>
      </c>
      <c r="E208" s="50" t="str">
        <f t="shared" si="44"/>
        <v/>
      </c>
      <c r="F208" s="47" t="str">
        <f>IF(COUNTA(archive!H208:CI208)=0,"",COUNTA(archive!H208:CI208))</f>
        <v/>
      </c>
      <c r="G208" s="47" t="str">
        <f>IF(archive!G208="","",archive!G208)</f>
        <v/>
      </c>
      <c r="H208" s="51" t="str">
        <f>IF(archive!CJ208="","",archive!CJ208)</f>
        <v/>
      </c>
      <c r="I208" s="51" t="str">
        <f>IF(archive!CK208="","",archive!CK208)</f>
        <v/>
      </c>
      <c r="J208" s="47" t="str">
        <f t="shared" si="45"/>
        <v/>
      </c>
      <c r="K208" s="51" t="str">
        <f t="shared" si="46"/>
        <v/>
      </c>
      <c r="L208" s="52" t="str">
        <f t="shared" si="47"/>
        <v/>
      </c>
      <c r="M208" s="53" t="str">
        <f t="shared" si="48"/>
        <v/>
      </c>
      <c r="N208" s="53" t="str">
        <f t="shared" si="49"/>
        <v/>
      </c>
      <c r="O208" s="53" t="str">
        <f t="shared" si="50"/>
        <v/>
      </c>
      <c r="P208" s="53" t="str">
        <f t="shared" si="51"/>
        <v/>
      </c>
      <c r="Q208" s="53" t="str">
        <f t="shared" si="52"/>
        <v/>
      </c>
      <c r="R208" s="53" t="str">
        <f t="shared" si="53"/>
        <v/>
      </c>
      <c r="S208" s="53" t="str">
        <f t="shared" si="54"/>
        <v/>
      </c>
      <c r="T208" s="53" t="str">
        <f t="shared" si="55"/>
        <v/>
      </c>
    </row>
    <row r="209" spans="1:20">
      <c r="A209" s="47" t="str">
        <f>IF(archive!E209="","",archive!E209)</f>
        <v/>
      </c>
      <c r="B209" s="48" t="str">
        <f t="shared" si="42"/>
        <v/>
      </c>
      <c r="C209" s="49" t="str">
        <f>IF(archive!F209="","",archive!F209)</f>
        <v/>
      </c>
      <c r="D209" s="50" t="str">
        <f t="shared" si="43"/>
        <v/>
      </c>
      <c r="E209" s="50" t="str">
        <f t="shared" si="44"/>
        <v/>
      </c>
      <c r="F209" s="47" t="str">
        <f>IF(COUNTA(archive!H209:CI209)=0,"",COUNTA(archive!H209:CI209))</f>
        <v/>
      </c>
      <c r="G209" s="47" t="str">
        <f>IF(archive!G209="","",archive!G209)</f>
        <v/>
      </c>
      <c r="H209" s="51" t="str">
        <f>IF(archive!CJ209="","",archive!CJ209)</f>
        <v/>
      </c>
      <c r="I209" s="51" t="str">
        <f>IF(archive!CK209="","",archive!CK209)</f>
        <v/>
      </c>
      <c r="J209" s="47" t="str">
        <f t="shared" si="45"/>
        <v/>
      </c>
      <c r="K209" s="51" t="str">
        <f t="shared" si="46"/>
        <v/>
      </c>
      <c r="L209" s="52" t="str">
        <f t="shared" si="47"/>
        <v/>
      </c>
      <c r="M209" s="53" t="str">
        <f t="shared" si="48"/>
        <v/>
      </c>
      <c r="N209" s="53" t="str">
        <f t="shared" si="49"/>
        <v/>
      </c>
      <c r="O209" s="53" t="str">
        <f t="shared" si="50"/>
        <v/>
      </c>
      <c r="P209" s="53" t="str">
        <f t="shared" si="51"/>
        <v/>
      </c>
      <c r="Q209" s="53" t="str">
        <f t="shared" si="52"/>
        <v/>
      </c>
      <c r="R209" s="53" t="str">
        <f t="shared" si="53"/>
        <v/>
      </c>
      <c r="S209" s="53" t="str">
        <f t="shared" si="54"/>
        <v/>
      </c>
      <c r="T209" s="53" t="str">
        <f t="shared" si="55"/>
        <v/>
      </c>
    </row>
    <row r="210" spans="1:20">
      <c r="A210" s="47" t="str">
        <f>IF(archive!E210="","",archive!E210)</f>
        <v/>
      </c>
      <c r="B210" s="48" t="str">
        <f t="shared" si="42"/>
        <v/>
      </c>
      <c r="C210" s="49" t="str">
        <f>IF(archive!F210="","",archive!F210)</f>
        <v/>
      </c>
      <c r="D210" s="50" t="str">
        <f t="shared" si="43"/>
        <v/>
      </c>
      <c r="E210" s="50" t="str">
        <f t="shared" si="44"/>
        <v/>
      </c>
      <c r="F210" s="47" t="str">
        <f>IF(COUNTA(archive!H210:CI210)=0,"",COUNTA(archive!H210:CI210))</f>
        <v/>
      </c>
      <c r="G210" s="47" t="str">
        <f>IF(archive!G210="","",archive!G210)</f>
        <v/>
      </c>
      <c r="H210" s="51" t="str">
        <f>IF(archive!CJ210="","",archive!CJ210)</f>
        <v/>
      </c>
      <c r="I210" s="51" t="str">
        <f>IF(archive!CK210="","",archive!CK210)</f>
        <v/>
      </c>
      <c r="J210" s="47" t="str">
        <f t="shared" si="45"/>
        <v/>
      </c>
      <c r="K210" s="51" t="str">
        <f t="shared" si="46"/>
        <v/>
      </c>
      <c r="L210" s="52" t="str">
        <f t="shared" si="47"/>
        <v/>
      </c>
      <c r="M210" s="53" t="str">
        <f t="shared" si="48"/>
        <v/>
      </c>
      <c r="N210" s="53" t="str">
        <f t="shared" si="49"/>
        <v/>
      </c>
      <c r="O210" s="53" t="str">
        <f t="shared" si="50"/>
        <v/>
      </c>
      <c r="P210" s="53" t="str">
        <f t="shared" si="51"/>
        <v/>
      </c>
      <c r="Q210" s="53" t="str">
        <f t="shared" si="52"/>
        <v/>
      </c>
      <c r="R210" s="53" t="str">
        <f t="shared" si="53"/>
        <v/>
      </c>
      <c r="S210" s="53" t="str">
        <f t="shared" si="54"/>
        <v/>
      </c>
      <c r="T210" s="53" t="str">
        <f t="shared" si="55"/>
        <v/>
      </c>
    </row>
    <row r="211" spans="1:20">
      <c r="A211" s="47" t="str">
        <f>IF(archive!E211="","",archive!E211)</f>
        <v/>
      </c>
      <c r="B211" s="48" t="str">
        <f t="shared" si="42"/>
        <v/>
      </c>
      <c r="C211" s="49" t="str">
        <f>IF(archive!F211="","",archive!F211)</f>
        <v/>
      </c>
      <c r="D211" s="50" t="str">
        <f t="shared" si="43"/>
        <v/>
      </c>
      <c r="E211" s="50" t="str">
        <f t="shared" si="44"/>
        <v/>
      </c>
      <c r="F211" s="47" t="str">
        <f>IF(COUNTA(archive!H211:CI211)=0,"",COUNTA(archive!H211:CI211))</f>
        <v/>
      </c>
      <c r="G211" s="47" t="str">
        <f>IF(archive!G211="","",archive!G211)</f>
        <v/>
      </c>
      <c r="H211" s="51" t="str">
        <f>IF(archive!CJ211="","",archive!CJ211)</f>
        <v/>
      </c>
      <c r="I211" s="51" t="str">
        <f>IF(archive!CK211="","",archive!CK211)</f>
        <v/>
      </c>
      <c r="J211" s="47" t="str">
        <f t="shared" si="45"/>
        <v/>
      </c>
      <c r="K211" s="51" t="str">
        <f t="shared" si="46"/>
        <v/>
      </c>
      <c r="L211" s="52" t="str">
        <f t="shared" si="47"/>
        <v/>
      </c>
      <c r="M211" s="53" t="str">
        <f t="shared" si="48"/>
        <v/>
      </c>
      <c r="N211" s="53" t="str">
        <f t="shared" si="49"/>
        <v/>
      </c>
      <c r="O211" s="53" t="str">
        <f t="shared" si="50"/>
        <v/>
      </c>
      <c r="P211" s="53" t="str">
        <f t="shared" si="51"/>
        <v/>
      </c>
      <c r="Q211" s="53" t="str">
        <f t="shared" si="52"/>
        <v/>
      </c>
      <c r="R211" s="53" t="str">
        <f t="shared" si="53"/>
        <v/>
      </c>
      <c r="S211" s="53" t="str">
        <f t="shared" si="54"/>
        <v/>
      </c>
      <c r="T211" s="53" t="str">
        <f t="shared" si="55"/>
        <v/>
      </c>
    </row>
    <row r="212" spans="1:20">
      <c r="A212" s="47" t="str">
        <f>IF(archive!E212="","",archive!E212)</f>
        <v/>
      </c>
      <c r="B212" s="48" t="str">
        <f t="shared" si="42"/>
        <v/>
      </c>
      <c r="C212" s="49" t="str">
        <f>IF(archive!F212="","",archive!F212)</f>
        <v/>
      </c>
      <c r="D212" s="50" t="str">
        <f t="shared" si="43"/>
        <v/>
      </c>
      <c r="E212" s="50" t="str">
        <f t="shared" si="44"/>
        <v/>
      </c>
      <c r="F212" s="47" t="str">
        <f>IF(COUNTA(archive!H212:CI212)=0,"",COUNTA(archive!H212:CI212))</f>
        <v/>
      </c>
      <c r="G212" s="47" t="str">
        <f>IF(archive!G212="","",archive!G212)</f>
        <v/>
      </c>
      <c r="H212" s="51" t="str">
        <f>IF(archive!CJ212="","",archive!CJ212)</f>
        <v/>
      </c>
      <c r="I212" s="51" t="str">
        <f>IF(archive!CK212="","",archive!CK212)</f>
        <v/>
      </c>
      <c r="J212" s="47" t="str">
        <f t="shared" si="45"/>
        <v/>
      </c>
      <c r="K212" s="51" t="str">
        <f t="shared" si="46"/>
        <v/>
      </c>
      <c r="L212" s="52" t="str">
        <f t="shared" si="47"/>
        <v/>
      </c>
      <c r="M212" s="53" t="str">
        <f t="shared" si="48"/>
        <v/>
      </c>
      <c r="N212" s="53" t="str">
        <f t="shared" si="49"/>
        <v/>
      </c>
      <c r="O212" s="53" t="str">
        <f t="shared" si="50"/>
        <v/>
      </c>
      <c r="P212" s="53" t="str">
        <f t="shared" si="51"/>
        <v/>
      </c>
      <c r="Q212" s="53" t="str">
        <f t="shared" si="52"/>
        <v/>
      </c>
      <c r="R212" s="53" t="str">
        <f t="shared" si="53"/>
        <v/>
      </c>
      <c r="S212" s="53" t="str">
        <f t="shared" si="54"/>
        <v/>
      </c>
      <c r="T212" s="53" t="str">
        <f t="shared" si="55"/>
        <v/>
      </c>
    </row>
    <row r="213" spans="1:20">
      <c r="A213" s="47" t="str">
        <f>IF(archive!E213="","",archive!E213)</f>
        <v/>
      </c>
      <c r="B213" s="48" t="str">
        <f t="shared" si="42"/>
        <v/>
      </c>
      <c r="C213" s="49" t="str">
        <f>IF(archive!F213="","",archive!F213)</f>
        <v/>
      </c>
      <c r="D213" s="50" t="str">
        <f t="shared" si="43"/>
        <v/>
      </c>
      <c r="E213" s="50" t="str">
        <f t="shared" si="44"/>
        <v/>
      </c>
      <c r="F213" s="47" t="str">
        <f>IF(COUNTA(archive!H213:CI213)=0,"",COUNTA(archive!H213:CI213))</f>
        <v/>
      </c>
      <c r="G213" s="47" t="str">
        <f>IF(archive!G213="","",archive!G213)</f>
        <v/>
      </c>
      <c r="H213" s="51" t="str">
        <f>IF(archive!CJ213="","",archive!CJ213)</f>
        <v/>
      </c>
      <c r="I213" s="51" t="str">
        <f>IF(archive!CK213="","",archive!CK213)</f>
        <v/>
      </c>
      <c r="J213" s="47" t="str">
        <f t="shared" si="45"/>
        <v/>
      </c>
      <c r="K213" s="51" t="str">
        <f t="shared" si="46"/>
        <v/>
      </c>
      <c r="L213" s="52" t="str">
        <f t="shared" si="47"/>
        <v/>
      </c>
      <c r="M213" s="53" t="str">
        <f t="shared" si="48"/>
        <v/>
      </c>
      <c r="N213" s="53" t="str">
        <f t="shared" si="49"/>
        <v/>
      </c>
      <c r="O213" s="53" t="str">
        <f t="shared" si="50"/>
        <v/>
      </c>
      <c r="P213" s="53" t="str">
        <f t="shared" si="51"/>
        <v/>
      </c>
      <c r="Q213" s="53" t="str">
        <f t="shared" si="52"/>
        <v/>
      </c>
      <c r="R213" s="53" t="str">
        <f t="shared" si="53"/>
        <v/>
      </c>
      <c r="S213" s="53" t="str">
        <f t="shared" si="54"/>
        <v/>
      </c>
      <c r="T213" s="53" t="str">
        <f t="shared" si="55"/>
        <v/>
      </c>
    </row>
    <row r="214" spans="1:20">
      <c r="A214" s="47" t="str">
        <f>IF(archive!E214="","",archive!E214)</f>
        <v/>
      </c>
      <c r="B214" s="48" t="str">
        <f t="shared" si="42"/>
        <v/>
      </c>
      <c r="C214" s="49" t="str">
        <f>IF(archive!F214="","",archive!F214)</f>
        <v/>
      </c>
      <c r="D214" s="50" t="str">
        <f t="shared" si="43"/>
        <v/>
      </c>
      <c r="E214" s="50" t="str">
        <f t="shared" si="44"/>
        <v/>
      </c>
      <c r="F214" s="47" t="str">
        <f>IF(COUNTA(archive!H214:CI214)=0,"",COUNTA(archive!H214:CI214))</f>
        <v/>
      </c>
      <c r="G214" s="47" t="str">
        <f>IF(archive!G214="","",archive!G214)</f>
        <v/>
      </c>
      <c r="H214" s="51" t="str">
        <f>IF(archive!CJ214="","",archive!CJ214)</f>
        <v/>
      </c>
      <c r="I214" s="51" t="str">
        <f>IF(archive!CK214="","",archive!CK214)</f>
        <v/>
      </c>
      <c r="J214" s="47" t="str">
        <f t="shared" si="45"/>
        <v/>
      </c>
      <c r="K214" s="51" t="str">
        <f t="shared" si="46"/>
        <v/>
      </c>
      <c r="L214" s="52" t="str">
        <f t="shared" si="47"/>
        <v/>
      </c>
      <c r="M214" s="53" t="str">
        <f t="shared" si="48"/>
        <v/>
      </c>
      <c r="N214" s="53" t="str">
        <f t="shared" si="49"/>
        <v/>
      </c>
      <c r="O214" s="53" t="str">
        <f t="shared" si="50"/>
        <v/>
      </c>
      <c r="P214" s="53" t="str">
        <f t="shared" si="51"/>
        <v/>
      </c>
      <c r="Q214" s="53" t="str">
        <f t="shared" si="52"/>
        <v/>
      </c>
      <c r="R214" s="53" t="str">
        <f t="shared" si="53"/>
        <v/>
      </c>
      <c r="S214" s="53" t="str">
        <f t="shared" si="54"/>
        <v/>
      </c>
      <c r="T214" s="53" t="str">
        <f t="shared" si="55"/>
        <v/>
      </c>
    </row>
    <row r="215" spans="1:20">
      <c r="A215" s="47" t="str">
        <f>IF(archive!E215="","",archive!E215)</f>
        <v/>
      </c>
      <c r="B215" s="48" t="str">
        <f t="shared" si="42"/>
        <v/>
      </c>
      <c r="C215" s="49" t="str">
        <f>IF(archive!F215="","",archive!F215)</f>
        <v/>
      </c>
      <c r="D215" s="50" t="str">
        <f t="shared" si="43"/>
        <v/>
      </c>
      <c r="E215" s="50" t="str">
        <f t="shared" si="44"/>
        <v/>
      </c>
      <c r="F215" s="47" t="str">
        <f>IF(COUNTA(archive!H215:CI215)=0,"",COUNTA(archive!H215:CI215))</f>
        <v/>
      </c>
      <c r="G215" s="47" t="str">
        <f>IF(archive!G215="","",archive!G215)</f>
        <v/>
      </c>
      <c r="H215" s="51" t="str">
        <f>IF(archive!CJ215="","",archive!CJ215)</f>
        <v/>
      </c>
      <c r="I215" s="51" t="str">
        <f>IF(archive!CK215="","",archive!CK215)</f>
        <v/>
      </c>
      <c r="J215" s="47" t="str">
        <f t="shared" si="45"/>
        <v/>
      </c>
      <c r="K215" s="51" t="str">
        <f t="shared" si="46"/>
        <v/>
      </c>
      <c r="L215" s="52" t="str">
        <f t="shared" si="47"/>
        <v/>
      </c>
      <c r="M215" s="53" t="str">
        <f t="shared" si="48"/>
        <v/>
      </c>
      <c r="N215" s="53" t="str">
        <f t="shared" si="49"/>
        <v/>
      </c>
      <c r="O215" s="53" t="str">
        <f t="shared" si="50"/>
        <v/>
      </c>
      <c r="P215" s="53" t="str">
        <f t="shared" si="51"/>
        <v/>
      </c>
      <c r="Q215" s="53" t="str">
        <f t="shared" si="52"/>
        <v/>
      </c>
      <c r="R215" s="53" t="str">
        <f t="shared" si="53"/>
        <v/>
      </c>
      <c r="S215" s="53" t="str">
        <f t="shared" si="54"/>
        <v/>
      </c>
      <c r="T215" s="53" t="str">
        <f t="shared" si="55"/>
        <v/>
      </c>
    </row>
    <row r="216" spans="1:20">
      <c r="A216" s="47" t="str">
        <f>IF(archive!E216="","",archive!E216)</f>
        <v/>
      </c>
      <c r="B216" s="48" t="str">
        <f t="shared" si="42"/>
        <v/>
      </c>
      <c r="C216" s="49" t="str">
        <f>IF(archive!F216="","",archive!F216)</f>
        <v/>
      </c>
      <c r="D216" s="50" t="str">
        <f t="shared" si="43"/>
        <v/>
      </c>
      <c r="E216" s="50" t="str">
        <f t="shared" si="44"/>
        <v/>
      </c>
      <c r="F216" s="47" t="str">
        <f>IF(COUNTA(archive!H216:CI216)=0,"",COUNTA(archive!H216:CI216))</f>
        <v/>
      </c>
      <c r="G216" s="47" t="str">
        <f>IF(archive!G216="","",archive!G216)</f>
        <v/>
      </c>
      <c r="H216" s="51" t="str">
        <f>IF(archive!CJ216="","",archive!CJ216)</f>
        <v/>
      </c>
      <c r="I216" s="51" t="str">
        <f>IF(archive!CK216="","",archive!CK216)</f>
        <v/>
      </c>
      <c r="J216" s="47" t="str">
        <f t="shared" si="45"/>
        <v/>
      </c>
      <c r="K216" s="51" t="str">
        <f t="shared" si="46"/>
        <v/>
      </c>
      <c r="L216" s="52" t="str">
        <f t="shared" si="47"/>
        <v/>
      </c>
      <c r="M216" s="53" t="str">
        <f t="shared" si="48"/>
        <v/>
      </c>
      <c r="N216" s="53" t="str">
        <f t="shared" si="49"/>
        <v/>
      </c>
      <c r="O216" s="53" t="str">
        <f t="shared" si="50"/>
        <v/>
      </c>
      <c r="P216" s="53" t="str">
        <f t="shared" si="51"/>
        <v/>
      </c>
      <c r="Q216" s="53" t="str">
        <f t="shared" si="52"/>
        <v/>
      </c>
      <c r="R216" s="53" t="str">
        <f t="shared" si="53"/>
        <v/>
      </c>
      <c r="S216" s="53" t="str">
        <f t="shared" si="54"/>
        <v/>
      </c>
      <c r="T216" s="53" t="str">
        <f t="shared" si="55"/>
        <v/>
      </c>
    </row>
    <row r="217" spans="1:20">
      <c r="A217" s="47" t="str">
        <f>IF(archive!E217="","",archive!E217)</f>
        <v/>
      </c>
      <c r="B217" s="48" t="str">
        <f t="shared" si="42"/>
        <v/>
      </c>
      <c r="C217" s="49" t="str">
        <f>IF(archive!F217="","",archive!F217)</f>
        <v/>
      </c>
      <c r="D217" s="50" t="str">
        <f t="shared" si="43"/>
        <v/>
      </c>
      <c r="E217" s="50" t="str">
        <f t="shared" si="44"/>
        <v/>
      </c>
      <c r="F217" s="47" t="str">
        <f>IF(COUNTA(archive!H217:CI217)=0,"",COUNTA(archive!H217:CI217))</f>
        <v/>
      </c>
      <c r="G217" s="47" t="str">
        <f>IF(archive!G217="","",archive!G217)</f>
        <v/>
      </c>
      <c r="H217" s="51" t="str">
        <f>IF(archive!CJ217="","",archive!CJ217)</f>
        <v/>
      </c>
      <c r="I217" s="51" t="str">
        <f>IF(archive!CK217="","",archive!CK217)</f>
        <v/>
      </c>
      <c r="J217" s="47" t="str">
        <f t="shared" si="45"/>
        <v/>
      </c>
      <c r="K217" s="51" t="str">
        <f t="shared" si="46"/>
        <v/>
      </c>
      <c r="L217" s="52" t="str">
        <f t="shared" si="47"/>
        <v/>
      </c>
      <c r="M217" s="53" t="str">
        <f t="shared" si="48"/>
        <v/>
      </c>
      <c r="N217" s="53" t="str">
        <f t="shared" si="49"/>
        <v/>
      </c>
      <c r="O217" s="53" t="str">
        <f t="shared" si="50"/>
        <v/>
      </c>
      <c r="P217" s="53" t="str">
        <f t="shared" si="51"/>
        <v/>
      </c>
      <c r="Q217" s="53" t="str">
        <f t="shared" si="52"/>
        <v/>
      </c>
      <c r="R217" s="53" t="str">
        <f t="shared" si="53"/>
        <v/>
      </c>
      <c r="S217" s="53" t="str">
        <f t="shared" si="54"/>
        <v/>
      </c>
      <c r="T217" s="53" t="str">
        <f t="shared" si="55"/>
        <v/>
      </c>
    </row>
    <row r="218" spans="1:20">
      <c r="A218" s="47" t="str">
        <f>IF(archive!E218="","",archive!E218)</f>
        <v/>
      </c>
      <c r="B218" s="48" t="str">
        <f t="shared" si="42"/>
        <v/>
      </c>
      <c r="C218" s="49" t="str">
        <f>IF(archive!F218="","",archive!F218)</f>
        <v/>
      </c>
      <c r="D218" s="50" t="str">
        <f t="shared" si="43"/>
        <v/>
      </c>
      <c r="E218" s="50" t="str">
        <f t="shared" si="44"/>
        <v/>
      </c>
      <c r="F218" s="47" t="str">
        <f>IF(COUNTA(archive!H218:CI218)=0,"",COUNTA(archive!H218:CI218))</f>
        <v/>
      </c>
      <c r="G218" s="47" t="str">
        <f>IF(archive!G218="","",archive!G218)</f>
        <v/>
      </c>
      <c r="H218" s="51" t="str">
        <f>IF(archive!CJ218="","",archive!CJ218)</f>
        <v/>
      </c>
      <c r="I218" s="51" t="str">
        <f>IF(archive!CK218="","",archive!CK218)</f>
        <v/>
      </c>
      <c r="J218" s="47" t="str">
        <f t="shared" si="45"/>
        <v/>
      </c>
      <c r="K218" s="51" t="str">
        <f t="shared" si="46"/>
        <v/>
      </c>
      <c r="L218" s="52" t="str">
        <f t="shared" si="47"/>
        <v/>
      </c>
      <c r="M218" s="53" t="str">
        <f t="shared" si="48"/>
        <v/>
      </c>
      <c r="N218" s="53" t="str">
        <f t="shared" si="49"/>
        <v/>
      </c>
      <c r="O218" s="53" t="str">
        <f t="shared" si="50"/>
        <v/>
      </c>
      <c r="P218" s="53" t="str">
        <f t="shared" si="51"/>
        <v/>
      </c>
      <c r="Q218" s="53" t="str">
        <f t="shared" si="52"/>
        <v/>
      </c>
      <c r="R218" s="53" t="str">
        <f t="shared" si="53"/>
        <v/>
      </c>
      <c r="S218" s="53" t="str">
        <f t="shared" si="54"/>
        <v/>
      </c>
      <c r="T218" s="53" t="str">
        <f t="shared" si="55"/>
        <v/>
      </c>
    </row>
    <row r="219" spans="1:20">
      <c r="A219" s="47" t="str">
        <f>IF(archive!E219="","",archive!E219)</f>
        <v/>
      </c>
      <c r="B219" s="48" t="str">
        <f t="shared" si="42"/>
        <v/>
      </c>
      <c r="C219" s="49" t="str">
        <f>IF(archive!F219="","",archive!F219)</f>
        <v/>
      </c>
      <c r="D219" s="50" t="str">
        <f t="shared" si="43"/>
        <v/>
      </c>
      <c r="E219" s="50" t="str">
        <f t="shared" si="44"/>
        <v/>
      </c>
      <c r="F219" s="47" t="str">
        <f>IF(COUNTA(archive!H219:CI219)=0,"",COUNTA(archive!H219:CI219))</f>
        <v/>
      </c>
      <c r="G219" s="47" t="str">
        <f>IF(archive!G219="","",archive!G219)</f>
        <v/>
      </c>
      <c r="H219" s="51" t="str">
        <f>IF(archive!CJ219="","",archive!CJ219)</f>
        <v/>
      </c>
      <c r="I219" s="51" t="str">
        <f>IF(archive!CK219="","",archive!CK219)</f>
        <v/>
      </c>
      <c r="J219" s="47" t="str">
        <f t="shared" si="45"/>
        <v/>
      </c>
      <c r="K219" s="51" t="str">
        <f t="shared" si="46"/>
        <v/>
      </c>
      <c r="L219" s="52" t="str">
        <f t="shared" si="47"/>
        <v/>
      </c>
      <c r="M219" s="53" t="str">
        <f t="shared" si="48"/>
        <v/>
      </c>
      <c r="N219" s="53" t="str">
        <f t="shared" si="49"/>
        <v/>
      </c>
      <c r="O219" s="53" t="str">
        <f t="shared" si="50"/>
        <v/>
      </c>
      <c r="P219" s="53" t="str">
        <f t="shared" si="51"/>
        <v/>
      </c>
      <c r="Q219" s="53" t="str">
        <f t="shared" si="52"/>
        <v/>
      </c>
      <c r="R219" s="53" t="str">
        <f t="shared" si="53"/>
        <v/>
      </c>
      <c r="S219" s="53" t="str">
        <f t="shared" si="54"/>
        <v/>
      </c>
      <c r="T219" s="53" t="str">
        <f t="shared" si="55"/>
        <v/>
      </c>
    </row>
    <row r="220" spans="1:20">
      <c r="A220" s="47" t="str">
        <f>IF(archive!E220="","",archive!E220)</f>
        <v/>
      </c>
      <c r="B220" s="48" t="str">
        <f t="shared" si="42"/>
        <v/>
      </c>
      <c r="C220" s="49" t="str">
        <f>IF(archive!F220="","",archive!F220)</f>
        <v/>
      </c>
      <c r="D220" s="50" t="str">
        <f t="shared" si="43"/>
        <v/>
      </c>
      <c r="E220" s="50" t="str">
        <f t="shared" si="44"/>
        <v/>
      </c>
      <c r="F220" s="47" t="str">
        <f>IF(COUNTA(archive!H220:CI220)=0,"",COUNTA(archive!H220:CI220))</f>
        <v/>
      </c>
      <c r="G220" s="47" t="str">
        <f>IF(archive!G220="","",archive!G220)</f>
        <v/>
      </c>
      <c r="H220" s="51" t="str">
        <f>IF(archive!CJ220="","",archive!CJ220)</f>
        <v/>
      </c>
      <c r="I220" s="51" t="str">
        <f>IF(archive!CK220="","",archive!CK220)</f>
        <v/>
      </c>
      <c r="J220" s="47" t="str">
        <f t="shared" si="45"/>
        <v/>
      </c>
      <c r="K220" s="51" t="str">
        <f t="shared" si="46"/>
        <v/>
      </c>
      <c r="L220" s="52" t="str">
        <f t="shared" si="47"/>
        <v/>
      </c>
      <c r="M220" s="53" t="str">
        <f t="shared" si="48"/>
        <v/>
      </c>
      <c r="N220" s="53" t="str">
        <f t="shared" si="49"/>
        <v/>
      </c>
      <c r="O220" s="53" t="str">
        <f t="shared" si="50"/>
        <v/>
      </c>
      <c r="P220" s="53" t="str">
        <f t="shared" si="51"/>
        <v/>
      </c>
      <c r="Q220" s="53" t="str">
        <f t="shared" si="52"/>
        <v/>
      </c>
      <c r="R220" s="53" t="str">
        <f t="shared" si="53"/>
        <v/>
      </c>
      <c r="S220" s="53" t="str">
        <f t="shared" si="54"/>
        <v/>
      </c>
      <c r="T220" s="53" t="str">
        <f t="shared" si="55"/>
        <v/>
      </c>
    </row>
    <row r="221" spans="1:20">
      <c r="A221" s="47" t="str">
        <f>IF(archive!E221="","",archive!E221)</f>
        <v/>
      </c>
      <c r="B221" s="48" t="str">
        <f t="shared" si="42"/>
        <v/>
      </c>
      <c r="C221" s="49" t="str">
        <f>IF(archive!F221="","",archive!F221)</f>
        <v/>
      </c>
      <c r="D221" s="50" t="str">
        <f t="shared" si="43"/>
        <v/>
      </c>
      <c r="E221" s="50" t="str">
        <f t="shared" si="44"/>
        <v/>
      </c>
      <c r="F221" s="47" t="str">
        <f>IF(COUNTA(archive!H221:CI221)=0,"",COUNTA(archive!H221:CI221))</f>
        <v/>
      </c>
      <c r="G221" s="47" t="str">
        <f>IF(archive!G221="","",archive!G221)</f>
        <v/>
      </c>
      <c r="H221" s="51" t="str">
        <f>IF(archive!CJ221="","",archive!CJ221)</f>
        <v/>
      </c>
      <c r="I221" s="51" t="str">
        <f>IF(archive!CK221="","",archive!CK221)</f>
        <v/>
      </c>
      <c r="J221" s="47" t="str">
        <f t="shared" si="45"/>
        <v/>
      </c>
      <c r="K221" s="51" t="str">
        <f t="shared" si="46"/>
        <v/>
      </c>
      <c r="L221" s="52" t="str">
        <f t="shared" si="47"/>
        <v/>
      </c>
      <c r="M221" s="53" t="str">
        <f t="shared" si="48"/>
        <v/>
      </c>
      <c r="N221" s="53" t="str">
        <f t="shared" si="49"/>
        <v/>
      </c>
      <c r="O221" s="53" t="str">
        <f t="shared" si="50"/>
        <v/>
      </c>
      <c r="P221" s="53" t="str">
        <f t="shared" si="51"/>
        <v/>
      </c>
      <c r="Q221" s="53" t="str">
        <f t="shared" si="52"/>
        <v/>
      </c>
      <c r="R221" s="53" t="str">
        <f t="shared" si="53"/>
        <v/>
      </c>
      <c r="S221" s="53" t="str">
        <f t="shared" si="54"/>
        <v/>
      </c>
      <c r="T221" s="53" t="str">
        <f t="shared" si="55"/>
        <v/>
      </c>
    </row>
    <row r="222" spans="1:20">
      <c r="A222" s="47" t="str">
        <f>IF(archive!E222="","",archive!E222)</f>
        <v/>
      </c>
      <c r="B222" s="48" t="str">
        <f t="shared" si="42"/>
        <v/>
      </c>
      <c r="C222" s="49" t="str">
        <f>IF(archive!F222="","",archive!F222)</f>
        <v/>
      </c>
      <c r="D222" s="50" t="str">
        <f t="shared" si="43"/>
        <v/>
      </c>
      <c r="E222" s="50" t="str">
        <f t="shared" si="44"/>
        <v/>
      </c>
      <c r="F222" s="47" t="str">
        <f>IF(COUNTA(archive!H222:CI222)=0,"",COUNTA(archive!H222:CI222))</f>
        <v/>
      </c>
      <c r="G222" s="47" t="str">
        <f>IF(archive!G222="","",archive!G222)</f>
        <v/>
      </c>
      <c r="H222" s="51" t="str">
        <f>IF(archive!CJ222="","",archive!CJ222)</f>
        <v/>
      </c>
      <c r="I222" s="51" t="str">
        <f>IF(archive!CK222="","",archive!CK222)</f>
        <v/>
      </c>
      <c r="J222" s="47" t="str">
        <f t="shared" si="45"/>
        <v/>
      </c>
      <c r="K222" s="51" t="str">
        <f t="shared" si="46"/>
        <v/>
      </c>
      <c r="L222" s="52" t="str">
        <f t="shared" si="47"/>
        <v/>
      </c>
      <c r="M222" s="53" t="str">
        <f t="shared" si="48"/>
        <v/>
      </c>
      <c r="N222" s="53" t="str">
        <f t="shared" si="49"/>
        <v/>
      </c>
      <c r="O222" s="53" t="str">
        <f t="shared" si="50"/>
        <v/>
      </c>
      <c r="P222" s="53" t="str">
        <f t="shared" si="51"/>
        <v/>
      </c>
      <c r="Q222" s="53" t="str">
        <f t="shared" si="52"/>
        <v/>
      </c>
      <c r="R222" s="53" t="str">
        <f t="shared" si="53"/>
        <v/>
      </c>
      <c r="S222" s="53" t="str">
        <f t="shared" si="54"/>
        <v/>
      </c>
      <c r="T222" s="53" t="str">
        <f t="shared" si="55"/>
        <v/>
      </c>
    </row>
    <row r="223" spans="1:20">
      <c r="A223" s="47" t="str">
        <f>IF(archive!E223="","",archive!E223)</f>
        <v/>
      </c>
      <c r="B223" s="48" t="str">
        <f t="shared" si="42"/>
        <v/>
      </c>
      <c r="C223" s="49" t="str">
        <f>IF(archive!F223="","",archive!F223)</f>
        <v/>
      </c>
      <c r="D223" s="50" t="str">
        <f t="shared" si="43"/>
        <v/>
      </c>
      <c r="E223" s="50" t="str">
        <f t="shared" si="44"/>
        <v/>
      </c>
      <c r="F223" s="47" t="str">
        <f>IF(COUNTA(archive!H223:CI223)=0,"",COUNTA(archive!H223:CI223))</f>
        <v/>
      </c>
      <c r="G223" s="47" t="str">
        <f>IF(archive!G223="","",archive!G223)</f>
        <v/>
      </c>
      <c r="H223" s="51" t="str">
        <f>IF(archive!CJ223="","",archive!CJ223)</f>
        <v/>
      </c>
      <c r="I223" s="51" t="str">
        <f>IF(archive!CK223="","",archive!CK223)</f>
        <v/>
      </c>
      <c r="J223" s="47" t="str">
        <f t="shared" si="45"/>
        <v/>
      </c>
      <c r="K223" s="51" t="str">
        <f t="shared" si="46"/>
        <v/>
      </c>
      <c r="L223" s="52" t="str">
        <f t="shared" si="47"/>
        <v/>
      </c>
      <c r="M223" s="53" t="str">
        <f t="shared" si="48"/>
        <v/>
      </c>
      <c r="N223" s="53" t="str">
        <f t="shared" si="49"/>
        <v/>
      </c>
      <c r="O223" s="53" t="str">
        <f t="shared" si="50"/>
        <v/>
      </c>
      <c r="P223" s="53" t="str">
        <f t="shared" si="51"/>
        <v/>
      </c>
      <c r="Q223" s="53" t="str">
        <f t="shared" si="52"/>
        <v/>
      </c>
      <c r="R223" s="53" t="str">
        <f t="shared" si="53"/>
        <v/>
      </c>
      <c r="S223" s="53" t="str">
        <f t="shared" si="54"/>
        <v/>
      </c>
      <c r="T223" s="53" t="str">
        <f t="shared" si="55"/>
        <v/>
      </c>
    </row>
    <row r="224" spans="1:20">
      <c r="A224" s="47" t="str">
        <f>IF(archive!E224="","",archive!E224)</f>
        <v/>
      </c>
      <c r="B224" s="48" t="str">
        <f t="shared" si="42"/>
        <v/>
      </c>
      <c r="C224" s="49" t="str">
        <f>IF(archive!F224="","",archive!F224)</f>
        <v/>
      </c>
      <c r="D224" s="50" t="str">
        <f t="shared" si="43"/>
        <v/>
      </c>
      <c r="E224" s="50" t="str">
        <f t="shared" si="44"/>
        <v/>
      </c>
      <c r="F224" s="47" t="str">
        <f>IF(COUNTA(archive!H224:CI224)=0,"",COUNTA(archive!H224:CI224))</f>
        <v/>
      </c>
      <c r="G224" s="47" t="str">
        <f>IF(archive!G224="","",archive!G224)</f>
        <v/>
      </c>
      <c r="H224" s="51" t="str">
        <f>IF(archive!CJ224="","",archive!CJ224)</f>
        <v/>
      </c>
      <c r="I224" s="51" t="str">
        <f>IF(archive!CK224="","",archive!CK224)</f>
        <v/>
      </c>
      <c r="J224" s="47" t="str">
        <f t="shared" si="45"/>
        <v/>
      </c>
      <c r="K224" s="51" t="str">
        <f t="shared" si="46"/>
        <v/>
      </c>
      <c r="L224" s="52" t="str">
        <f t="shared" si="47"/>
        <v/>
      </c>
      <c r="M224" s="53" t="str">
        <f t="shared" si="48"/>
        <v/>
      </c>
      <c r="N224" s="53" t="str">
        <f t="shared" si="49"/>
        <v/>
      </c>
      <c r="O224" s="53" t="str">
        <f t="shared" si="50"/>
        <v/>
      </c>
      <c r="P224" s="53" t="str">
        <f t="shared" si="51"/>
        <v/>
      </c>
      <c r="Q224" s="53" t="str">
        <f t="shared" si="52"/>
        <v/>
      </c>
      <c r="R224" s="53" t="str">
        <f t="shared" si="53"/>
        <v/>
      </c>
      <c r="S224" s="53" t="str">
        <f t="shared" si="54"/>
        <v/>
      </c>
      <c r="T224" s="53" t="str">
        <f t="shared" si="55"/>
        <v/>
      </c>
    </row>
    <row r="225" spans="1:20">
      <c r="A225" s="47" t="str">
        <f>IF(archive!E225="","",archive!E225)</f>
        <v/>
      </c>
      <c r="B225" s="48" t="str">
        <f t="shared" si="42"/>
        <v/>
      </c>
      <c r="C225" s="49" t="str">
        <f>IF(archive!F225="","",archive!F225)</f>
        <v/>
      </c>
      <c r="D225" s="50" t="str">
        <f t="shared" si="43"/>
        <v/>
      </c>
      <c r="E225" s="50" t="str">
        <f t="shared" si="44"/>
        <v/>
      </c>
      <c r="F225" s="47" t="str">
        <f>IF(COUNTA(archive!H225:CI225)=0,"",COUNTA(archive!H225:CI225))</f>
        <v/>
      </c>
      <c r="G225" s="47" t="str">
        <f>IF(archive!G225="","",archive!G225)</f>
        <v/>
      </c>
      <c r="H225" s="51" t="str">
        <f>IF(archive!CJ225="","",archive!CJ225)</f>
        <v/>
      </c>
      <c r="I225" s="51" t="str">
        <f>IF(archive!CK225="","",archive!CK225)</f>
        <v/>
      </c>
      <c r="J225" s="47" t="str">
        <f t="shared" si="45"/>
        <v/>
      </c>
      <c r="K225" s="51" t="str">
        <f t="shared" si="46"/>
        <v/>
      </c>
      <c r="L225" s="52" t="str">
        <f t="shared" si="47"/>
        <v/>
      </c>
      <c r="M225" s="53" t="str">
        <f t="shared" si="48"/>
        <v/>
      </c>
      <c r="N225" s="53" t="str">
        <f t="shared" si="49"/>
        <v/>
      </c>
      <c r="O225" s="53" t="str">
        <f t="shared" si="50"/>
        <v/>
      </c>
      <c r="P225" s="53" t="str">
        <f t="shared" si="51"/>
        <v/>
      </c>
      <c r="Q225" s="53" t="str">
        <f t="shared" si="52"/>
        <v/>
      </c>
      <c r="R225" s="53" t="str">
        <f t="shared" si="53"/>
        <v/>
      </c>
      <c r="S225" s="53" t="str">
        <f t="shared" si="54"/>
        <v/>
      </c>
      <c r="T225" s="53" t="str">
        <f t="shared" si="55"/>
        <v/>
      </c>
    </row>
    <row r="226" spans="1:20">
      <c r="A226" s="47" t="str">
        <f>IF(archive!E226="","",archive!E226)</f>
        <v/>
      </c>
      <c r="B226" s="48" t="str">
        <f t="shared" si="42"/>
        <v/>
      </c>
      <c r="C226" s="49" t="str">
        <f>IF(archive!F226="","",archive!F226)</f>
        <v/>
      </c>
      <c r="D226" s="50" t="str">
        <f t="shared" si="43"/>
        <v/>
      </c>
      <c r="E226" s="50" t="str">
        <f t="shared" si="44"/>
        <v/>
      </c>
      <c r="F226" s="47" t="str">
        <f>IF(COUNTA(archive!H226:CI226)=0,"",COUNTA(archive!H226:CI226))</f>
        <v/>
      </c>
      <c r="G226" s="47" t="str">
        <f>IF(archive!G226="","",archive!G226)</f>
        <v/>
      </c>
      <c r="H226" s="51" t="str">
        <f>IF(archive!CJ226="","",archive!CJ226)</f>
        <v/>
      </c>
      <c r="I226" s="51" t="str">
        <f>IF(archive!CK226="","",archive!CK226)</f>
        <v/>
      </c>
      <c r="J226" s="47" t="str">
        <f t="shared" si="45"/>
        <v/>
      </c>
      <c r="K226" s="51" t="str">
        <f t="shared" si="46"/>
        <v/>
      </c>
      <c r="L226" s="52" t="str">
        <f t="shared" si="47"/>
        <v/>
      </c>
      <c r="M226" s="53" t="str">
        <f t="shared" si="48"/>
        <v/>
      </c>
      <c r="N226" s="53" t="str">
        <f t="shared" si="49"/>
        <v/>
      </c>
      <c r="O226" s="53" t="str">
        <f t="shared" si="50"/>
        <v/>
      </c>
      <c r="P226" s="53" t="str">
        <f t="shared" si="51"/>
        <v/>
      </c>
      <c r="Q226" s="53" t="str">
        <f t="shared" si="52"/>
        <v/>
      </c>
      <c r="R226" s="53" t="str">
        <f t="shared" si="53"/>
        <v/>
      </c>
      <c r="S226" s="53" t="str">
        <f t="shared" si="54"/>
        <v/>
      </c>
      <c r="T226" s="53" t="str">
        <f t="shared" si="55"/>
        <v/>
      </c>
    </row>
    <row r="227" spans="1:20">
      <c r="A227" s="47" t="str">
        <f>IF(archive!E227="","",archive!E227)</f>
        <v/>
      </c>
      <c r="B227" s="48" t="str">
        <f t="shared" si="42"/>
        <v/>
      </c>
      <c r="C227" s="49" t="str">
        <f>IF(archive!F227="","",archive!F227)</f>
        <v/>
      </c>
      <c r="D227" s="50" t="str">
        <f t="shared" si="43"/>
        <v/>
      </c>
      <c r="E227" s="50" t="str">
        <f t="shared" si="44"/>
        <v/>
      </c>
      <c r="F227" s="47" t="str">
        <f>IF(COUNTA(archive!H227:CI227)=0,"",COUNTA(archive!H227:CI227))</f>
        <v/>
      </c>
      <c r="G227" s="47" t="str">
        <f>IF(archive!G227="","",archive!G227)</f>
        <v/>
      </c>
      <c r="H227" s="51" t="str">
        <f>IF(archive!CJ227="","",archive!CJ227)</f>
        <v/>
      </c>
      <c r="I227" s="51" t="str">
        <f>IF(archive!CK227="","",archive!CK227)</f>
        <v/>
      </c>
      <c r="J227" s="47" t="str">
        <f t="shared" si="45"/>
        <v/>
      </c>
      <c r="K227" s="51" t="str">
        <f t="shared" si="46"/>
        <v/>
      </c>
      <c r="L227" s="52" t="str">
        <f t="shared" si="47"/>
        <v/>
      </c>
      <c r="M227" s="53" t="str">
        <f t="shared" si="48"/>
        <v/>
      </c>
      <c r="N227" s="53" t="str">
        <f t="shared" si="49"/>
        <v/>
      </c>
      <c r="O227" s="53" t="str">
        <f t="shared" si="50"/>
        <v/>
      </c>
      <c r="P227" s="53" t="str">
        <f t="shared" si="51"/>
        <v/>
      </c>
      <c r="Q227" s="53" t="str">
        <f t="shared" si="52"/>
        <v/>
      </c>
      <c r="R227" s="53" t="str">
        <f t="shared" si="53"/>
        <v/>
      </c>
      <c r="S227" s="53" t="str">
        <f t="shared" si="54"/>
        <v/>
      </c>
      <c r="T227" s="53" t="str">
        <f t="shared" si="55"/>
        <v/>
      </c>
    </row>
    <row r="228" spans="1:20">
      <c r="A228" s="47" t="str">
        <f>IF(archive!E228="","",archive!E228)</f>
        <v/>
      </c>
      <c r="B228" s="48" t="str">
        <f t="shared" si="42"/>
        <v/>
      </c>
      <c r="C228" s="49" t="str">
        <f>IF(archive!F228="","",archive!F228)</f>
        <v/>
      </c>
      <c r="D228" s="50" t="str">
        <f t="shared" si="43"/>
        <v/>
      </c>
      <c r="E228" s="50" t="str">
        <f t="shared" si="44"/>
        <v/>
      </c>
      <c r="F228" s="47" t="str">
        <f>IF(COUNTA(archive!H228:CI228)=0,"",COUNTA(archive!H228:CI228))</f>
        <v/>
      </c>
      <c r="G228" s="47" t="str">
        <f>IF(archive!G228="","",archive!G228)</f>
        <v/>
      </c>
      <c r="H228" s="51" t="str">
        <f>IF(archive!CJ228="","",archive!CJ228)</f>
        <v/>
      </c>
      <c r="I228" s="51" t="str">
        <f>IF(archive!CK228="","",archive!CK228)</f>
        <v/>
      </c>
      <c r="J228" s="47" t="str">
        <f t="shared" si="45"/>
        <v/>
      </c>
      <c r="K228" s="51" t="str">
        <f t="shared" si="46"/>
        <v/>
      </c>
      <c r="L228" s="52" t="str">
        <f t="shared" si="47"/>
        <v/>
      </c>
      <c r="M228" s="53" t="str">
        <f t="shared" si="48"/>
        <v/>
      </c>
      <c r="N228" s="53" t="str">
        <f t="shared" si="49"/>
        <v/>
      </c>
      <c r="O228" s="53" t="str">
        <f t="shared" si="50"/>
        <v/>
      </c>
      <c r="P228" s="53" t="str">
        <f t="shared" si="51"/>
        <v/>
      </c>
      <c r="Q228" s="53" t="str">
        <f t="shared" si="52"/>
        <v/>
      </c>
      <c r="R228" s="53" t="str">
        <f t="shared" si="53"/>
        <v/>
      </c>
      <c r="S228" s="53" t="str">
        <f t="shared" si="54"/>
        <v/>
      </c>
      <c r="T228" s="53" t="str">
        <f t="shared" si="55"/>
        <v/>
      </c>
    </row>
    <row r="229" spans="1:20">
      <c r="A229" s="47" t="str">
        <f>IF(archive!E229="","",archive!E229)</f>
        <v/>
      </c>
      <c r="B229" s="48" t="str">
        <f t="shared" si="42"/>
        <v/>
      </c>
      <c r="C229" s="49" t="str">
        <f>IF(archive!F229="","",archive!F229)</f>
        <v/>
      </c>
      <c r="D229" s="50" t="str">
        <f t="shared" si="43"/>
        <v/>
      </c>
      <c r="E229" s="50" t="str">
        <f t="shared" si="44"/>
        <v/>
      </c>
      <c r="F229" s="47" t="str">
        <f>IF(COUNTA(archive!H229:CI229)=0,"",COUNTA(archive!H229:CI229))</f>
        <v/>
      </c>
      <c r="G229" s="47" t="str">
        <f>IF(archive!G229="","",archive!G229)</f>
        <v/>
      </c>
      <c r="H229" s="51" t="str">
        <f>IF(archive!CJ229="","",archive!CJ229)</f>
        <v/>
      </c>
      <c r="I229" s="51" t="str">
        <f>IF(archive!CK229="","",archive!CK229)</f>
        <v/>
      </c>
      <c r="J229" s="47" t="str">
        <f t="shared" si="45"/>
        <v/>
      </c>
      <c r="K229" s="51" t="str">
        <f t="shared" si="46"/>
        <v/>
      </c>
      <c r="L229" s="52" t="str">
        <f t="shared" si="47"/>
        <v/>
      </c>
      <c r="M229" s="53" t="str">
        <f t="shared" si="48"/>
        <v/>
      </c>
      <c r="N229" s="53" t="str">
        <f t="shared" si="49"/>
        <v/>
      </c>
      <c r="O229" s="53" t="str">
        <f t="shared" si="50"/>
        <v/>
      </c>
      <c r="P229" s="53" t="str">
        <f t="shared" si="51"/>
        <v/>
      </c>
      <c r="Q229" s="53" t="str">
        <f t="shared" si="52"/>
        <v/>
      </c>
      <c r="R229" s="53" t="str">
        <f t="shared" si="53"/>
        <v/>
      </c>
      <c r="S229" s="53" t="str">
        <f t="shared" si="54"/>
        <v/>
      </c>
      <c r="T229" s="53" t="str">
        <f t="shared" si="55"/>
        <v/>
      </c>
    </row>
    <row r="230" spans="1:20">
      <c r="A230" s="47" t="str">
        <f>IF(archive!E230="","",archive!E230)</f>
        <v/>
      </c>
      <c r="B230" s="48" t="str">
        <f t="shared" si="42"/>
        <v/>
      </c>
      <c r="C230" s="49" t="str">
        <f>IF(archive!F230="","",archive!F230)</f>
        <v/>
      </c>
      <c r="D230" s="50" t="str">
        <f t="shared" si="43"/>
        <v/>
      </c>
      <c r="E230" s="50" t="str">
        <f t="shared" si="44"/>
        <v/>
      </c>
      <c r="F230" s="47" t="str">
        <f>IF(COUNTA(archive!H230:CI230)=0,"",COUNTA(archive!H230:CI230))</f>
        <v/>
      </c>
      <c r="G230" s="47" t="str">
        <f>IF(archive!G230="","",archive!G230)</f>
        <v/>
      </c>
      <c r="H230" s="51" t="str">
        <f>IF(archive!CJ230="","",archive!CJ230)</f>
        <v/>
      </c>
      <c r="I230" s="51" t="str">
        <f>IF(archive!CK230="","",archive!CK230)</f>
        <v/>
      </c>
      <c r="J230" s="47" t="str">
        <f t="shared" si="45"/>
        <v/>
      </c>
      <c r="K230" s="51" t="str">
        <f t="shared" si="46"/>
        <v/>
      </c>
      <c r="L230" s="52" t="str">
        <f t="shared" si="47"/>
        <v/>
      </c>
      <c r="M230" s="53" t="str">
        <f t="shared" si="48"/>
        <v/>
      </c>
      <c r="N230" s="53" t="str">
        <f t="shared" si="49"/>
        <v/>
      </c>
      <c r="O230" s="53" t="str">
        <f t="shared" si="50"/>
        <v/>
      </c>
      <c r="P230" s="53" t="str">
        <f t="shared" si="51"/>
        <v/>
      </c>
      <c r="Q230" s="53" t="str">
        <f t="shared" si="52"/>
        <v/>
      </c>
      <c r="R230" s="53" t="str">
        <f t="shared" si="53"/>
        <v/>
      </c>
      <c r="S230" s="53" t="str">
        <f t="shared" si="54"/>
        <v/>
      </c>
      <c r="T230" s="53" t="str">
        <f t="shared" si="55"/>
        <v/>
      </c>
    </row>
    <row r="231" spans="1:20">
      <c r="A231" s="47" t="str">
        <f>IF(archive!E231="","",archive!E231)</f>
        <v/>
      </c>
      <c r="B231" s="48" t="str">
        <f t="shared" si="42"/>
        <v/>
      </c>
      <c r="C231" s="49" t="str">
        <f>IF(archive!F231="","",archive!F231)</f>
        <v/>
      </c>
      <c r="D231" s="50" t="str">
        <f t="shared" si="43"/>
        <v/>
      </c>
      <c r="E231" s="50" t="str">
        <f t="shared" si="44"/>
        <v/>
      </c>
      <c r="F231" s="47" t="str">
        <f>IF(COUNTA(archive!H231:CI231)=0,"",COUNTA(archive!H231:CI231))</f>
        <v/>
      </c>
      <c r="G231" s="47" t="str">
        <f>IF(archive!G231="","",archive!G231)</f>
        <v/>
      </c>
      <c r="H231" s="51" t="str">
        <f>IF(archive!CJ231="","",archive!CJ231)</f>
        <v/>
      </c>
      <c r="I231" s="51" t="str">
        <f>IF(archive!CK231="","",archive!CK231)</f>
        <v/>
      </c>
      <c r="J231" s="47" t="str">
        <f t="shared" si="45"/>
        <v/>
      </c>
      <c r="K231" s="51" t="str">
        <f t="shared" si="46"/>
        <v/>
      </c>
      <c r="L231" s="52" t="str">
        <f t="shared" si="47"/>
        <v/>
      </c>
      <c r="M231" s="53" t="str">
        <f t="shared" si="48"/>
        <v/>
      </c>
      <c r="N231" s="53" t="str">
        <f t="shared" si="49"/>
        <v/>
      </c>
      <c r="O231" s="53" t="str">
        <f t="shared" si="50"/>
        <v/>
      </c>
      <c r="P231" s="53" t="str">
        <f t="shared" si="51"/>
        <v/>
      </c>
      <c r="Q231" s="53" t="str">
        <f t="shared" si="52"/>
        <v/>
      </c>
      <c r="R231" s="53" t="str">
        <f t="shared" si="53"/>
        <v/>
      </c>
      <c r="S231" s="53" t="str">
        <f t="shared" si="54"/>
        <v/>
      </c>
      <c r="T231" s="53" t="str">
        <f t="shared" si="55"/>
        <v/>
      </c>
    </row>
    <row r="232" spans="1:20">
      <c r="A232" s="47" t="str">
        <f>IF(archive!E232="","",archive!E232)</f>
        <v/>
      </c>
      <c r="B232" s="48" t="str">
        <f t="shared" si="42"/>
        <v/>
      </c>
      <c r="C232" s="49" t="str">
        <f>IF(archive!F232="","",archive!F232)</f>
        <v/>
      </c>
      <c r="D232" s="50" t="str">
        <f t="shared" si="43"/>
        <v/>
      </c>
      <c r="E232" s="50" t="str">
        <f t="shared" si="44"/>
        <v/>
      </c>
      <c r="F232" s="47" t="str">
        <f>IF(COUNTA(archive!H232:CI232)=0,"",COUNTA(archive!H232:CI232))</f>
        <v/>
      </c>
      <c r="G232" s="47" t="str">
        <f>IF(archive!G232="","",archive!G232)</f>
        <v/>
      </c>
      <c r="H232" s="51" t="str">
        <f>IF(archive!CJ232="","",archive!CJ232)</f>
        <v/>
      </c>
      <c r="I232" s="51" t="str">
        <f>IF(archive!CK232="","",archive!CK232)</f>
        <v/>
      </c>
      <c r="J232" s="47" t="str">
        <f t="shared" si="45"/>
        <v/>
      </c>
      <c r="K232" s="51" t="str">
        <f t="shared" si="46"/>
        <v/>
      </c>
      <c r="L232" s="52" t="str">
        <f t="shared" si="47"/>
        <v/>
      </c>
      <c r="M232" s="53" t="str">
        <f t="shared" si="48"/>
        <v/>
      </c>
      <c r="N232" s="53" t="str">
        <f t="shared" si="49"/>
        <v/>
      </c>
      <c r="O232" s="53" t="str">
        <f t="shared" si="50"/>
        <v/>
      </c>
      <c r="P232" s="53" t="str">
        <f t="shared" si="51"/>
        <v/>
      </c>
      <c r="Q232" s="53" t="str">
        <f t="shared" si="52"/>
        <v/>
      </c>
      <c r="R232" s="53" t="str">
        <f t="shared" si="53"/>
        <v/>
      </c>
      <c r="S232" s="53" t="str">
        <f t="shared" si="54"/>
        <v/>
      </c>
      <c r="T232" s="53" t="str">
        <f t="shared" si="55"/>
        <v/>
      </c>
    </row>
    <row r="233" spans="1:20">
      <c r="A233" s="47" t="str">
        <f>IF(archive!E233="","",archive!E233)</f>
        <v/>
      </c>
      <c r="B233" s="48" t="str">
        <f t="shared" si="42"/>
        <v/>
      </c>
      <c r="C233" s="49" t="str">
        <f>IF(archive!F233="","",archive!F233)</f>
        <v/>
      </c>
      <c r="D233" s="50" t="str">
        <f t="shared" si="43"/>
        <v/>
      </c>
      <c r="E233" s="50" t="str">
        <f t="shared" si="44"/>
        <v/>
      </c>
      <c r="F233" s="47" t="str">
        <f>IF(COUNTA(archive!H233:CI233)=0,"",COUNTA(archive!H233:CI233))</f>
        <v/>
      </c>
      <c r="G233" s="47" t="str">
        <f>IF(archive!G233="","",archive!G233)</f>
        <v/>
      </c>
      <c r="H233" s="51" t="str">
        <f>IF(archive!CJ233="","",archive!CJ233)</f>
        <v/>
      </c>
      <c r="I233" s="51" t="str">
        <f>IF(archive!CK233="","",archive!CK233)</f>
        <v/>
      </c>
      <c r="J233" s="47" t="str">
        <f t="shared" si="45"/>
        <v/>
      </c>
      <c r="K233" s="51" t="str">
        <f t="shared" si="46"/>
        <v/>
      </c>
      <c r="L233" s="52" t="str">
        <f t="shared" si="47"/>
        <v/>
      </c>
      <c r="M233" s="53" t="str">
        <f t="shared" si="48"/>
        <v/>
      </c>
      <c r="N233" s="53" t="str">
        <f t="shared" si="49"/>
        <v/>
      </c>
      <c r="O233" s="53" t="str">
        <f t="shared" si="50"/>
        <v/>
      </c>
      <c r="P233" s="53" t="str">
        <f t="shared" si="51"/>
        <v/>
      </c>
      <c r="Q233" s="53" t="str">
        <f t="shared" si="52"/>
        <v/>
      </c>
      <c r="R233" s="53" t="str">
        <f t="shared" si="53"/>
        <v/>
      </c>
      <c r="S233" s="53" t="str">
        <f t="shared" si="54"/>
        <v/>
      </c>
      <c r="T233" s="53" t="str">
        <f t="shared" si="55"/>
        <v/>
      </c>
    </row>
    <row r="234" spans="1:20">
      <c r="A234" s="47" t="str">
        <f>IF(archive!E234="","",archive!E234)</f>
        <v/>
      </c>
      <c r="B234" s="48" t="str">
        <f t="shared" si="42"/>
        <v/>
      </c>
      <c r="C234" s="49" t="str">
        <f>IF(archive!F234="","",archive!F234)</f>
        <v/>
      </c>
      <c r="D234" s="50" t="str">
        <f t="shared" si="43"/>
        <v/>
      </c>
      <c r="E234" s="50" t="str">
        <f t="shared" si="44"/>
        <v/>
      </c>
      <c r="F234" s="47" t="str">
        <f>IF(COUNTA(archive!H234:CI234)=0,"",COUNTA(archive!H234:CI234))</f>
        <v/>
      </c>
      <c r="G234" s="47" t="str">
        <f>IF(archive!G234="","",archive!G234)</f>
        <v/>
      </c>
      <c r="H234" s="51" t="str">
        <f>IF(archive!CJ234="","",archive!CJ234)</f>
        <v/>
      </c>
      <c r="I234" s="51" t="str">
        <f>IF(archive!CK234="","",archive!CK234)</f>
        <v/>
      </c>
      <c r="J234" s="47" t="str">
        <f t="shared" si="45"/>
        <v/>
      </c>
      <c r="K234" s="51" t="str">
        <f t="shared" si="46"/>
        <v/>
      </c>
      <c r="L234" s="52" t="str">
        <f t="shared" si="47"/>
        <v/>
      </c>
      <c r="M234" s="53" t="str">
        <f t="shared" si="48"/>
        <v/>
      </c>
      <c r="N234" s="53" t="str">
        <f t="shared" si="49"/>
        <v/>
      </c>
      <c r="O234" s="53" t="str">
        <f t="shared" si="50"/>
        <v/>
      </c>
      <c r="P234" s="53" t="str">
        <f t="shared" si="51"/>
        <v/>
      </c>
      <c r="Q234" s="53" t="str">
        <f t="shared" si="52"/>
        <v/>
      </c>
      <c r="R234" s="53" t="str">
        <f t="shared" si="53"/>
        <v/>
      </c>
      <c r="S234" s="53" t="str">
        <f t="shared" si="54"/>
        <v/>
      </c>
      <c r="T234" s="53" t="str">
        <f t="shared" si="55"/>
        <v/>
      </c>
    </row>
    <row r="235" spans="1:20">
      <c r="A235" s="47" t="str">
        <f>IF(archive!E235="","",archive!E235)</f>
        <v/>
      </c>
      <c r="B235" s="48" t="str">
        <f t="shared" si="42"/>
        <v/>
      </c>
      <c r="C235" s="49" t="str">
        <f>IF(archive!F235="","",archive!F235)</f>
        <v/>
      </c>
      <c r="D235" s="50" t="str">
        <f t="shared" si="43"/>
        <v/>
      </c>
      <c r="E235" s="50" t="str">
        <f t="shared" si="44"/>
        <v/>
      </c>
      <c r="F235" s="47" t="str">
        <f>IF(COUNTA(archive!H235:CI235)=0,"",COUNTA(archive!H235:CI235))</f>
        <v/>
      </c>
      <c r="G235" s="47" t="str">
        <f>IF(archive!G235="","",archive!G235)</f>
        <v/>
      </c>
      <c r="H235" s="51" t="str">
        <f>IF(archive!CJ235="","",archive!CJ235)</f>
        <v/>
      </c>
      <c r="I235" s="51" t="str">
        <f>IF(archive!CK235="","",archive!CK235)</f>
        <v/>
      </c>
      <c r="J235" s="47" t="str">
        <f t="shared" si="45"/>
        <v/>
      </c>
      <c r="K235" s="51" t="str">
        <f t="shared" si="46"/>
        <v/>
      </c>
      <c r="L235" s="52" t="str">
        <f t="shared" si="47"/>
        <v/>
      </c>
      <c r="M235" s="53" t="str">
        <f t="shared" si="48"/>
        <v/>
      </c>
      <c r="N235" s="53" t="str">
        <f t="shared" si="49"/>
        <v/>
      </c>
      <c r="O235" s="53" t="str">
        <f t="shared" si="50"/>
        <v/>
      </c>
      <c r="P235" s="53" t="str">
        <f t="shared" si="51"/>
        <v/>
      </c>
      <c r="Q235" s="53" t="str">
        <f t="shared" si="52"/>
        <v/>
      </c>
      <c r="R235" s="53" t="str">
        <f t="shared" si="53"/>
        <v/>
      </c>
      <c r="S235" s="53" t="str">
        <f t="shared" si="54"/>
        <v/>
      </c>
      <c r="T235" s="53" t="str">
        <f t="shared" si="55"/>
        <v/>
      </c>
    </row>
    <row r="236" spans="1:20">
      <c r="A236" s="47" t="str">
        <f>IF(archive!E236="","",archive!E236)</f>
        <v/>
      </c>
      <c r="B236" s="48" t="str">
        <f t="shared" si="42"/>
        <v/>
      </c>
      <c r="C236" s="49" t="str">
        <f>IF(archive!F236="","",archive!F236)</f>
        <v/>
      </c>
      <c r="D236" s="50" t="str">
        <f t="shared" si="43"/>
        <v/>
      </c>
      <c r="E236" s="50" t="str">
        <f t="shared" si="44"/>
        <v/>
      </c>
      <c r="F236" s="47" t="str">
        <f>IF(COUNTA(archive!H236:CI236)=0,"",COUNTA(archive!H236:CI236))</f>
        <v/>
      </c>
      <c r="G236" s="47" t="str">
        <f>IF(archive!G236="","",archive!G236)</f>
        <v/>
      </c>
      <c r="H236" s="51" t="str">
        <f>IF(archive!CJ236="","",archive!CJ236)</f>
        <v/>
      </c>
      <c r="I236" s="51" t="str">
        <f>IF(archive!CK236="","",archive!CK236)</f>
        <v/>
      </c>
      <c r="J236" s="47" t="str">
        <f t="shared" si="45"/>
        <v/>
      </c>
      <c r="K236" s="51" t="str">
        <f t="shared" si="46"/>
        <v/>
      </c>
      <c r="L236" s="52" t="str">
        <f t="shared" si="47"/>
        <v/>
      </c>
      <c r="M236" s="53" t="str">
        <f t="shared" si="48"/>
        <v/>
      </c>
      <c r="N236" s="53" t="str">
        <f t="shared" si="49"/>
        <v/>
      </c>
      <c r="O236" s="53" t="str">
        <f t="shared" si="50"/>
        <v/>
      </c>
      <c r="P236" s="53" t="str">
        <f t="shared" si="51"/>
        <v/>
      </c>
      <c r="Q236" s="53" t="str">
        <f t="shared" si="52"/>
        <v/>
      </c>
      <c r="R236" s="53" t="str">
        <f t="shared" si="53"/>
        <v/>
      </c>
      <c r="S236" s="53" t="str">
        <f t="shared" si="54"/>
        <v/>
      </c>
      <c r="T236" s="53" t="str">
        <f t="shared" si="55"/>
        <v/>
      </c>
    </row>
    <row r="237" spans="1:20">
      <c r="A237" s="47" t="str">
        <f>IF(archive!E237="","",archive!E237)</f>
        <v/>
      </c>
      <c r="B237" s="48" t="str">
        <f t="shared" si="42"/>
        <v/>
      </c>
      <c r="C237" s="49" t="str">
        <f>IF(archive!F237="","",archive!F237)</f>
        <v/>
      </c>
      <c r="D237" s="50" t="str">
        <f t="shared" si="43"/>
        <v/>
      </c>
      <c r="E237" s="50" t="str">
        <f t="shared" si="44"/>
        <v/>
      </c>
      <c r="F237" s="47" t="str">
        <f>IF(COUNTA(archive!H237:CI237)=0,"",COUNTA(archive!H237:CI237))</f>
        <v/>
      </c>
      <c r="G237" s="47" t="str">
        <f>IF(archive!G237="","",archive!G237)</f>
        <v/>
      </c>
      <c r="H237" s="51" t="str">
        <f>IF(archive!CJ237="","",archive!CJ237)</f>
        <v/>
      </c>
      <c r="I237" s="51" t="str">
        <f>IF(archive!CK237="","",archive!CK237)</f>
        <v/>
      </c>
      <c r="J237" s="47" t="str">
        <f t="shared" si="45"/>
        <v/>
      </c>
      <c r="K237" s="51" t="str">
        <f t="shared" si="46"/>
        <v/>
      </c>
      <c r="L237" s="52" t="str">
        <f t="shared" si="47"/>
        <v/>
      </c>
      <c r="M237" s="53" t="str">
        <f t="shared" si="48"/>
        <v/>
      </c>
      <c r="N237" s="53" t="str">
        <f t="shared" si="49"/>
        <v/>
      </c>
      <c r="O237" s="53" t="str">
        <f t="shared" si="50"/>
        <v/>
      </c>
      <c r="P237" s="53" t="str">
        <f t="shared" si="51"/>
        <v/>
      </c>
      <c r="Q237" s="53" t="str">
        <f t="shared" si="52"/>
        <v/>
      </c>
      <c r="R237" s="53" t="str">
        <f t="shared" si="53"/>
        <v/>
      </c>
      <c r="S237" s="53" t="str">
        <f t="shared" si="54"/>
        <v/>
      </c>
      <c r="T237" s="53" t="str">
        <f t="shared" si="55"/>
        <v/>
      </c>
    </row>
    <row r="238" spans="1:20">
      <c r="A238" s="47" t="str">
        <f>IF(archive!E238="","",archive!E238)</f>
        <v/>
      </c>
      <c r="B238" s="48" t="str">
        <f t="shared" si="42"/>
        <v/>
      </c>
      <c r="C238" s="49" t="str">
        <f>IF(archive!F238="","",archive!F238)</f>
        <v/>
      </c>
      <c r="D238" s="50" t="str">
        <f t="shared" si="43"/>
        <v/>
      </c>
      <c r="E238" s="50" t="str">
        <f t="shared" si="44"/>
        <v/>
      </c>
      <c r="F238" s="47" t="str">
        <f>IF(COUNTA(archive!H238:CI238)=0,"",COUNTA(archive!H238:CI238))</f>
        <v/>
      </c>
      <c r="G238" s="47" t="str">
        <f>IF(archive!G238="","",archive!G238)</f>
        <v/>
      </c>
      <c r="H238" s="51" t="str">
        <f>IF(archive!CJ238="","",archive!CJ238)</f>
        <v/>
      </c>
      <c r="I238" s="51" t="str">
        <f>IF(archive!CK238="","",archive!CK238)</f>
        <v/>
      </c>
      <c r="J238" s="47" t="str">
        <f t="shared" si="45"/>
        <v/>
      </c>
      <c r="K238" s="51" t="str">
        <f t="shared" si="46"/>
        <v/>
      </c>
      <c r="L238" s="52" t="str">
        <f t="shared" si="47"/>
        <v/>
      </c>
      <c r="M238" s="53" t="str">
        <f t="shared" si="48"/>
        <v/>
      </c>
      <c r="N238" s="53" t="str">
        <f t="shared" si="49"/>
        <v/>
      </c>
      <c r="O238" s="53" t="str">
        <f t="shared" si="50"/>
        <v/>
      </c>
      <c r="P238" s="53" t="str">
        <f t="shared" si="51"/>
        <v/>
      </c>
      <c r="Q238" s="53" t="str">
        <f t="shared" si="52"/>
        <v/>
      </c>
      <c r="R238" s="53" t="str">
        <f t="shared" si="53"/>
        <v/>
      </c>
      <c r="S238" s="53" t="str">
        <f t="shared" si="54"/>
        <v/>
      </c>
      <c r="T238" s="53" t="str">
        <f t="shared" si="55"/>
        <v/>
      </c>
    </row>
    <row r="239" spans="1:20">
      <c r="A239" s="47" t="str">
        <f>IF(archive!E239="","",archive!E239)</f>
        <v/>
      </c>
      <c r="B239" s="48" t="str">
        <f t="shared" si="42"/>
        <v/>
      </c>
      <c r="C239" s="49" t="str">
        <f>IF(archive!F239="","",archive!F239)</f>
        <v/>
      </c>
      <c r="D239" s="50" t="str">
        <f t="shared" si="43"/>
        <v/>
      </c>
      <c r="E239" s="50" t="str">
        <f t="shared" si="44"/>
        <v/>
      </c>
      <c r="F239" s="47" t="str">
        <f>IF(COUNTA(archive!H239:CI239)=0,"",COUNTA(archive!H239:CI239))</f>
        <v/>
      </c>
      <c r="G239" s="47" t="str">
        <f>IF(archive!G239="","",archive!G239)</f>
        <v/>
      </c>
      <c r="H239" s="51" t="str">
        <f>IF(archive!CJ239="","",archive!CJ239)</f>
        <v/>
      </c>
      <c r="I239" s="51" t="str">
        <f>IF(archive!CK239="","",archive!CK239)</f>
        <v/>
      </c>
      <c r="J239" s="47" t="str">
        <f t="shared" si="45"/>
        <v/>
      </c>
      <c r="K239" s="51" t="str">
        <f t="shared" si="46"/>
        <v/>
      </c>
      <c r="L239" s="52" t="str">
        <f t="shared" si="47"/>
        <v/>
      </c>
      <c r="M239" s="53" t="str">
        <f t="shared" si="48"/>
        <v/>
      </c>
      <c r="N239" s="53" t="str">
        <f t="shared" si="49"/>
        <v/>
      </c>
      <c r="O239" s="53" t="str">
        <f t="shared" si="50"/>
        <v/>
      </c>
      <c r="P239" s="53" t="str">
        <f t="shared" si="51"/>
        <v/>
      </c>
      <c r="Q239" s="53" t="str">
        <f t="shared" si="52"/>
        <v/>
      </c>
      <c r="R239" s="53" t="str">
        <f t="shared" si="53"/>
        <v/>
      </c>
      <c r="S239" s="53" t="str">
        <f t="shared" si="54"/>
        <v/>
      </c>
      <c r="T239" s="53" t="str">
        <f t="shared" si="55"/>
        <v/>
      </c>
    </row>
    <row r="240" spans="1:20">
      <c r="A240" s="47" t="str">
        <f>IF(archive!E240="","",archive!E240)</f>
        <v/>
      </c>
      <c r="B240" s="48" t="str">
        <f t="shared" si="42"/>
        <v/>
      </c>
      <c r="C240" s="49" t="str">
        <f>IF(archive!F240="","",archive!F240)</f>
        <v/>
      </c>
      <c r="D240" s="50" t="str">
        <f t="shared" si="43"/>
        <v/>
      </c>
      <c r="E240" s="50" t="str">
        <f t="shared" si="44"/>
        <v/>
      </c>
      <c r="F240" s="47" t="str">
        <f>IF(COUNTA(archive!H240:CI240)=0,"",COUNTA(archive!H240:CI240))</f>
        <v/>
      </c>
      <c r="G240" s="47" t="str">
        <f>IF(archive!G240="","",archive!G240)</f>
        <v/>
      </c>
      <c r="H240" s="51" t="str">
        <f>IF(archive!CJ240="","",archive!CJ240)</f>
        <v/>
      </c>
      <c r="I240" s="51" t="str">
        <f>IF(archive!CK240="","",archive!CK240)</f>
        <v/>
      </c>
      <c r="J240" s="47" t="str">
        <f t="shared" si="45"/>
        <v/>
      </c>
      <c r="K240" s="51" t="str">
        <f t="shared" si="46"/>
        <v/>
      </c>
      <c r="L240" s="52" t="str">
        <f t="shared" si="47"/>
        <v/>
      </c>
      <c r="M240" s="53" t="str">
        <f t="shared" si="48"/>
        <v/>
      </c>
      <c r="N240" s="53" t="str">
        <f t="shared" si="49"/>
        <v/>
      </c>
      <c r="O240" s="53" t="str">
        <f t="shared" si="50"/>
        <v/>
      </c>
      <c r="P240" s="53" t="str">
        <f t="shared" si="51"/>
        <v/>
      </c>
      <c r="Q240" s="53" t="str">
        <f t="shared" si="52"/>
        <v/>
      </c>
      <c r="R240" s="53" t="str">
        <f t="shared" si="53"/>
        <v/>
      </c>
      <c r="S240" s="53" t="str">
        <f t="shared" si="54"/>
        <v/>
      </c>
      <c r="T240" s="53" t="str">
        <f t="shared" si="55"/>
        <v/>
      </c>
    </row>
    <row r="241" spans="1:20">
      <c r="A241" s="47" t="str">
        <f>IF(archive!E241="","",archive!E241)</f>
        <v/>
      </c>
      <c r="B241" s="48" t="str">
        <f t="shared" si="42"/>
        <v/>
      </c>
      <c r="C241" s="49" t="str">
        <f>IF(archive!F241="","",archive!F241)</f>
        <v/>
      </c>
      <c r="D241" s="50" t="str">
        <f t="shared" si="43"/>
        <v/>
      </c>
      <c r="E241" s="50" t="str">
        <f t="shared" si="44"/>
        <v/>
      </c>
      <c r="F241" s="47" t="str">
        <f>IF(COUNTA(archive!H241:CI241)=0,"",COUNTA(archive!H241:CI241))</f>
        <v/>
      </c>
      <c r="G241" s="47" t="str">
        <f>IF(archive!G241="","",archive!G241)</f>
        <v/>
      </c>
      <c r="H241" s="51" t="str">
        <f>IF(archive!CJ241="","",archive!CJ241)</f>
        <v/>
      </c>
      <c r="I241" s="51" t="str">
        <f>IF(archive!CK241="","",archive!CK241)</f>
        <v/>
      </c>
      <c r="J241" s="47" t="str">
        <f t="shared" si="45"/>
        <v/>
      </c>
      <c r="K241" s="51" t="str">
        <f t="shared" si="46"/>
        <v/>
      </c>
      <c r="L241" s="52" t="str">
        <f t="shared" si="47"/>
        <v/>
      </c>
      <c r="M241" s="53" t="str">
        <f t="shared" si="48"/>
        <v/>
      </c>
      <c r="N241" s="53" t="str">
        <f t="shared" si="49"/>
        <v/>
      </c>
      <c r="O241" s="53" t="str">
        <f t="shared" si="50"/>
        <v/>
      </c>
      <c r="P241" s="53" t="str">
        <f t="shared" si="51"/>
        <v/>
      </c>
      <c r="Q241" s="53" t="str">
        <f t="shared" si="52"/>
        <v/>
      </c>
      <c r="R241" s="53" t="str">
        <f t="shared" si="53"/>
        <v/>
      </c>
      <c r="S241" s="53" t="str">
        <f t="shared" si="54"/>
        <v/>
      </c>
      <c r="T241" s="53" t="str">
        <f t="shared" si="55"/>
        <v/>
      </c>
    </row>
    <row r="242" spans="1:20">
      <c r="A242" s="47" t="str">
        <f>IF(archive!E242="","",archive!E242)</f>
        <v/>
      </c>
      <c r="B242" s="48" t="str">
        <f t="shared" si="42"/>
        <v/>
      </c>
      <c r="C242" s="49" t="str">
        <f>IF(archive!F242="","",archive!F242)</f>
        <v/>
      </c>
      <c r="D242" s="50" t="str">
        <f t="shared" si="43"/>
        <v/>
      </c>
      <c r="E242" s="50" t="str">
        <f t="shared" si="44"/>
        <v/>
      </c>
      <c r="F242" s="47" t="str">
        <f>IF(COUNTA(archive!H242:CI242)=0,"",COUNTA(archive!H242:CI242))</f>
        <v/>
      </c>
      <c r="G242" s="47" t="str">
        <f>IF(archive!G242="","",archive!G242)</f>
        <v/>
      </c>
      <c r="H242" s="51" t="str">
        <f>IF(archive!CJ242="","",archive!CJ242)</f>
        <v/>
      </c>
      <c r="I242" s="51" t="str">
        <f>IF(archive!CK242="","",archive!CK242)</f>
        <v/>
      </c>
      <c r="J242" s="47" t="str">
        <f t="shared" si="45"/>
        <v/>
      </c>
      <c r="K242" s="51" t="str">
        <f t="shared" si="46"/>
        <v/>
      </c>
      <c r="L242" s="52" t="str">
        <f t="shared" si="47"/>
        <v/>
      </c>
      <c r="M242" s="53" t="str">
        <f t="shared" si="48"/>
        <v/>
      </c>
      <c r="N242" s="53" t="str">
        <f t="shared" si="49"/>
        <v/>
      </c>
      <c r="O242" s="53" t="str">
        <f t="shared" si="50"/>
        <v/>
      </c>
      <c r="P242" s="53" t="str">
        <f t="shared" si="51"/>
        <v/>
      </c>
      <c r="Q242" s="53" t="str">
        <f t="shared" si="52"/>
        <v/>
      </c>
      <c r="R242" s="53" t="str">
        <f t="shared" si="53"/>
        <v/>
      </c>
      <c r="S242" s="53" t="str">
        <f t="shared" si="54"/>
        <v/>
      </c>
      <c r="T242" s="53" t="str">
        <f t="shared" si="55"/>
        <v/>
      </c>
    </row>
    <row r="243" spans="1:20">
      <c r="A243" s="47" t="str">
        <f>IF(archive!E243="","",archive!E243)</f>
        <v/>
      </c>
      <c r="B243" s="48" t="str">
        <f t="shared" si="42"/>
        <v/>
      </c>
      <c r="C243" s="49" t="str">
        <f>IF(archive!F243="","",archive!F243)</f>
        <v/>
      </c>
      <c r="D243" s="50" t="str">
        <f t="shared" si="43"/>
        <v/>
      </c>
      <c r="E243" s="50" t="str">
        <f t="shared" si="44"/>
        <v/>
      </c>
      <c r="F243" s="47" t="str">
        <f>IF(COUNTA(archive!H243:CI243)=0,"",COUNTA(archive!H243:CI243))</f>
        <v/>
      </c>
      <c r="G243" s="47" t="str">
        <f>IF(archive!G243="","",archive!G243)</f>
        <v/>
      </c>
      <c r="H243" s="51" t="str">
        <f>IF(archive!CJ243="","",archive!CJ243)</f>
        <v/>
      </c>
      <c r="I243" s="51" t="str">
        <f>IF(archive!CK243="","",archive!CK243)</f>
        <v/>
      </c>
      <c r="J243" s="47" t="str">
        <f t="shared" si="45"/>
        <v/>
      </c>
      <c r="K243" s="51" t="str">
        <f t="shared" si="46"/>
        <v/>
      </c>
      <c r="L243" s="52" t="str">
        <f t="shared" si="47"/>
        <v/>
      </c>
      <c r="M243" s="53" t="str">
        <f t="shared" si="48"/>
        <v/>
      </c>
      <c r="N243" s="53" t="str">
        <f t="shared" si="49"/>
        <v/>
      </c>
      <c r="O243" s="53" t="str">
        <f t="shared" si="50"/>
        <v/>
      </c>
      <c r="P243" s="53" t="str">
        <f t="shared" si="51"/>
        <v/>
      </c>
      <c r="Q243" s="53" t="str">
        <f t="shared" si="52"/>
        <v/>
      </c>
      <c r="R243" s="53" t="str">
        <f t="shared" si="53"/>
        <v/>
      </c>
      <c r="S243" s="53" t="str">
        <f t="shared" si="54"/>
        <v/>
      </c>
      <c r="T243" s="53" t="str">
        <f t="shared" si="55"/>
        <v/>
      </c>
    </row>
    <row r="244" spans="1:20">
      <c r="A244" s="47" t="str">
        <f>IF(archive!E244="","",archive!E244)</f>
        <v/>
      </c>
      <c r="B244" s="48" t="str">
        <f t="shared" si="42"/>
        <v/>
      </c>
      <c r="C244" s="49" t="str">
        <f>IF(archive!F244="","",archive!F244)</f>
        <v/>
      </c>
      <c r="D244" s="50" t="str">
        <f t="shared" si="43"/>
        <v/>
      </c>
      <c r="E244" s="50" t="str">
        <f t="shared" si="44"/>
        <v/>
      </c>
      <c r="F244" s="47" t="str">
        <f>IF(COUNTA(archive!H244:CI244)=0,"",COUNTA(archive!H244:CI244))</f>
        <v/>
      </c>
      <c r="G244" s="47" t="str">
        <f>IF(archive!G244="","",archive!G244)</f>
        <v/>
      </c>
      <c r="H244" s="51" t="str">
        <f>IF(archive!CJ244="","",archive!CJ244)</f>
        <v/>
      </c>
      <c r="I244" s="51" t="str">
        <f>IF(archive!CK244="","",archive!CK244)</f>
        <v/>
      </c>
      <c r="J244" s="47" t="str">
        <f t="shared" si="45"/>
        <v/>
      </c>
      <c r="K244" s="51" t="str">
        <f t="shared" si="46"/>
        <v/>
      </c>
      <c r="L244" s="52" t="str">
        <f t="shared" si="47"/>
        <v/>
      </c>
      <c r="M244" s="53" t="str">
        <f t="shared" si="48"/>
        <v/>
      </c>
      <c r="N244" s="53" t="str">
        <f t="shared" si="49"/>
        <v/>
      </c>
      <c r="O244" s="53" t="str">
        <f t="shared" si="50"/>
        <v/>
      </c>
      <c r="P244" s="53" t="str">
        <f t="shared" si="51"/>
        <v/>
      </c>
      <c r="Q244" s="53" t="str">
        <f t="shared" si="52"/>
        <v/>
      </c>
      <c r="R244" s="53" t="str">
        <f t="shared" si="53"/>
        <v/>
      </c>
      <c r="S244" s="53" t="str">
        <f t="shared" si="54"/>
        <v/>
      </c>
      <c r="T244" s="53" t="str">
        <f t="shared" si="55"/>
        <v/>
      </c>
    </row>
    <row r="245" spans="1:20">
      <c r="A245" s="47" t="str">
        <f>IF(archive!E245="","",archive!E245)</f>
        <v/>
      </c>
      <c r="B245" s="48" t="str">
        <f t="shared" si="42"/>
        <v/>
      </c>
      <c r="C245" s="49" t="str">
        <f>IF(archive!F245="","",archive!F245)</f>
        <v/>
      </c>
      <c r="D245" s="50" t="str">
        <f t="shared" si="43"/>
        <v/>
      </c>
      <c r="E245" s="50" t="str">
        <f t="shared" si="44"/>
        <v/>
      </c>
      <c r="F245" s="47" t="str">
        <f>IF(COUNTA(archive!H245:CI245)=0,"",COUNTA(archive!H245:CI245))</f>
        <v/>
      </c>
      <c r="G245" s="47" t="str">
        <f>IF(archive!G245="","",archive!G245)</f>
        <v/>
      </c>
      <c r="H245" s="51" t="str">
        <f>IF(archive!CJ245="","",archive!CJ245)</f>
        <v/>
      </c>
      <c r="I245" s="51" t="str">
        <f>IF(archive!CK245="","",archive!CK245)</f>
        <v/>
      </c>
      <c r="J245" s="47" t="str">
        <f t="shared" si="45"/>
        <v/>
      </c>
      <c r="K245" s="51" t="str">
        <f t="shared" si="46"/>
        <v/>
      </c>
      <c r="L245" s="52" t="str">
        <f t="shared" si="47"/>
        <v/>
      </c>
      <c r="M245" s="53" t="str">
        <f t="shared" si="48"/>
        <v/>
      </c>
      <c r="N245" s="53" t="str">
        <f t="shared" si="49"/>
        <v/>
      </c>
      <c r="O245" s="53" t="str">
        <f t="shared" si="50"/>
        <v/>
      </c>
      <c r="P245" s="53" t="str">
        <f t="shared" si="51"/>
        <v/>
      </c>
      <c r="Q245" s="53" t="str">
        <f t="shared" si="52"/>
        <v/>
      </c>
      <c r="R245" s="53" t="str">
        <f t="shared" si="53"/>
        <v/>
      </c>
      <c r="S245" s="53" t="str">
        <f t="shared" si="54"/>
        <v/>
      </c>
      <c r="T245" s="53" t="str">
        <f t="shared" si="55"/>
        <v/>
      </c>
    </row>
    <row r="246" spans="1:20">
      <c r="A246" s="47" t="str">
        <f>IF(archive!E246="","",archive!E246)</f>
        <v/>
      </c>
      <c r="B246" s="48" t="str">
        <f t="shared" si="42"/>
        <v/>
      </c>
      <c r="C246" s="49" t="str">
        <f>IF(archive!F246="","",archive!F246)</f>
        <v/>
      </c>
      <c r="D246" s="50" t="str">
        <f t="shared" si="43"/>
        <v/>
      </c>
      <c r="E246" s="50" t="str">
        <f t="shared" si="44"/>
        <v/>
      </c>
      <c r="F246" s="47" t="str">
        <f>IF(COUNTA(archive!H246:CI246)=0,"",COUNTA(archive!H246:CI246))</f>
        <v/>
      </c>
      <c r="G246" s="47" t="str">
        <f>IF(archive!G246="","",archive!G246)</f>
        <v/>
      </c>
      <c r="H246" s="51" t="str">
        <f>IF(archive!CJ246="","",archive!CJ246)</f>
        <v/>
      </c>
      <c r="I246" s="51" t="str">
        <f>IF(archive!CK246="","",archive!CK246)</f>
        <v/>
      </c>
      <c r="J246" s="47" t="str">
        <f t="shared" si="45"/>
        <v/>
      </c>
      <c r="K246" s="51" t="str">
        <f t="shared" si="46"/>
        <v/>
      </c>
      <c r="L246" s="52" t="str">
        <f t="shared" si="47"/>
        <v/>
      </c>
      <c r="M246" s="53" t="str">
        <f t="shared" si="48"/>
        <v/>
      </c>
      <c r="N246" s="53" t="str">
        <f t="shared" si="49"/>
        <v/>
      </c>
      <c r="O246" s="53" t="str">
        <f t="shared" si="50"/>
        <v/>
      </c>
      <c r="P246" s="53" t="str">
        <f t="shared" si="51"/>
        <v/>
      </c>
      <c r="Q246" s="53" t="str">
        <f t="shared" si="52"/>
        <v/>
      </c>
      <c r="R246" s="53" t="str">
        <f t="shared" si="53"/>
        <v/>
      </c>
      <c r="S246" s="53" t="str">
        <f t="shared" si="54"/>
        <v/>
      </c>
      <c r="T246" s="53" t="str">
        <f t="shared" si="55"/>
        <v/>
      </c>
    </row>
    <row r="247" spans="1:20">
      <c r="A247" s="47" t="str">
        <f>IF(archive!E247="","",archive!E247)</f>
        <v/>
      </c>
      <c r="B247" s="48" t="str">
        <f t="shared" si="42"/>
        <v/>
      </c>
      <c r="C247" s="49" t="str">
        <f>IF(archive!F247="","",archive!F247)</f>
        <v/>
      </c>
      <c r="D247" s="50" t="str">
        <f t="shared" si="43"/>
        <v/>
      </c>
      <c r="E247" s="50" t="str">
        <f t="shared" si="44"/>
        <v/>
      </c>
      <c r="F247" s="47" t="str">
        <f>IF(COUNTA(archive!H247:CI247)=0,"",COUNTA(archive!H247:CI247))</f>
        <v/>
      </c>
      <c r="G247" s="47" t="str">
        <f>IF(archive!G247="","",archive!G247)</f>
        <v/>
      </c>
      <c r="H247" s="51" t="str">
        <f>IF(archive!CJ247="","",archive!CJ247)</f>
        <v/>
      </c>
      <c r="I247" s="51" t="str">
        <f>IF(archive!CK247="","",archive!CK247)</f>
        <v/>
      </c>
      <c r="J247" s="47" t="str">
        <f t="shared" si="45"/>
        <v/>
      </c>
      <c r="K247" s="51" t="str">
        <f t="shared" si="46"/>
        <v/>
      </c>
      <c r="L247" s="52" t="str">
        <f t="shared" si="47"/>
        <v/>
      </c>
      <c r="M247" s="53" t="str">
        <f t="shared" si="48"/>
        <v/>
      </c>
      <c r="N247" s="53" t="str">
        <f t="shared" si="49"/>
        <v/>
      </c>
      <c r="O247" s="53" t="str">
        <f t="shared" si="50"/>
        <v/>
      </c>
      <c r="P247" s="53" t="str">
        <f t="shared" si="51"/>
        <v/>
      </c>
      <c r="Q247" s="53" t="str">
        <f t="shared" si="52"/>
        <v/>
      </c>
      <c r="R247" s="53" t="str">
        <f t="shared" si="53"/>
        <v/>
      </c>
      <c r="S247" s="53" t="str">
        <f t="shared" si="54"/>
        <v/>
      </c>
      <c r="T247" s="53" t="str">
        <f t="shared" si="55"/>
        <v/>
      </c>
    </row>
    <row r="248" spans="1:20">
      <c r="A248" s="47" t="str">
        <f>IF(archive!E248="","",archive!E248)</f>
        <v/>
      </c>
      <c r="B248" s="48" t="str">
        <f t="shared" si="42"/>
        <v/>
      </c>
      <c r="C248" s="49" t="str">
        <f>IF(archive!F248="","",archive!F248)</f>
        <v/>
      </c>
      <c r="D248" s="50" t="str">
        <f t="shared" si="43"/>
        <v/>
      </c>
      <c r="E248" s="50" t="str">
        <f t="shared" si="44"/>
        <v/>
      </c>
      <c r="F248" s="47" t="str">
        <f>IF(COUNTA(archive!H248:CI248)=0,"",COUNTA(archive!H248:CI248))</f>
        <v/>
      </c>
      <c r="G248" s="47" t="str">
        <f>IF(archive!G248="","",archive!G248)</f>
        <v/>
      </c>
      <c r="H248" s="51" t="str">
        <f>IF(archive!CJ248="","",archive!CJ248)</f>
        <v/>
      </c>
      <c r="I248" s="51" t="str">
        <f>IF(archive!CK248="","",archive!CK248)</f>
        <v/>
      </c>
      <c r="J248" s="47" t="str">
        <f t="shared" si="45"/>
        <v/>
      </c>
      <c r="K248" s="51" t="str">
        <f t="shared" si="46"/>
        <v/>
      </c>
      <c r="L248" s="52" t="str">
        <f t="shared" si="47"/>
        <v/>
      </c>
      <c r="M248" s="53" t="str">
        <f t="shared" si="48"/>
        <v/>
      </c>
      <c r="N248" s="53" t="str">
        <f t="shared" si="49"/>
        <v/>
      </c>
      <c r="O248" s="53" t="str">
        <f t="shared" si="50"/>
        <v/>
      </c>
      <c r="P248" s="53" t="str">
        <f t="shared" si="51"/>
        <v/>
      </c>
      <c r="Q248" s="53" t="str">
        <f t="shared" si="52"/>
        <v/>
      </c>
      <c r="R248" s="53" t="str">
        <f t="shared" si="53"/>
        <v/>
      </c>
      <c r="S248" s="53" t="str">
        <f t="shared" si="54"/>
        <v/>
      </c>
      <c r="T248" s="53" t="str">
        <f t="shared" si="55"/>
        <v/>
      </c>
    </row>
    <row r="249" spans="1:20">
      <c r="A249" s="47" t="str">
        <f>IF(archive!E249="","",archive!E249)</f>
        <v/>
      </c>
      <c r="B249" s="48" t="str">
        <f t="shared" si="42"/>
        <v/>
      </c>
      <c r="C249" s="49" t="str">
        <f>IF(archive!F249="","",archive!F249)</f>
        <v/>
      </c>
      <c r="D249" s="50" t="str">
        <f t="shared" si="43"/>
        <v/>
      </c>
      <c r="E249" s="50" t="str">
        <f t="shared" si="44"/>
        <v/>
      </c>
      <c r="F249" s="47" t="str">
        <f>IF(COUNTA(archive!H249:CI249)=0,"",COUNTA(archive!H249:CI249))</f>
        <v/>
      </c>
      <c r="G249" s="47" t="str">
        <f>IF(archive!G249="","",archive!G249)</f>
        <v/>
      </c>
      <c r="H249" s="51" t="str">
        <f>IF(archive!CJ249="","",archive!CJ249)</f>
        <v/>
      </c>
      <c r="I249" s="51" t="str">
        <f>IF(archive!CK249="","",archive!CK249)</f>
        <v/>
      </c>
      <c r="J249" s="47" t="str">
        <f t="shared" si="45"/>
        <v/>
      </c>
      <c r="K249" s="51" t="str">
        <f t="shared" si="46"/>
        <v/>
      </c>
      <c r="L249" s="52" t="str">
        <f t="shared" si="47"/>
        <v/>
      </c>
      <c r="M249" s="53" t="str">
        <f t="shared" si="48"/>
        <v/>
      </c>
      <c r="N249" s="53" t="str">
        <f t="shared" si="49"/>
        <v/>
      </c>
      <c r="O249" s="53" t="str">
        <f t="shared" si="50"/>
        <v/>
      </c>
      <c r="P249" s="53" t="str">
        <f t="shared" si="51"/>
        <v/>
      </c>
      <c r="Q249" s="53" t="str">
        <f t="shared" si="52"/>
        <v/>
      </c>
      <c r="R249" s="53" t="str">
        <f t="shared" si="53"/>
        <v/>
      </c>
      <c r="S249" s="53" t="str">
        <f t="shared" si="54"/>
        <v/>
      </c>
      <c r="T249" s="53" t="str">
        <f t="shared" si="55"/>
        <v/>
      </c>
    </row>
    <row r="250" spans="1:20">
      <c r="A250" s="47" t="str">
        <f>IF(archive!E250="","",archive!E250)</f>
        <v/>
      </c>
      <c r="B250" s="48" t="str">
        <f t="shared" si="42"/>
        <v/>
      </c>
      <c r="C250" s="49" t="str">
        <f>IF(archive!F250="","",archive!F250)</f>
        <v/>
      </c>
      <c r="D250" s="50" t="str">
        <f t="shared" si="43"/>
        <v/>
      </c>
      <c r="E250" s="50" t="str">
        <f t="shared" si="44"/>
        <v/>
      </c>
      <c r="F250" s="47" t="str">
        <f>IF(COUNTA(archive!H250:CI250)=0,"",COUNTA(archive!H250:CI250))</f>
        <v/>
      </c>
      <c r="G250" s="47" t="str">
        <f>IF(archive!G250="","",archive!G250)</f>
        <v/>
      </c>
      <c r="H250" s="51" t="str">
        <f>IF(archive!CJ250="","",archive!CJ250)</f>
        <v/>
      </c>
      <c r="I250" s="51" t="str">
        <f>IF(archive!CK250="","",archive!CK250)</f>
        <v/>
      </c>
      <c r="J250" s="47" t="str">
        <f t="shared" si="45"/>
        <v/>
      </c>
      <c r="K250" s="51" t="str">
        <f t="shared" si="46"/>
        <v/>
      </c>
      <c r="L250" s="52" t="str">
        <f t="shared" si="47"/>
        <v/>
      </c>
      <c r="M250" s="53" t="str">
        <f t="shared" si="48"/>
        <v/>
      </c>
      <c r="N250" s="53" t="str">
        <f t="shared" si="49"/>
        <v/>
      </c>
      <c r="O250" s="53" t="str">
        <f t="shared" si="50"/>
        <v/>
      </c>
      <c r="P250" s="53" t="str">
        <f t="shared" si="51"/>
        <v/>
      </c>
      <c r="Q250" s="53" t="str">
        <f t="shared" si="52"/>
        <v/>
      </c>
      <c r="R250" s="53" t="str">
        <f t="shared" si="53"/>
        <v/>
      </c>
      <c r="S250" s="53" t="str">
        <f t="shared" si="54"/>
        <v/>
      </c>
      <c r="T250" s="53" t="str">
        <f t="shared" si="55"/>
        <v/>
      </c>
    </row>
    <row r="251" spans="1:20">
      <c r="A251" s="47" t="str">
        <f>IF(archive!E251="","",archive!E251)</f>
        <v/>
      </c>
      <c r="B251" s="48" t="str">
        <f t="shared" si="42"/>
        <v/>
      </c>
      <c r="C251" s="49" t="str">
        <f>IF(archive!F251="","",archive!F251)</f>
        <v/>
      </c>
      <c r="D251" s="50" t="str">
        <f t="shared" si="43"/>
        <v/>
      </c>
      <c r="E251" s="50" t="str">
        <f t="shared" si="44"/>
        <v/>
      </c>
      <c r="F251" s="47" t="str">
        <f>IF(COUNTA(archive!H251:CI251)=0,"",COUNTA(archive!H251:CI251))</f>
        <v/>
      </c>
      <c r="G251" s="47" t="str">
        <f>IF(archive!G251="","",archive!G251)</f>
        <v/>
      </c>
      <c r="H251" s="51" t="str">
        <f>IF(archive!CJ251="","",archive!CJ251)</f>
        <v/>
      </c>
      <c r="I251" s="51" t="str">
        <f>IF(archive!CK251="","",archive!CK251)</f>
        <v/>
      </c>
      <c r="J251" s="47" t="str">
        <f t="shared" si="45"/>
        <v/>
      </c>
      <c r="K251" s="51" t="str">
        <f t="shared" si="46"/>
        <v/>
      </c>
      <c r="L251" s="52" t="str">
        <f t="shared" si="47"/>
        <v/>
      </c>
      <c r="M251" s="53" t="str">
        <f t="shared" si="48"/>
        <v/>
      </c>
      <c r="N251" s="53" t="str">
        <f t="shared" si="49"/>
        <v/>
      </c>
      <c r="O251" s="53" t="str">
        <f t="shared" si="50"/>
        <v/>
      </c>
      <c r="P251" s="53" t="str">
        <f t="shared" si="51"/>
        <v/>
      </c>
      <c r="Q251" s="53" t="str">
        <f t="shared" si="52"/>
        <v/>
      </c>
      <c r="R251" s="53" t="str">
        <f t="shared" si="53"/>
        <v/>
      </c>
      <c r="S251" s="53" t="str">
        <f t="shared" si="54"/>
        <v/>
      </c>
      <c r="T251" s="53" t="str">
        <f t="shared" si="55"/>
        <v/>
      </c>
    </row>
    <row r="252" spans="1:20">
      <c r="A252" s="47" t="str">
        <f>IF(archive!E252="","",archive!E252)</f>
        <v/>
      </c>
      <c r="B252" s="48" t="str">
        <f t="shared" si="42"/>
        <v/>
      </c>
      <c r="C252" s="49" t="str">
        <f>IF(archive!F252="","",archive!F252)</f>
        <v/>
      </c>
      <c r="D252" s="50" t="str">
        <f t="shared" si="43"/>
        <v/>
      </c>
      <c r="E252" s="50" t="str">
        <f t="shared" si="44"/>
        <v/>
      </c>
      <c r="F252" s="47" t="str">
        <f>IF(COUNTA(archive!H252:CI252)=0,"",COUNTA(archive!H252:CI252))</f>
        <v/>
      </c>
      <c r="G252" s="47" t="str">
        <f>IF(archive!G252="","",archive!G252)</f>
        <v/>
      </c>
      <c r="H252" s="51" t="str">
        <f>IF(archive!CJ252="","",archive!CJ252)</f>
        <v/>
      </c>
      <c r="I252" s="51" t="str">
        <f>IF(archive!CK252="","",archive!CK252)</f>
        <v/>
      </c>
      <c r="J252" s="47" t="str">
        <f t="shared" si="45"/>
        <v/>
      </c>
      <c r="K252" s="51" t="str">
        <f t="shared" si="46"/>
        <v/>
      </c>
      <c r="L252" s="52" t="str">
        <f t="shared" si="47"/>
        <v/>
      </c>
      <c r="M252" s="53" t="str">
        <f t="shared" si="48"/>
        <v/>
      </c>
      <c r="N252" s="53" t="str">
        <f t="shared" si="49"/>
        <v/>
      </c>
      <c r="O252" s="53" t="str">
        <f t="shared" si="50"/>
        <v/>
      </c>
      <c r="P252" s="53" t="str">
        <f t="shared" si="51"/>
        <v/>
      </c>
      <c r="Q252" s="53" t="str">
        <f t="shared" si="52"/>
        <v/>
      </c>
      <c r="R252" s="53" t="str">
        <f t="shared" si="53"/>
        <v/>
      </c>
      <c r="S252" s="53" t="str">
        <f t="shared" si="54"/>
        <v/>
      </c>
      <c r="T252" s="53" t="str">
        <f t="shared" si="55"/>
        <v/>
      </c>
    </row>
    <row r="253" spans="1:20">
      <c r="A253" s="47" t="str">
        <f>IF(archive!E253="","",archive!E253)</f>
        <v/>
      </c>
      <c r="B253" s="48" t="str">
        <f t="shared" si="42"/>
        <v/>
      </c>
      <c r="C253" s="49" t="str">
        <f>IF(archive!F253="","",archive!F253)</f>
        <v/>
      </c>
      <c r="D253" s="50" t="str">
        <f t="shared" si="43"/>
        <v/>
      </c>
      <c r="E253" s="50" t="str">
        <f t="shared" si="44"/>
        <v/>
      </c>
      <c r="F253" s="47" t="str">
        <f>IF(COUNTA(archive!H253:CI253)=0,"",COUNTA(archive!H253:CI253))</f>
        <v/>
      </c>
      <c r="G253" s="47" t="str">
        <f>IF(archive!G253="","",archive!G253)</f>
        <v/>
      </c>
      <c r="H253" s="51" t="str">
        <f>IF(archive!CJ253="","",archive!CJ253)</f>
        <v/>
      </c>
      <c r="I253" s="51" t="str">
        <f>IF(archive!CK253="","",archive!CK253)</f>
        <v/>
      </c>
      <c r="J253" s="47" t="str">
        <f t="shared" si="45"/>
        <v/>
      </c>
      <c r="K253" s="51" t="str">
        <f t="shared" si="46"/>
        <v/>
      </c>
      <c r="L253" s="52" t="str">
        <f t="shared" si="47"/>
        <v/>
      </c>
      <c r="M253" s="53" t="str">
        <f t="shared" si="48"/>
        <v/>
      </c>
      <c r="N253" s="53" t="str">
        <f t="shared" si="49"/>
        <v/>
      </c>
      <c r="O253" s="53" t="str">
        <f t="shared" si="50"/>
        <v/>
      </c>
      <c r="P253" s="53" t="str">
        <f t="shared" si="51"/>
        <v/>
      </c>
      <c r="Q253" s="53" t="str">
        <f t="shared" si="52"/>
        <v/>
      </c>
      <c r="R253" s="53" t="str">
        <f t="shared" si="53"/>
        <v/>
      </c>
      <c r="S253" s="53" t="str">
        <f t="shared" si="54"/>
        <v/>
      </c>
      <c r="T253" s="53" t="str">
        <f t="shared" si="55"/>
        <v/>
      </c>
    </row>
    <row r="254" spans="1:20">
      <c r="A254" s="47" t="str">
        <f>IF(archive!E254="","",archive!E254)</f>
        <v/>
      </c>
      <c r="B254" s="48" t="str">
        <f t="shared" si="42"/>
        <v/>
      </c>
      <c r="C254" s="49" t="str">
        <f>IF(archive!F254="","",archive!F254)</f>
        <v/>
      </c>
      <c r="D254" s="50" t="str">
        <f t="shared" si="43"/>
        <v/>
      </c>
      <c r="E254" s="50" t="str">
        <f t="shared" si="44"/>
        <v/>
      </c>
      <c r="F254" s="47" t="str">
        <f>IF(COUNTA(archive!H254:CI254)=0,"",COUNTA(archive!H254:CI254))</f>
        <v/>
      </c>
      <c r="G254" s="47" t="str">
        <f>IF(archive!G254="","",archive!G254)</f>
        <v/>
      </c>
      <c r="H254" s="51" t="str">
        <f>IF(archive!CJ254="","",archive!CJ254)</f>
        <v/>
      </c>
      <c r="I254" s="51" t="str">
        <f>IF(archive!CK254="","",archive!CK254)</f>
        <v/>
      </c>
      <c r="J254" s="47" t="str">
        <f t="shared" si="45"/>
        <v/>
      </c>
      <c r="K254" s="51" t="str">
        <f t="shared" si="46"/>
        <v/>
      </c>
      <c r="L254" s="52" t="str">
        <f t="shared" si="47"/>
        <v/>
      </c>
      <c r="M254" s="53" t="str">
        <f t="shared" si="48"/>
        <v/>
      </c>
      <c r="N254" s="53" t="str">
        <f t="shared" si="49"/>
        <v/>
      </c>
      <c r="O254" s="53" t="str">
        <f t="shared" si="50"/>
        <v/>
      </c>
      <c r="P254" s="53" t="str">
        <f t="shared" si="51"/>
        <v/>
      </c>
      <c r="Q254" s="53" t="str">
        <f t="shared" si="52"/>
        <v/>
      </c>
      <c r="R254" s="53" t="str">
        <f t="shared" si="53"/>
        <v/>
      </c>
      <c r="S254" s="53" t="str">
        <f t="shared" si="54"/>
        <v/>
      </c>
      <c r="T254" s="53" t="str">
        <f t="shared" si="55"/>
        <v/>
      </c>
    </row>
    <row r="255" spans="1:20">
      <c r="A255" s="47" t="str">
        <f>IF(archive!E255="","",archive!E255)</f>
        <v/>
      </c>
      <c r="B255" s="48" t="str">
        <f t="shared" si="42"/>
        <v/>
      </c>
      <c r="C255" s="49" t="str">
        <f>IF(archive!F255="","",archive!F255)</f>
        <v/>
      </c>
      <c r="D255" s="50" t="str">
        <f t="shared" si="43"/>
        <v/>
      </c>
      <c r="E255" s="50" t="str">
        <f t="shared" si="44"/>
        <v/>
      </c>
      <c r="F255" s="47" t="str">
        <f>IF(COUNTA(archive!H255:CI255)=0,"",COUNTA(archive!H255:CI255))</f>
        <v/>
      </c>
      <c r="G255" s="47" t="str">
        <f>IF(archive!G255="","",archive!G255)</f>
        <v/>
      </c>
      <c r="H255" s="51" t="str">
        <f>IF(archive!CJ255="","",archive!CJ255)</f>
        <v/>
      </c>
      <c r="I255" s="51" t="str">
        <f>IF(archive!CK255="","",archive!CK255)</f>
        <v/>
      </c>
      <c r="J255" s="47" t="str">
        <f t="shared" si="45"/>
        <v/>
      </c>
      <c r="K255" s="51" t="str">
        <f t="shared" si="46"/>
        <v/>
      </c>
      <c r="L255" s="52" t="str">
        <f t="shared" si="47"/>
        <v/>
      </c>
      <c r="M255" s="53" t="str">
        <f t="shared" si="48"/>
        <v/>
      </c>
      <c r="N255" s="53" t="str">
        <f t="shared" si="49"/>
        <v/>
      </c>
      <c r="O255" s="53" t="str">
        <f t="shared" si="50"/>
        <v/>
      </c>
      <c r="P255" s="53" t="str">
        <f t="shared" si="51"/>
        <v/>
      </c>
      <c r="Q255" s="53" t="str">
        <f t="shared" si="52"/>
        <v/>
      </c>
      <c r="R255" s="53" t="str">
        <f t="shared" si="53"/>
        <v/>
      </c>
      <c r="S255" s="53" t="str">
        <f t="shared" si="54"/>
        <v/>
      </c>
      <c r="T255" s="53" t="str">
        <f t="shared" si="55"/>
        <v/>
      </c>
    </row>
    <row r="256" spans="1:20">
      <c r="A256" s="47" t="str">
        <f>IF(archive!E256="","",archive!E256)</f>
        <v/>
      </c>
      <c r="B256" s="48" t="str">
        <f t="shared" si="42"/>
        <v/>
      </c>
      <c r="C256" s="49" t="str">
        <f>IF(archive!F256="","",archive!F256)</f>
        <v/>
      </c>
      <c r="D256" s="50" t="str">
        <f t="shared" si="43"/>
        <v/>
      </c>
      <c r="E256" s="50" t="str">
        <f t="shared" si="44"/>
        <v/>
      </c>
      <c r="F256" s="47" t="str">
        <f>IF(COUNTA(archive!H256:CI256)=0,"",COUNTA(archive!H256:CI256))</f>
        <v/>
      </c>
      <c r="G256" s="47" t="str">
        <f>IF(archive!G256="","",archive!G256)</f>
        <v/>
      </c>
      <c r="H256" s="51" t="str">
        <f>IF(archive!CJ256="","",archive!CJ256)</f>
        <v/>
      </c>
      <c r="I256" s="51" t="str">
        <f>IF(archive!CK256="","",archive!CK256)</f>
        <v/>
      </c>
      <c r="J256" s="47" t="str">
        <f t="shared" si="45"/>
        <v/>
      </c>
      <c r="K256" s="51" t="str">
        <f t="shared" si="46"/>
        <v/>
      </c>
      <c r="L256" s="52" t="str">
        <f t="shared" si="47"/>
        <v/>
      </c>
      <c r="M256" s="53" t="str">
        <f t="shared" si="48"/>
        <v/>
      </c>
      <c r="N256" s="53" t="str">
        <f t="shared" si="49"/>
        <v/>
      </c>
      <c r="O256" s="53" t="str">
        <f t="shared" si="50"/>
        <v/>
      </c>
      <c r="P256" s="53" t="str">
        <f t="shared" si="51"/>
        <v/>
      </c>
      <c r="Q256" s="53" t="str">
        <f t="shared" si="52"/>
        <v/>
      </c>
      <c r="R256" s="53" t="str">
        <f t="shared" si="53"/>
        <v/>
      </c>
      <c r="S256" s="53" t="str">
        <f t="shared" si="54"/>
        <v/>
      </c>
      <c r="T256" s="53" t="str">
        <f t="shared" si="55"/>
        <v/>
      </c>
    </row>
    <row r="257" spans="1:20">
      <c r="A257" s="47" t="str">
        <f>IF(archive!E257="","",archive!E257)</f>
        <v/>
      </c>
      <c r="B257" s="48" t="str">
        <f t="shared" si="42"/>
        <v/>
      </c>
      <c r="C257" s="49" t="str">
        <f>IF(archive!F257="","",archive!F257)</f>
        <v/>
      </c>
      <c r="D257" s="50" t="str">
        <f t="shared" si="43"/>
        <v/>
      </c>
      <c r="E257" s="50" t="str">
        <f t="shared" si="44"/>
        <v/>
      </c>
      <c r="F257" s="47" t="str">
        <f>IF(COUNTA(archive!H257:CI257)=0,"",COUNTA(archive!H257:CI257))</f>
        <v/>
      </c>
      <c r="G257" s="47" t="str">
        <f>IF(archive!G257="","",archive!G257)</f>
        <v/>
      </c>
      <c r="H257" s="51" t="str">
        <f>IF(archive!CJ257="","",archive!CJ257)</f>
        <v/>
      </c>
      <c r="I257" s="51" t="str">
        <f>IF(archive!CK257="","",archive!CK257)</f>
        <v/>
      </c>
      <c r="J257" s="47" t="str">
        <f t="shared" si="45"/>
        <v/>
      </c>
      <c r="K257" s="51" t="str">
        <f t="shared" si="46"/>
        <v/>
      </c>
      <c r="L257" s="52" t="str">
        <f t="shared" si="47"/>
        <v/>
      </c>
      <c r="M257" s="53" t="str">
        <f t="shared" si="48"/>
        <v/>
      </c>
      <c r="N257" s="53" t="str">
        <f t="shared" si="49"/>
        <v/>
      </c>
      <c r="O257" s="53" t="str">
        <f t="shared" si="50"/>
        <v/>
      </c>
      <c r="P257" s="53" t="str">
        <f t="shared" si="51"/>
        <v/>
      </c>
      <c r="Q257" s="53" t="str">
        <f t="shared" si="52"/>
        <v/>
      </c>
      <c r="R257" s="53" t="str">
        <f t="shared" si="53"/>
        <v/>
      </c>
      <c r="S257" s="53" t="str">
        <f t="shared" si="54"/>
        <v/>
      </c>
      <c r="T257" s="53" t="str">
        <f t="shared" si="55"/>
        <v/>
      </c>
    </row>
    <row r="258" spans="1:20">
      <c r="A258" s="47" t="str">
        <f>IF(archive!E258="","",archive!E258)</f>
        <v/>
      </c>
      <c r="B258" s="48" t="str">
        <f t="shared" si="42"/>
        <v/>
      </c>
      <c r="C258" s="49" t="str">
        <f>IF(archive!F258="","",archive!F258)</f>
        <v/>
      </c>
      <c r="D258" s="50" t="str">
        <f t="shared" si="43"/>
        <v/>
      </c>
      <c r="E258" s="50" t="str">
        <f t="shared" si="44"/>
        <v/>
      </c>
      <c r="F258" s="47" t="str">
        <f>IF(COUNTA(archive!H258:CI258)=0,"",COUNTA(archive!H258:CI258))</f>
        <v/>
      </c>
      <c r="G258" s="47" t="str">
        <f>IF(archive!G258="","",archive!G258)</f>
        <v/>
      </c>
      <c r="H258" s="51" t="str">
        <f>IF(archive!CJ258="","",archive!CJ258)</f>
        <v/>
      </c>
      <c r="I258" s="51" t="str">
        <f>IF(archive!CK258="","",archive!CK258)</f>
        <v/>
      </c>
      <c r="J258" s="47" t="str">
        <f t="shared" si="45"/>
        <v/>
      </c>
      <c r="K258" s="51" t="str">
        <f t="shared" si="46"/>
        <v/>
      </c>
      <c r="L258" s="52" t="str">
        <f t="shared" si="47"/>
        <v/>
      </c>
      <c r="M258" s="53" t="str">
        <f t="shared" si="48"/>
        <v/>
      </c>
      <c r="N258" s="53" t="str">
        <f t="shared" si="49"/>
        <v/>
      </c>
      <c r="O258" s="53" t="str">
        <f t="shared" si="50"/>
        <v/>
      </c>
      <c r="P258" s="53" t="str">
        <f t="shared" si="51"/>
        <v/>
      </c>
      <c r="Q258" s="53" t="str">
        <f t="shared" si="52"/>
        <v/>
      </c>
      <c r="R258" s="53" t="str">
        <f t="shared" si="53"/>
        <v/>
      </c>
      <c r="S258" s="53" t="str">
        <f t="shared" si="54"/>
        <v/>
      </c>
      <c r="T258" s="53" t="str">
        <f t="shared" si="55"/>
        <v/>
      </c>
    </row>
    <row r="259" spans="1:20">
      <c r="A259" s="47" t="str">
        <f>IF(archive!E259="","",archive!E259)</f>
        <v/>
      </c>
      <c r="B259" s="48" t="str">
        <f t="shared" si="42"/>
        <v/>
      </c>
      <c r="C259" s="49" t="str">
        <f>IF(archive!F259="","",archive!F259)</f>
        <v/>
      </c>
      <c r="D259" s="50" t="str">
        <f t="shared" si="43"/>
        <v/>
      </c>
      <c r="E259" s="50" t="str">
        <f t="shared" si="44"/>
        <v/>
      </c>
      <c r="F259" s="47" t="str">
        <f>IF(COUNTA(archive!H259:CI259)=0,"",COUNTA(archive!H259:CI259))</f>
        <v/>
      </c>
      <c r="G259" s="47" t="str">
        <f>IF(archive!G259="","",archive!G259)</f>
        <v/>
      </c>
      <c r="H259" s="51" t="str">
        <f>IF(archive!CJ259="","",archive!CJ259)</f>
        <v/>
      </c>
      <c r="I259" s="51" t="str">
        <f>IF(archive!CK259="","",archive!CK259)</f>
        <v/>
      </c>
      <c r="J259" s="47" t="str">
        <f t="shared" si="45"/>
        <v/>
      </c>
      <c r="K259" s="51" t="str">
        <f t="shared" si="46"/>
        <v/>
      </c>
      <c r="L259" s="52" t="str">
        <f t="shared" si="47"/>
        <v/>
      </c>
      <c r="M259" s="53" t="str">
        <f t="shared" si="48"/>
        <v/>
      </c>
      <c r="N259" s="53" t="str">
        <f t="shared" si="49"/>
        <v/>
      </c>
      <c r="O259" s="53" t="str">
        <f t="shared" si="50"/>
        <v/>
      </c>
      <c r="P259" s="53" t="str">
        <f t="shared" si="51"/>
        <v/>
      </c>
      <c r="Q259" s="53" t="str">
        <f t="shared" si="52"/>
        <v/>
      </c>
      <c r="R259" s="53" t="str">
        <f t="shared" si="53"/>
        <v/>
      </c>
      <c r="S259" s="53" t="str">
        <f t="shared" si="54"/>
        <v/>
      </c>
      <c r="T259" s="53" t="str">
        <f t="shared" si="55"/>
        <v/>
      </c>
    </row>
    <row r="260" spans="1:20">
      <c r="A260" s="47" t="str">
        <f>IF(archive!E260="","",archive!E260)</f>
        <v/>
      </c>
      <c r="B260" s="48" t="str">
        <f t="shared" ref="B260:B323" si="56">IF(C260="","",VLOOKUP($C260,Tare,2,0))</f>
        <v/>
      </c>
      <c r="C260" s="49" t="str">
        <f>IF(archive!F260="","",archive!F260)</f>
        <v/>
      </c>
      <c r="D260" s="50" t="str">
        <f t="shared" ref="D260:D323" si="57">IF(C260="","",C260+B260)</f>
        <v/>
      </c>
      <c r="E260" s="50" t="str">
        <f t="shared" ref="E260:E323" si="58">IF(C260="","",(C260*0.025)+D260)</f>
        <v/>
      </c>
      <c r="F260" s="47" t="str">
        <f>IF(COUNTA(archive!H260:CI260)=0,"",COUNTA(archive!H260:CI260))</f>
        <v/>
      </c>
      <c r="G260" s="47" t="str">
        <f>IF(archive!G260="","",archive!G260)</f>
        <v/>
      </c>
      <c r="H260" s="51" t="str">
        <f>IF(archive!CJ260="","",archive!CJ260)</f>
        <v/>
      </c>
      <c r="I260" s="51" t="str">
        <f>IF(archive!CK260="","",archive!CK260)</f>
        <v/>
      </c>
      <c r="J260" s="47" t="str">
        <f t="shared" ref="J260:J323" si="59">IF(F260="","",VLOOKUP(F260,Valeur_g,2,0))</f>
        <v/>
      </c>
      <c r="K260" s="51" t="str">
        <f t="shared" ref="K260:K323" si="60">IF(C260="","",D260+(J260*I260))</f>
        <v/>
      </c>
      <c r="L260" s="52" t="str">
        <f t="shared" ref="L260:L323" si="61">IF(C260="","",IF(K260&lt;H260,"Conforme","Non conforme"))</f>
        <v/>
      </c>
      <c r="M260" s="53" t="str">
        <f t="shared" ref="M260:M323" si="62">IF(C260="","",1)</f>
        <v/>
      </c>
      <c r="N260" s="53" t="str">
        <f t="shared" ref="N260:N323" si="63">IF(L260="","",COUNTIF(L260,"Non conforme"))</f>
        <v/>
      </c>
      <c r="O260" s="53" t="str">
        <f t="shared" ref="O260:O323" si="64">IF($C260="","",IF($C260=0.25,$G260,"-"))</f>
        <v/>
      </c>
      <c r="P260" s="53" t="str">
        <f t="shared" ref="P260:P323" si="65">IF($C260="","",IF($C260=0.4,$G260,"-"))</f>
        <v/>
      </c>
      <c r="Q260" s="53" t="str">
        <f t="shared" ref="Q260:Q323" si="66">IF($C260="","",IF($C260=0.5,$G260,"-"))</f>
        <v/>
      </c>
      <c r="R260" s="53" t="str">
        <f t="shared" ref="R260:R323" si="67">IF($C260="","",IF($C260=0.6,$G260,"-"))</f>
        <v/>
      </c>
      <c r="S260" s="53" t="str">
        <f t="shared" ref="S260:S323" si="68">IF($C260="","",IF($C260=0.8,$G260,"-"))</f>
        <v/>
      </c>
      <c r="T260" s="53" t="str">
        <f t="shared" ref="T260:T323" si="69">IF($C260="","",IF($C260=1,$G260,"-"))</f>
        <v/>
      </c>
    </row>
    <row r="261" spans="1:20">
      <c r="A261" s="47" t="str">
        <f>IF(archive!E261="","",archive!E261)</f>
        <v/>
      </c>
      <c r="B261" s="48" t="str">
        <f t="shared" si="56"/>
        <v/>
      </c>
      <c r="C261" s="49" t="str">
        <f>IF(archive!F261="","",archive!F261)</f>
        <v/>
      </c>
      <c r="D261" s="50" t="str">
        <f t="shared" si="57"/>
        <v/>
      </c>
      <c r="E261" s="50" t="str">
        <f t="shared" si="58"/>
        <v/>
      </c>
      <c r="F261" s="47" t="str">
        <f>IF(COUNTA(archive!H261:CI261)=0,"",COUNTA(archive!H261:CI261))</f>
        <v/>
      </c>
      <c r="G261" s="47" t="str">
        <f>IF(archive!G261="","",archive!G261)</f>
        <v/>
      </c>
      <c r="H261" s="51" t="str">
        <f>IF(archive!CJ261="","",archive!CJ261)</f>
        <v/>
      </c>
      <c r="I261" s="51" t="str">
        <f>IF(archive!CK261="","",archive!CK261)</f>
        <v/>
      </c>
      <c r="J261" s="47" t="str">
        <f t="shared" si="59"/>
        <v/>
      </c>
      <c r="K261" s="51" t="str">
        <f t="shared" si="60"/>
        <v/>
      </c>
      <c r="L261" s="52" t="str">
        <f t="shared" si="61"/>
        <v/>
      </c>
      <c r="M261" s="53" t="str">
        <f t="shared" si="62"/>
        <v/>
      </c>
      <c r="N261" s="53" t="str">
        <f t="shared" si="63"/>
        <v/>
      </c>
      <c r="O261" s="53" t="str">
        <f t="shared" si="64"/>
        <v/>
      </c>
      <c r="P261" s="53" t="str">
        <f t="shared" si="65"/>
        <v/>
      </c>
      <c r="Q261" s="53" t="str">
        <f t="shared" si="66"/>
        <v/>
      </c>
      <c r="R261" s="53" t="str">
        <f t="shared" si="67"/>
        <v/>
      </c>
      <c r="S261" s="53" t="str">
        <f t="shared" si="68"/>
        <v/>
      </c>
      <c r="T261" s="53" t="str">
        <f t="shared" si="69"/>
        <v/>
      </c>
    </row>
    <row r="262" spans="1:20">
      <c r="A262" s="47" t="str">
        <f>IF(archive!E262="","",archive!E262)</f>
        <v/>
      </c>
      <c r="B262" s="48" t="str">
        <f t="shared" si="56"/>
        <v/>
      </c>
      <c r="C262" s="49" t="str">
        <f>IF(archive!F262="","",archive!F262)</f>
        <v/>
      </c>
      <c r="D262" s="50" t="str">
        <f t="shared" si="57"/>
        <v/>
      </c>
      <c r="E262" s="50" t="str">
        <f t="shared" si="58"/>
        <v/>
      </c>
      <c r="F262" s="47" t="str">
        <f>IF(COUNTA(archive!H262:CI262)=0,"",COUNTA(archive!H262:CI262))</f>
        <v/>
      </c>
      <c r="G262" s="47" t="str">
        <f>IF(archive!G262="","",archive!G262)</f>
        <v/>
      </c>
      <c r="H262" s="51" t="str">
        <f>IF(archive!CJ262="","",archive!CJ262)</f>
        <v/>
      </c>
      <c r="I262" s="51" t="str">
        <f>IF(archive!CK262="","",archive!CK262)</f>
        <v/>
      </c>
      <c r="J262" s="47" t="str">
        <f t="shared" si="59"/>
        <v/>
      </c>
      <c r="K262" s="51" t="str">
        <f t="shared" si="60"/>
        <v/>
      </c>
      <c r="L262" s="52" t="str">
        <f t="shared" si="61"/>
        <v/>
      </c>
      <c r="M262" s="53" t="str">
        <f t="shared" si="62"/>
        <v/>
      </c>
      <c r="N262" s="53" t="str">
        <f t="shared" si="63"/>
        <v/>
      </c>
      <c r="O262" s="53" t="str">
        <f t="shared" si="64"/>
        <v/>
      </c>
      <c r="P262" s="53" t="str">
        <f t="shared" si="65"/>
        <v/>
      </c>
      <c r="Q262" s="53" t="str">
        <f t="shared" si="66"/>
        <v/>
      </c>
      <c r="R262" s="53" t="str">
        <f t="shared" si="67"/>
        <v/>
      </c>
      <c r="S262" s="53" t="str">
        <f t="shared" si="68"/>
        <v/>
      </c>
      <c r="T262" s="53" t="str">
        <f t="shared" si="69"/>
        <v/>
      </c>
    </row>
    <row r="263" spans="1:20">
      <c r="A263" s="47" t="str">
        <f>IF(archive!E263="","",archive!E263)</f>
        <v/>
      </c>
      <c r="B263" s="48" t="str">
        <f t="shared" si="56"/>
        <v/>
      </c>
      <c r="C263" s="49" t="str">
        <f>IF(archive!F263="","",archive!F263)</f>
        <v/>
      </c>
      <c r="D263" s="50" t="str">
        <f t="shared" si="57"/>
        <v/>
      </c>
      <c r="E263" s="50" t="str">
        <f t="shared" si="58"/>
        <v/>
      </c>
      <c r="F263" s="47" t="str">
        <f>IF(COUNTA(archive!H263:CI263)=0,"",COUNTA(archive!H263:CI263))</f>
        <v/>
      </c>
      <c r="G263" s="47" t="str">
        <f>IF(archive!G263="","",archive!G263)</f>
        <v/>
      </c>
      <c r="H263" s="51" t="str">
        <f>IF(archive!CJ263="","",archive!CJ263)</f>
        <v/>
      </c>
      <c r="I263" s="51" t="str">
        <f>IF(archive!CK263="","",archive!CK263)</f>
        <v/>
      </c>
      <c r="J263" s="47" t="str">
        <f t="shared" si="59"/>
        <v/>
      </c>
      <c r="K263" s="51" t="str">
        <f t="shared" si="60"/>
        <v/>
      </c>
      <c r="L263" s="52" t="str">
        <f t="shared" si="61"/>
        <v/>
      </c>
      <c r="M263" s="53" t="str">
        <f t="shared" si="62"/>
        <v/>
      </c>
      <c r="N263" s="53" t="str">
        <f t="shared" si="63"/>
        <v/>
      </c>
      <c r="O263" s="53" t="str">
        <f t="shared" si="64"/>
        <v/>
      </c>
      <c r="P263" s="53" t="str">
        <f t="shared" si="65"/>
        <v/>
      </c>
      <c r="Q263" s="53" t="str">
        <f t="shared" si="66"/>
        <v/>
      </c>
      <c r="R263" s="53" t="str">
        <f t="shared" si="67"/>
        <v/>
      </c>
      <c r="S263" s="53" t="str">
        <f t="shared" si="68"/>
        <v/>
      </c>
      <c r="T263" s="53" t="str">
        <f t="shared" si="69"/>
        <v/>
      </c>
    </row>
    <row r="264" spans="1:20">
      <c r="A264" s="47" t="str">
        <f>IF(archive!E264="","",archive!E264)</f>
        <v/>
      </c>
      <c r="B264" s="48" t="str">
        <f t="shared" si="56"/>
        <v/>
      </c>
      <c r="C264" s="49" t="str">
        <f>IF(archive!F264="","",archive!F264)</f>
        <v/>
      </c>
      <c r="D264" s="50" t="str">
        <f t="shared" si="57"/>
        <v/>
      </c>
      <c r="E264" s="50" t="str">
        <f t="shared" si="58"/>
        <v/>
      </c>
      <c r="F264" s="47" t="str">
        <f>IF(COUNTA(archive!H264:CI264)=0,"",COUNTA(archive!H264:CI264))</f>
        <v/>
      </c>
      <c r="G264" s="47" t="str">
        <f>IF(archive!G264="","",archive!G264)</f>
        <v/>
      </c>
      <c r="H264" s="51" t="str">
        <f>IF(archive!CJ264="","",archive!CJ264)</f>
        <v/>
      </c>
      <c r="I264" s="51" t="str">
        <f>IF(archive!CK264="","",archive!CK264)</f>
        <v/>
      </c>
      <c r="J264" s="47" t="str">
        <f t="shared" si="59"/>
        <v/>
      </c>
      <c r="K264" s="51" t="str">
        <f t="shared" si="60"/>
        <v/>
      </c>
      <c r="L264" s="52" t="str">
        <f t="shared" si="61"/>
        <v/>
      </c>
      <c r="M264" s="53" t="str">
        <f t="shared" si="62"/>
        <v/>
      </c>
      <c r="N264" s="53" t="str">
        <f t="shared" si="63"/>
        <v/>
      </c>
      <c r="O264" s="53" t="str">
        <f t="shared" si="64"/>
        <v/>
      </c>
      <c r="P264" s="53" t="str">
        <f t="shared" si="65"/>
        <v/>
      </c>
      <c r="Q264" s="53" t="str">
        <f t="shared" si="66"/>
        <v/>
      </c>
      <c r="R264" s="53" t="str">
        <f t="shared" si="67"/>
        <v/>
      </c>
      <c r="S264" s="53" t="str">
        <f t="shared" si="68"/>
        <v/>
      </c>
      <c r="T264" s="53" t="str">
        <f t="shared" si="69"/>
        <v/>
      </c>
    </row>
    <row r="265" spans="1:20">
      <c r="A265" s="47" t="str">
        <f>IF(archive!E265="","",archive!E265)</f>
        <v/>
      </c>
      <c r="B265" s="48" t="str">
        <f t="shared" si="56"/>
        <v/>
      </c>
      <c r="C265" s="49" t="str">
        <f>IF(archive!F265="","",archive!F265)</f>
        <v/>
      </c>
      <c r="D265" s="50" t="str">
        <f t="shared" si="57"/>
        <v/>
      </c>
      <c r="E265" s="50" t="str">
        <f t="shared" si="58"/>
        <v/>
      </c>
      <c r="F265" s="47" t="str">
        <f>IF(COUNTA(archive!H265:CI265)=0,"",COUNTA(archive!H265:CI265))</f>
        <v/>
      </c>
      <c r="G265" s="47" t="str">
        <f>IF(archive!G265="","",archive!G265)</f>
        <v/>
      </c>
      <c r="H265" s="51" t="str">
        <f>IF(archive!CJ265="","",archive!CJ265)</f>
        <v/>
      </c>
      <c r="I265" s="51" t="str">
        <f>IF(archive!CK265="","",archive!CK265)</f>
        <v/>
      </c>
      <c r="J265" s="47" t="str">
        <f t="shared" si="59"/>
        <v/>
      </c>
      <c r="K265" s="51" t="str">
        <f t="shared" si="60"/>
        <v/>
      </c>
      <c r="L265" s="52" t="str">
        <f t="shared" si="61"/>
        <v/>
      </c>
      <c r="M265" s="53" t="str">
        <f t="shared" si="62"/>
        <v/>
      </c>
      <c r="N265" s="53" t="str">
        <f t="shared" si="63"/>
        <v/>
      </c>
      <c r="O265" s="53" t="str">
        <f t="shared" si="64"/>
        <v/>
      </c>
      <c r="P265" s="53" t="str">
        <f t="shared" si="65"/>
        <v/>
      </c>
      <c r="Q265" s="53" t="str">
        <f t="shared" si="66"/>
        <v/>
      </c>
      <c r="R265" s="53" t="str">
        <f t="shared" si="67"/>
        <v/>
      </c>
      <c r="S265" s="53" t="str">
        <f t="shared" si="68"/>
        <v/>
      </c>
      <c r="T265" s="53" t="str">
        <f t="shared" si="69"/>
        <v/>
      </c>
    </row>
    <row r="266" spans="1:20">
      <c r="A266" s="47" t="str">
        <f>IF(archive!E266="","",archive!E266)</f>
        <v/>
      </c>
      <c r="B266" s="48" t="str">
        <f t="shared" si="56"/>
        <v/>
      </c>
      <c r="C266" s="49" t="str">
        <f>IF(archive!F266="","",archive!F266)</f>
        <v/>
      </c>
      <c r="D266" s="50" t="str">
        <f t="shared" si="57"/>
        <v/>
      </c>
      <c r="E266" s="50" t="str">
        <f t="shared" si="58"/>
        <v/>
      </c>
      <c r="F266" s="47" t="str">
        <f>IF(COUNTA(archive!H266:CI266)=0,"",COUNTA(archive!H266:CI266))</f>
        <v/>
      </c>
      <c r="G266" s="47" t="str">
        <f>IF(archive!G266="","",archive!G266)</f>
        <v/>
      </c>
      <c r="H266" s="51" t="str">
        <f>IF(archive!CJ266="","",archive!CJ266)</f>
        <v/>
      </c>
      <c r="I266" s="51" t="str">
        <f>IF(archive!CK266="","",archive!CK266)</f>
        <v/>
      </c>
      <c r="J266" s="47" t="str">
        <f t="shared" si="59"/>
        <v/>
      </c>
      <c r="K266" s="51" t="str">
        <f t="shared" si="60"/>
        <v/>
      </c>
      <c r="L266" s="52" t="str">
        <f t="shared" si="61"/>
        <v/>
      </c>
      <c r="M266" s="53" t="str">
        <f t="shared" si="62"/>
        <v/>
      </c>
      <c r="N266" s="53" t="str">
        <f t="shared" si="63"/>
        <v/>
      </c>
      <c r="O266" s="53" t="str">
        <f t="shared" si="64"/>
        <v/>
      </c>
      <c r="P266" s="53" t="str">
        <f t="shared" si="65"/>
        <v/>
      </c>
      <c r="Q266" s="53" t="str">
        <f t="shared" si="66"/>
        <v/>
      </c>
      <c r="R266" s="53" t="str">
        <f t="shared" si="67"/>
        <v/>
      </c>
      <c r="S266" s="53" t="str">
        <f t="shared" si="68"/>
        <v/>
      </c>
      <c r="T266" s="53" t="str">
        <f t="shared" si="69"/>
        <v/>
      </c>
    </row>
    <row r="267" spans="1:20">
      <c r="A267" s="47" t="str">
        <f>IF(archive!E267="","",archive!E267)</f>
        <v/>
      </c>
      <c r="B267" s="48" t="str">
        <f t="shared" si="56"/>
        <v/>
      </c>
      <c r="C267" s="49" t="str">
        <f>IF(archive!F267="","",archive!F267)</f>
        <v/>
      </c>
      <c r="D267" s="50" t="str">
        <f t="shared" si="57"/>
        <v/>
      </c>
      <c r="E267" s="50" t="str">
        <f t="shared" si="58"/>
        <v/>
      </c>
      <c r="F267" s="47" t="str">
        <f>IF(COUNTA(archive!H267:CI267)=0,"",COUNTA(archive!H267:CI267))</f>
        <v/>
      </c>
      <c r="G267" s="47" t="str">
        <f>IF(archive!G267="","",archive!G267)</f>
        <v/>
      </c>
      <c r="H267" s="51" t="str">
        <f>IF(archive!CJ267="","",archive!CJ267)</f>
        <v/>
      </c>
      <c r="I267" s="51" t="str">
        <f>IF(archive!CK267="","",archive!CK267)</f>
        <v/>
      </c>
      <c r="J267" s="47" t="str">
        <f t="shared" si="59"/>
        <v/>
      </c>
      <c r="K267" s="51" t="str">
        <f t="shared" si="60"/>
        <v/>
      </c>
      <c r="L267" s="52" t="str">
        <f t="shared" si="61"/>
        <v/>
      </c>
      <c r="M267" s="53" t="str">
        <f t="shared" si="62"/>
        <v/>
      </c>
      <c r="N267" s="53" t="str">
        <f t="shared" si="63"/>
        <v/>
      </c>
      <c r="O267" s="53" t="str">
        <f t="shared" si="64"/>
        <v/>
      </c>
      <c r="P267" s="53" t="str">
        <f t="shared" si="65"/>
        <v/>
      </c>
      <c r="Q267" s="53" t="str">
        <f t="shared" si="66"/>
        <v/>
      </c>
      <c r="R267" s="53" t="str">
        <f t="shared" si="67"/>
        <v/>
      </c>
      <c r="S267" s="53" t="str">
        <f t="shared" si="68"/>
        <v/>
      </c>
      <c r="T267" s="53" t="str">
        <f t="shared" si="69"/>
        <v/>
      </c>
    </row>
    <row r="268" spans="1:20">
      <c r="A268" s="47" t="str">
        <f>IF(archive!E268="","",archive!E268)</f>
        <v/>
      </c>
      <c r="B268" s="48" t="str">
        <f t="shared" si="56"/>
        <v/>
      </c>
      <c r="C268" s="49" t="str">
        <f>IF(archive!F268="","",archive!F268)</f>
        <v/>
      </c>
      <c r="D268" s="50" t="str">
        <f t="shared" si="57"/>
        <v/>
      </c>
      <c r="E268" s="50" t="str">
        <f t="shared" si="58"/>
        <v/>
      </c>
      <c r="F268" s="47" t="str">
        <f>IF(COUNTA(archive!H268:CI268)=0,"",COUNTA(archive!H268:CI268))</f>
        <v/>
      </c>
      <c r="G268" s="47" t="str">
        <f>IF(archive!G268="","",archive!G268)</f>
        <v/>
      </c>
      <c r="H268" s="51" t="str">
        <f>IF(archive!CJ268="","",archive!CJ268)</f>
        <v/>
      </c>
      <c r="I268" s="51" t="str">
        <f>IF(archive!CK268="","",archive!CK268)</f>
        <v/>
      </c>
      <c r="J268" s="47" t="str">
        <f t="shared" si="59"/>
        <v/>
      </c>
      <c r="K268" s="51" t="str">
        <f t="shared" si="60"/>
        <v/>
      </c>
      <c r="L268" s="52" t="str">
        <f t="shared" si="61"/>
        <v/>
      </c>
      <c r="M268" s="53" t="str">
        <f t="shared" si="62"/>
        <v/>
      </c>
      <c r="N268" s="53" t="str">
        <f t="shared" si="63"/>
        <v/>
      </c>
      <c r="O268" s="53" t="str">
        <f t="shared" si="64"/>
        <v/>
      </c>
      <c r="P268" s="53" t="str">
        <f t="shared" si="65"/>
        <v/>
      </c>
      <c r="Q268" s="53" t="str">
        <f t="shared" si="66"/>
        <v/>
      </c>
      <c r="R268" s="53" t="str">
        <f t="shared" si="67"/>
        <v/>
      </c>
      <c r="S268" s="53" t="str">
        <f t="shared" si="68"/>
        <v/>
      </c>
      <c r="T268" s="53" t="str">
        <f t="shared" si="69"/>
        <v/>
      </c>
    </row>
    <row r="269" spans="1:20">
      <c r="A269" s="47" t="str">
        <f>IF(archive!E269="","",archive!E269)</f>
        <v/>
      </c>
      <c r="B269" s="48" t="str">
        <f t="shared" si="56"/>
        <v/>
      </c>
      <c r="C269" s="49" t="str">
        <f>IF(archive!F269="","",archive!F269)</f>
        <v/>
      </c>
      <c r="D269" s="50" t="str">
        <f t="shared" si="57"/>
        <v/>
      </c>
      <c r="E269" s="50" t="str">
        <f t="shared" si="58"/>
        <v/>
      </c>
      <c r="F269" s="47" t="str">
        <f>IF(COUNTA(archive!H269:CI269)=0,"",COUNTA(archive!H269:CI269))</f>
        <v/>
      </c>
      <c r="G269" s="47" t="str">
        <f>IF(archive!G269="","",archive!G269)</f>
        <v/>
      </c>
      <c r="H269" s="51" t="str">
        <f>IF(archive!CJ269="","",archive!CJ269)</f>
        <v/>
      </c>
      <c r="I269" s="51" t="str">
        <f>IF(archive!CK269="","",archive!CK269)</f>
        <v/>
      </c>
      <c r="J269" s="47" t="str">
        <f t="shared" si="59"/>
        <v/>
      </c>
      <c r="K269" s="51" t="str">
        <f t="shared" si="60"/>
        <v/>
      </c>
      <c r="L269" s="52" t="str">
        <f t="shared" si="61"/>
        <v/>
      </c>
      <c r="M269" s="53" t="str">
        <f t="shared" si="62"/>
        <v/>
      </c>
      <c r="N269" s="53" t="str">
        <f t="shared" si="63"/>
        <v/>
      </c>
      <c r="O269" s="53" t="str">
        <f t="shared" si="64"/>
        <v/>
      </c>
      <c r="P269" s="53" t="str">
        <f t="shared" si="65"/>
        <v/>
      </c>
      <c r="Q269" s="53" t="str">
        <f t="shared" si="66"/>
        <v/>
      </c>
      <c r="R269" s="53" t="str">
        <f t="shared" si="67"/>
        <v/>
      </c>
      <c r="S269" s="53" t="str">
        <f t="shared" si="68"/>
        <v/>
      </c>
      <c r="T269" s="53" t="str">
        <f t="shared" si="69"/>
        <v/>
      </c>
    </row>
    <row r="270" spans="1:20">
      <c r="A270" s="47" t="str">
        <f>IF(archive!E270="","",archive!E270)</f>
        <v/>
      </c>
      <c r="B270" s="48" t="str">
        <f t="shared" si="56"/>
        <v/>
      </c>
      <c r="C270" s="49" t="str">
        <f>IF(archive!F270="","",archive!F270)</f>
        <v/>
      </c>
      <c r="D270" s="50" t="str">
        <f t="shared" si="57"/>
        <v/>
      </c>
      <c r="E270" s="50" t="str">
        <f t="shared" si="58"/>
        <v/>
      </c>
      <c r="F270" s="47" t="str">
        <f>IF(COUNTA(archive!H270:CI270)=0,"",COUNTA(archive!H270:CI270))</f>
        <v/>
      </c>
      <c r="G270" s="47" t="str">
        <f>IF(archive!G270="","",archive!G270)</f>
        <v/>
      </c>
      <c r="H270" s="51" t="str">
        <f>IF(archive!CJ270="","",archive!CJ270)</f>
        <v/>
      </c>
      <c r="I270" s="51" t="str">
        <f>IF(archive!CK270="","",archive!CK270)</f>
        <v/>
      </c>
      <c r="J270" s="47" t="str">
        <f t="shared" si="59"/>
        <v/>
      </c>
      <c r="K270" s="51" t="str">
        <f t="shared" si="60"/>
        <v/>
      </c>
      <c r="L270" s="52" t="str">
        <f t="shared" si="61"/>
        <v/>
      </c>
      <c r="M270" s="53" t="str">
        <f t="shared" si="62"/>
        <v/>
      </c>
      <c r="N270" s="53" t="str">
        <f t="shared" si="63"/>
        <v/>
      </c>
      <c r="O270" s="53" t="str">
        <f t="shared" si="64"/>
        <v/>
      </c>
      <c r="P270" s="53" t="str">
        <f t="shared" si="65"/>
        <v/>
      </c>
      <c r="Q270" s="53" t="str">
        <f t="shared" si="66"/>
        <v/>
      </c>
      <c r="R270" s="53" t="str">
        <f t="shared" si="67"/>
        <v/>
      </c>
      <c r="S270" s="53" t="str">
        <f t="shared" si="68"/>
        <v/>
      </c>
      <c r="T270" s="53" t="str">
        <f t="shared" si="69"/>
        <v/>
      </c>
    </row>
    <row r="271" spans="1:20">
      <c r="A271" s="47" t="str">
        <f>IF(archive!E271="","",archive!E271)</f>
        <v/>
      </c>
      <c r="B271" s="48" t="str">
        <f t="shared" si="56"/>
        <v/>
      </c>
      <c r="C271" s="49" t="str">
        <f>IF(archive!F271="","",archive!F271)</f>
        <v/>
      </c>
      <c r="D271" s="50" t="str">
        <f t="shared" si="57"/>
        <v/>
      </c>
      <c r="E271" s="50" t="str">
        <f t="shared" si="58"/>
        <v/>
      </c>
      <c r="F271" s="47" t="str">
        <f>IF(COUNTA(archive!H271:CI271)=0,"",COUNTA(archive!H271:CI271))</f>
        <v/>
      </c>
      <c r="G271" s="47" t="str">
        <f>IF(archive!G271="","",archive!G271)</f>
        <v/>
      </c>
      <c r="H271" s="51" t="str">
        <f>IF(archive!CJ271="","",archive!CJ271)</f>
        <v/>
      </c>
      <c r="I271" s="51" t="str">
        <f>IF(archive!CK271="","",archive!CK271)</f>
        <v/>
      </c>
      <c r="J271" s="47" t="str">
        <f t="shared" si="59"/>
        <v/>
      </c>
      <c r="K271" s="51" t="str">
        <f t="shared" si="60"/>
        <v/>
      </c>
      <c r="L271" s="52" t="str">
        <f t="shared" si="61"/>
        <v/>
      </c>
      <c r="M271" s="53" t="str">
        <f t="shared" si="62"/>
        <v/>
      </c>
      <c r="N271" s="53" t="str">
        <f t="shared" si="63"/>
        <v/>
      </c>
      <c r="O271" s="53" t="str">
        <f t="shared" si="64"/>
        <v/>
      </c>
      <c r="P271" s="53" t="str">
        <f t="shared" si="65"/>
        <v/>
      </c>
      <c r="Q271" s="53" t="str">
        <f t="shared" si="66"/>
        <v/>
      </c>
      <c r="R271" s="53" t="str">
        <f t="shared" si="67"/>
        <v/>
      </c>
      <c r="S271" s="53" t="str">
        <f t="shared" si="68"/>
        <v/>
      </c>
      <c r="T271" s="53" t="str">
        <f t="shared" si="69"/>
        <v/>
      </c>
    </row>
    <row r="272" spans="1:20">
      <c r="A272" s="47" t="str">
        <f>IF(archive!E272="","",archive!E272)</f>
        <v/>
      </c>
      <c r="B272" s="48" t="str">
        <f t="shared" si="56"/>
        <v/>
      </c>
      <c r="C272" s="49" t="str">
        <f>IF(archive!F272="","",archive!F272)</f>
        <v/>
      </c>
      <c r="D272" s="50" t="str">
        <f t="shared" si="57"/>
        <v/>
      </c>
      <c r="E272" s="50" t="str">
        <f t="shared" si="58"/>
        <v/>
      </c>
      <c r="F272" s="47" t="str">
        <f>IF(COUNTA(archive!H272:CI272)=0,"",COUNTA(archive!H272:CI272))</f>
        <v/>
      </c>
      <c r="G272" s="47" t="str">
        <f>IF(archive!G272="","",archive!G272)</f>
        <v/>
      </c>
      <c r="H272" s="51" t="str">
        <f>IF(archive!CJ272="","",archive!CJ272)</f>
        <v/>
      </c>
      <c r="I272" s="51" t="str">
        <f>IF(archive!CK272="","",archive!CK272)</f>
        <v/>
      </c>
      <c r="J272" s="47" t="str">
        <f t="shared" si="59"/>
        <v/>
      </c>
      <c r="K272" s="51" t="str">
        <f t="shared" si="60"/>
        <v/>
      </c>
      <c r="L272" s="52" t="str">
        <f t="shared" si="61"/>
        <v/>
      </c>
      <c r="M272" s="53" t="str">
        <f t="shared" si="62"/>
        <v/>
      </c>
      <c r="N272" s="53" t="str">
        <f t="shared" si="63"/>
        <v/>
      </c>
      <c r="O272" s="53" t="str">
        <f t="shared" si="64"/>
        <v/>
      </c>
      <c r="P272" s="53" t="str">
        <f t="shared" si="65"/>
        <v/>
      </c>
      <c r="Q272" s="53" t="str">
        <f t="shared" si="66"/>
        <v/>
      </c>
      <c r="R272" s="53" t="str">
        <f t="shared" si="67"/>
        <v/>
      </c>
      <c r="S272" s="53" t="str">
        <f t="shared" si="68"/>
        <v/>
      </c>
      <c r="T272" s="53" t="str">
        <f t="shared" si="69"/>
        <v/>
      </c>
    </row>
    <row r="273" spans="1:20">
      <c r="A273" s="47" t="str">
        <f>IF(archive!E273="","",archive!E273)</f>
        <v/>
      </c>
      <c r="B273" s="48" t="str">
        <f t="shared" si="56"/>
        <v/>
      </c>
      <c r="C273" s="49" t="str">
        <f>IF(archive!F273="","",archive!F273)</f>
        <v/>
      </c>
      <c r="D273" s="50" t="str">
        <f t="shared" si="57"/>
        <v/>
      </c>
      <c r="E273" s="50" t="str">
        <f t="shared" si="58"/>
        <v/>
      </c>
      <c r="F273" s="47" t="str">
        <f>IF(COUNTA(archive!H273:CI273)=0,"",COUNTA(archive!H273:CI273))</f>
        <v/>
      </c>
      <c r="G273" s="47" t="str">
        <f>IF(archive!G273="","",archive!G273)</f>
        <v/>
      </c>
      <c r="H273" s="51" t="str">
        <f>IF(archive!CJ273="","",archive!CJ273)</f>
        <v/>
      </c>
      <c r="I273" s="51" t="str">
        <f>IF(archive!CK273="","",archive!CK273)</f>
        <v/>
      </c>
      <c r="J273" s="47" t="str">
        <f t="shared" si="59"/>
        <v/>
      </c>
      <c r="K273" s="51" t="str">
        <f t="shared" si="60"/>
        <v/>
      </c>
      <c r="L273" s="52" t="str">
        <f t="shared" si="61"/>
        <v/>
      </c>
      <c r="M273" s="53" t="str">
        <f t="shared" si="62"/>
        <v/>
      </c>
      <c r="N273" s="53" t="str">
        <f t="shared" si="63"/>
        <v/>
      </c>
      <c r="O273" s="53" t="str">
        <f t="shared" si="64"/>
        <v/>
      </c>
      <c r="P273" s="53" t="str">
        <f t="shared" si="65"/>
        <v/>
      </c>
      <c r="Q273" s="53" t="str">
        <f t="shared" si="66"/>
        <v/>
      </c>
      <c r="R273" s="53" t="str">
        <f t="shared" si="67"/>
        <v/>
      </c>
      <c r="S273" s="53" t="str">
        <f t="shared" si="68"/>
        <v/>
      </c>
      <c r="T273" s="53" t="str">
        <f t="shared" si="69"/>
        <v/>
      </c>
    </row>
    <row r="274" spans="1:20">
      <c r="A274" s="47" t="str">
        <f>IF(archive!E274="","",archive!E274)</f>
        <v/>
      </c>
      <c r="B274" s="48" t="str">
        <f t="shared" si="56"/>
        <v/>
      </c>
      <c r="C274" s="49" t="str">
        <f>IF(archive!F274="","",archive!F274)</f>
        <v/>
      </c>
      <c r="D274" s="50" t="str">
        <f t="shared" si="57"/>
        <v/>
      </c>
      <c r="E274" s="50" t="str">
        <f t="shared" si="58"/>
        <v/>
      </c>
      <c r="F274" s="47" t="str">
        <f>IF(COUNTA(archive!H274:CI274)=0,"",COUNTA(archive!H274:CI274))</f>
        <v/>
      </c>
      <c r="G274" s="47" t="str">
        <f>IF(archive!G274="","",archive!G274)</f>
        <v/>
      </c>
      <c r="H274" s="51" t="str">
        <f>IF(archive!CJ274="","",archive!CJ274)</f>
        <v/>
      </c>
      <c r="I274" s="51" t="str">
        <f>IF(archive!CK274="","",archive!CK274)</f>
        <v/>
      </c>
      <c r="J274" s="47" t="str">
        <f t="shared" si="59"/>
        <v/>
      </c>
      <c r="K274" s="51" t="str">
        <f t="shared" si="60"/>
        <v/>
      </c>
      <c r="L274" s="52" t="str">
        <f t="shared" si="61"/>
        <v/>
      </c>
      <c r="M274" s="53" t="str">
        <f t="shared" si="62"/>
        <v/>
      </c>
      <c r="N274" s="53" t="str">
        <f t="shared" si="63"/>
        <v/>
      </c>
      <c r="O274" s="53" t="str">
        <f t="shared" si="64"/>
        <v/>
      </c>
      <c r="P274" s="53" t="str">
        <f t="shared" si="65"/>
        <v/>
      </c>
      <c r="Q274" s="53" t="str">
        <f t="shared" si="66"/>
        <v/>
      </c>
      <c r="R274" s="53" t="str">
        <f t="shared" si="67"/>
        <v/>
      </c>
      <c r="S274" s="53" t="str">
        <f t="shared" si="68"/>
        <v/>
      </c>
      <c r="T274" s="53" t="str">
        <f t="shared" si="69"/>
        <v/>
      </c>
    </row>
    <row r="275" spans="1:20">
      <c r="A275" s="47" t="str">
        <f>IF(archive!E275="","",archive!E275)</f>
        <v/>
      </c>
      <c r="B275" s="48" t="str">
        <f t="shared" si="56"/>
        <v/>
      </c>
      <c r="C275" s="49" t="str">
        <f>IF(archive!F275="","",archive!F275)</f>
        <v/>
      </c>
      <c r="D275" s="50" t="str">
        <f t="shared" si="57"/>
        <v/>
      </c>
      <c r="E275" s="50" t="str">
        <f t="shared" si="58"/>
        <v/>
      </c>
      <c r="F275" s="47" t="str">
        <f>IF(COUNTA(archive!H275:CI275)=0,"",COUNTA(archive!H275:CI275))</f>
        <v/>
      </c>
      <c r="G275" s="47" t="str">
        <f>IF(archive!G275="","",archive!G275)</f>
        <v/>
      </c>
      <c r="H275" s="51" t="str">
        <f>IF(archive!CJ275="","",archive!CJ275)</f>
        <v/>
      </c>
      <c r="I275" s="51" t="str">
        <f>IF(archive!CK275="","",archive!CK275)</f>
        <v/>
      </c>
      <c r="J275" s="47" t="str">
        <f t="shared" si="59"/>
        <v/>
      </c>
      <c r="K275" s="51" t="str">
        <f t="shared" si="60"/>
        <v/>
      </c>
      <c r="L275" s="52" t="str">
        <f t="shared" si="61"/>
        <v/>
      </c>
      <c r="M275" s="53" t="str">
        <f t="shared" si="62"/>
        <v/>
      </c>
      <c r="N275" s="53" t="str">
        <f t="shared" si="63"/>
        <v/>
      </c>
      <c r="O275" s="53" t="str">
        <f t="shared" si="64"/>
        <v/>
      </c>
      <c r="P275" s="53" t="str">
        <f t="shared" si="65"/>
        <v/>
      </c>
      <c r="Q275" s="53" t="str">
        <f t="shared" si="66"/>
        <v/>
      </c>
      <c r="R275" s="53" t="str">
        <f t="shared" si="67"/>
        <v/>
      </c>
      <c r="S275" s="53" t="str">
        <f t="shared" si="68"/>
        <v/>
      </c>
      <c r="T275" s="53" t="str">
        <f t="shared" si="69"/>
        <v/>
      </c>
    </row>
    <row r="276" spans="1:20">
      <c r="A276" s="47" t="str">
        <f>IF(archive!E276="","",archive!E276)</f>
        <v/>
      </c>
      <c r="B276" s="48" t="str">
        <f t="shared" si="56"/>
        <v/>
      </c>
      <c r="C276" s="49" t="str">
        <f>IF(archive!F276="","",archive!F276)</f>
        <v/>
      </c>
      <c r="D276" s="50" t="str">
        <f t="shared" si="57"/>
        <v/>
      </c>
      <c r="E276" s="50" t="str">
        <f t="shared" si="58"/>
        <v/>
      </c>
      <c r="F276" s="47" t="str">
        <f>IF(COUNTA(archive!H276:CI276)=0,"",COUNTA(archive!H276:CI276))</f>
        <v/>
      </c>
      <c r="G276" s="47" t="str">
        <f>IF(archive!G276="","",archive!G276)</f>
        <v/>
      </c>
      <c r="H276" s="51" t="str">
        <f>IF(archive!CJ276="","",archive!CJ276)</f>
        <v/>
      </c>
      <c r="I276" s="51" t="str">
        <f>IF(archive!CK276="","",archive!CK276)</f>
        <v/>
      </c>
      <c r="J276" s="47" t="str">
        <f t="shared" si="59"/>
        <v/>
      </c>
      <c r="K276" s="51" t="str">
        <f t="shared" si="60"/>
        <v/>
      </c>
      <c r="L276" s="52" t="str">
        <f t="shared" si="61"/>
        <v/>
      </c>
      <c r="M276" s="53" t="str">
        <f t="shared" si="62"/>
        <v/>
      </c>
      <c r="N276" s="53" t="str">
        <f t="shared" si="63"/>
        <v/>
      </c>
      <c r="O276" s="53" t="str">
        <f t="shared" si="64"/>
        <v/>
      </c>
      <c r="P276" s="53" t="str">
        <f t="shared" si="65"/>
        <v/>
      </c>
      <c r="Q276" s="53" t="str">
        <f t="shared" si="66"/>
        <v/>
      </c>
      <c r="R276" s="53" t="str">
        <f t="shared" si="67"/>
        <v/>
      </c>
      <c r="S276" s="53" t="str">
        <f t="shared" si="68"/>
        <v/>
      </c>
      <c r="T276" s="53" t="str">
        <f t="shared" si="69"/>
        <v/>
      </c>
    </row>
    <row r="277" spans="1:20">
      <c r="A277" s="47" t="str">
        <f>IF(archive!E277="","",archive!E277)</f>
        <v/>
      </c>
      <c r="B277" s="48" t="str">
        <f t="shared" si="56"/>
        <v/>
      </c>
      <c r="C277" s="49" t="str">
        <f>IF(archive!F277="","",archive!F277)</f>
        <v/>
      </c>
      <c r="D277" s="50" t="str">
        <f t="shared" si="57"/>
        <v/>
      </c>
      <c r="E277" s="50" t="str">
        <f t="shared" si="58"/>
        <v/>
      </c>
      <c r="F277" s="47" t="str">
        <f>IF(COUNTA(archive!H277:CI277)=0,"",COUNTA(archive!H277:CI277))</f>
        <v/>
      </c>
      <c r="G277" s="47" t="str">
        <f>IF(archive!G277="","",archive!G277)</f>
        <v/>
      </c>
      <c r="H277" s="51" t="str">
        <f>IF(archive!CJ277="","",archive!CJ277)</f>
        <v/>
      </c>
      <c r="I277" s="51" t="str">
        <f>IF(archive!CK277="","",archive!CK277)</f>
        <v/>
      </c>
      <c r="J277" s="47" t="str">
        <f t="shared" si="59"/>
        <v/>
      </c>
      <c r="K277" s="51" t="str">
        <f t="shared" si="60"/>
        <v/>
      </c>
      <c r="L277" s="52" t="str">
        <f t="shared" si="61"/>
        <v/>
      </c>
      <c r="M277" s="53" t="str">
        <f t="shared" si="62"/>
        <v/>
      </c>
      <c r="N277" s="53" t="str">
        <f t="shared" si="63"/>
        <v/>
      </c>
      <c r="O277" s="53" t="str">
        <f t="shared" si="64"/>
        <v/>
      </c>
      <c r="P277" s="53" t="str">
        <f t="shared" si="65"/>
        <v/>
      </c>
      <c r="Q277" s="53" t="str">
        <f t="shared" si="66"/>
        <v/>
      </c>
      <c r="R277" s="53" t="str">
        <f t="shared" si="67"/>
        <v/>
      </c>
      <c r="S277" s="53" t="str">
        <f t="shared" si="68"/>
        <v/>
      </c>
      <c r="T277" s="53" t="str">
        <f t="shared" si="69"/>
        <v/>
      </c>
    </row>
    <row r="278" spans="1:20">
      <c r="A278" s="47" t="str">
        <f>IF(archive!E278="","",archive!E278)</f>
        <v/>
      </c>
      <c r="B278" s="48" t="str">
        <f t="shared" si="56"/>
        <v/>
      </c>
      <c r="C278" s="49" t="str">
        <f>IF(archive!F278="","",archive!F278)</f>
        <v/>
      </c>
      <c r="D278" s="50" t="str">
        <f t="shared" si="57"/>
        <v/>
      </c>
      <c r="E278" s="50" t="str">
        <f t="shared" si="58"/>
        <v/>
      </c>
      <c r="F278" s="47" t="str">
        <f>IF(COUNTA(archive!H278:CI278)=0,"",COUNTA(archive!H278:CI278))</f>
        <v/>
      </c>
      <c r="G278" s="47" t="str">
        <f>IF(archive!G278="","",archive!G278)</f>
        <v/>
      </c>
      <c r="H278" s="51" t="str">
        <f>IF(archive!CJ278="","",archive!CJ278)</f>
        <v/>
      </c>
      <c r="I278" s="51" t="str">
        <f>IF(archive!CK278="","",archive!CK278)</f>
        <v/>
      </c>
      <c r="J278" s="47" t="str">
        <f t="shared" si="59"/>
        <v/>
      </c>
      <c r="K278" s="51" t="str">
        <f t="shared" si="60"/>
        <v/>
      </c>
      <c r="L278" s="52" t="str">
        <f t="shared" si="61"/>
        <v/>
      </c>
      <c r="M278" s="53" t="str">
        <f t="shared" si="62"/>
        <v/>
      </c>
      <c r="N278" s="53" t="str">
        <f t="shared" si="63"/>
        <v/>
      </c>
      <c r="O278" s="53" t="str">
        <f t="shared" si="64"/>
        <v/>
      </c>
      <c r="P278" s="53" t="str">
        <f t="shared" si="65"/>
        <v/>
      </c>
      <c r="Q278" s="53" t="str">
        <f t="shared" si="66"/>
        <v/>
      </c>
      <c r="R278" s="53" t="str">
        <f t="shared" si="67"/>
        <v/>
      </c>
      <c r="S278" s="53" t="str">
        <f t="shared" si="68"/>
        <v/>
      </c>
      <c r="T278" s="53" t="str">
        <f t="shared" si="69"/>
        <v/>
      </c>
    </row>
    <row r="279" spans="1:20">
      <c r="A279" s="47" t="str">
        <f>IF(archive!E279="","",archive!E279)</f>
        <v/>
      </c>
      <c r="B279" s="48" t="str">
        <f t="shared" si="56"/>
        <v/>
      </c>
      <c r="C279" s="49" t="str">
        <f>IF(archive!F279="","",archive!F279)</f>
        <v/>
      </c>
      <c r="D279" s="50" t="str">
        <f t="shared" si="57"/>
        <v/>
      </c>
      <c r="E279" s="50" t="str">
        <f t="shared" si="58"/>
        <v/>
      </c>
      <c r="F279" s="47" t="str">
        <f>IF(COUNTA(archive!H279:CI279)=0,"",COUNTA(archive!H279:CI279))</f>
        <v/>
      </c>
      <c r="G279" s="47" t="str">
        <f>IF(archive!G279="","",archive!G279)</f>
        <v/>
      </c>
      <c r="H279" s="51" t="str">
        <f>IF(archive!CJ279="","",archive!CJ279)</f>
        <v/>
      </c>
      <c r="I279" s="51" t="str">
        <f>IF(archive!CK279="","",archive!CK279)</f>
        <v/>
      </c>
      <c r="J279" s="47" t="str">
        <f t="shared" si="59"/>
        <v/>
      </c>
      <c r="K279" s="51" t="str">
        <f t="shared" si="60"/>
        <v/>
      </c>
      <c r="L279" s="52" t="str">
        <f t="shared" si="61"/>
        <v/>
      </c>
      <c r="M279" s="53" t="str">
        <f t="shared" si="62"/>
        <v/>
      </c>
      <c r="N279" s="53" t="str">
        <f t="shared" si="63"/>
        <v/>
      </c>
      <c r="O279" s="53" t="str">
        <f t="shared" si="64"/>
        <v/>
      </c>
      <c r="P279" s="53" t="str">
        <f t="shared" si="65"/>
        <v/>
      </c>
      <c r="Q279" s="53" t="str">
        <f t="shared" si="66"/>
        <v/>
      </c>
      <c r="R279" s="53" t="str">
        <f t="shared" si="67"/>
        <v/>
      </c>
      <c r="S279" s="53" t="str">
        <f t="shared" si="68"/>
        <v/>
      </c>
      <c r="T279" s="53" t="str">
        <f t="shared" si="69"/>
        <v/>
      </c>
    </row>
    <row r="280" spans="1:20">
      <c r="A280" s="47" t="str">
        <f>IF(archive!E280="","",archive!E280)</f>
        <v/>
      </c>
      <c r="B280" s="48" t="str">
        <f t="shared" si="56"/>
        <v/>
      </c>
      <c r="C280" s="49" t="str">
        <f>IF(archive!F280="","",archive!F280)</f>
        <v/>
      </c>
      <c r="D280" s="50" t="str">
        <f t="shared" si="57"/>
        <v/>
      </c>
      <c r="E280" s="50" t="str">
        <f t="shared" si="58"/>
        <v/>
      </c>
      <c r="F280" s="47" t="str">
        <f>IF(COUNTA(archive!H280:CI280)=0,"",COUNTA(archive!H280:CI280))</f>
        <v/>
      </c>
      <c r="G280" s="47" t="str">
        <f>IF(archive!G280="","",archive!G280)</f>
        <v/>
      </c>
      <c r="H280" s="51" t="str">
        <f>IF(archive!CJ280="","",archive!CJ280)</f>
        <v/>
      </c>
      <c r="I280" s="51" t="str">
        <f>IF(archive!CK280="","",archive!CK280)</f>
        <v/>
      </c>
      <c r="J280" s="47" t="str">
        <f t="shared" si="59"/>
        <v/>
      </c>
      <c r="K280" s="51" t="str">
        <f t="shared" si="60"/>
        <v/>
      </c>
      <c r="L280" s="52" t="str">
        <f t="shared" si="61"/>
        <v/>
      </c>
      <c r="M280" s="53" t="str">
        <f t="shared" si="62"/>
        <v/>
      </c>
      <c r="N280" s="53" t="str">
        <f t="shared" si="63"/>
        <v/>
      </c>
      <c r="O280" s="53" t="str">
        <f t="shared" si="64"/>
        <v/>
      </c>
      <c r="P280" s="53" t="str">
        <f t="shared" si="65"/>
        <v/>
      </c>
      <c r="Q280" s="53" t="str">
        <f t="shared" si="66"/>
        <v/>
      </c>
      <c r="R280" s="53" t="str">
        <f t="shared" si="67"/>
        <v/>
      </c>
      <c r="S280" s="53" t="str">
        <f t="shared" si="68"/>
        <v/>
      </c>
      <c r="T280" s="53" t="str">
        <f t="shared" si="69"/>
        <v/>
      </c>
    </row>
    <row r="281" spans="1:20">
      <c r="A281" s="47" t="str">
        <f>IF(archive!E281="","",archive!E281)</f>
        <v/>
      </c>
      <c r="B281" s="48" t="str">
        <f t="shared" si="56"/>
        <v/>
      </c>
      <c r="C281" s="49" t="str">
        <f>IF(archive!F281="","",archive!F281)</f>
        <v/>
      </c>
      <c r="D281" s="50" t="str">
        <f t="shared" si="57"/>
        <v/>
      </c>
      <c r="E281" s="50" t="str">
        <f t="shared" si="58"/>
        <v/>
      </c>
      <c r="F281" s="47" t="str">
        <f>IF(COUNTA(archive!H281:CI281)=0,"",COUNTA(archive!H281:CI281))</f>
        <v/>
      </c>
      <c r="G281" s="47" t="str">
        <f>IF(archive!G281="","",archive!G281)</f>
        <v/>
      </c>
      <c r="H281" s="51" t="str">
        <f>IF(archive!CJ281="","",archive!CJ281)</f>
        <v/>
      </c>
      <c r="I281" s="51" t="str">
        <f>IF(archive!CK281="","",archive!CK281)</f>
        <v/>
      </c>
      <c r="J281" s="47" t="str">
        <f t="shared" si="59"/>
        <v/>
      </c>
      <c r="K281" s="51" t="str">
        <f t="shared" si="60"/>
        <v/>
      </c>
      <c r="L281" s="52" t="str">
        <f t="shared" si="61"/>
        <v/>
      </c>
      <c r="M281" s="53" t="str">
        <f t="shared" si="62"/>
        <v/>
      </c>
      <c r="N281" s="53" t="str">
        <f t="shared" si="63"/>
        <v/>
      </c>
      <c r="O281" s="53" t="str">
        <f t="shared" si="64"/>
        <v/>
      </c>
      <c r="P281" s="53" t="str">
        <f t="shared" si="65"/>
        <v/>
      </c>
      <c r="Q281" s="53" t="str">
        <f t="shared" si="66"/>
        <v/>
      </c>
      <c r="R281" s="53" t="str">
        <f t="shared" si="67"/>
        <v/>
      </c>
      <c r="S281" s="53" t="str">
        <f t="shared" si="68"/>
        <v/>
      </c>
      <c r="T281" s="53" t="str">
        <f t="shared" si="69"/>
        <v/>
      </c>
    </row>
    <row r="282" spans="1:20">
      <c r="A282" s="47" t="str">
        <f>IF(archive!E282="","",archive!E282)</f>
        <v/>
      </c>
      <c r="B282" s="48" t="str">
        <f t="shared" si="56"/>
        <v/>
      </c>
      <c r="C282" s="49" t="str">
        <f>IF(archive!F282="","",archive!F282)</f>
        <v/>
      </c>
      <c r="D282" s="50" t="str">
        <f t="shared" si="57"/>
        <v/>
      </c>
      <c r="E282" s="50" t="str">
        <f t="shared" si="58"/>
        <v/>
      </c>
      <c r="F282" s="47" t="str">
        <f>IF(COUNTA(archive!H282:CI282)=0,"",COUNTA(archive!H282:CI282))</f>
        <v/>
      </c>
      <c r="G282" s="47" t="str">
        <f>IF(archive!G282="","",archive!G282)</f>
        <v/>
      </c>
      <c r="H282" s="51" t="str">
        <f>IF(archive!CJ282="","",archive!CJ282)</f>
        <v/>
      </c>
      <c r="I282" s="51" t="str">
        <f>IF(archive!CK282="","",archive!CK282)</f>
        <v/>
      </c>
      <c r="J282" s="47" t="str">
        <f t="shared" si="59"/>
        <v/>
      </c>
      <c r="K282" s="51" t="str">
        <f t="shared" si="60"/>
        <v/>
      </c>
      <c r="L282" s="52" t="str">
        <f t="shared" si="61"/>
        <v/>
      </c>
      <c r="M282" s="53" t="str">
        <f t="shared" si="62"/>
        <v/>
      </c>
      <c r="N282" s="53" t="str">
        <f t="shared" si="63"/>
        <v/>
      </c>
      <c r="O282" s="53" t="str">
        <f t="shared" si="64"/>
        <v/>
      </c>
      <c r="P282" s="53" t="str">
        <f t="shared" si="65"/>
        <v/>
      </c>
      <c r="Q282" s="53" t="str">
        <f t="shared" si="66"/>
        <v/>
      </c>
      <c r="R282" s="53" t="str">
        <f t="shared" si="67"/>
        <v/>
      </c>
      <c r="S282" s="53" t="str">
        <f t="shared" si="68"/>
        <v/>
      </c>
      <c r="T282" s="53" t="str">
        <f t="shared" si="69"/>
        <v/>
      </c>
    </row>
    <row r="283" spans="1:20">
      <c r="A283" s="47" t="str">
        <f>IF(archive!E283="","",archive!E283)</f>
        <v/>
      </c>
      <c r="B283" s="48" t="str">
        <f t="shared" si="56"/>
        <v/>
      </c>
      <c r="C283" s="49" t="str">
        <f>IF(archive!F283="","",archive!F283)</f>
        <v/>
      </c>
      <c r="D283" s="50" t="str">
        <f t="shared" si="57"/>
        <v/>
      </c>
      <c r="E283" s="50" t="str">
        <f t="shared" si="58"/>
        <v/>
      </c>
      <c r="F283" s="47" t="str">
        <f>IF(COUNTA(archive!H283:CI283)=0,"",COUNTA(archive!H283:CI283))</f>
        <v/>
      </c>
      <c r="G283" s="47" t="str">
        <f>IF(archive!G283="","",archive!G283)</f>
        <v/>
      </c>
      <c r="H283" s="51" t="str">
        <f>IF(archive!CJ283="","",archive!CJ283)</f>
        <v/>
      </c>
      <c r="I283" s="51" t="str">
        <f>IF(archive!CK283="","",archive!CK283)</f>
        <v/>
      </c>
      <c r="J283" s="47" t="str">
        <f t="shared" si="59"/>
        <v/>
      </c>
      <c r="K283" s="51" t="str">
        <f t="shared" si="60"/>
        <v/>
      </c>
      <c r="L283" s="52" t="str">
        <f t="shared" si="61"/>
        <v/>
      </c>
      <c r="M283" s="53" t="str">
        <f t="shared" si="62"/>
        <v/>
      </c>
      <c r="N283" s="53" t="str">
        <f t="shared" si="63"/>
        <v/>
      </c>
      <c r="O283" s="53" t="str">
        <f t="shared" si="64"/>
        <v/>
      </c>
      <c r="P283" s="53" t="str">
        <f t="shared" si="65"/>
        <v/>
      </c>
      <c r="Q283" s="53" t="str">
        <f t="shared" si="66"/>
        <v/>
      </c>
      <c r="R283" s="53" t="str">
        <f t="shared" si="67"/>
        <v/>
      </c>
      <c r="S283" s="53" t="str">
        <f t="shared" si="68"/>
        <v/>
      </c>
      <c r="T283" s="53" t="str">
        <f t="shared" si="69"/>
        <v/>
      </c>
    </row>
    <row r="284" spans="1:20">
      <c r="A284" s="47" t="str">
        <f>IF(archive!E284="","",archive!E284)</f>
        <v/>
      </c>
      <c r="B284" s="48" t="str">
        <f t="shared" si="56"/>
        <v/>
      </c>
      <c r="C284" s="49" t="str">
        <f>IF(archive!F284="","",archive!F284)</f>
        <v/>
      </c>
      <c r="D284" s="50" t="str">
        <f t="shared" si="57"/>
        <v/>
      </c>
      <c r="E284" s="50" t="str">
        <f t="shared" si="58"/>
        <v/>
      </c>
      <c r="F284" s="47" t="str">
        <f>IF(COUNTA(archive!H284:CI284)=0,"",COUNTA(archive!H284:CI284))</f>
        <v/>
      </c>
      <c r="G284" s="47" t="str">
        <f>IF(archive!G284="","",archive!G284)</f>
        <v/>
      </c>
      <c r="H284" s="51" t="str">
        <f>IF(archive!CJ284="","",archive!CJ284)</f>
        <v/>
      </c>
      <c r="I284" s="51" t="str">
        <f>IF(archive!CK284="","",archive!CK284)</f>
        <v/>
      </c>
      <c r="J284" s="47" t="str">
        <f t="shared" si="59"/>
        <v/>
      </c>
      <c r="K284" s="51" t="str">
        <f t="shared" si="60"/>
        <v/>
      </c>
      <c r="L284" s="52" t="str">
        <f t="shared" si="61"/>
        <v/>
      </c>
      <c r="M284" s="53" t="str">
        <f t="shared" si="62"/>
        <v/>
      </c>
      <c r="N284" s="53" t="str">
        <f t="shared" si="63"/>
        <v/>
      </c>
      <c r="O284" s="53" t="str">
        <f t="shared" si="64"/>
        <v/>
      </c>
      <c r="P284" s="53" t="str">
        <f t="shared" si="65"/>
        <v/>
      </c>
      <c r="Q284" s="53" t="str">
        <f t="shared" si="66"/>
        <v/>
      </c>
      <c r="R284" s="53" t="str">
        <f t="shared" si="67"/>
        <v/>
      </c>
      <c r="S284" s="53" t="str">
        <f t="shared" si="68"/>
        <v/>
      </c>
      <c r="T284" s="53" t="str">
        <f t="shared" si="69"/>
        <v/>
      </c>
    </row>
    <row r="285" spans="1:20">
      <c r="A285" s="47" t="str">
        <f>IF(archive!E285="","",archive!E285)</f>
        <v/>
      </c>
      <c r="B285" s="48" t="str">
        <f t="shared" si="56"/>
        <v/>
      </c>
      <c r="C285" s="49" t="str">
        <f>IF(archive!F285="","",archive!F285)</f>
        <v/>
      </c>
      <c r="D285" s="50" t="str">
        <f t="shared" si="57"/>
        <v/>
      </c>
      <c r="E285" s="50" t="str">
        <f t="shared" si="58"/>
        <v/>
      </c>
      <c r="F285" s="47" t="str">
        <f>IF(COUNTA(archive!H285:CI285)=0,"",COUNTA(archive!H285:CI285))</f>
        <v/>
      </c>
      <c r="G285" s="47" t="str">
        <f>IF(archive!G285="","",archive!G285)</f>
        <v/>
      </c>
      <c r="H285" s="51" t="str">
        <f>IF(archive!CJ285="","",archive!CJ285)</f>
        <v/>
      </c>
      <c r="I285" s="51" t="str">
        <f>IF(archive!CK285="","",archive!CK285)</f>
        <v/>
      </c>
      <c r="J285" s="47" t="str">
        <f t="shared" si="59"/>
        <v/>
      </c>
      <c r="K285" s="51" t="str">
        <f t="shared" si="60"/>
        <v/>
      </c>
      <c r="L285" s="52" t="str">
        <f t="shared" si="61"/>
        <v/>
      </c>
      <c r="M285" s="53" t="str">
        <f t="shared" si="62"/>
        <v/>
      </c>
      <c r="N285" s="53" t="str">
        <f t="shared" si="63"/>
        <v/>
      </c>
      <c r="O285" s="53" t="str">
        <f t="shared" si="64"/>
        <v/>
      </c>
      <c r="P285" s="53" t="str">
        <f t="shared" si="65"/>
        <v/>
      </c>
      <c r="Q285" s="53" t="str">
        <f t="shared" si="66"/>
        <v/>
      </c>
      <c r="R285" s="53" t="str">
        <f t="shared" si="67"/>
        <v/>
      </c>
      <c r="S285" s="53" t="str">
        <f t="shared" si="68"/>
        <v/>
      </c>
      <c r="T285" s="53" t="str">
        <f t="shared" si="69"/>
        <v/>
      </c>
    </row>
    <row r="286" spans="1:20">
      <c r="A286" s="47" t="str">
        <f>IF(archive!E286="","",archive!E286)</f>
        <v/>
      </c>
      <c r="B286" s="48" t="str">
        <f t="shared" si="56"/>
        <v/>
      </c>
      <c r="C286" s="49" t="str">
        <f>IF(archive!F286="","",archive!F286)</f>
        <v/>
      </c>
      <c r="D286" s="50" t="str">
        <f t="shared" si="57"/>
        <v/>
      </c>
      <c r="E286" s="50" t="str">
        <f t="shared" si="58"/>
        <v/>
      </c>
      <c r="F286" s="47" t="str">
        <f>IF(COUNTA(archive!H286:CI286)=0,"",COUNTA(archive!H286:CI286))</f>
        <v/>
      </c>
      <c r="G286" s="47" t="str">
        <f>IF(archive!G286="","",archive!G286)</f>
        <v/>
      </c>
      <c r="H286" s="51" t="str">
        <f>IF(archive!CJ286="","",archive!CJ286)</f>
        <v/>
      </c>
      <c r="I286" s="51" t="str">
        <f>IF(archive!CK286="","",archive!CK286)</f>
        <v/>
      </c>
      <c r="J286" s="47" t="str">
        <f t="shared" si="59"/>
        <v/>
      </c>
      <c r="K286" s="51" t="str">
        <f t="shared" si="60"/>
        <v/>
      </c>
      <c r="L286" s="52" t="str">
        <f t="shared" si="61"/>
        <v/>
      </c>
      <c r="M286" s="53" t="str">
        <f t="shared" si="62"/>
        <v/>
      </c>
      <c r="N286" s="53" t="str">
        <f t="shared" si="63"/>
        <v/>
      </c>
      <c r="O286" s="53" t="str">
        <f t="shared" si="64"/>
        <v/>
      </c>
      <c r="P286" s="53" t="str">
        <f t="shared" si="65"/>
        <v/>
      </c>
      <c r="Q286" s="53" t="str">
        <f t="shared" si="66"/>
        <v/>
      </c>
      <c r="R286" s="53" t="str">
        <f t="shared" si="67"/>
        <v/>
      </c>
      <c r="S286" s="53" t="str">
        <f t="shared" si="68"/>
        <v/>
      </c>
      <c r="T286" s="53" t="str">
        <f t="shared" si="69"/>
        <v/>
      </c>
    </row>
    <row r="287" spans="1:20">
      <c r="A287" s="47" t="str">
        <f>IF(archive!E287="","",archive!E287)</f>
        <v/>
      </c>
      <c r="B287" s="48" t="str">
        <f t="shared" si="56"/>
        <v/>
      </c>
      <c r="C287" s="49" t="str">
        <f>IF(archive!F287="","",archive!F287)</f>
        <v/>
      </c>
      <c r="D287" s="50" t="str">
        <f t="shared" si="57"/>
        <v/>
      </c>
      <c r="E287" s="50" t="str">
        <f t="shared" si="58"/>
        <v/>
      </c>
      <c r="F287" s="47" t="str">
        <f>IF(COUNTA(archive!H287:CI287)=0,"",COUNTA(archive!H287:CI287))</f>
        <v/>
      </c>
      <c r="G287" s="47" t="str">
        <f>IF(archive!G287="","",archive!G287)</f>
        <v/>
      </c>
      <c r="H287" s="51" t="str">
        <f>IF(archive!CJ287="","",archive!CJ287)</f>
        <v/>
      </c>
      <c r="I287" s="51" t="str">
        <f>IF(archive!CK287="","",archive!CK287)</f>
        <v/>
      </c>
      <c r="J287" s="47" t="str">
        <f t="shared" si="59"/>
        <v/>
      </c>
      <c r="K287" s="51" t="str">
        <f t="shared" si="60"/>
        <v/>
      </c>
      <c r="L287" s="52" t="str">
        <f t="shared" si="61"/>
        <v/>
      </c>
      <c r="M287" s="53" t="str">
        <f t="shared" si="62"/>
        <v/>
      </c>
      <c r="N287" s="53" t="str">
        <f t="shared" si="63"/>
        <v/>
      </c>
      <c r="O287" s="53" t="str">
        <f t="shared" si="64"/>
        <v/>
      </c>
      <c r="P287" s="53" t="str">
        <f t="shared" si="65"/>
        <v/>
      </c>
      <c r="Q287" s="53" t="str">
        <f t="shared" si="66"/>
        <v/>
      </c>
      <c r="R287" s="53" t="str">
        <f t="shared" si="67"/>
        <v/>
      </c>
      <c r="S287" s="53" t="str">
        <f t="shared" si="68"/>
        <v/>
      </c>
      <c r="T287" s="53" t="str">
        <f t="shared" si="69"/>
        <v/>
      </c>
    </row>
    <row r="288" spans="1:20">
      <c r="A288" s="47" t="str">
        <f>IF(archive!E288="","",archive!E288)</f>
        <v/>
      </c>
      <c r="B288" s="48" t="str">
        <f t="shared" si="56"/>
        <v/>
      </c>
      <c r="C288" s="49" t="str">
        <f>IF(archive!F288="","",archive!F288)</f>
        <v/>
      </c>
      <c r="D288" s="50" t="str">
        <f t="shared" si="57"/>
        <v/>
      </c>
      <c r="E288" s="50" t="str">
        <f t="shared" si="58"/>
        <v/>
      </c>
      <c r="F288" s="47" t="str">
        <f>IF(COUNTA(archive!H288:CI288)=0,"",COUNTA(archive!H288:CI288))</f>
        <v/>
      </c>
      <c r="G288" s="47" t="str">
        <f>IF(archive!G288="","",archive!G288)</f>
        <v/>
      </c>
      <c r="H288" s="51" t="str">
        <f>IF(archive!CJ288="","",archive!CJ288)</f>
        <v/>
      </c>
      <c r="I288" s="51" t="str">
        <f>IF(archive!CK288="","",archive!CK288)</f>
        <v/>
      </c>
      <c r="J288" s="47" t="str">
        <f t="shared" si="59"/>
        <v/>
      </c>
      <c r="K288" s="51" t="str">
        <f t="shared" si="60"/>
        <v/>
      </c>
      <c r="L288" s="52" t="str">
        <f t="shared" si="61"/>
        <v/>
      </c>
      <c r="M288" s="53" t="str">
        <f t="shared" si="62"/>
        <v/>
      </c>
      <c r="N288" s="53" t="str">
        <f t="shared" si="63"/>
        <v/>
      </c>
      <c r="O288" s="53" t="str">
        <f t="shared" si="64"/>
        <v/>
      </c>
      <c r="P288" s="53" t="str">
        <f t="shared" si="65"/>
        <v/>
      </c>
      <c r="Q288" s="53" t="str">
        <f t="shared" si="66"/>
        <v/>
      </c>
      <c r="R288" s="53" t="str">
        <f t="shared" si="67"/>
        <v/>
      </c>
      <c r="S288" s="53" t="str">
        <f t="shared" si="68"/>
        <v/>
      </c>
      <c r="T288" s="53" t="str">
        <f t="shared" si="69"/>
        <v/>
      </c>
    </row>
    <row r="289" spans="1:20">
      <c r="A289" s="47" t="str">
        <f>IF(archive!E289="","",archive!E289)</f>
        <v/>
      </c>
      <c r="B289" s="48" t="str">
        <f t="shared" si="56"/>
        <v/>
      </c>
      <c r="C289" s="49" t="str">
        <f>IF(archive!F289="","",archive!F289)</f>
        <v/>
      </c>
      <c r="D289" s="50" t="str">
        <f t="shared" si="57"/>
        <v/>
      </c>
      <c r="E289" s="50" t="str">
        <f t="shared" si="58"/>
        <v/>
      </c>
      <c r="F289" s="47" t="str">
        <f>IF(COUNTA(archive!H289:CI289)=0,"",COUNTA(archive!H289:CI289))</f>
        <v/>
      </c>
      <c r="G289" s="47" t="str">
        <f>IF(archive!G289="","",archive!G289)</f>
        <v/>
      </c>
      <c r="H289" s="51" t="str">
        <f>IF(archive!CJ289="","",archive!CJ289)</f>
        <v/>
      </c>
      <c r="I289" s="51" t="str">
        <f>IF(archive!CK289="","",archive!CK289)</f>
        <v/>
      </c>
      <c r="J289" s="47" t="str">
        <f t="shared" si="59"/>
        <v/>
      </c>
      <c r="K289" s="51" t="str">
        <f t="shared" si="60"/>
        <v/>
      </c>
      <c r="L289" s="52" t="str">
        <f t="shared" si="61"/>
        <v/>
      </c>
      <c r="M289" s="53" t="str">
        <f t="shared" si="62"/>
        <v/>
      </c>
      <c r="N289" s="53" t="str">
        <f t="shared" si="63"/>
        <v/>
      </c>
      <c r="O289" s="53" t="str">
        <f t="shared" si="64"/>
        <v/>
      </c>
      <c r="P289" s="53" t="str">
        <f t="shared" si="65"/>
        <v/>
      </c>
      <c r="Q289" s="53" t="str">
        <f t="shared" si="66"/>
        <v/>
      </c>
      <c r="R289" s="53" t="str">
        <f t="shared" si="67"/>
        <v/>
      </c>
      <c r="S289" s="53" t="str">
        <f t="shared" si="68"/>
        <v/>
      </c>
      <c r="T289" s="53" t="str">
        <f t="shared" si="69"/>
        <v/>
      </c>
    </row>
    <row r="290" spans="1:20">
      <c r="A290" s="47" t="str">
        <f>IF(archive!E290="","",archive!E290)</f>
        <v/>
      </c>
      <c r="B290" s="48" t="str">
        <f t="shared" si="56"/>
        <v/>
      </c>
      <c r="C290" s="49" t="str">
        <f>IF(archive!F290="","",archive!F290)</f>
        <v/>
      </c>
      <c r="D290" s="50" t="str">
        <f t="shared" si="57"/>
        <v/>
      </c>
      <c r="E290" s="50" t="str">
        <f t="shared" si="58"/>
        <v/>
      </c>
      <c r="F290" s="47" t="str">
        <f>IF(COUNTA(archive!H290:CI290)=0,"",COUNTA(archive!H290:CI290))</f>
        <v/>
      </c>
      <c r="G290" s="47" t="str">
        <f>IF(archive!G290="","",archive!G290)</f>
        <v/>
      </c>
      <c r="H290" s="51" t="str">
        <f>IF(archive!CJ290="","",archive!CJ290)</f>
        <v/>
      </c>
      <c r="I290" s="51" t="str">
        <f>IF(archive!CK290="","",archive!CK290)</f>
        <v/>
      </c>
      <c r="J290" s="47" t="str">
        <f t="shared" si="59"/>
        <v/>
      </c>
      <c r="K290" s="51" t="str">
        <f t="shared" si="60"/>
        <v/>
      </c>
      <c r="L290" s="52" t="str">
        <f t="shared" si="61"/>
        <v/>
      </c>
      <c r="M290" s="53" t="str">
        <f t="shared" si="62"/>
        <v/>
      </c>
      <c r="N290" s="53" t="str">
        <f t="shared" si="63"/>
        <v/>
      </c>
      <c r="O290" s="53" t="str">
        <f t="shared" si="64"/>
        <v/>
      </c>
      <c r="P290" s="53" t="str">
        <f t="shared" si="65"/>
        <v/>
      </c>
      <c r="Q290" s="53" t="str">
        <f t="shared" si="66"/>
        <v/>
      </c>
      <c r="R290" s="53" t="str">
        <f t="shared" si="67"/>
        <v/>
      </c>
      <c r="S290" s="53" t="str">
        <f t="shared" si="68"/>
        <v/>
      </c>
      <c r="T290" s="53" t="str">
        <f t="shared" si="69"/>
        <v/>
      </c>
    </row>
    <row r="291" spans="1:20">
      <c r="A291" s="47" t="str">
        <f>IF(archive!E291="","",archive!E291)</f>
        <v/>
      </c>
      <c r="B291" s="48" t="str">
        <f t="shared" si="56"/>
        <v/>
      </c>
      <c r="C291" s="49" t="str">
        <f>IF(archive!F291="","",archive!F291)</f>
        <v/>
      </c>
      <c r="D291" s="50" t="str">
        <f t="shared" si="57"/>
        <v/>
      </c>
      <c r="E291" s="50" t="str">
        <f t="shared" si="58"/>
        <v/>
      </c>
      <c r="F291" s="47" t="str">
        <f>IF(COUNTA(archive!H291:CI291)=0,"",COUNTA(archive!H291:CI291))</f>
        <v/>
      </c>
      <c r="G291" s="47" t="str">
        <f>IF(archive!G291="","",archive!G291)</f>
        <v/>
      </c>
      <c r="H291" s="51" t="str">
        <f>IF(archive!CJ291="","",archive!CJ291)</f>
        <v/>
      </c>
      <c r="I291" s="51" t="str">
        <f>IF(archive!CK291="","",archive!CK291)</f>
        <v/>
      </c>
      <c r="J291" s="47" t="str">
        <f t="shared" si="59"/>
        <v/>
      </c>
      <c r="K291" s="51" t="str">
        <f t="shared" si="60"/>
        <v/>
      </c>
      <c r="L291" s="52" t="str">
        <f t="shared" si="61"/>
        <v/>
      </c>
      <c r="M291" s="53" t="str">
        <f t="shared" si="62"/>
        <v/>
      </c>
      <c r="N291" s="53" t="str">
        <f t="shared" si="63"/>
        <v/>
      </c>
      <c r="O291" s="53" t="str">
        <f t="shared" si="64"/>
        <v/>
      </c>
      <c r="P291" s="53" t="str">
        <f t="shared" si="65"/>
        <v/>
      </c>
      <c r="Q291" s="53" t="str">
        <f t="shared" si="66"/>
        <v/>
      </c>
      <c r="R291" s="53" t="str">
        <f t="shared" si="67"/>
        <v/>
      </c>
      <c r="S291" s="53" t="str">
        <f t="shared" si="68"/>
        <v/>
      </c>
      <c r="T291" s="53" t="str">
        <f t="shared" si="69"/>
        <v/>
      </c>
    </row>
    <row r="292" spans="1:20">
      <c r="A292" s="47" t="str">
        <f>IF(archive!E292="","",archive!E292)</f>
        <v/>
      </c>
      <c r="B292" s="48" t="str">
        <f t="shared" si="56"/>
        <v/>
      </c>
      <c r="C292" s="49" t="str">
        <f>IF(archive!F292="","",archive!F292)</f>
        <v/>
      </c>
      <c r="D292" s="50" t="str">
        <f t="shared" si="57"/>
        <v/>
      </c>
      <c r="E292" s="50" t="str">
        <f t="shared" si="58"/>
        <v/>
      </c>
      <c r="F292" s="47" t="str">
        <f>IF(COUNTA(archive!H292:CI292)=0,"",COUNTA(archive!H292:CI292))</f>
        <v/>
      </c>
      <c r="G292" s="47" t="str">
        <f>IF(archive!G292="","",archive!G292)</f>
        <v/>
      </c>
      <c r="H292" s="51" t="str">
        <f>IF(archive!CJ292="","",archive!CJ292)</f>
        <v/>
      </c>
      <c r="I292" s="51" t="str">
        <f>IF(archive!CK292="","",archive!CK292)</f>
        <v/>
      </c>
      <c r="J292" s="47" t="str">
        <f t="shared" si="59"/>
        <v/>
      </c>
      <c r="K292" s="51" t="str">
        <f t="shared" si="60"/>
        <v/>
      </c>
      <c r="L292" s="52" t="str">
        <f t="shared" si="61"/>
        <v/>
      </c>
      <c r="M292" s="53" t="str">
        <f t="shared" si="62"/>
        <v/>
      </c>
      <c r="N292" s="53" t="str">
        <f t="shared" si="63"/>
        <v/>
      </c>
      <c r="O292" s="53" t="str">
        <f t="shared" si="64"/>
        <v/>
      </c>
      <c r="P292" s="53" t="str">
        <f t="shared" si="65"/>
        <v/>
      </c>
      <c r="Q292" s="53" t="str">
        <f t="shared" si="66"/>
        <v/>
      </c>
      <c r="R292" s="53" t="str">
        <f t="shared" si="67"/>
        <v/>
      </c>
      <c r="S292" s="53" t="str">
        <f t="shared" si="68"/>
        <v/>
      </c>
      <c r="T292" s="53" t="str">
        <f t="shared" si="69"/>
        <v/>
      </c>
    </row>
    <row r="293" spans="1:20">
      <c r="A293" s="47" t="str">
        <f>IF(archive!E293="","",archive!E293)</f>
        <v/>
      </c>
      <c r="B293" s="48" t="str">
        <f t="shared" si="56"/>
        <v/>
      </c>
      <c r="C293" s="49" t="str">
        <f>IF(archive!F293="","",archive!F293)</f>
        <v/>
      </c>
      <c r="D293" s="50" t="str">
        <f t="shared" si="57"/>
        <v/>
      </c>
      <c r="E293" s="50" t="str">
        <f t="shared" si="58"/>
        <v/>
      </c>
      <c r="F293" s="47" t="str">
        <f>IF(COUNTA(archive!H293:CI293)=0,"",COUNTA(archive!H293:CI293))</f>
        <v/>
      </c>
      <c r="G293" s="47" t="str">
        <f>IF(archive!G293="","",archive!G293)</f>
        <v/>
      </c>
      <c r="H293" s="51" t="str">
        <f>IF(archive!CJ293="","",archive!CJ293)</f>
        <v/>
      </c>
      <c r="I293" s="51" t="str">
        <f>IF(archive!CK293="","",archive!CK293)</f>
        <v/>
      </c>
      <c r="J293" s="47" t="str">
        <f t="shared" si="59"/>
        <v/>
      </c>
      <c r="K293" s="51" t="str">
        <f t="shared" si="60"/>
        <v/>
      </c>
      <c r="L293" s="52" t="str">
        <f t="shared" si="61"/>
        <v/>
      </c>
      <c r="M293" s="53" t="str">
        <f t="shared" si="62"/>
        <v/>
      </c>
      <c r="N293" s="53" t="str">
        <f t="shared" si="63"/>
        <v/>
      </c>
      <c r="O293" s="53" t="str">
        <f t="shared" si="64"/>
        <v/>
      </c>
      <c r="P293" s="53" t="str">
        <f t="shared" si="65"/>
        <v/>
      </c>
      <c r="Q293" s="53" t="str">
        <f t="shared" si="66"/>
        <v/>
      </c>
      <c r="R293" s="53" t="str">
        <f t="shared" si="67"/>
        <v/>
      </c>
      <c r="S293" s="53" t="str">
        <f t="shared" si="68"/>
        <v/>
      </c>
      <c r="T293" s="53" t="str">
        <f t="shared" si="69"/>
        <v/>
      </c>
    </row>
    <row r="294" spans="1:20">
      <c r="A294" s="47" t="str">
        <f>IF(archive!E294="","",archive!E294)</f>
        <v/>
      </c>
      <c r="B294" s="48" t="str">
        <f t="shared" si="56"/>
        <v/>
      </c>
      <c r="C294" s="49" t="str">
        <f>IF(archive!F294="","",archive!F294)</f>
        <v/>
      </c>
      <c r="D294" s="50" t="str">
        <f t="shared" si="57"/>
        <v/>
      </c>
      <c r="E294" s="50" t="str">
        <f t="shared" si="58"/>
        <v/>
      </c>
      <c r="F294" s="47" t="str">
        <f>IF(COUNTA(archive!H294:CI294)=0,"",COUNTA(archive!H294:CI294))</f>
        <v/>
      </c>
      <c r="G294" s="47" t="str">
        <f>IF(archive!G294="","",archive!G294)</f>
        <v/>
      </c>
      <c r="H294" s="51" t="str">
        <f>IF(archive!CJ294="","",archive!CJ294)</f>
        <v/>
      </c>
      <c r="I294" s="51" t="str">
        <f>IF(archive!CK294="","",archive!CK294)</f>
        <v/>
      </c>
      <c r="J294" s="47" t="str">
        <f t="shared" si="59"/>
        <v/>
      </c>
      <c r="K294" s="51" t="str">
        <f t="shared" si="60"/>
        <v/>
      </c>
      <c r="L294" s="52" t="str">
        <f t="shared" si="61"/>
        <v/>
      </c>
      <c r="M294" s="53" t="str">
        <f t="shared" si="62"/>
        <v/>
      </c>
      <c r="N294" s="53" t="str">
        <f t="shared" si="63"/>
        <v/>
      </c>
      <c r="O294" s="53" t="str">
        <f t="shared" si="64"/>
        <v/>
      </c>
      <c r="P294" s="53" t="str">
        <f t="shared" si="65"/>
        <v/>
      </c>
      <c r="Q294" s="53" t="str">
        <f t="shared" si="66"/>
        <v/>
      </c>
      <c r="R294" s="53" t="str">
        <f t="shared" si="67"/>
        <v/>
      </c>
      <c r="S294" s="53" t="str">
        <f t="shared" si="68"/>
        <v/>
      </c>
      <c r="T294" s="53" t="str">
        <f t="shared" si="69"/>
        <v/>
      </c>
    </row>
    <row r="295" spans="1:20">
      <c r="A295" s="47" t="str">
        <f>IF(archive!E295="","",archive!E295)</f>
        <v/>
      </c>
      <c r="B295" s="48" t="str">
        <f t="shared" si="56"/>
        <v/>
      </c>
      <c r="C295" s="49" t="str">
        <f>IF(archive!F295="","",archive!F295)</f>
        <v/>
      </c>
      <c r="D295" s="50" t="str">
        <f t="shared" si="57"/>
        <v/>
      </c>
      <c r="E295" s="50" t="str">
        <f t="shared" si="58"/>
        <v/>
      </c>
      <c r="F295" s="47" t="str">
        <f>IF(COUNTA(archive!H295:CI295)=0,"",COUNTA(archive!H295:CI295))</f>
        <v/>
      </c>
      <c r="G295" s="47" t="str">
        <f>IF(archive!G295="","",archive!G295)</f>
        <v/>
      </c>
      <c r="H295" s="51" t="str">
        <f>IF(archive!CJ295="","",archive!CJ295)</f>
        <v/>
      </c>
      <c r="I295" s="51" t="str">
        <f>IF(archive!CK295="","",archive!CK295)</f>
        <v/>
      </c>
      <c r="J295" s="47" t="str">
        <f t="shared" si="59"/>
        <v/>
      </c>
      <c r="K295" s="51" t="str">
        <f t="shared" si="60"/>
        <v/>
      </c>
      <c r="L295" s="52" t="str">
        <f t="shared" si="61"/>
        <v/>
      </c>
      <c r="M295" s="53" t="str">
        <f t="shared" si="62"/>
        <v/>
      </c>
      <c r="N295" s="53" t="str">
        <f t="shared" si="63"/>
        <v/>
      </c>
      <c r="O295" s="53" t="str">
        <f t="shared" si="64"/>
        <v/>
      </c>
      <c r="P295" s="53" t="str">
        <f t="shared" si="65"/>
        <v/>
      </c>
      <c r="Q295" s="53" t="str">
        <f t="shared" si="66"/>
        <v/>
      </c>
      <c r="R295" s="53" t="str">
        <f t="shared" si="67"/>
        <v/>
      </c>
      <c r="S295" s="53" t="str">
        <f t="shared" si="68"/>
        <v/>
      </c>
      <c r="T295" s="53" t="str">
        <f t="shared" si="69"/>
        <v/>
      </c>
    </row>
    <row r="296" spans="1:20">
      <c r="A296" s="47" t="str">
        <f>IF(archive!E296="","",archive!E296)</f>
        <v/>
      </c>
      <c r="B296" s="48" t="str">
        <f t="shared" si="56"/>
        <v/>
      </c>
      <c r="C296" s="49" t="str">
        <f>IF(archive!F296="","",archive!F296)</f>
        <v/>
      </c>
      <c r="D296" s="50" t="str">
        <f t="shared" si="57"/>
        <v/>
      </c>
      <c r="E296" s="50" t="str">
        <f t="shared" si="58"/>
        <v/>
      </c>
      <c r="F296" s="47" t="str">
        <f>IF(COUNTA(archive!H296:CI296)=0,"",COUNTA(archive!H296:CI296))</f>
        <v/>
      </c>
      <c r="G296" s="47" t="str">
        <f>IF(archive!G296="","",archive!G296)</f>
        <v/>
      </c>
      <c r="H296" s="51" t="str">
        <f>IF(archive!CJ296="","",archive!CJ296)</f>
        <v/>
      </c>
      <c r="I296" s="51" t="str">
        <f>IF(archive!CK296="","",archive!CK296)</f>
        <v/>
      </c>
      <c r="J296" s="47" t="str">
        <f t="shared" si="59"/>
        <v/>
      </c>
      <c r="K296" s="51" t="str">
        <f t="shared" si="60"/>
        <v/>
      </c>
      <c r="L296" s="52" t="str">
        <f t="shared" si="61"/>
        <v/>
      </c>
      <c r="M296" s="53" t="str">
        <f t="shared" si="62"/>
        <v/>
      </c>
      <c r="N296" s="53" t="str">
        <f t="shared" si="63"/>
        <v/>
      </c>
      <c r="O296" s="53" t="str">
        <f t="shared" si="64"/>
        <v/>
      </c>
      <c r="P296" s="53" t="str">
        <f t="shared" si="65"/>
        <v/>
      </c>
      <c r="Q296" s="53" t="str">
        <f t="shared" si="66"/>
        <v/>
      </c>
      <c r="R296" s="53" t="str">
        <f t="shared" si="67"/>
        <v/>
      </c>
      <c r="S296" s="53" t="str">
        <f t="shared" si="68"/>
        <v/>
      </c>
      <c r="T296" s="53" t="str">
        <f t="shared" si="69"/>
        <v/>
      </c>
    </row>
    <row r="297" spans="1:20">
      <c r="A297" s="47" t="str">
        <f>IF(archive!E297="","",archive!E297)</f>
        <v/>
      </c>
      <c r="B297" s="48" t="str">
        <f t="shared" si="56"/>
        <v/>
      </c>
      <c r="C297" s="49" t="str">
        <f>IF(archive!F297="","",archive!F297)</f>
        <v/>
      </c>
      <c r="D297" s="50" t="str">
        <f t="shared" si="57"/>
        <v/>
      </c>
      <c r="E297" s="50" t="str">
        <f t="shared" si="58"/>
        <v/>
      </c>
      <c r="F297" s="47" t="str">
        <f>IF(COUNTA(archive!H297:CI297)=0,"",COUNTA(archive!H297:CI297))</f>
        <v/>
      </c>
      <c r="G297" s="47" t="str">
        <f>IF(archive!G297="","",archive!G297)</f>
        <v/>
      </c>
      <c r="H297" s="51" t="str">
        <f>IF(archive!CJ297="","",archive!CJ297)</f>
        <v/>
      </c>
      <c r="I297" s="51" t="str">
        <f>IF(archive!CK297="","",archive!CK297)</f>
        <v/>
      </c>
      <c r="J297" s="47" t="str">
        <f t="shared" si="59"/>
        <v/>
      </c>
      <c r="K297" s="51" t="str">
        <f t="shared" si="60"/>
        <v/>
      </c>
      <c r="L297" s="52" t="str">
        <f t="shared" si="61"/>
        <v/>
      </c>
      <c r="M297" s="53" t="str">
        <f t="shared" si="62"/>
        <v/>
      </c>
      <c r="N297" s="53" t="str">
        <f t="shared" si="63"/>
        <v/>
      </c>
      <c r="O297" s="53" t="str">
        <f t="shared" si="64"/>
        <v/>
      </c>
      <c r="P297" s="53" t="str">
        <f t="shared" si="65"/>
        <v/>
      </c>
      <c r="Q297" s="53" t="str">
        <f t="shared" si="66"/>
        <v/>
      </c>
      <c r="R297" s="53" t="str">
        <f t="shared" si="67"/>
        <v/>
      </c>
      <c r="S297" s="53" t="str">
        <f t="shared" si="68"/>
        <v/>
      </c>
      <c r="T297" s="53" t="str">
        <f t="shared" si="69"/>
        <v/>
      </c>
    </row>
    <row r="298" spans="1:20">
      <c r="A298" s="47" t="str">
        <f>IF(archive!E298="","",archive!E298)</f>
        <v/>
      </c>
      <c r="B298" s="48" t="str">
        <f t="shared" si="56"/>
        <v/>
      </c>
      <c r="C298" s="49" t="str">
        <f>IF(archive!F298="","",archive!F298)</f>
        <v/>
      </c>
      <c r="D298" s="50" t="str">
        <f t="shared" si="57"/>
        <v/>
      </c>
      <c r="E298" s="50" t="str">
        <f t="shared" si="58"/>
        <v/>
      </c>
      <c r="F298" s="47" t="str">
        <f>IF(COUNTA(archive!H298:CI298)=0,"",COUNTA(archive!H298:CI298))</f>
        <v/>
      </c>
      <c r="G298" s="47" t="str">
        <f>IF(archive!G298="","",archive!G298)</f>
        <v/>
      </c>
      <c r="H298" s="51" t="str">
        <f>IF(archive!CJ298="","",archive!CJ298)</f>
        <v/>
      </c>
      <c r="I298" s="51" t="str">
        <f>IF(archive!CK298="","",archive!CK298)</f>
        <v/>
      </c>
      <c r="J298" s="47" t="str">
        <f t="shared" si="59"/>
        <v/>
      </c>
      <c r="K298" s="51" t="str">
        <f t="shared" si="60"/>
        <v/>
      </c>
      <c r="L298" s="52" t="str">
        <f t="shared" si="61"/>
        <v/>
      </c>
      <c r="M298" s="53" t="str">
        <f t="shared" si="62"/>
        <v/>
      </c>
      <c r="N298" s="53" t="str">
        <f t="shared" si="63"/>
        <v/>
      </c>
      <c r="O298" s="53" t="str">
        <f t="shared" si="64"/>
        <v/>
      </c>
      <c r="P298" s="53" t="str">
        <f t="shared" si="65"/>
        <v/>
      </c>
      <c r="Q298" s="53" t="str">
        <f t="shared" si="66"/>
        <v/>
      </c>
      <c r="R298" s="53" t="str">
        <f t="shared" si="67"/>
        <v/>
      </c>
      <c r="S298" s="53" t="str">
        <f t="shared" si="68"/>
        <v/>
      </c>
      <c r="T298" s="53" t="str">
        <f t="shared" si="69"/>
        <v/>
      </c>
    </row>
    <row r="299" spans="1:20">
      <c r="A299" s="47" t="str">
        <f>IF(archive!E299="","",archive!E299)</f>
        <v/>
      </c>
      <c r="B299" s="48" t="str">
        <f t="shared" si="56"/>
        <v/>
      </c>
      <c r="C299" s="49" t="str">
        <f>IF(archive!F299="","",archive!F299)</f>
        <v/>
      </c>
      <c r="D299" s="50" t="str">
        <f t="shared" si="57"/>
        <v/>
      </c>
      <c r="E299" s="50" t="str">
        <f t="shared" si="58"/>
        <v/>
      </c>
      <c r="F299" s="47" t="str">
        <f>IF(COUNTA(archive!H299:CI299)=0,"",COUNTA(archive!H299:CI299))</f>
        <v/>
      </c>
      <c r="G299" s="47" t="str">
        <f>IF(archive!G299="","",archive!G299)</f>
        <v/>
      </c>
      <c r="H299" s="51" t="str">
        <f>IF(archive!CJ299="","",archive!CJ299)</f>
        <v/>
      </c>
      <c r="I299" s="51" t="str">
        <f>IF(archive!CK299="","",archive!CK299)</f>
        <v/>
      </c>
      <c r="J299" s="47" t="str">
        <f t="shared" si="59"/>
        <v/>
      </c>
      <c r="K299" s="51" t="str">
        <f t="shared" si="60"/>
        <v/>
      </c>
      <c r="L299" s="52" t="str">
        <f t="shared" si="61"/>
        <v/>
      </c>
      <c r="M299" s="53" t="str">
        <f t="shared" si="62"/>
        <v/>
      </c>
      <c r="N299" s="53" t="str">
        <f t="shared" si="63"/>
        <v/>
      </c>
      <c r="O299" s="53" t="str">
        <f t="shared" si="64"/>
        <v/>
      </c>
      <c r="P299" s="53" t="str">
        <f t="shared" si="65"/>
        <v/>
      </c>
      <c r="Q299" s="53" t="str">
        <f t="shared" si="66"/>
        <v/>
      </c>
      <c r="R299" s="53" t="str">
        <f t="shared" si="67"/>
        <v/>
      </c>
      <c r="S299" s="53" t="str">
        <f t="shared" si="68"/>
        <v/>
      </c>
      <c r="T299" s="53" t="str">
        <f t="shared" si="69"/>
        <v/>
      </c>
    </row>
    <row r="300" spans="1:20">
      <c r="A300" s="47" t="str">
        <f>IF(archive!E300="","",archive!E300)</f>
        <v/>
      </c>
      <c r="B300" s="48" t="str">
        <f t="shared" si="56"/>
        <v/>
      </c>
      <c r="C300" s="49" t="str">
        <f>IF(archive!F300="","",archive!F300)</f>
        <v/>
      </c>
      <c r="D300" s="50" t="str">
        <f t="shared" si="57"/>
        <v/>
      </c>
      <c r="E300" s="50" t="str">
        <f t="shared" si="58"/>
        <v/>
      </c>
      <c r="F300" s="47" t="str">
        <f>IF(COUNTA(archive!H300:CI300)=0,"",COUNTA(archive!H300:CI300))</f>
        <v/>
      </c>
      <c r="G300" s="47" t="str">
        <f>IF(archive!G300="","",archive!G300)</f>
        <v/>
      </c>
      <c r="H300" s="51" t="str">
        <f>IF(archive!CJ300="","",archive!CJ300)</f>
        <v/>
      </c>
      <c r="I300" s="51" t="str">
        <f>IF(archive!CK300="","",archive!CK300)</f>
        <v/>
      </c>
      <c r="J300" s="47" t="str">
        <f t="shared" si="59"/>
        <v/>
      </c>
      <c r="K300" s="51" t="str">
        <f t="shared" si="60"/>
        <v/>
      </c>
      <c r="L300" s="52" t="str">
        <f t="shared" si="61"/>
        <v/>
      </c>
      <c r="M300" s="53" t="str">
        <f t="shared" si="62"/>
        <v/>
      </c>
      <c r="N300" s="53" t="str">
        <f t="shared" si="63"/>
        <v/>
      </c>
      <c r="O300" s="53" t="str">
        <f t="shared" si="64"/>
        <v/>
      </c>
      <c r="P300" s="53" t="str">
        <f t="shared" si="65"/>
        <v/>
      </c>
      <c r="Q300" s="53" t="str">
        <f t="shared" si="66"/>
        <v/>
      </c>
      <c r="R300" s="53" t="str">
        <f t="shared" si="67"/>
        <v/>
      </c>
      <c r="S300" s="53" t="str">
        <f t="shared" si="68"/>
        <v/>
      </c>
      <c r="T300" s="53" t="str">
        <f t="shared" si="69"/>
        <v/>
      </c>
    </row>
    <row r="301" spans="1:20">
      <c r="A301" s="47" t="str">
        <f>IF(archive!E301="","",archive!E301)</f>
        <v/>
      </c>
      <c r="B301" s="48" t="str">
        <f t="shared" si="56"/>
        <v/>
      </c>
      <c r="C301" s="49" t="str">
        <f>IF(archive!F301="","",archive!F301)</f>
        <v/>
      </c>
      <c r="D301" s="50" t="str">
        <f t="shared" si="57"/>
        <v/>
      </c>
      <c r="E301" s="50" t="str">
        <f t="shared" si="58"/>
        <v/>
      </c>
      <c r="F301" s="47" t="str">
        <f>IF(COUNTA(archive!H301:CI301)=0,"",COUNTA(archive!H301:CI301))</f>
        <v/>
      </c>
      <c r="G301" s="47" t="str">
        <f>IF(archive!G301="","",archive!G301)</f>
        <v/>
      </c>
      <c r="H301" s="51" t="str">
        <f>IF(archive!CJ301="","",archive!CJ301)</f>
        <v/>
      </c>
      <c r="I301" s="51" t="str">
        <f>IF(archive!CK301="","",archive!CK301)</f>
        <v/>
      </c>
      <c r="J301" s="47" t="str">
        <f t="shared" si="59"/>
        <v/>
      </c>
      <c r="K301" s="51" t="str">
        <f t="shared" si="60"/>
        <v/>
      </c>
      <c r="L301" s="52" t="str">
        <f t="shared" si="61"/>
        <v/>
      </c>
      <c r="M301" s="53" t="str">
        <f t="shared" si="62"/>
        <v/>
      </c>
      <c r="N301" s="53" t="str">
        <f t="shared" si="63"/>
        <v/>
      </c>
      <c r="O301" s="53" t="str">
        <f t="shared" si="64"/>
        <v/>
      </c>
      <c r="P301" s="53" t="str">
        <f t="shared" si="65"/>
        <v/>
      </c>
      <c r="Q301" s="53" t="str">
        <f t="shared" si="66"/>
        <v/>
      </c>
      <c r="R301" s="53" t="str">
        <f t="shared" si="67"/>
        <v/>
      </c>
      <c r="S301" s="53" t="str">
        <f t="shared" si="68"/>
        <v/>
      </c>
      <c r="T301" s="53" t="str">
        <f t="shared" si="69"/>
        <v/>
      </c>
    </row>
    <row r="302" spans="1:20">
      <c r="A302" s="47" t="str">
        <f>IF(archive!E302="","",archive!E302)</f>
        <v/>
      </c>
      <c r="B302" s="48" t="str">
        <f t="shared" si="56"/>
        <v/>
      </c>
      <c r="C302" s="49" t="str">
        <f>IF(archive!F302="","",archive!F302)</f>
        <v/>
      </c>
      <c r="D302" s="50" t="str">
        <f t="shared" si="57"/>
        <v/>
      </c>
      <c r="E302" s="50" t="str">
        <f t="shared" si="58"/>
        <v/>
      </c>
      <c r="F302" s="47" t="str">
        <f>IF(COUNTA(archive!H302:CI302)=0,"",COUNTA(archive!H302:CI302))</f>
        <v/>
      </c>
      <c r="G302" s="47" t="str">
        <f>IF(archive!G302="","",archive!G302)</f>
        <v/>
      </c>
      <c r="H302" s="51" t="str">
        <f>IF(archive!CJ302="","",archive!CJ302)</f>
        <v/>
      </c>
      <c r="I302" s="51" t="str">
        <f>IF(archive!CK302="","",archive!CK302)</f>
        <v/>
      </c>
      <c r="J302" s="47" t="str">
        <f t="shared" si="59"/>
        <v/>
      </c>
      <c r="K302" s="51" t="str">
        <f t="shared" si="60"/>
        <v/>
      </c>
      <c r="L302" s="52" t="str">
        <f t="shared" si="61"/>
        <v/>
      </c>
      <c r="M302" s="53" t="str">
        <f t="shared" si="62"/>
        <v/>
      </c>
      <c r="N302" s="53" t="str">
        <f t="shared" si="63"/>
        <v/>
      </c>
      <c r="O302" s="53" t="str">
        <f t="shared" si="64"/>
        <v/>
      </c>
      <c r="P302" s="53" t="str">
        <f t="shared" si="65"/>
        <v/>
      </c>
      <c r="Q302" s="53" t="str">
        <f t="shared" si="66"/>
        <v/>
      </c>
      <c r="R302" s="53" t="str">
        <f t="shared" si="67"/>
        <v/>
      </c>
      <c r="S302" s="53" t="str">
        <f t="shared" si="68"/>
        <v/>
      </c>
      <c r="T302" s="53" t="str">
        <f t="shared" si="69"/>
        <v/>
      </c>
    </row>
    <row r="303" spans="1:20">
      <c r="A303" s="47" t="str">
        <f>IF(archive!E303="","",archive!E303)</f>
        <v/>
      </c>
      <c r="B303" s="48" t="str">
        <f t="shared" si="56"/>
        <v/>
      </c>
      <c r="C303" s="49" t="str">
        <f>IF(archive!F303="","",archive!F303)</f>
        <v/>
      </c>
      <c r="D303" s="50" t="str">
        <f t="shared" si="57"/>
        <v/>
      </c>
      <c r="E303" s="50" t="str">
        <f t="shared" si="58"/>
        <v/>
      </c>
      <c r="F303" s="47" t="str">
        <f>IF(COUNTA(archive!H303:CI303)=0,"",COUNTA(archive!H303:CI303))</f>
        <v/>
      </c>
      <c r="G303" s="47" t="str">
        <f>IF(archive!G303="","",archive!G303)</f>
        <v/>
      </c>
      <c r="H303" s="51" t="str">
        <f>IF(archive!CJ303="","",archive!CJ303)</f>
        <v/>
      </c>
      <c r="I303" s="51" t="str">
        <f>IF(archive!CK303="","",archive!CK303)</f>
        <v/>
      </c>
      <c r="J303" s="47" t="str">
        <f t="shared" si="59"/>
        <v/>
      </c>
      <c r="K303" s="51" t="str">
        <f t="shared" si="60"/>
        <v/>
      </c>
      <c r="L303" s="52" t="str">
        <f t="shared" si="61"/>
        <v/>
      </c>
      <c r="M303" s="53" t="str">
        <f t="shared" si="62"/>
        <v/>
      </c>
      <c r="N303" s="53" t="str">
        <f t="shared" si="63"/>
        <v/>
      </c>
      <c r="O303" s="53" t="str">
        <f t="shared" si="64"/>
        <v/>
      </c>
      <c r="P303" s="53" t="str">
        <f t="shared" si="65"/>
        <v/>
      </c>
      <c r="Q303" s="53" t="str">
        <f t="shared" si="66"/>
        <v/>
      </c>
      <c r="R303" s="53" t="str">
        <f t="shared" si="67"/>
        <v/>
      </c>
      <c r="S303" s="53" t="str">
        <f t="shared" si="68"/>
        <v/>
      </c>
      <c r="T303" s="53" t="str">
        <f t="shared" si="69"/>
        <v/>
      </c>
    </row>
    <row r="304" spans="1:20">
      <c r="A304" s="47" t="str">
        <f>IF(archive!E304="","",archive!E304)</f>
        <v/>
      </c>
      <c r="B304" s="48" t="str">
        <f t="shared" si="56"/>
        <v/>
      </c>
      <c r="C304" s="49" t="str">
        <f>IF(archive!F304="","",archive!F304)</f>
        <v/>
      </c>
      <c r="D304" s="50" t="str">
        <f t="shared" si="57"/>
        <v/>
      </c>
      <c r="E304" s="50" t="str">
        <f t="shared" si="58"/>
        <v/>
      </c>
      <c r="F304" s="47" t="str">
        <f>IF(COUNTA(archive!H304:CI304)=0,"",COUNTA(archive!H304:CI304))</f>
        <v/>
      </c>
      <c r="G304" s="47" t="str">
        <f>IF(archive!G304="","",archive!G304)</f>
        <v/>
      </c>
      <c r="H304" s="51" t="str">
        <f>IF(archive!CJ304="","",archive!CJ304)</f>
        <v/>
      </c>
      <c r="I304" s="51" t="str">
        <f>IF(archive!CK304="","",archive!CK304)</f>
        <v/>
      </c>
      <c r="J304" s="47" t="str">
        <f t="shared" si="59"/>
        <v/>
      </c>
      <c r="K304" s="51" t="str">
        <f t="shared" si="60"/>
        <v/>
      </c>
      <c r="L304" s="52" t="str">
        <f t="shared" si="61"/>
        <v/>
      </c>
      <c r="M304" s="53" t="str">
        <f t="shared" si="62"/>
        <v/>
      </c>
      <c r="N304" s="53" t="str">
        <f t="shared" si="63"/>
        <v/>
      </c>
      <c r="O304" s="53" t="str">
        <f t="shared" si="64"/>
        <v/>
      </c>
      <c r="P304" s="53" t="str">
        <f t="shared" si="65"/>
        <v/>
      </c>
      <c r="Q304" s="53" t="str">
        <f t="shared" si="66"/>
        <v/>
      </c>
      <c r="R304" s="53" t="str">
        <f t="shared" si="67"/>
        <v/>
      </c>
      <c r="S304" s="53" t="str">
        <f t="shared" si="68"/>
        <v/>
      </c>
      <c r="T304" s="53" t="str">
        <f t="shared" si="69"/>
        <v/>
      </c>
    </row>
    <row r="305" spans="1:20">
      <c r="A305" s="47" t="str">
        <f>IF(archive!E305="","",archive!E305)</f>
        <v/>
      </c>
      <c r="B305" s="48" t="str">
        <f t="shared" si="56"/>
        <v/>
      </c>
      <c r="C305" s="49" t="str">
        <f>IF(archive!F305="","",archive!F305)</f>
        <v/>
      </c>
      <c r="D305" s="50" t="str">
        <f t="shared" si="57"/>
        <v/>
      </c>
      <c r="E305" s="50" t="str">
        <f t="shared" si="58"/>
        <v/>
      </c>
      <c r="F305" s="47" t="str">
        <f>IF(COUNTA(archive!H305:CI305)=0,"",COUNTA(archive!H305:CI305))</f>
        <v/>
      </c>
      <c r="G305" s="47" t="str">
        <f>IF(archive!G305="","",archive!G305)</f>
        <v/>
      </c>
      <c r="H305" s="51" t="str">
        <f>IF(archive!CJ305="","",archive!CJ305)</f>
        <v/>
      </c>
      <c r="I305" s="51" t="str">
        <f>IF(archive!CK305="","",archive!CK305)</f>
        <v/>
      </c>
      <c r="J305" s="47" t="str">
        <f t="shared" si="59"/>
        <v/>
      </c>
      <c r="K305" s="51" t="str">
        <f t="shared" si="60"/>
        <v/>
      </c>
      <c r="L305" s="52" t="str">
        <f t="shared" si="61"/>
        <v/>
      </c>
      <c r="M305" s="53" t="str">
        <f t="shared" si="62"/>
        <v/>
      </c>
      <c r="N305" s="53" t="str">
        <f t="shared" si="63"/>
        <v/>
      </c>
      <c r="O305" s="53" t="str">
        <f t="shared" si="64"/>
        <v/>
      </c>
      <c r="P305" s="53" t="str">
        <f t="shared" si="65"/>
        <v/>
      </c>
      <c r="Q305" s="53" t="str">
        <f t="shared" si="66"/>
        <v/>
      </c>
      <c r="R305" s="53" t="str">
        <f t="shared" si="67"/>
        <v/>
      </c>
      <c r="S305" s="53" t="str">
        <f t="shared" si="68"/>
        <v/>
      </c>
      <c r="T305" s="53" t="str">
        <f t="shared" si="69"/>
        <v/>
      </c>
    </row>
    <row r="306" spans="1:20">
      <c r="A306" s="47" t="str">
        <f>IF(archive!E306="","",archive!E306)</f>
        <v/>
      </c>
      <c r="B306" s="48" t="str">
        <f t="shared" si="56"/>
        <v/>
      </c>
      <c r="C306" s="49" t="str">
        <f>IF(archive!F306="","",archive!F306)</f>
        <v/>
      </c>
      <c r="D306" s="50" t="str">
        <f t="shared" si="57"/>
        <v/>
      </c>
      <c r="E306" s="50" t="str">
        <f t="shared" si="58"/>
        <v/>
      </c>
      <c r="F306" s="47" t="str">
        <f>IF(COUNTA(archive!H306:CI306)=0,"",COUNTA(archive!H306:CI306))</f>
        <v/>
      </c>
      <c r="G306" s="47" t="str">
        <f>IF(archive!G306="","",archive!G306)</f>
        <v/>
      </c>
      <c r="H306" s="51" t="str">
        <f>IF(archive!CJ306="","",archive!CJ306)</f>
        <v/>
      </c>
      <c r="I306" s="51" t="str">
        <f>IF(archive!CK306="","",archive!CK306)</f>
        <v/>
      </c>
      <c r="J306" s="47" t="str">
        <f t="shared" si="59"/>
        <v/>
      </c>
      <c r="K306" s="51" t="str">
        <f t="shared" si="60"/>
        <v/>
      </c>
      <c r="L306" s="52" t="str">
        <f t="shared" si="61"/>
        <v/>
      </c>
      <c r="M306" s="53" t="str">
        <f t="shared" si="62"/>
        <v/>
      </c>
      <c r="N306" s="53" t="str">
        <f t="shared" si="63"/>
        <v/>
      </c>
      <c r="O306" s="53" t="str">
        <f t="shared" si="64"/>
        <v/>
      </c>
      <c r="P306" s="53" t="str">
        <f t="shared" si="65"/>
        <v/>
      </c>
      <c r="Q306" s="53" t="str">
        <f t="shared" si="66"/>
        <v/>
      </c>
      <c r="R306" s="53" t="str">
        <f t="shared" si="67"/>
        <v/>
      </c>
      <c r="S306" s="53" t="str">
        <f t="shared" si="68"/>
        <v/>
      </c>
      <c r="T306" s="53" t="str">
        <f t="shared" si="69"/>
        <v/>
      </c>
    </row>
    <row r="307" spans="1:20">
      <c r="A307" s="47" t="str">
        <f>IF(archive!E307="","",archive!E307)</f>
        <v/>
      </c>
      <c r="B307" s="48" t="str">
        <f t="shared" si="56"/>
        <v/>
      </c>
      <c r="C307" s="49" t="str">
        <f>IF(archive!F307="","",archive!F307)</f>
        <v/>
      </c>
      <c r="D307" s="50" t="str">
        <f t="shared" si="57"/>
        <v/>
      </c>
      <c r="E307" s="50" t="str">
        <f t="shared" si="58"/>
        <v/>
      </c>
      <c r="F307" s="47" t="str">
        <f>IF(COUNTA(archive!H307:CI307)=0,"",COUNTA(archive!H307:CI307))</f>
        <v/>
      </c>
      <c r="G307" s="47" t="str">
        <f>IF(archive!G307="","",archive!G307)</f>
        <v/>
      </c>
      <c r="H307" s="51" t="str">
        <f>IF(archive!CJ307="","",archive!CJ307)</f>
        <v/>
      </c>
      <c r="I307" s="51" t="str">
        <f>IF(archive!CK307="","",archive!CK307)</f>
        <v/>
      </c>
      <c r="J307" s="47" t="str">
        <f t="shared" si="59"/>
        <v/>
      </c>
      <c r="K307" s="51" t="str">
        <f t="shared" si="60"/>
        <v/>
      </c>
      <c r="L307" s="52" t="str">
        <f t="shared" si="61"/>
        <v/>
      </c>
      <c r="M307" s="53" t="str">
        <f t="shared" si="62"/>
        <v/>
      </c>
      <c r="N307" s="53" t="str">
        <f t="shared" si="63"/>
        <v/>
      </c>
      <c r="O307" s="53" t="str">
        <f t="shared" si="64"/>
        <v/>
      </c>
      <c r="P307" s="53" t="str">
        <f t="shared" si="65"/>
        <v/>
      </c>
      <c r="Q307" s="53" t="str">
        <f t="shared" si="66"/>
        <v/>
      </c>
      <c r="R307" s="53" t="str">
        <f t="shared" si="67"/>
        <v/>
      </c>
      <c r="S307" s="53" t="str">
        <f t="shared" si="68"/>
        <v/>
      </c>
      <c r="T307" s="53" t="str">
        <f t="shared" si="69"/>
        <v/>
      </c>
    </row>
    <row r="308" spans="1:20">
      <c r="A308" s="47" t="str">
        <f>IF(archive!E308="","",archive!E308)</f>
        <v/>
      </c>
      <c r="B308" s="48" t="str">
        <f t="shared" si="56"/>
        <v/>
      </c>
      <c r="C308" s="49" t="str">
        <f>IF(archive!F308="","",archive!F308)</f>
        <v/>
      </c>
      <c r="D308" s="50" t="str">
        <f t="shared" si="57"/>
        <v/>
      </c>
      <c r="E308" s="50" t="str">
        <f t="shared" si="58"/>
        <v/>
      </c>
      <c r="F308" s="47" t="str">
        <f>IF(COUNTA(archive!H308:CI308)=0,"",COUNTA(archive!H308:CI308))</f>
        <v/>
      </c>
      <c r="G308" s="47" t="str">
        <f>IF(archive!G308="","",archive!G308)</f>
        <v/>
      </c>
      <c r="H308" s="51" t="str">
        <f>IF(archive!CJ308="","",archive!CJ308)</f>
        <v/>
      </c>
      <c r="I308" s="51" t="str">
        <f>IF(archive!CK308="","",archive!CK308)</f>
        <v/>
      </c>
      <c r="J308" s="47" t="str">
        <f t="shared" si="59"/>
        <v/>
      </c>
      <c r="K308" s="51" t="str">
        <f t="shared" si="60"/>
        <v/>
      </c>
      <c r="L308" s="52" t="str">
        <f t="shared" si="61"/>
        <v/>
      </c>
      <c r="M308" s="53" t="str">
        <f t="shared" si="62"/>
        <v/>
      </c>
      <c r="N308" s="53" t="str">
        <f t="shared" si="63"/>
        <v/>
      </c>
      <c r="O308" s="53" t="str">
        <f t="shared" si="64"/>
        <v/>
      </c>
      <c r="P308" s="53" t="str">
        <f t="shared" si="65"/>
        <v/>
      </c>
      <c r="Q308" s="53" t="str">
        <f t="shared" si="66"/>
        <v/>
      </c>
      <c r="R308" s="53" t="str">
        <f t="shared" si="67"/>
        <v/>
      </c>
      <c r="S308" s="53" t="str">
        <f t="shared" si="68"/>
        <v/>
      </c>
      <c r="T308" s="53" t="str">
        <f t="shared" si="69"/>
        <v/>
      </c>
    </row>
    <row r="309" spans="1:20">
      <c r="A309" s="47" t="str">
        <f>IF(archive!E309="","",archive!E309)</f>
        <v/>
      </c>
      <c r="B309" s="48" t="str">
        <f t="shared" si="56"/>
        <v/>
      </c>
      <c r="C309" s="49" t="str">
        <f>IF(archive!F309="","",archive!F309)</f>
        <v/>
      </c>
      <c r="D309" s="50" t="str">
        <f t="shared" si="57"/>
        <v/>
      </c>
      <c r="E309" s="50" t="str">
        <f t="shared" si="58"/>
        <v/>
      </c>
      <c r="F309" s="47" t="str">
        <f>IF(COUNTA(archive!H309:CI309)=0,"",COUNTA(archive!H309:CI309))</f>
        <v/>
      </c>
      <c r="G309" s="47" t="str">
        <f>IF(archive!G309="","",archive!G309)</f>
        <v/>
      </c>
      <c r="H309" s="51" t="str">
        <f>IF(archive!CJ309="","",archive!CJ309)</f>
        <v/>
      </c>
      <c r="I309" s="51" t="str">
        <f>IF(archive!CK309="","",archive!CK309)</f>
        <v/>
      </c>
      <c r="J309" s="47" t="str">
        <f t="shared" si="59"/>
        <v/>
      </c>
      <c r="K309" s="51" t="str">
        <f t="shared" si="60"/>
        <v/>
      </c>
      <c r="L309" s="52" t="str">
        <f t="shared" si="61"/>
        <v/>
      </c>
      <c r="M309" s="53" t="str">
        <f t="shared" si="62"/>
        <v/>
      </c>
      <c r="N309" s="53" t="str">
        <f t="shared" si="63"/>
        <v/>
      </c>
      <c r="O309" s="53" t="str">
        <f t="shared" si="64"/>
        <v/>
      </c>
      <c r="P309" s="53" t="str">
        <f t="shared" si="65"/>
        <v/>
      </c>
      <c r="Q309" s="53" t="str">
        <f t="shared" si="66"/>
        <v/>
      </c>
      <c r="R309" s="53" t="str">
        <f t="shared" si="67"/>
        <v/>
      </c>
      <c r="S309" s="53" t="str">
        <f t="shared" si="68"/>
        <v/>
      </c>
      <c r="T309" s="53" t="str">
        <f t="shared" si="69"/>
        <v/>
      </c>
    </row>
    <row r="310" spans="1:20">
      <c r="A310" s="47" t="str">
        <f>IF(archive!E310="","",archive!E310)</f>
        <v/>
      </c>
      <c r="B310" s="48" t="str">
        <f t="shared" si="56"/>
        <v/>
      </c>
      <c r="C310" s="49" t="str">
        <f>IF(archive!F310="","",archive!F310)</f>
        <v/>
      </c>
      <c r="D310" s="50" t="str">
        <f t="shared" si="57"/>
        <v/>
      </c>
      <c r="E310" s="50" t="str">
        <f t="shared" si="58"/>
        <v/>
      </c>
      <c r="F310" s="47" t="str">
        <f>IF(COUNTA(archive!H310:CI310)=0,"",COUNTA(archive!H310:CI310))</f>
        <v/>
      </c>
      <c r="G310" s="47" t="str">
        <f>IF(archive!G310="","",archive!G310)</f>
        <v/>
      </c>
      <c r="H310" s="51" t="str">
        <f>IF(archive!CJ310="","",archive!CJ310)</f>
        <v/>
      </c>
      <c r="I310" s="51" t="str">
        <f>IF(archive!CK310="","",archive!CK310)</f>
        <v/>
      </c>
      <c r="J310" s="47" t="str">
        <f t="shared" si="59"/>
        <v/>
      </c>
      <c r="K310" s="51" t="str">
        <f t="shared" si="60"/>
        <v/>
      </c>
      <c r="L310" s="52" t="str">
        <f t="shared" si="61"/>
        <v/>
      </c>
      <c r="M310" s="53" t="str">
        <f t="shared" si="62"/>
        <v/>
      </c>
      <c r="N310" s="53" t="str">
        <f t="shared" si="63"/>
        <v/>
      </c>
      <c r="O310" s="53" t="str">
        <f t="shared" si="64"/>
        <v/>
      </c>
      <c r="P310" s="53" t="str">
        <f t="shared" si="65"/>
        <v/>
      </c>
      <c r="Q310" s="53" t="str">
        <f t="shared" si="66"/>
        <v/>
      </c>
      <c r="R310" s="53" t="str">
        <f t="shared" si="67"/>
        <v/>
      </c>
      <c r="S310" s="53" t="str">
        <f t="shared" si="68"/>
        <v/>
      </c>
      <c r="T310" s="53" t="str">
        <f t="shared" si="69"/>
        <v/>
      </c>
    </row>
    <row r="311" spans="1:20">
      <c r="A311" s="47" t="str">
        <f>IF(archive!E311="","",archive!E311)</f>
        <v/>
      </c>
      <c r="B311" s="48" t="str">
        <f t="shared" si="56"/>
        <v/>
      </c>
      <c r="C311" s="49" t="str">
        <f>IF(archive!F311="","",archive!F311)</f>
        <v/>
      </c>
      <c r="D311" s="50" t="str">
        <f t="shared" si="57"/>
        <v/>
      </c>
      <c r="E311" s="50" t="str">
        <f t="shared" si="58"/>
        <v/>
      </c>
      <c r="F311" s="47" t="str">
        <f>IF(COUNTA(archive!H311:CI311)=0,"",COUNTA(archive!H311:CI311))</f>
        <v/>
      </c>
      <c r="G311" s="47" t="str">
        <f>IF(archive!G311="","",archive!G311)</f>
        <v/>
      </c>
      <c r="H311" s="51" t="str">
        <f>IF(archive!CJ311="","",archive!CJ311)</f>
        <v/>
      </c>
      <c r="I311" s="51" t="str">
        <f>IF(archive!CK311="","",archive!CK311)</f>
        <v/>
      </c>
      <c r="J311" s="47" t="str">
        <f t="shared" si="59"/>
        <v/>
      </c>
      <c r="K311" s="51" t="str">
        <f t="shared" si="60"/>
        <v/>
      </c>
      <c r="L311" s="52" t="str">
        <f t="shared" si="61"/>
        <v/>
      </c>
      <c r="M311" s="53" t="str">
        <f t="shared" si="62"/>
        <v/>
      </c>
      <c r="N311" s="53" t="str">
        <f t="shared" si="63"/>
        <v/>
      </c>
      <c r="O311" s="53" t="str">
        <f t="shared" si="64"/>
        <v/>
      </c>
      <c r="P311" s="53" t="str">
        <f t="shared" si="65"/>
        <v/>
      </c>
      <c r="Q311" s="53" t="str">
        <f t="shared" si="66"/>
        <v/>
      </c>
      <c r="R311" s="53" t="str">
        <f t="shared" si="67"/>
        <v/>
      </c>
      <c r="S311" s="53" t="str">
        <f t="shared" si="68"/>
        <v/>
      </c>
      <c r="T311" s="53" t="str">
        <f t="shared" si="69"/>
        <v/>
      </c>
    </row>
    <row r="312" spans="1:20">
      <c r="A312" s="47" t="str">
        <f>IF(archive!E312="","",archive!E312)</f>
        <v/>
      </c>
      <c r="B312" s="48" t="str">
        <f t="shared" si="56"/>
        <v/>
      </c>
      <c r="C312" s="49" t="str">
        <f>IF(archive!F312="","",archive!F312)</f>
        <v/>
      </c>
      <c r="D312" s="50" t="str">
        <f t="shared" si="57"/>
        <v/>
      </c>
      <c r="E312" s="50" t="str">
        <f t="shared" si="58"/>
        <v/>
      </c>
      <c r="F312" s="47" t="str">
        <f>IF(COUNTA(archive!H312:CI312)=0,"",COUNTA(archive!H312:CI312))</f>
        <v/>
      </c>
      <c r="G312" s="47" t="str">
        <f>IF(archive!G312="","",archive!G312)</f>
        <v/>
      </c>
      <c r="H312" s="51" t="str">
        <f>IF(archive!CJ312="","",archive!CJ312)</f>
        <v/>
      </c>
      <c r="I312" s="51" t="str">
        <f>IF(archive!CK312="","",archive!CK312)</f>
        <v/>
      </c>
      <c r="J312" s="47" t="str">
        <f t="shared" si="59"/>
        <v/>
      </c>
      <c r="K312" s="51" t="str">
        <f t="shared" si="60"/>
        <v/>
      </c>
      <c r="L312" s="52" t="str">
        <f t="shared" si="61"/>
        <v/>
      </c>
      <c r="M312" s="53" t="str">
        <f t="shared" si="62"/>
        <v/>
      </c>
      <c r="N312" s="53" t="str">
        <f t="shared" si="63"/>
        <v/>
      </c>
      <c r="O312" s="53" t="str">
        <f t="shared" si="64"/>
        <v/>
      </c>
      <c r="P312" s="53" t="str">
        <f t="shared" si="65"/>
        <v/>
      </c>
      <c r="Q312" s="53" t="str">
        <f t="shared" si="66"/>
        <v/>
      </c>
      <c r="R312" s="53" t="str">
        <f t="shared" si="67"/>
        <v/>
      </c>
      <c r="S312" s="53" t="str">
        <f t="shared" si="68"/>
        <v/>
      </c>
      <c r="T312" s="53" t="str">
        <f t="shared" si="69"/>
        <v/>
      </c>
    </row>
    <row r="313" spans="1:20">
      <c r="A313" s="47" t="str">
        <f>IF(archive!E313="","",archive!E313)</f>
        <v/>
      </c>
      <c r="B313" s="48" t="str">
        <f t="shared" si="56"/>
        <v/>
      </c>
      <c r="C313" s="49" t="str">
        <f>IF(archive!F313="","",archive!F313)</f>
        <v/>
      </c>
      <c r="D313" s="50" t="str">
        <f t="shared" si="57"/>
        <v/>
      </c>
      <c r="E313" s="50" t="str">
        <f t="shared" si="58"/>
        <v/>
      </c>
      <c r="F313" s="47" t="str">
        <f>IF(COUNTA(archive!H313:CI313)=0,"",COUNTA(archive!H313:CI313))</f>
        <v/>
      </c>
      <c r="G313" s="47" t="str">
        <f>IF(archive!G313="","",archive!G313)</f>
        <v/>
      </c>
      <c r="H313" s="51" t="str">
        <f>IF(archive!CJ313="","",archive!CJ313)</f>
        <v/>
      </c>
      <c r="I313" s="51" t="str">
        <f>IF(archive!CK313="","",archive!CK313)</f>
        <v/>
      </c>
      <c r="J313" s="47" t="str">
        <f t="shared" si="59"/>
        <v/>
      </c>
      <c r="K313" s="51" t="str">
        <f t="shared" si="60"/>
        <v/>
      </c>
      <c r="L313" s="52" t="str">
        <f t="shared" si="61"/>
        <v/>
      </c>
      <c r="M313" s="53" t="str">
        <f t="shared" si="62"/>
        <v/>
      </c>
      <c r="N313" s="53" t="str">
        <f t="shared" si="63"/>
        <v/>
      </c>
      <c r="O313" s="53" t="str">
        <f t="shared" si="64"/>
        <v/>
      </c>
      <c r="P313" s="53" t="str">
        <f t="shared" si="65"/>
        <v/>
      </c>
      <c r="Q313" s="53" t="str">
        <f t="shared" si="66"/>
        <v/>
      </c>
      <c r="R313" s="53" t="str">
        <f t="shared" si="67"/>
        <v/>
      </c>
      <c r="S313" s="53" t="str">
        <f t="shared" si="68"/>
        <v/>
      </c>
      <c r="T313" s="53" t="str">
        <f t="shared" si="69"/>
        <v/>
      </c>
    </row>
    <row r="314" spans="1:20">
      <c r="A314" s="47" t="str">
        <f>IF(archive!E314="","",archive!E314)</f>
        <v/>
      </c>
      <c r="B314" s="48" t="str">
        <f t="shared" si="56"/>
        <v/>
      </c>
      <c r="C314" s="49" t="str">
        <f>IF(archive!F314="","",archive!F314)</f>
        <v/>
      </c>
      <c r="D314" s="50" t="str">
        <f t="shared" si="57"/>
        <v/>
      </c>
      <c r="E314" s="50" t="str">
        <f t="shared" si="58"/>
        <v/>
      </c>
      <c r="F314" s="47" t="str">
        <f>IF(COUNTA(archive!H314:CI314)=0,"",COUNTA(archive!H314:CI314))</f>
        <v/>
      </c>
      <c r="G314" s="47" t="str">
        <f>IF(archive!G314="","",archive!G314)</f>
        <v/>
      </c>
      <c r="H314" s="51" t="str">
        <f>IF(archive!CJ314="","",archive!CJ314)</f>
        <v/>
      </c>
      <c r="I314" s="51" t="str">
        <f>IF(archive!CK314="","",archive!CK314)</f>
        <v/>
      </c>
      <c r="J314" s="47" t="str">
        <f t="shared" si="59"/>
        <v/>
      </c>
      <c r="K314" s="51" t="str">
        <f t="shared" si="60"/>
        <v/>
      </c>
      <c r="L314" s="52" t="str">
        <f t="shared" si="61"/>
        <v/>
      </c>
      <c r="M314" s="53" t="str">
        <f t="shared" si="62"/>
        <v/>
      </c>
      <c r="N314" s="53" t="str">
        <f t="shared" si="63"/>
        <v/>
      </c>
      <c r="O314" s="53" t="str">
        <f t="shared" si="64"/>
        <v/>
      </c>
      <c r="P314" s="53" t="str">
        <f t="shared" si="65"/>
        <v/>
      </c>
      <c r="Q314" s="53" t="str">
        <f t="shared" si="66"/>
        <v/>
      </c>
      <c r="R314" s="53" t="str">
        <f t="shared" si="67"/>
        <v/>
      </c>
      <c r="S314" s="53" t="str">
        <f t="shared" si="68"/>
        <v/>
      </c>
      <c r="T314" s="53" t="str">
        <f t="shared" si="69"/>
        <v/>
      </c>
    </row>
    <row r="315" spans="1:20">
      <c r="A315" s="47" t="str">
        <f>IF(archive!E315="","",archive!E315)</f>
        <v/>
      </c>
      <c r="B315" s="48" t="str">
        <f t="shared" si="56"/>
        <v/>
      </c>
      <c r="C315" s="49" t="str">
        <f>IF(archive!F315="","",archive!F315)</f>
        <v/>
      </c>
      <c r="D315" s="50" t="str">
        <f t="shared" si="57"/>
        <v/>
      </c>
      <c r="E315" s="50" t="str">
        <f t="shared" si="58"/>
        <v/>
      </c>
      <c r="F315" s="47" t="str">
        <f>IF(COUNTA(archive!H315:CI315)=0,"",COUNTA(archive!H315:CI315))</f>
        <v/>
      </c>
      <c r="G315" s="47" t="str">
        <f>IF(archive!G315="","",archive!G315)</f>
        <v/>
      </c>
      <c r="H315" s="51" t="str">
        <f>IF(archive!CJ315="","",archive!CJ315)</f>
        <v/>
      </c>
      <c r="I315" s="51" t="str">
        <f>IF(archive!CK315="","",archive!CK315)</f>
        <v/>
      </c>
      <c r="J315" s="47" t="str">
        <f t="shared" si="59"/>
        <v/>
      </c>
      <c r="K315" s="51" t="str">
        <f t="shared" si="60"/>
        <v/>
      </c>
      <c r="L315" s="52" t="str">
        <f t="shared" si="61"/>
        <v/>
      </c>
      <c r="M315" s="53" t="str">
        <f t="shared" si="62"/>
        <v/>
      </c>
      <c r="N315" s="53" t="str">
        <f t="shared" si="63"/>
        <v/>
      </c>
      <c r="O315" s="53" t="str">
        <f t="shared" si="64"/>
        <v/>
      </c>
      <c r="P315" s="53" t="str">
        <f t="shared" si="65"/>
        <v/>
      </c>
      <c r="Q315" s="53" t="str">
        <f t="shared" si="66"/>
        <v/>
      </c>
      <c r="R315" s="53" t="str">
        <f t="shared" si="67"/>
        <v/>
      </c>
      <c r="S315" s="53" t="str">
        <f t="shared" si="68"/>
        <v/>
      </c>
      <c r="T315" s="53" t="str">
        <f t="shared" si="69"/>
        <v/>
      </c>
    </row>
    <row r="316" spans="1:20">
      <c r="A316" s="47" t="str">
        <f>IF(archive!E316="","",archive!E316)</f>
        <v/>
      </c>
      <c r="B316" s="48" t="str">
        <f t="shared" si="56"/>
        <v/>
      </c>
      <c r="C316" s="49" t="str">
        <f>IF(archive!F316="","",archive!F316)</f>
        <v/>
      </c>
      <c r="D316" s="50" t="str">
        <f t="shared" si="57"/>
        <v/>
      </c>
      <c r="E316" s="50" t="str">
        <f t="shared" si="58"/>
        <v/>
      </c>
      <c r="F316" s="47" t="str">
        <f>IF(COUNTA(archive!H316:CI316)=0,"",COUNTA(archive!H316:CI316))</f>
        <v/>
      </c>
      <c r="G316" s="47" t="str">
        <f>IF(archive!G316="","",archive!G316)</f>
        <v/>
      </c>
      <c r="H316" s="51" t="str">
        <f>IF(archive!CJ316="","",archive!CJ316)</f>
        <v/>
      </c>
      <c r="I316" s="51" t="str">
        <f>IF(archive!CK316="","",archive!CK316)</f>
        <v/>
      </c>
      <c r="J316" s="47" t="str">
        <f t="shared" si="59"/>
        <v/>
      </c>
      <c r="K316" s="51" t="str">
        <f t="shared" si="60"/>
        <v/>
      </c>
      <c r="L316" s="52" t="str">
        <f t="shared" si="61"/>
        <v/>
      </c>
      <c r="M316" s="53" t="str">
        <f t="shared" si="62"/>
        <v/>
      </c>
      <c r="N316" s="53" t="str">
        <f t="shared" si="63"/>
        <v/>
      </c>
      <c r="O316" s="53" t="str">
        <f t="shared" si="64"/>
        <v/>
      </c>
      <c r="P316" s="53" t="str">
        <f t="shared" si="65"/>
        <v/>
      </c>
      <c r="Q316" s="53" t="str">
        <f t="shared" si="66"/>
        <v/>
      </c>
      <c r="R316" s="53" t="str">
        <f t="shared" si="67"/>
        <v/>
      </c>
      <c r="S316" s="53" t="str">
        <f t="shared" si="68"/>
        <v/>
      </c>
      <c r="T316" s="53" t="str">
        <f t="shared" si="69"/>
        <v/>
      </c>
    </row>
    <row r="317" spans="1:20">
      <c r="A317" s="47" t="str">
        <f>IF(archive!E317="","",archive!E317)</f>
        <v/>
      </c>
      <c r="B317" s="48" t="str">
        <f t="shared" si="56"/>
        <v/>
      </c>
      <c r="C317" s="49" t="str">
        <f>IF(archive!F317="","",archive!F317)</f>
        <v/>
      </c>
      <c r="D317" s="50" t="str">
        <f t="shared" si="57"/>
        <v/>
      </c>
      <c r="E317" s="50" t="str">
        <f t="shared" si="58"/>
        <v/>
      </c>
      <c r="F317" s="47" t="str">
        <f>IF(COUNTA(archive!H317:CI317)=0,"",COUNTA(archive!H317:CI317))</f>
        <v/>
      </c>
      <c r="G317" s="47" t="str">
        <f>IF(archive!G317="","",archive!G317)</f>
        <v/>
      </c>
      <c r="H317" s="51" t="str">
        <f>IF(archive!CJ317="","",archive!CJ317)</f>
        <v/>
      </c>
      <c r="I317" s="51" t="str">
        <f>IF(archive!CK317="","",archive!CK317)</f>
        <v/>
      </c>
      <c r="J317" s="47" t="str">
        <f t="shared" si="59"/>
        <v/>
      </c>
      <c r="K317" s="51" t="str">
        <f t="shared" si="60"/>
        <v/>
      </c>
      <c r="L317" s="52" t="str">
        <f t="shared" si="61"/>
        <v/>
      </c>
      <c r="M317" s="53" t="str">
        <f t="shared" si="62"/>
        <v/>
      </c>
      <c r="N317" s="53" t="str">
        <f t="shared" si="63"/>
        <v/>
      </c>
      <c r="O317" s="53" t="str">
        <f t="shared" si="64"/>
        <v/>
      </c>
      <c r="P317" s="53" t="str">
        <f t="shared" si="65"/>
        <v/>
      </c>
      <c r="Q317" s="53" t="str">
        <f t="shared" si="66"/>
        <v/>
      </c>
      <c r="R317" s="53" t="str">
        <f t="shared" si="67"/>
        <v/>
      </c>
      <c r="S317" s="53" t="str">
        <f t="shared" si="68"/>
        <v/>
      </c>
      <c r="T317" s="53" t="str">
        <f t="shared" si="69"/>
        <v/>
      </c>
    </row>
    <row r="318" spans="1:20">
      <c r="A318" s="47" t="str">
        <f>IF(archive!E318="","",archive!E318)</f>
        <v/>
      </c>
      <c r="B318" s="48" t="str">
        <f t="shared" si="56"/>
        <v/>
      </c>
      <c r="C318" s="49" t="str">
        <f>IF(archive!F318="","",archive!F318)</f>
        <v/>
      </c>
      <c r="D318" s="50" t="str">
        <f t="shared" si="57"/>
        <v/>
      </c>
      <c r="E318" s="50" t="str">
        <f t="shared" si="58"/>
        <v/>
      </c>
      <c r="F318" s="47" t="str">
        <f>IF(COUNTA(archive!H318:CI318)=0,"",COUNTA(archive!H318:CI318))</f>
        <v/>
      </c>
      <c r="G318" s="47" t="str">
        <f>IF(archive!G318="","",archive!G318)</f>
        <v/>
      </c>
      <c r="H318" s="51" t="str">
        <f>IF(archive!CJ318="","",archive!CJ318)</f>
        <v/>
      </c>
      <c r="I318" s="51" t="str">
        <f>IF(archive!CK318="","",archive!CK318)</f>
        <v/>
      </c>
      <c r="J318" s="47" t="str">
        <f t="shared" si="59"/>
        <v/>
      </c>
      <c r="K318" s="51" t="str">
        <f t="shared" si="60"/>
        <v/>
      </c>
      <c r="L318" s="52" t="str">
        <f t="shared" si="61"/>
        <v/>
      </c>
      <c r="M318" s="53" t="str">
        <f t="shared" si="62"/>
        <v/>
      </c>
      <c r="N318" s="53" t="str">
        <f t="shared" si="63"/>
        <v/>
      </c>
      <c r="O318" s="53" t="str">
        <f t="shared" si="64"/>
        <v/>
      </c>
      <c r="P318" s="53" t="str">
        <f t="shared" si="65"/>
        <v/>
      </c>
      <c r="Q318" s="53" t="str">
        <f t="shared" si="66"/>
        <v/>
      </c>
      <c r="R318" s="53" t="str">
        <f t="shared" si="67"/>
        <v/>
      </c>
      <c r="S318" s="53" t="str">
        <f t="shared" si="68"/>
        <v/>
      </c>
      <c r="T318" s="53" t="str">
        <f t="shared" si="69"/>
        <v/>
      </c>
    </row>
    <row r="319" spans="1:20">
      <c r="A319" s="47" t="str">
        <f>IF(archive!E319="","",archive!E319)</f>
        <v/>
      </c>
      <c r="B319" s="48" t="str">
        <f t="shared" si="56"/>
        <v/>
      </c>
      <c r="C319" s="49" t="str">
        <f>IF(archive!F319="","",archive!F319)</f>
        <v/>
      </c>
      <c r="D319" s="50" t="str">
        <f t="shared" si="57"/>
        <v/>
      </c>
      <c r="E319" s="50" t="str">
        <f t="shared" si="58"/>
        <v/>
      </c>
      <c r="F319" s="47" t="str">
        <f>IF(COUNTA(archive!H319:CI319)=0,"",COUNTA(archive!H319:CI319))</f>
        <v/>
      </c>
      <c r="G319" s="47" t="str">
        <f>IF(archive!G319="","",archive!G319)</f>
        <v/>
      </c>
      <c r="H319" s="51" t="str">
        <f>IF(archive!CJ319="","",archive!CJ319)</f>
        <v/>
      </c>
      <c r="I319" s="51" t="str">
        <f>IF(archive!CK319="","",archive!CK319)</f>
        <v/>
      </c>
      <c r="J319" s="47" t="str">
        <f t="shared" si="59"/>
        <v/>
      </c>
      <c r="K319" s="51" t="str">
        <f t="shared" si="60"/>
        <v/>
      </c>
      <c r="L319" s="52" t="str">
        <f t="shared" si="61"/>
        <v/>
      </c>
      <c r="M319" s="53" t="str">
        <f t="shared" si="62"/>
        <v/>
      </c>
      <c r="N319" s="53" t="str">
        <f t="shared" si="63"/>
        <v/>
      </c>
      <c r="O319" s="53" t="str">
        <f t="shared" si="64"/>
        <v/>
      </c>
      <c r="P319" s="53" t="str">
        <f t="shared" si="65"/>
        <v/>
      </c>
      <c r="Q319" s="53" t="str">
        <f t="shared" si="66"/>
        <v/>
      </c>
      <c r="R319" s="53" t="str">
        <f t="shared" si="67"/>
        <v/>
      </c>
      <c r="S319" s="53" t="str">
        <f t="shared" si="68"/>
        <v/>
      </c>
      <c r="T319" s="53" t="str">
        <f t="shared" si="69"/>
        <v/>
      </c>
    </row>
    <row r="320" spans="1:20">
      <c r="A320" s="47" t="str">
        <f>IF(archive!E320="","",archive!E320)</f>
        <v/>
      </c>
      <c r="B320" s="48" t="str">
        <f t="shared" si="56"/>
        <v/>
      </c>
      <c r="C320" s="49" t="str">
        <f>IF(archive!F320="","",archive!F320)</f>
        <v/>
      </c>
      <c r="D320" s="50" t="str">
        <f t="shared" si="57"/>
        <v/>
      </c>
      <c r="E320" s="50" t="str">
        <f t="shared" si="58"/>
        <v/>
      </c>
      <c r="F320" s="47" t="str">
        <f>IF(COUNTA(archive!H320:CI320)=0,"",COUNTA(archive!H320:CI320))</f>
        <v/>
      </c>
      <c r="G320" s="47" t="str">
        <f>IF(archive!G320="","",archive!G320)</f>
        <v/>
      </c>
      <c r="H320" s="51" t="str">
        <f>IF(archive!CJ320="","",archive!CJ320)</f>
        <v/>
      </c>
      <c r="I320" s="51" t="str">
        <f>IF(archive!CK320="","",archive!CK320)</f>
        <v/>
      </c>
      <c r="J320" s="47" t="str">
        <f t="shared" si="59"/>
        <v/>
      </c>
      <c r="K320" s="51" t="str">
        <f t="shared" si="60"/>
        <v/>
      </c>
      <c r="L320" s="52" t="str">
        <f t="shared" si="61"/>
        <v/>
      </c>
      <c r="M320" s="53" t="str">
        <f t="shared" si="62"/>
        <v/>
      </c>
      <c r="N320" s="53" t="str">
        <f t="shared" si="63"/>
        <v/>
      </c>
      <c r="O320" s="53" t="str">
        <f t="shared" si="64"/>
        <v/>
      </c>
      <c r="P320" s="53" t="str">
        <f t="shared" si="65"/>
        <v/>
      </c>
      <c r="Q320" s="53" t="str">
        <f t="shared" si="66"/>
        <v/>
      </c>
      <c r="R320" s="53" t="str">
        <f t="shared" si="67"/>
        <v/>
      </c>
      <c r="S320" s="53" t="str">
        <f t="shared" si="68"/>
        <v/>
      </c>
      <c r="T320" s="53" t="str">
        <f t="shared" si="69"/>
        <v/>
      </c>
    </row>
    <row r="321" spans="1:20">
      <c r="A321" s="47" t="str">
        <f>IF(archive!E321="","",archive!E321)</f>
        <v/>
      </c>
      <c r="B321" s="48" t="str">
        <f t="shared" si="56"/>
        <v/>
      </c>
      <c r="C321" s="49" t="str">
        <f>IF(archive!F321="","",archive!F321)</f>
        <v/>
      </c>
      <c r="D321" s="50" t="str">
        <f t="shared" si="57"/>
        <v/>
      </c>
      <c r="E321" s="50" t="str">
        <f t="shared" si="58"/>
        <v/>
      </c>
      <c r="F321" s="47" t="str">
        <f>IF(COUNTA(archive!H321:CI321)=0,"",COUNTA(archive!H321:CI321))</f>
        <v/>
      </c>
      <c r="G321" s="47" t="str">
        <f>IF(archive!G321="","",archive!G321)</f>
        <v/>
      </c>
      <c r="H321" s="51" t="str">
        <f>IF(archive!CJ321="","",archive!CJ321)</f>
        <v/>
      </c>
      <c r="I321" s="51" t="str">
        <f>IF(archive!CK321="","",archive!CK321)</f>
        <v/>
      </c>
      <c r="J321" s="47" t="str">
        <f t="shared" si="59"/>
        <v/>
      </c>
      <c r="K321" s="51" t="str">
        <f t="shared" si="60"/>
        <v/>
      </c>
      <c r="L321" s="52" t="str">
        <f t="shared" si="61"/>
        <v/>
      </c>
      <c r="M321" s="53" t="str">
        <f t="shared" si="62"/>
        <v/>
      </c>
      <c r="N321" s="53" t="str">
        <f t="shared" si="63"/>
        <v/>
      </c>
      <c r="O321" s="53" t="str">
        <f t="shared" si="64"/>
        <v/>
      </c>
      <c r="P321" s="53" t="str">
        <f t="shared" si="65"/>
        <v/>
      </c>
      <c r="Q321" s="53" t="str">
        <f t="shared" si="66"/>
        <v/>
      </c>
      <c r="R321" s="53" t="str">
        <f t="shared" si="67"/>
        <v/>
      </c>
      <c r="S321" s="53" t="str">
        <f t="shared" si="68"/>
        <v/>
      </c>
      <c r="T321" s="53" t="str">
        <f t="shared" si="69"/>
        <v/>
      </c>
    </row>
    <row r="322" spans="1:20">
      <c r="A322" s="47" t="str">
        <f>IF(archive!E322="","",archive!E322)</f>
        <v/>
      </c>
      <c r="B322" s="48" t="str">
        <f t="shared" si="56"/>
        <v/>
      </c>
      <c r="C322" s="49" t="str">
        <f>IF(archive!F322="","",archive!F322)</f>
        <v/>
      </c>
      <c r="D322" s="50" t="str">
        <f t="shared" si="57"/>
        <v/>
      </c>
      <c r="E322" s="50" t="str">
        <f t="shared" si="58"/>
        <v/>
      </c>
      <c r="F322" s="47" t="str">
        <f>IF(COUNTA(archive!H322:CI322)=0,"",COUNTA(archive!H322:CI322))</f>
        <v/>
      </c>
      <c r="G322" s="47" t="str">
        <f>IF(archive!G322="","",archive!G322)</f>
        <v/>
      </c>
      <c r="H322" s="51" t="str">
        <f>IF(archive!CJ322="","",archive!CJ322)</f>
        <v/>
      </c>
      <c r="I322" s="51" t="str">
        <f>IF(archive!CK322="","",archive!CK322)</f>
        <v/>
      </c>
      <c r="J322" s="47" t="str">
        <f t="shared" si="59"/>
        <v/>
      </c>
      <c r="K322" s="51" t="str">
        <f t="shared" si="60"/>
        <v/>
      </c>
      <c r="L322" s="52" t="str">
        <f t="shared" si="61"/>
        <v/>
      </c>
      <c r="M322" s="53" t="str">
        <f t="shared" si="62"/>
        <v/>
      </c>
      <c r="N322" s="53" t="str">
        <f t="shared" si="63"/>
        <v/>
      </c>
      <c r="O322" s="53" t="str">
        <f t="shared" si="64"/>
        <v/>
      </c>
      <c r="P322" s="53" t="str">
        <f t="shared" si="65"/>
        <v/>
      </c>
      <c r="Q322" s="53" t="str">
        <f t="shared" si="66"/>
        <v/>
      </c>
      <c r="R322" s="53" t="str">
        <f t="shared" si="67"/>
        <v/>
      </c>
      <c r="S322" s="53" t="str">
        <f t="shared" si="68"/>
        <v/>
      </c>
      <c r="T322" s="53" t="str">
        <f t="shared" si="69"/>
        <v/>
      </c>
    </row>
    <row r="323" spans="1:20">
      <c r="A323" s="47" t="str">
        <f>IF(archive!E323="","",archive!E323)</f>
        <v/>
      </c>
      <c r="B323" s="48" t="str">
        <f t="shared" si="56"/>
        <v/>
      </c>
      <c r="C323" s="49" t="str">
        <f>IF(archive!F323="","",archive!F323)</f>
        <v/>
      </c>
      <c r="D323" s="50" t="str">
        <f t="shared" si="57"/>
        <v/>
      </c>
      <c r="E323" s="50" t="str">
        <f t="shared" si="58"/>
        <v/>
      </c>
      <c r="F323" s="47" t="str">
        <f>IF(COUNTA(archive!H323:CI323)=0,"",COUNTA(archive!H323:CI323))</f>
        <v/>
      </c>
      <c r="G323" s="47" t="str">
        <f>IF(archive!G323="","",archive!G323)</f>
        <v/>
      </c>
      <c r="H323" s="51" t="str">
        <f>IF(archive!CJ323="","",archive!CJ323)</f>
        <v/>
      </c>
      <c r="I323" s="51" t="str">
        <f>IF(archive!CK323="","",archive!CK323)</f>
        <v/>
      </c>
      <c r="J323" s="47" t="str">
        <f t="shared" si="59"/>
        <v/>
      </c>
      <c r="K323" s="51" t="str">
        <f t="shared" si="60"/>
        <v/>
      </c>
      <c r="L323" s="52" t="str">
        <f t="shared" si="61"/>
        <v/>
      </c>
      <c r="M323" s="53" t="str">
        <f t="shared" si="62"/>
        <v/>
      </c>
      <c r="N323" s="53" t="str">
        <f t="shared" si="63"/>
        <v/>
      </c>
      <c r="O323" s="53" t="str">
        <f t="shared" si="64"/>
        <v/>
      </c>
      <c r="P323" s="53" t="str">
        <f t="shared" si="65"/>
        <v/>
      </c>
      <c r="Q323" s="53" t="str">
        <f t="shared" si="66"/>
        <v/>
      </c>
      <c r="R323" s="53" t="str">
        <f t="shared" si="67"/>
        <v/>
      </c>
      <c r="S323" s="53" t="str">
        <f t="shared" si="68"/>
        <v/>
      </c>
      <c r="T323" s="53" t="str">
        <f t="shared" si="69"/>
        <v/>
      </c>
    </row>
    <row r="324" spans="1:20">
      <c r="A324" s="47" t="str">
        <f>IF(archive!E324="","",archive!E324)</f>
        <v/>
      </c>
      <c r="B324" s="48" t="str">
        <f t="shared" ref="B324:B387" si="70">IF(C324="","",VLOOKUP($C324,Tare,2,0))</f>
        <v/>
      </c>
      <c r="C324" s="49" t="str">
        <f>IF(archive!F324="","",archive!F324)</f>
        <v/>
      </c>
      <c r="D324" s="50" t="str">
        <f t="shared" ref="D324:D387" si="71">IF(C324="","",C324+B324)</f>
        <v/>
      </c>
      <c r="E324" s="50" t="str">
        <f t="shared" ref="E324:E387" si="72">IF(C324="","",(C324*0.025)+D324)</f>
        <v/>
      </c>
      <c r="F324" s="47" t="str">
        <f>IF(COUNTA(archive!H324:CI324)=0,"",COUNTA(archive!H324:CI324))</f>
        <v/>
      </c>
      <c r="G324" s="47" t="str">
        <f>IF(archive!G324="","",archive!G324)</f>
        <v/>
      </c>
      <c r="H324" s="51" t="str">
        <f>IF(archive!CJ324="","",archive!CJ324)</f>
        <v/>
      </c>
      <c r="I324" s="51" t="str">
        <f>IF(archive!CK324="","",archive!CK324)</f>
        <v/>
      </c>
      <c r="J324" s="47" t="str">
        <f t="shared" ref="J324:J387" si="73">IF(F324="","",VLOOKUP(F324,Valeur_g,2,0))</f>
        <v/>
      </c>
      <c r="K324" s="51" t="str">
        <f t="shared" ref="K324:K387" si="74">IF(C324="","",D324+(J324*I324))</f>
        <v/>
      </c>
      <c r="L324" s="52" t="str">
        <f t="shared" ref="L324:L387" si="75">IF(C324="","",IF(K324&lt;H324,"Conforme","Non conforme"))</f>
        <v/>
      </c>
      <c r="M324" s="53" t="str">
        <f t="shared" ref="M324:M387" si="76">IF(C324="","",1)</f>
        <v/>
      </c>
      <c r="N324" s="53" t="str">
        <f t="shared" ref="N324:N387" si="77">IF(L324="","",COUNTIF(L324,"Non conforme"))</f>
        <v/>
      </c>
      <c r="O324" s="53" t="str">
        <f t="shared" ref="O324:O387" si="78">IF($C324="","",IF($C324=0.25,$G324,"-"))</f>
        <v/>
      </c>
      <c r="P324" s="53" t="str">
        <f t="shared" ref="P324:P387" si="79">IF($C324="","",IF($C324=0.4,$G324,"-"))</f>
        <v/>
      </c>
      <c r="Q324" s="53" t="str">
        <f t="shared" ref="Q324:Q387" si="80">IF($C324="","",IF($C324=0.5,$G324,"-"))</f>
        <v/>
      </c>
      <c r="R324" s="53" t="str">
        <f t="shared" ref="R324:R387" si="81">IF($C324="","",IF($C324=0.6,$G324,"-"))</f>
        <v/>
      </c>
      <c r="S324" s="53" t="str">
        <f t="shared" ref="S324:S387" si="82">IF($C324="","",IF($C324=0.8,$G324,"-"))</f>
        <v/>
      </c>
      <c r="T324" s="53" t="str">
        <f t="shared" ref="T324:T387" si="83">IF($C324="","",IF($C324=1,$G324,"-"))</f>
        <v/>
      </c>
    </row>
    <row r="325" spans="1:20">
      <c r="A325" s="47" t="str">
        <f>IF(archive!E325="","",archive!E325)</f>
        <v/>
      </c>
      <c r="B325" s="48" t="str">
        <f t="shared" si="70"/>
        <v/>
      </c>
      <c r="C325" s="49" t="str">
        <f>IF(archive!F325="","",archive!F325)</f>
        <v/>
      </c>
      <c r="D325" s="50" t="str">
        <f t="shared" si="71"/>
        <v/>
      </c>
      <c r="E325" s="50" t="str">
        <f t="shared" si="72"/>
        <v/>
      </c>
      <c r="F325" s="47" t="str">
        <f>IF(COUNTA(archive!H325:CI325)=0,"",COUNTA(archive!H325:CI325))</f>
        <v/>
      </c>
      <c r="G325" s="47" t="str">
        <f>IF(archive!G325="","",archive!G325)</f>
        <v/>
      </c>
      <c r="H325" s="51" t="str">
        <f>IF(archive!CJ325="","",archive!CJ325)</f>
        <v/>
      </c>
      <c r="I325" s="51" t="str">
        <f>IF(archive!CK325="","",archive!CK325)</f>
        <v/>
      </c>
      <c r="J325" s="47" t="str">
        <f t="shared" si="73"/>
        <v/>
      </c>
      <c r="K325" s="51" t="str">
        <f t="shared" si="74"/>
        <v/>
      </c>
      <c r="L325" s="52" t="str">
        <f t="shared" si="75"/>
        <v/>
      </c>
      <c r="M325" s="53" t="str">
        <f t="shared" si="76"/>
        <v/>
      </c>
      <c r="N325" s="53" t="str">
        <f t="shared" si="77"/>
        <v/>
      </c>
      <c r="O325" s="53" t="str">
        <f t="shared" si="78"/>
        <v/>
      </c>
      <c r="P325" s="53" t="str">
        <f t="shared" si="79"/>
        <v/>
      </c>
      <c r="Q325" s="53" t="str">
        <f t="shared" si="80"/>
        <v/>
      </c>
      <c r="R325" s="53" t="str">
        <f t="shared" si="81"/>
        <v/>
      </c>
      <c r="S325" s="53" t="str">
        <f t="shared" si="82"/>
        <v/>
      </c>
      <c r="T325" s="53" t="str">
        <f t="shared" si="83"/>
        <v/>
      </c>
    </row>
    <row r="326" spans="1:20">
      <c r="A326" s="47" t="str">
        <f>IF(archive!E326="","",archive!E326)</f>
        <v/>
      </c>
      <c r="B326" s="48" t="str">
        <f t="shared" si="70"/>
        <v/>
      </c>
      <c r="C326" s="49" t="str">
        <f>IF(archive!F326="","",archive!F326)</f>
        <v/>
      </c>
      <c r="D326" s="50" t="str">
        <f t="shared" si="71"/>
        <v/>
      </c>
      <c r="E326" s="50" t="str">
        <f t="shared" si="72"/>
        <v/>
      </c>
      <c r="F326" s="47" t="str">
        <f>IF(COUNTA(archive!H326:CI326)=0,"",COUNTA(archive!H326:CI326))</f>
        <v/>
      </c>
      <c r="G326" s="47" t="str">
        <f>IF(archive!G326="","",archive!G326)</f>
        <v/>
      </c>
      <c r="H326" s="51" t="str">
        <f>IF(archive!CJ326="","",archive!CJ326)</f>
        <v/>
      </c>
      <c r="I326" s="51" t="str">
        <f>IF(archive!CK326="","",archive!CK326)</f>
        <v/>
      </c>
      <c r="J326" s="47" t="str">
        <f t="shared" si="73"/>
        <v/>
      </c>
      <c r="K326" s="51" t="str">
        <f t="shared" si="74"/>
        <v/>
      </c>
      <c r="L326" s="52" t="str">
        <f t="shared" si="75"/>
        <v/>
      </c>
      <c r="M326" s="53" t="str">
        <f t="shared" si="76"/>
        <v/>
      </c>
      <c r="N326" s="53" t="str">
        <f t="shared" si="77"/>
        <v/>
      </c>
      <c r="O326" s="53" t="str">
        <f t="shared" si="78"/>
        <v/>
      </c>
      <c r="P326" s="53" t="str">
        <f t="shared" si="79"/>
        <v/>
      </c>
      <c r="Q326" s="53" t="str">
        <f t="shared" si="80"/>
        <v/>
      </c>
      <c r="R326" s="53" t="str">
        <f t="shared" si="81"/>
        <v/>
      </c>
      <c r="S326" s="53" t="str">
        <f t="shared" si="82"/>
        <v/>
      </c>
      <c r="T326" s="53" t="str">
        <f t="shared" si="83"/>
        <v/>
      </c>
    </row>
    <row r="327" spans="1:20">
      <c r="A327" s="47" t="str">
        <f>IF(archive!E327="","",archive!E327)</f>
        <v/>
      </c>
      <c r="B327" s="48" t="str">
        <f t="shared" si="70"/>
        <v/>
      </c>
      <c r="C327" s="49" t="str">
        <f>IF(archive!F327="","",archive!F327)</f>
        <v/>
      </c>
      <c r="D327" s="50" t="str">
        <f t="shared" si="71"/>
        <v/>
      </c>
      <c r="E327" s="50" t="str">
        <f t="shared" si="72"/>
        <v/>
      </c>
      <c r="F327" s="47" t="str">
        <f>IF(COUNTA(archive!H327:CI327)=0,"",COUNTA(archive!H327:CI327))</f>
        <v/>
      </c>
      <c r="G327" s="47" t="str">
        <f>IF(archive!G327="","",archive!G327)</f>
        <v/>
      </c>
      <c r="H327" s="51" t="str">
        <f>IF(archive!CJ327="","",archive!CJ327)</f>
        <v/>
      </c>
      <c r="I327" s="51" t="str">
        <f>IF(archive!CK327="","",archive!CK327)</f>
        <v/>
      </c>
      <c r="J327" s="47" t="str">
        <f t="shared" si="73"/>
        <v/>
      </c>
      <c r="K327" s="51" t="str">
        <f t="shared" si="74"/>
        <v/>
      </c>
      <c r="L327" s="52" t="str">
        <f t="shared" si="75"/>
        <v/>
      </c>
      <c r="M327" s="53" t="str">
        <f t="shared" si="76"/>
        <v/>
      </c>
      <c r="N327" s="53" t="str">
        <f t="shared" si="77"/>
        <v/>
      </c>
      <c r="O327" s="53" t="str">
        <f t="shared" si="78"/>
        <v/>
      </c>
      <c r="P327" s="53" t="str">
        <f t="shared" si="79"/>
        <v/>
      </c>
      <c r="Q327" s="53" t="str">
        <f t="shared" si="80"/>
        <v/>
      </c>
      <c r="R327" s="53" t="str">
        <f t="shared" si="81"/>
        <v/>
      </c>
      <c r="S327" s="53" t="str">
        <f t="shared" si="82"/>
        <v/>
      </c>
      <c r="T327" s="53" t="str">
        <f t="shared" si="83"/>
        <v/>
      </c>
    </row>
    <row r="328" spans="1:20">
      <c r="A328" s="47" t="str">
        <f>IF(archive!E328="","",archive!E328)</f>
        <v/>
      </c>
      <c r="B328" s="48" t="str">
        <f t="shared" si="70"/>
        <v/>
      </c>
      <c r="C328" s="49" t="str">
        <f>IF(archive!F328="","",archive!F328)</f>
        <v/>
      </c>
      <c r="D328" s="50" t="str">
        <f t="shared" si="71"/>
        <v/>
      </c>
      <c r="E328" s="50" t="str">
        <f t="shared" si="72"/>
        <v/>
      </c>
      <c r="F328" s="47" t="str">
        <f>IF(COUNTA(archive!H328:CI328)=0,"",COUNTA(archive!H328:CI328))</f>
        <v/>
      </c>
      <c r="G328" s="47" t="str">
        <f>IF(archive!G328="","",archive!G328)</f>
        <v/>
      </c>
      <c r="H328" s="51" t="str">
        <f>IF(archive!CJ328="","",archive!CJ328)</f>
        <v/>
      </c>
      <c r="I328" s="51" t="str">
        <f>IF(archive!CK328="","",archive!CK328)</f>
        <v/>
      </c>
      <c r="J328" s="47" t="str">
        <f t="shared" si="73"/>
        <v/>
      </c>
      <c r="K328" s="51" t="str">
        <f t="shared" si="74"/>
        <v/>
      </c>
      <c r="L328" s="52" t="str">
        <f t="shared" si="75"/>
        <v/>
      </c>
      <c r="M328" s="53" t="str">
        <f t="shared" si="76"/>
        <v/>
      </c>
      <c r="N328" s="53" t="str">
        <f t="shared" si="77"/>
        <v/>
      </c>
      <c r="O328" s="53" t="str">
        <f t="shared" si="78"/>
        <v/>
      </c>
      <c r="P328" s="53" t="str">
        <f t="shared" si="79"/>
        <v/>
      </c>
      <c r="Q328" s="53" t="str">
        <f t="shared" si="80"/>
        <v/>
      </c>
      <c r="R328" s="53" t="str">
        <f t="shared" si="81"/>
        <v/>
      </c>
      <c r="S328" s="53" t="str">
        <f t="shared" si="82"/>
        <v/>
      </c>
      <c r="T328" s="53" t="str">
        <f t="shared" si="83"/>
        <v/>
      </c>
    </row>
    <row r="329" spans="1:20">
      <c r="A329" s="47" t="str">
        <f>IF(archive!E329="","",archive!E329)</f>
        <v/>
      </c>
      <c r="B329" s="48" t="str">
        <f t="shared" si="70"/>
        <v/>
      </c>
      <c r="C329" s="49" t="str">
        <f>IF(archive!F329="","",archive!F329)</f>
        <v/>
      </c>
      <c r="D329" s="50" t="str">
        <f t="shared" si="71"/>
        <v/>
      </c>
      <c r="E329" s="50" t="str">
        <f t="shared" si="72"/>
        <v/>
      </c>
      <c r="F329" s="47" t="str">
        <f>IF(COUNTA(archive!H329:CI329)=0,"",COUNTA(archive!H329:CI329))</f>
        <v/>
      </c>
      <c r="G329" s="47" t="str">
        <f>IF(archive!G329="","",archive!G329)</f>
        <v/>
      </c>
      <c r="H329" s="51" t="str">
        <f>IF(archive!CJ329="","",archive!CJ329)</f>
        <v/>
      </c>
      <c r="I329" s="51" t="str">
        <f>IF(archive!CK329="","",archive!CK329)</f>
        <v/>
      </c>
      <c r="J329" s="47" t="str">
        <f t="shared" si="73"/>
        <v/>
      </c>
      <c r="K329" s="51" t="str">
        <f t="shared" si="74"/>
        <v/>
      </c>
      <c r="L329" s="52" t="str">
        <f t="shared" si="75"/>
        <v/>
      </c>
      <c r="M329" s="53" t="str">
        <f t="shared" si="76"/>
        <v/>
      </c>
      <c r="N329" s="53" t="str">
        <f t="shared" si="77"/>
        <v/>
      </c>
      <c r="O329" s="53" t="str">
        <f t="shared" si="78"/>
        <v/>
      </c>
      <c r="P329" s="53" t="str">
        <f t="shared" si="79"/>
        <v/>
      </c>
      <c r="Q329" s="53" t="str">
        <f t="shared" si="80"/>
        <v/>
      </c>
      <c r="R329" s="53" t="str">
        <f t="shared" si="81"/>
        <v/>
      </c>
      <c r="S329" s="53" t="str">
        <f t="shared" si="82"/>
        <v/>
      </c>
      <c r="T329" s="53" t="str">
        <f t="shared" si="83"/>
        <v/>
      </c>
    </row>
    <row r="330" spans="1:20">
      <c r="A330" s="47" t="str">
        <f>IF(archive!E330="","",archive!E330)</f>
        <v/>
      </c>
      <c r="B330" s="48" t="str">
        <f t="shared" si="70"/>
        <v/>
      </c>
      <c r="C330" s="49" t="str">
        <f>IF(archive!F330="","",archive!F330)</f>
        <v/>
      </c>
      <c r="D330" s="50" t="str">
        <f t="shared" si="71"/>
        <v/>
      </c>
      <c r="E330" s="50" t="str">
        <f t="shared" si="72"/>
        <v/>
      </c>
      <c r="F330" s="47" t="str">
        <f>IF(COUNTA(archive!H330:CI330)=0,"",COUNTA(archive!H330:CI330))</f>
        <v/>
      </c>
      <c r="G330" s="47" t="str">
        <f>IF(archive!G330="","",archive!G330)</f>
        <v/>
      </c>
      <c r="H330" s="51" t="str">
        <f>IF(archive!CJ330="","",archive!CJ330)</f>
        <v/>
      </c>
      <c r="I330" s="51" t="str">
        <f>IF(archive!CK330="","",archive!CK330)</f>
        <v/>
      </c>
      <c r="J330" s="47" t="str">
        <f t="shared" si="73"/>
        <v/>
      </c>
      <c r="K330" s="51" t="str">
        <f t="shared" si="74"/>
        <v/>
      </c>
      <c r="L330" s="52" t="str">
        <f t="shared" si="75"/>
        <v/>
      </c>
      <c r="M330" s="53" t="str">
        <f t="shared" si="76"/>
        <v/>
      </c>
      <c r="N330" s="53" t="str">
        <f t="shared" si="77"/>
        <v/>
      </c>
      <c r="O330" s="53" t="str">
        <f t="shared" si="78"/>
        <v/>
      </c>
      <c r="P330" s="53" t="str">
        <f t="shared" si="79"/>
        <v/>
      </c>
      <c r="Q330" s="53" t="str">
        <f t="shared" si="80"/>
        <v/>
      </c>
      <c r="R330" s="53" t="str">
        <f t="shared" si="81"/>
        <v/>
      </c>
      <c r="S330" s="53" t="str">
        <f t="shared" si="82"/>
        <v/>
      </c>
      <c r="T330" s="53" t="str">
        <f t="shared" si="83"/>
        <v/>
      </c>
    </row>
    <row r="331" spans="1:20">
      <c r="A331" s="47" t="str">
        <f>IF(archive!E331="","",archive!E331)</f>
        <v/>
      </c>
      <c r="B331" s="48" t="str">
        <f t="shared" si="70"/>
        <v/>
      </c>
      <c r="C331" s="49" t="str">
        <f>IF(archive!F331="","",archive!F331)</f>
        <v/>
      </c>
      <c r="D331" s="50" t="str">
        <f t="shared" si="71"/>
        <v/>
      </c>
      <c r="E331" s="50" t="str">
        <f t="shared" si="72"/>
        <v/>
      </c>
      <c r="F331" s="47" t="str">
        <f>IF(COUNTA(archive!H331:CI331)=0,"",COUNTA(archive!H331:CI331))</f>
        <v/>
      </c>
      <c r="G331" s="47" t="str">
        <f>IF(archive!G331="","",archive!G331)</f>
        <v/>
      </c>
      <c r="H331" s="51" t="str">
        <f>IF(archive!CJ331="","",archive!CJ331)</f>
        <v/>
      </c>
      <c r="I331" s="51" t="str">
        <f>IF(archive!CK331="","",archive!CK331)</f>
        <v/>
      </c>
      <c r="J331" s="47" t="str">
        <f t="shared" si="73"/>
        <v/>
      </c>
      <c r="K331" s="51" t="str">
        <f t="shared" si="74"/>
        <v/>
      </c>
      <c r="L331" s="52" t="str">
        <f t="shared" si="75"/>
        <v/>
      </c>
      <c r="M331" s="53" t="str">
        <f t="shared" si="76"/>
        <v/>
      </c>
      <c r="N331" s="53" t="str">
        <f t="shared" si="77"/>
        <v/>
      </c>
      <c r="O331" s="53" t="str">
        <f t="shared" si="78"/>
        <v/>
      </c>
      <c r="P331" s="53" t="str">
        <f t="shared" si="79"/>
        <v/>
      </c>
      <c r="Q331" s="53" t="str">
        <f t="shared" si="80"/>
        <v/>
      </c>
      <c r="R331" s="53" t="str">
        <f t="shared" si="81"/>
        <v/>
      </c>
      <c r="S331" s="53" t="str">
        <f t="shared" si="82"/>
        <v/>
      </c>
      <c r="T331" s="53" t="str">
        <f t="shared" si="83"/>
        <v/>
      </c>
    </row>
    <row r="332" spans="1:20">
      <c r="A332" s="47" t="str">
        <f>IF(archive!E332="","",archive!E332)</f>
        <v/>
      </c>
      <c r="B332" s="48" t="str">
        <f t="shared" si="70"/>
        <v/>
      </c>
      <c r="C332" s="49" t="str">
        <f>IF(archive!F332="","",archive!F332)</f>
        <v/>
      </c>
      <c r="D332" s="50" t="str">
        <f t="shared" si="71"/>
        <v/>
      </c>
      <c r="E332" s="50" t="str">
        <f t="shared" si="72"/>
        <v/>
      </c>
      <c r="F332" s="47" t="str">
        <f>IF(COUNTA(archive!H332:CI332)=0,"",COUNTA(archive!H332:CI332))</f>
        <v/>
      </c>
      <c r="G332" s="47" t="str">
        <f>IF(archive!G332="","",archive!G332)</f>
        <v/>
      </c>
      <c r="H332" s="51" t="str">
        <f>IF(archive!CJ332="","",archive!CJ332)</f>
        <v/>
      </c>
      <c r="I332" s="51" t="str">
        <f>IF(archive!CK332="","",archive!CK332)</f>
        <v/>
      </c>
      <c r="J332" s="47" t="str">
        <f t="shared" si="73"/>
        <v/>
      </c>
      <c r="K332" s="51" t="str">
        <f t="shared" si="74"/>
        <v/>
      </c>
      <c r="L332" s="52" t="str">
        <f t="shared" si="75"/>
        <v/>
      </c>
      <c r="M332" s="53" t="str">
        <f t="shared" si="76"/>
        <v/>
      </c>
      <c r="N332" s="53" t="str">
        <f t="shared" si="77"/>
        <v/>
      </c>
      <c r="O332" s="53" t="str">
        <f t="shared" si="78"/>
        <v/>
      </c>
      <c r="P332" s="53" t="str">
        <f t="shared" si="79"/>
        <v/>
      </c>
      <c r="Q332" s="53" t="str">
        <f t="shared" si="80"/>
        <v/>
      </c>
      <c r="R332" s="53" t="str">
        <f t="shared" si="81"/>
        <v/>
      </c>
      <c r="S332" s="53" t="str">
        <f t="shared" si="82"/>
        <v/>
      </c>
      <c r="T332" s="53" t="str">
        <f t="shared" si="83"/>
        <v/>
      </c>
    </row>
    <row r="333" spans="1:20">
      <c r="A333" s="47" t="str">
        <f>IF(archive!E333="","",archive!E333)</f>
        <v/>
      </c>
      <c r="B333" s="48" t="str">
        <f t="shared" si="70"/>
        <v/>
      </c>
      <c r="C333" s="49" t="str">
        <f>IF(archive!F333="","",archive!F333)</f>
        <v/>
      </c>
      <c r="D333" s="50" t="str">
        <f t="shared" si="71"/>
        <v/>
      </c>
      <c r="E333" s="50" t="str">
        <f t="shared" si="72"/>
        <v/>
      </c>
      <c r="F333" s="47" t="str">
        <f>IF(COUNTA(archive!H333:CI333)=0,"",COUNTA(archive!H333:CI333))</f>
        <v/>
      </c>
      <c r="G333" s="47" t="str">
        <f>IF(archive!G333="","",archive!G333)</f>
        <v/>
      </c>
      <c r="H333" s="51" t="str">
        <f>IF(archive!CJ333="","",archive!CJ333)</f>
        <v/>
      </c>
      <c r="I333" s="51" t="str">
        <f>IF(archive!CK333="","",archive!CK333)</f>
        <v/>
      </c>
      <c r="J333" s="47" t="str">
        <f t="shared" si="73"/>
        <v/>
      </c>
      <c r="K333" s="51" t="str">
        <f t="shared" si="74"/>
        <v/>
      </c>
      <c r="L333" s="52" t="str">
        <f t="shared" si="75"/>
        <v/>
      </c>
      <c r="M333" s="53" t="str">
        <f t="shared" si="76"/>
        <v/>
      </c>
      <c r="N333" s="53" t="str">
        <f t="shared" si="77"/>
        <v/>
      </c>
      <c r="O333" s="53" t="str">
        <f t="shared" si="78"/>
        <v/>
      </c>
      <c r="P333" s="53" t="str">
        <f t="shared" si="79"/>
        <v/>
      </c>
      <c r="Q333" s="53" t="str">
        <f t="shared" si="80"/>
        <v/>
      </c>
      <c r="R333" s="53" t="str">
        <f t="shared" si="81"/>
        <v/>
      </c>
      <c r="S333" s="53" t="str">
        <f t="shared" si="82"/>
        <v/>
      </c>
      <c r="T333" s="53" t="str">
        <f t="shared" si="83"/>
        <v/>
      </c>
    </row>
    <row r="334" spans="1:20">
      <c r="A334" s="47" t="str">
        <f>IF(archive!E334="","",archive!E334)</f>
        <v/>
      </c>
      <c r="B334" s="48" t="str">
        <f t="shared" si="70"/>
        <v/>
      </c>
      <c r="C334" s="49" t="str">
        <f>IF(archive!F334="","",archive!F334)</f>
        <v/>
      </c>
      <c r="D334" s="50" t="str">
        <f t="shared" si="71"/>
        <v/>
      </c>
      <c r="E334" s="50" t="str">
        <f t="shared" si="72"/>
        <v/>
      </c>
      <c r="F334" s="47" t="str">
        <f>IF(COUNTA(archive!H334:CI334)=0,"",COUNTA(archive!H334:CI334))</f>
        <v/>
      </c>
      <c r="G334" s="47" t="str">
        <f>IF(archive!G334="","",archive!G334)</f>
        <v/>
      </c>
      <c r="H334" s="51" t="str">
        <f>IF(archive!CJ334="","",archive!CJ334)</f>
        <v/>
      </c>
      <c r="I334" s="51" t="str">
        <f>IF(archive!CK334="","",archive!CK334)</f>
        <v/>
      </c>
      <c r="J334" s="47" t="str">
        <f t="shared" si="73"/>
        <v/>
      </c>
      <c r="K334" s="51" t="str">
        <f t="shared" si="74"/>
        <v/>
      </c>
      <c r="L334" s="52" t="str">
        <f t="shared" si="75"/>
        <v/>
      </c>
      <c r="M334" s="53" t="str">
        <f t="shared" si="76"/>
        <v/>
      </c>
      <c r="N334" s="53" t="str">
        <f t="shared" si="77"/>
        <v/>
      </c>
      <c r="O334" s="53" t="str">
        <f t="shared" si="78"/>
        <v/>
      </c>
      <c r="P334" s="53" t="str">
        <f t="shared" si="79"/>
        <v/>
      </c>
      <c r="Q334" s="53" t="str">
        <f t="shared" si="80"/>
        <v/>
      </c>
      <c r="R334" s="53" t="str">
        <f t="shared" si="81"/>
        <v/>
      </c>
      <c r="S334" s="53" t="str">
        <f t="shared" si="82"/>
        <v/>
      </c>
      <c r="T334" s="53" t="str">
        <f t="shared" si="83"/>
        <v/>
      </c>
    </row>
    <row r="335" spans="1:20">
      <c r="A335" s="47" t="str">
        <f>IF(archive!E335="","",archive!E335)</f>
        <v/>
      </c>
      <c r="B335" s="48" t="str">
        <f t="shared" si="70"/>
        <v/>
      </c>
      <c r="C335" s="49" t="str">
        <f>IF(archive!F335="","",archive!F335)</f>
        <v/>
      </c>
      <c r="D335" s="50" t="str">
        <f t="shared" si="71"/>
        <v/>
      </c>
      <c r="E335" s="50" t="str">
        <f t="shared" si="72"/>
        <v/>
      </c>
      <c r="F335" s="47" t="str">
        <f>IF(COUNTA(archive!H335:CI335)=0,"",COUNTA(archive!H335:CI335))</f>
        <v/>
      </c>
      <c r="G335" s="47" t="str">
        <f>IF(archive!G335="","",archive!G335)</f>
        <v/>
      </c>
      <c r="H335" s="51" t="str">
        <f>IF(archive!CJ335="","",archive!CJ335)</f>
        <v/>
      </c>
      <c r="I335" s="51" t="str">
        <f>IF(archive!CK335="","",archive!CK335)</f>
        <v/>
      </c>
      <c r="J335" s="47" t="str">
        <f t="shared" si="73"/>
        <v/>
      </c>
      <c r="K335" s="51" t="str">
        <f t="shared" si="74"/>
        <v/>
      </c>
      <c r="L335" s="52" t="str">
        <f t="shared" si="75"/>
        <v/>
      </c>
      <c r="M335" s="53" t="str">
        <f t="shared" si="76"/>
        <v/>
      </c>
      <c r="N335" s="53" t="str">
        <f t="shared" si="77"/>
        <v/>
      </c>
      <c r="O335" s="53" t="str">
        <f t="shared" si="78"/>
        <v/>
      </c>
      <c r="P335" s="53" t="str">
        <f t="shared" si="79"/>
        <v/>
      </c>
      <c r="Q335" s="53" t="str">
        <f t="shared" si="80"/>
        <v/>
      </c>
      <c r="R335" s="53" t="str">
        <f t="shared" si="81"/>
        <v/>
      </c>
      <c r="S335" s="53" t="str">
        <f t="shared" si="82"/>
        <v/>
      </c>
      <c r="T335" s="53" t="str">
        <f t="shared" si="83"/>
        <v/>
      </c>
    </row>
    <row r="336" spans="1:20">
      <c r="A336" s="47" t="str">
        <f>IF(archive!E336="","",archive!E336)</f>
        <v/>
      </c>
      <c r="B336" s="48" t="str">
        <f t="shared" si="70"/>
        <v/>
      </c>
      <c r="C336" s="49" t="str">
        <f>IF(archive!F336="","",archive!F336)</f>
        <v/>
      </c>
      <c r="D336" s="50" t="str">
        <f t="shared" si="71"/>
        <v/>
      </c>
      <c r="E336" s="50" t="str">
        <f t="shared" si="72"/>
        <v/>
      </c>
      <c r="F336" s="47" t="str">
        <f>IF(COUNTA(archive!H336:CI336)=0,"",COUNTA(archive!H336:CI336))</f>
        <v/>
      </c>
      <c r="G336" s="47" t="str">
        <f>IF(archive!G336="","",archive!G336)</f>
        <v/>
      </c>
      <c r="H336" s="51" t="str">
        <f>IF(archive!CJ336="","",archive!CJ336)</f>
        <v/>
      </c>
      <c r="I336" s="51" t="str">
        <f>IF(archive!CK336="","",archive!CK336)</f>
        <v/>
      </c>
      <c r="J336" s="47" t="str">
        <f t="shared" si="73"/>
        <v/>
      </c>
      <c r="K336" s="51" t="str">
        <f t="shared" si="74"/>
        <v/>
      </c>
      <c r="L336" s="52" t="str">
        <f t="shared" si="75"/>
        <v/>
      </c>
      <c r="M336" s="53" t="str">
        <f t="shared" si="76"/>
        <v/>
      </c>
      <c r="N336" s="53" t="str">
        <f t="shared" si="77"/>
        <v/>
      </c>
      <c r="O336" s="53" t="str">
        <f t="shared" si="78"/>
        <v/>
      </c>
      <c r="P336" s="53" t="str">
        <f t="shared" si="79"/>
        <v/>
      </c>
      <c r="Q336" s="53" t="str">
        <f t="shared" si="80"/>
        <v/>
      </c>
      <c r="R336" s="53" t="str">
        <f t="shared" si="81"/>
        <v/>
      </c>
      <c r="S336" s="53" t="str">
        <f t="shared" si="82"/>
        <v/>
      </c>
      <c r="T336" s="53" t="str">
        <f t="shared" si="83"/>
        <v/>
      </c>
    </row>
    <row r="337" spans="1:20">
      <c r="A337" s="47" t="str">
        <f>IF(archive!E337="","",archive!E337)</f>
        <v/>
      </c>
      <c r="B337" s="48" t="str">
        <f t="shared" si="70"/>
        <v/>
      </c>
      <c r="C337" s="49" t="str">
        <f>IF(archive!F337="","",archive!F337)</f>
        <v/>
      </c>
      <c r="D337" s="50" t="str">
        <f t="shared" si="71"/>
        <v/>
      </c>
      <c r="E337" s="50" t="str">
        <f t="shared" si="72"/>
        <v/>
      </c>
      <c r="F337" s="47" t="str">
        <f>IF(COUNTA(archive!H337:CI337)=0,"",COUNTA(archive!H337:CI337))</f>
        <v/>
      </c>
      <c r="G337" s="47" t="str">
        <f>IF(archive!G337="","",archive!G337)</f>
        <v/>
      </c>
      <c r="H337" s="51" t="str">
        <f>IF(archive!CJ337="","",archive!CJ337)</f>
        <v/>
      </c>
      <c r="I337" s="51" t="str">
        <f>IF(archive!CK337="","",archive!CK337)</f>
        <v/>
      </c>
      <c r="J337" s="47" t="str">
        <f t="shared" si="73"/>
        <v/>
      </c>
      <c r="K337" s="51" t="str">
        <f t="shared" si="74"/>
        <v/>
      </c>
      <c r="L337" s="52" t="str">
        <f t="shared" si="75"/>
        <v/>
      </c>
      <c r="M337" s="53" t="str">
        <f t="shared" si="76"/>
        <v/>
      </c>
      <c r="N337" s="53" t="str">
        <f t="shared" si="77"/>
        <v/>
      </c>
      <c r="O337" s="53" t="str">
        <f t="shared" si="78"/>
        <v/>
      </c>
      <c r="P337" s="53" t="str">
        <f t="shared" si="79"/>
        <v/>
      </c>
      <c r="Q337" s="53" t="str">
        <f t="shared" si="80"/>
        <v/>
      </c>
      <c r="R337" s="53" t="str">
        <f t="shared" si="81"/>
        <v/>
      </c>
      <c r="S337" s="53" t="str">
        <f t="shared" si="82"/>
        <v/>
      </c>
      <c r="T337" s="53" t="str">
        <f t="shared" si="83"/>
        <v/>
      </c>
    </row>
    <row r="338" spans="1:20">
      <c r="A338" s="47" t="str">
        <f>IF(archive!E338="","",archive!E338)</f>
        <v/>
      </c>
      <c r="B338" s="48" t="str">
        <f t="shared" si="70"/>
        <v/>
      </c>
      <c r="C338" s="49" t="str">
        <f>IF(archive!F338="","",archive!F338)</f>
        <v/>
      </c>
      <c r="D338" s="50" t="str">
        <f t="shared" si="71"/>
        <v/>
      </c>
      <c r="E338" s="50" t="str">
        <f t="shared" si="72"/>
        <v/>
      </c>
      <c r="F338" s="47" t="str">
        <f>IF(COUNTA(archive!H338:CI338)=0,"",COUNTA(archive!H338:CI338))</f>
        <v/>
      </c>
      <c r="G338" s="47" t="str">
        <f>IF(archive!G338="","",archive!G338)</f>
        <v/>
      </c>
      <c r="H338" s="51" t="str">
        <f>IF(archive!CJ338="","",archive!CJ338)</f>
        <v/>
      </c>
      <c r="I338" s="51" t="str">
        <f>IF(archive!CK338="","",archive!CK338)</f>
        <v/>
      </c>
      <c r="J338" s="47" t="str">
        <f t="shared" si="73"/>
        <v/>
      </c>
      <c r="K338" s="51" t="str">
        <f t="shared" si="74"/>
        <v/>
      </c>
      <c r="L338" s="52" t="str">
        <f t="shared" si="75"/>
        <v/>
      </c>
      <c r="M338" s="53" t="str">
        <f t="shared" si="76"/>
        <v/>
      </c>
      <c r="N338" s="53" t="str">
        <f t="shared" si="77"/>
        <v/>
      </c>
      <c r="O338" s="53" t="str">
        <f t="shared" si="78"/>
        <v/>
      </c>
      <c r="P338" s="53" t="str">
        <f t="shared" si="79"/>
        <v/>
      </c>
      <c r="Q338" s="53" t="str">
        <f t="shared" si="80"/>
        <v/>
      </c>
      <c r="R338" s="53" t="str">
        <f t="shared" si="81"/>
        <v/>
      </c>
      <c r="S338" s="53" t="str">
        <f t="shared" si="82"/>
        <v/>
      </c>
      <c r="T338" s="53" t="str">
        <f t="shared" si="83"/>
        <v/>
      </c>
    </row>
    <row r="339" spans="1:20">
      <c r="A339" s="47" t="str">
        <f>IF(archive!E339="","",archive!E339)</f>
        <v/>
      </c>
      <c r="B339" s="48" t="str">
        <f t="shared" si="70"/>
        <v/>
      </c>
      <c r="C339" s="49" t="str">
        <f>IF(archive!F339="","",archive!F339)</f>
        <v/>
      </c>
      <c r="D339" s="50" t="str">
        <f t="shared" si="71"/>
        <v/>
      </c>
      <c r="E339" s="50" t="str">
        <f t="shared" si="72"/>
        <v/>
      </c>
      <c r="F339" s="47" t="str">
        <f>IF(COUNTA(archive!H339:CI339)=0,"",COUNTA(archive!H339:CI339))</f>
        <v/>
      </c>
      <c r="G339" s="47" t="str">
        <f>IF(archive!G339="","",archive!G339)</f>
        <v/>
      </c>
      <c r="H339" s="51" t="str">
        <f>IF(archive!CJ339="","",archive!CJ339)</f>
        <v/>
      </c>
      <c r="I339" s="51" t="str">
        <f>IF(archive!CK339="","",archive!CK339)</f>
        <v/>
      </c>
      <c r="J339" s="47" t="str">
        <f t="shared" si="73"/>
        <v/>
      </c>
      <c r="K339" s="51" t="str">
        <f t="shared" si="74"/>
        <v/>
      </c>
      <c r="L339" s="52" t="str">
        <f t="shared" si="75"/>
        <v/>
      </c>
      <c r="M339" s="53" t="str">
        <f t="shared" si="76"/>
        <v/>
      </c>
      <c r="N339" s="53" t="str">
        <f t="shared" si="77"/>
        <v/>
      </c>
      <c r="O339" s="53" t="str">
        <f t="shared" si="78"/>
        <v/>
      </c>
      <c r="P339" s="53" t="str">
        <f t="shared" si="79"/>
        <v/>
      </c>
      <c r="Q339" s="53" t="str">
        <f t="shared" si="80"/>
        <v/>
      </c>
      <c r="R339" s="53" t="str">
        <f t="shared" si="81"/>
        <v/>
      </c>
      <c r="S339" s="53" t="str">
        <f t="shared" si="82"/>
        <v/>
      </c>
      <c r="T339" s="53" t="str">
        <f t="shared" si="83"/>
        <v/>
      </c>
    </row>
    <row r="340" spans="1:20">
      <c r="A340" s="47" t="str">
        <f>IF(archive!E340="","",archive!E340)</f>
        <v/>
      </c>
      <c r="B340" s="48" t="str">
        <f t="shared" si="70"/>
        <v/>
      </c>
      <c r="C340" s="49" t="str">
        <f>IF(archive!F340="","",archive!F340)</f>
        <v/>
      </c>
      <c r="D340" s="50" t="str">
        <f t="shared" si="71"/>
        <v/>
      </c>
      <c r="E340" s="50" t="str">
        <f t="shared" si="72"/>
        <v/>
      </c>
      <c r="F340" s="47" t="str">
        <f>IF(COUNTA(archive!H340:CI340)=0,"",COUNTA(archive!H340:CI340))</f>
        <v/>
      </c>
      <c r="G340" s="47" t="str">
        <f>IF(archive!G340="","",archive!G340)</f>
        <v/>
      </c>
      <c r="H340" s="51" t="str">
        <f>IF(archive!CJ340="","",archive!CJ340)</f>
        <v/>
      </c>
      <c r="I340" s="51" t="str">
        <f>IF(archive!CK340="","",archive!CK340)</f>
        <v/>
      </c>
      <c r="J340" s="47" t="str">
        <f t="shared" si="73"/>
        <v/>
      </c>
      <c r="K340" s="51" t="str">
        <f t="shared" si="74"/>
        <v/>
      </c>
      <c r="L340" s="52" t="str">
        <f t="shared" si="75"/>
        <v/>
      </c>
      <c r="M340" s="53" t="str">
        <f t="shared" si="76"/>
        <v/>
      </c>
      <c r="N340" s="53" t="str">
        <f t="shared" si="77"/>
        <v/>
      </c>
      <c r="O340" s="53" t="str">
        <f t="shared" si="78"/>
        <v/>
      </c>
      <c r="P340" s="53" t="str">
        <f t="shared" si="79"/>
        <v/>
      </c>
      <c r="Q340" s="53" t="str">
        <f t="shared" si="80"/>
        <v/>
      </c>
      <c r="R340" s="53" t="str">
        <f t="shared" si="81"/>
        <v/>
      </c>
      <c r="S340" s="53" t="str">
        <f t="shared" si="82"/>
        <v/>
      </c>
      <c r="T340" s="53" t="str">
        <f t="shared" si="83"/>
        <v/>
      </c>
    </row>
    <row r="341" spans="1:20">
      <c r="A341" s="47" t="str">
        <f>IF(archive!E341="","",archive!E341)</f>
        <v/>
      </c>
      <c r="B341" s="48" t="str">
        <f t="shared" si="70"/>
        <v/>
      </c>
      <c r="C341" s="49" t="str">
        <f>IF(archive!F341="","",archive!F341)</f>
        <v/>
      </c>
      <c r="D341" s="50" t="str">
        <f t="shared" si="71"/>
        <v/>
      </c>
      <c r="E341" s="50" t="str">
        <f t="shared" si="72"/>
        <v/>
      </c>
      <c r="F341" s="47" t="str">
        <f>IF(COUNTA(archive!H341:CI341)=0,"",COUNTA(archive!H341:CI341))</f>
        <v/>
      </c>
      <c r="G341" s="47" t="str">
        <f>IF(archive!G341="","",archive!G341)</f>
        <v/>
      </c>
      <c r="H341" s="51" t="str">
        <f>IF(archive!CJ341="","",archive!CJ341)</f>
        <v/>
      </c>
      <c r="I341" s="51" t="str">
        <f>IF(archive!CK341="","",archive!CK341)</f>
        <v/>
      </c>
      <c r="J341" s="47" t="str">
        <f t="shared" si="73"/>
        <v/>
      </c>
      <c r="K341" s="51" t="str">
        <f t="shared" si="74"/>
        <v/>
      </c>
      <c r="L341" s="52" t="str">
        <f t="shared" si="75"/>
        <v/>
      </c>
      <c r="M341" s="53" t="str">
        <f t="shared" si="76"/>
        <v/>
      </c>
      <c r="N341" s="53" t="str">
        <f t="shared" si="77"/>
        <v/>
      </c>
      <c r="O341" s="53" t="str">
        <f t="shared" si="78"/>
        <v/>
      </c>
      <c r="P341" s="53" t="str">
        <f t="shared" si="79"/>
        <v/>
      </c>
      <c r="Q341" s="53" t="str">
        <f t="shared" si="80"/>
        <v/>
      </c>
      <c r="R341" s="53" t="str">
        <f t="shared" si="81"/>
        <v/>
      </c>
      <c r="S341" s="53" t="str">
        <f t="shared" si="82"/>
        <v/>
      </c>
      <c r="T341" s="53" t="str">
        <f t="shared" si="83"/>
        <v/>
      </c>
    </row>
    <row r="342" spans="1:20">
      <c r="A342" s="47" t="str">
        <f>IF(archive!E342="","",archive!E342)</f>
        <v/>
      </c>
      <c r="B342" s="48" t="str">
        <f t="shared" si="70"/>
        <v/>
      </c>
      <c r="C342" s="49" t="str">
        <f>IF(archive!F342="","",archive!F342)</f>
        <v/>
      </c>
      <c r="D342" s="50" t="str">
        <f t="shared" si="71"/>
        <v/>
      </c>
      <c r="E342" s="50" t="str">
        <f t="shared" si="72"/>
        <v/>
      </c>
      <c r="F342" s="47" t="str">
        <f>IF(COUNTA(archive!H342:CI342)=0,"",COUNTA(archive!H342:CI342))</f>
        <v/>
      </c>
      <c r="G342" s="47" t="str">
        <f>IF(archive!G342="","",archive!G342)</f>
        <v/>
      </c>
      <c r="H342" s="51" t="str">
        <f>IF(archive!CJ342="","",archive!CJ342)</f>
        <v/>
      </c>
      <c r="I342" s="51" t="str">
        <f>IF(archive!CK342="","",archive!CK342)</f>
        <v/>
      </c>
      <c r="J342" s="47" t="str">
        <f t="shared" si="73"/>
        <v/>
      </c>
      <c r="K342" s="51" t="str">
        <f t="shared" si="74"/>
        <v/>
      </c>
      <c r="L342" s="52" t="str">
        <f t="shared" si="75"/>
        <v/>
      </c>
      <c r="M342" s="53" t="str">
        <f t="shared" si="76"/>
        <v/>
      </c>
      <c r="N342" s="53" t="str">
        <f t="shared" si="77"/>
        <v/>
      </c>
      <c r="O342" s="53" t="str">
        <f t="shared" si="78"/>
        <v/>
      </c>
      <c r="P342" s="53" t="str">
        <f t="shared" si="79"/>
        <v/>
      </c>
      <c r="Q342" s="53" t="str">
        <f t="shared" si="80"/>
        <v/>
      </c>
      <c r="R342" s="53" t="str">
        <f t="shared" si="81"/>
        <v/>
      </c>
      <c r="S342" s="53" t="str">
        <f t="shared" si="82"/>
        <v/>
      </c>
      <c r="T342" s="53" t="str">
        <f t="shared" si="83"/>
        <v/>
      </c>
    </row>
    <row r="343" spans="1:20">
      <c r="A343" s="47" t="str">
        <f>IF(archive!E343="","",archive!E343)</f>
        <v/>
      </c>
      <c r="B343" s="48" t="str">
        <f t="shared" si="70"/>
        <v/>
      </c>
      <c r="C343" s="49" t="str">
        <f>IF(archive!F343="","",archive!F343)</f>
        <v/>
      </c>
      <c r="D343" s="50" t="str">
        <f t="shared" si="71"/>
        <v/>
      </c>
      <c r="E343" s="50" t="str">
        <f t="shared" si="72"/>
        <v/>
      </c>
      <c r="F343" s="47" t="str">
        <f>IF(COUNTA(archive!H343:CI343)=0,"",COUNTA(archive!H343:CI343))</f>
        <v/>
      </c>
      <c r="G343" s="47" t="str">
        <f>IF(archive!G343="","",archive!G343)</f>
        <v/>
      </c>
      <c r="H343" s="51" t="str">
        <f>IF(archive!CJ343="","",archive!CJ343)</f>
        <v/>
      </c>
      <c r="I343" s="51" t="str">
        <f>IF(archive!CK343="","",archive!CK343)</f>
        <v/>
      </c>
      <c r="J343" s="47" t="str">
        <f t="shared" si="73"/>
        <v/>
      </c>
      <c r="K343" s="51" t="str">
        <f t="shared" si="74"/>
        <v/>
      </c>
      <c r="L343" s="52" t="str">
        <f t="shared" si="75"/>
        <v/>
      </c>
      <c r="M343" s="53" t="str">
        <f t="shared" si="76"/>
        <v/>
      </c>
      <c r="N343" s="53" t="str">
        <f t="shared" si="77"/>
        <v/>
      </c>
      <c r="O343" s="53" t="str">
        <f t="shared" si="78"/>
        <v/>
      </c>
      <c r="P343" s="53" t="str">
        <f t="shared" si="79"/>
        <v/>
      </c>
      <c r="Q343" s="53" t="str">
        <f t="shared" si="80"/>
        <v/>
      </c>
      <c r="R343" s="53" t="str">
        <f t="shared" si="81"/>
        <v/>
      </c>
      <c r="S343" s="53" t="str">
        <f t="shared" si="82"/>
        <v/>
      </c>
      <c r="T343" s="53" t="str">
        <f t="shared" si="83"/>
        <v/>
      </c>
    </row>
    <row r="344" spans="1:20">
      <c r="A344" s="47" t="str">
        <f>IF(archive!E344="","",archive!E344)</f>
        <v/>
      </c>
      <c r="B344" s="48" t="str">
        <f t="shared" si="70"/>
        <v/>
      </c>
      <c r="C344" s="49" t="str">
        <f>IF(archive!F344="","",archive!F344)</f>
        <v/>
      </c>
      <c r="D344" s="50" t="str">
        <f t="shared" si="71"/>
        <v/>
      </c>
      <c r="E344" s="50" t="str">
        <f t="shared" si="72"/>
        <v/>
      </c>
      <c r="F344" s="47" t="str">
        <f>IF(COUNTA(archive!H344:CI344)=0,"",COUNTA(archive!H344:CI344))</f>
        <v/>
      </c>
      <c r="G344" s="47" t="str">
        <f>IF(archive!G344="","",archive!G344)</f>
        <v/>
      </c>
      <c r="H344" s="51" t="str">
        <f>IF(archive!CJ344="","",archive!CJ344)</f>
        <v/>
      </c>
      <c r="I344" s="51" t="str">
        <f>IF(archive!CK344="","",archive!CK344)</f>
        <v/>
      </c>
      <c r="J344" s="47" t="str">
        <f t="shared" si="73"/>
        <v/>
      </c>
      <c r="K344" s="51" t="str">
        <f t="shared" si="74"/>
        <v/>
      </c>
      <c r="L344" s="52" t="str">
        <f t="shared" si="75"/>
        <v/>
      </c>
      <c r="M344" s="53" t="str">
        <f t="shared" si="76"/>
        <v/>
      </c>
      <c r="N344" s="53" t="str">
        <f t="shared" si="77"/>
        <v/>
      </c>
      <c r="O344" s="53" t="str">
        <f t="shared" si="78"/>
        <v/>
      </c>
      <c r="P344" s="53" t="str">
        <f t="shared" si="79"/>
        <v/>
      </c>
      <c r="Q344" s="53" t="str">
        <f t="shared" si="80"/>
        <v/>
      </c>
      <c r="R344" s="53" t="str">
        <f t="shared" si="81"/>
        <v/>
      </c>
      <c r="S344" s="53" t="str">
        <f t="shared" si="82"/>
        <v/>
      </c>
      <c r="T344" s="53" t="str">
        <f t="shared" si="83"/>
        <v/>
      </c>
    </row>
    <row r="345" spans="1:20">
      <c r="A345" s="47" t="str">
        <f>IF(archive!E345="","",archive!E345)</f>
        <v/>
      </c>
      <c r="B345" s="48" t="str">
        <f t="shared" si="70"/>
        <v/>
      </c>
      <c r="C345" s="49" t="str">
        <f>IF(archive!F345="","",archive!F345)</f>
        <v/>
      </c>
      <c r="D345" s="50" t="str">
        <f t="shared" si="71"/>
        <v/>
      </c>
      <c r="E345" s="50" t="str">
        <f t="shared" si="72"/>
        <v/>
      </c>
      <c r="F345" s="47" t="str">
        <f>IF(COUNTA(archive!H345:CI345)=0,"",COUNTA(archive!H345:CI345))</f>
        <v/>
      </c>
      <c r="G345" s="47" t="str">
        <f>IF(archive!G345="","",archive!G345)</f>
        <v/>
      </c>
      <c r="H345" s="51" t="str">
        <f>IF(archive!CJ345="","",archive!CJ345)</f>
        <v/>
      </c>
      <c r="I345" s="51" t="str">
        <f>IF(archive!CK345="","",archive!CK345)</f>
        <v/>
      </c>
      <c r="J345" s="47" t="str">
        <f t="shared" si="73"/>
        <v/>
      </c>
      <c r="K345" s="51" t="str">
        <f t="shared" si="74"/>
        <v/>
      </c>
      <c r="L345" s="52" t="str">
        <f t="shared" si="75"/>
        <v/>
      </c>
      <c r="M345" s="53" t="str">
        <f t="shared" si="76"/>
        <v/>
      </c>
      <c r="N345" s="53" t="str">
        <f t="shared" si="77"/>
        <v/>
      </c>
      <c r="O345" s="53" t="str">
        <f t="shared" si="78"/>
        <v/>
      </c>
      <c r="P345" s="53" t="str">
        <f t="shared" si="79"/>
        <v/>
      </c>
      <c r="Q345" s="53" t="str">
        <f t="shared" si="80"/>
        <v/>
      </c>
      <c r="R345" s="53" t="str">
        <f t="shared" si="81"/>
        <v/>
      </c>
      <c r="S345" s="53" t="str">
        <f t="shared" si="82"/>
        <v/>
      </c>
      <c r="T345" s="53" t="str">
        <f t="shared" si="83"/>
        <v/>
      </c>
    </row>
    <row r="346" spans="1:20">
      <c r="A346" s="47" t="str">
        <f>IF(archive!E346="","",archive!E346)</f>
        <v/>
      </c>
      <c r="B346" s="48" t="str">
        <f t="shared" si="70"/>
        <v/>
      </c>
      <c r="C346" s="49" t="str">
        <f>IF(archive!F346="","",archive!F346)</f>
        <v/>
      </c>
      <c r="D346" s="50" t="str">
        <f t="shared" si="71"/>
        <v/>
      </c>
      <c r="E346" s="50" t="str">
        <f t="shared" si="72"/>
        <v/>
      </c>
      <c r="F346" s="47" t="str">
        <f>IF(COUNTA(archive!H346:CI346)=0,"",COUNTA(archive!H346:CI346))</f>
        <v/>
      </c>
      <c r="G346" s="47" t="str">
        <f>IF(archive!G346="","",archive!G346)</f>
        <v/>
      </c>
      <c r="H346" s="51" t="str">
        <f>IF(archive!CJ346="","",archive!CJ346)</f>
        <v/>
      </c>
      <c r="I346" s="51" t="str">
        <f>IF(archive!CK346="","",archive!CK346)</f>
        <v/>
      </c>
      <c r="J346" s="47" t="str">
        <f t="shared" si="73"/>
        <v/>
      </c>
      <c r="K346" s="51" t="str">
        <f t="shared" si="74"/>
        <v/>
      </c>
      <c r="L346" s="52" t="str">
        <f t="shared" si="75"/>
        <v/>
      </c>
      <c r="M346" s="53" t="str">
        <f t="shared" si="76"/>
        <v/>
      </c>
      <c r="N346" s="53" t="str">
        <f t="shared" si="77"/>
        <v/>
      </c>
      <c r="O346" s="53" t="str">
        <f t="shared" si="78"/>
        <v/>
      </c>
      <c r="P346" s="53" t="str">
        <f t="shared" si="79"/>
        <v/>
      </c>
      <c r="Q346" s="53" t="str">
        <f t="shared" si="80"/>
        <v/>
      </c>
      <c r="R346" s="53" t="str">
        <f t="shared" si="81"/>
        <v/>
      </c>
      <c r="S346" s="53" t="str">
        <f t="shared" si="82"/>
        <v/>
      </c>
      <c r="T346" s="53" t="str">
        <f t="shared" si="83"/>
        <v/>
      </c>
    </row>
    <row r="347" spans="1:20">
      <c r="A347" s="47" t="str">
        <f>IF(archive!E347="","",archive!E347)</f>
        <v/>
      </c>
      <c r="B347" s="48" t="str">
        <f t="shared" si="70"/>
        <v/>
      </c>
      <c r="C347" s="49" t="str">
        <f>IF(archive!F347="","",archive!F347)</f>
        <v/>
      </c>
      <c r="D347" s="50" t="str">
        <f t="shared" si="71"/>
        <v/>
      </c>
      <c r="E347" s="50" t="str">
        <f t="shared" si="72"/>
        <v/>
      </c>
      <c r="F347" s="47" t="str">
        <f>IF(COUNTA(archive!H347:CI347)=0,"",COUNTA(archive!H347:CI347))</f>
        <v/>
      </c>
      <c r="G347" s="47" t="str">
        <f>IF(archive!G347="","",archive!G347)</f>
        <v/>
      </c>
      <c r="H347" s="51" t="str">
        <f>IF(archive!CJ347="","",archive!CJ347)</f>
        <v/>
      </c>
      <c r="I347" s="51" t="str">
        <f>IF(archive!CK347="","",archive!CK347)</f>
        <v/>
      </c>
      <c r="J347" s="47" t="str">
        <f t="shared" si="73"/>
        <v/>
      </c>
      <c r="K347" s="51" t="str">
        <f t="shared" si="74"/>
        <v/>
      </c>
      <c r="L347" s="52" t="str">
        <f t="shared" si="75"/>
        <v/>
      </c>
      <c r="M347" s="53" t="str">
        <f t="shared" si="76"/>
        <v/>
      </c>
      <c r="N347" s="53" t="str">
        <f t="shared" si="77"/>
        <v/>
      </c>
      <c r="O347" s="53" t="str">
        <f t="shared" si="78"/>
        <v/>
      </c>
      <c r="P347" s="53" t="str">
        <f t="shared" si="79"/>
        <v/>
      </c>
      <c r="Q347" s="53" t="str">
        <f t="shared" si="80"/>
        <v/>
      </c>
      <c r="R347" s="53" t="str">
        <f t="shared" si="81"/>
        <v/>
      </c>
      <c r="S347" s="53" t="str">
        <f t="shared" si="82"/>
        <v/>
      </c>
      <c r="T347" s="53" t="str">
        <f t="shared" si="83"/>
        <v/>
      </c>
    </row>
    <row r="348" spans="1:20">
      <c r="A348" s="47" t="str">
        <f>IF(archive!E348="","",archive!E348)</f>
        <v/>
      </c>
      <c r="B348" s="48" t="str">
        <f t="shared" si="70"/>
        <v/>
      </c>
      <c r="C348" s="49" t="str">
        <f>IF(archive!F348="","",archive!F348)</f>
        <v/>
      </c>
      <c r="D348" s="50" t="str">
        <f t="shared" si="71"/>
        <v/>
      </c>
      <c r="E348" s="50" t="str">
        <f t="shared" si="72"/>
        <v/>
      </c>
      <c r="F348" s="47" t="str">
        <f>IF(COUNTA(archive!H348:CI348)=0,"",COUNTA(archive!H348:CI348))</f>
        <v/>
      </c>
      <c r="G348" s="47" t="str">
        <f>IF(archive!G348="","",archive!G348)</f>
        <v/>
      </c>
      <c r="H348" s="51" t="str">
        <f>IF(archive!CJ348="","",archive!CJ348)</f>
        <v/>
      </c>
      <c r="I348" s="51" t="str">
        <f>IF(archive!CK348="","",archive!CK348)</f>
        <v/>
      </c>
      <c r="J348" s="47" t="str">
        <f t="shared" si="73"/>
        <v/>
      </c>
      <c r="K348" s="51" t="str">
        <f t="shared" si="74"/>
        <v/>
      </c>
      <c r="L348" s="52" t="str">
        <f t="shared" si="75"/>
        <v/>
      </c>
      <c r="M348" s="53" t="str">
        <f t="shared" si="76"/>
        <v/>
      </c>
      <c r="N348" s="53" t="str">
        <f t="shared" si="77"/>
        <v/>
      </c>
      <c r="O348" s="53" t="str">
        <f t="shared" si="78"/>
        <v/>
      </c>
      <c r="P348" s="53" t="str">
        <f t="shared" si="79"/>
        <v/>
      </c>
      <c r="Q348" s="53" t="str">
        <f t="shared" si="80"/>
        <v/>
      </c>
      <c r="R348" s="53" t="str">
        <f t="shared" si="81"/>
        <v/>
      </c>
      <c r="S348" s="53" t="str">
        <f t="shared" si="82"/>
        <v/>
      </c>
      <c r="T348" s="53" t="str">
        <f t="shared" si="83"/>
        <v/>
      </c>
    </row>
    <row r="349" spans="1:20">
      <c r="A349" s="47" t="str">
        <f>IF(archive!E349="","",archive!E349)</f>
        <v/>
      </c>
      <c r="B349" s="48" t="str">
        <f t="shared" si="70"/>
        <v/>
      </c>
      <c r="C349" s="49" t="str">
        <f>IF(archive!F349="","",archive!F349)</f>
        <v/>
      </c>
      <c r="D349" s="50" t="str">
        <f t="shared" si="71"/>
        <v/>
      </c>
      <c r="E349" s="50" t="str">
        <f t="shared" si="72"/>
        <v/>
      </c>
      <c r="F349" s="47" t="str">
        <f>IF(COUNTA(archive!H349:CI349)=0,"",COUNTA(archive!H349:CI349))</f>
        <v/>
      </c>
      <c r="G349" s="47" t="str">
        <f>IF(archive!G349="","",archive!G349)</f>
        <v/>
      </c>
      <c r="H349" s="51" t="str">
        <f>IF(archive!CJ349="","",archive!CJ349)</f>
        <v/>
      </c>
      <c r="I349" s="51" t="str">
        <f>IF(archive!CK349="","",archive!CK349)</f>
        <v/>
      </c>
      <c r="J349" s="47" t="str">
        <f t="shared" si="73"/>
        <v/>
      </c>
      <c r="K349" s="51" t="str">
        <f t="shared" si="74"/>
        <v/>
      </c>
      <c r="L349" s="52" t="str">
        <f t="shared" si="75"/>
        <v/>
      </c>
      <c r="M349" s="53" t="str">
        <f t="shared" si="76"/>
        <v/>
      </c>
      <c r="N349" s="53" t="str">
        <f t="shared" si="77"/>
        <v/>
      </c>
      <c r="O349" s="53" t="str">
        <f t="shared" si="78"/>
        <v/>
      </c>
      <c r="P349" s="53" t="str">
        <f t="shared" si="79"/>
        <v/>
      </c>
      <c r="Q349" s="53" t="str">
        <f t="shared" si="80"/>
        <v/>
      </c>
      <c r="R349" s="53" t="str">
        <f t="shared" si="81"/>
        <v/>
      </c>
      <c r="S349" s="53" t="str">
        <f t="shared" si="82"/>
        <v/>
      </c>
      <c r="T349" s="53" t="str">
        <f t="shared" si="83"/>
        <v/>
      </c>
    </row>
    <row r="350" spans="1:20">
      <c r="A350" s="47" t="str">
        <f>IF(archive!E350="","",archive!E350)</f>
        <v/>
      </c>
      <c r="B350" s="48" t="str">
        <f t="shared" si="70"/>
        <v/>
      </c>
      <c r="C350" s="49" t="str">
        <f>IF(archive!F350="","",archive!F350)</f>
        <v/>
      </c>
      <c r="D350" s="50" t="str">
        <f t="shared" si="71"/>
        <v/>
      </c>
      <c r="E350" s="50" t="str">
        <f t="shared" si="72"/>
        <v/>
      </c>
      <c r="F350" s="47" t="str">
        <f>IF(COUNTA(archive!H350:CI350)=0,"",COUNTA(archive!H350:CI350))</f>
        <v/>
      </c>
      <c r="G350" s="47" t="str">
        <f>IF(archive!G350="","",archive!G350)</f>
        <v/>
      </c>
      <c r="H350" s="51" t="str">
        <f>IF(archive!CJ350="","",archive!CJ350)</f>
        <v/>
      </c>
      <c r="I350" s="51" t="str">
        <f>IF(archive!CK350="","",archive!CK350)</f>
        <v/>
      </c>
      <c r="J350" s="47" t="str">
        <f t="shared" si="73"/>
        <v/>
      </c>
      <c r="K350" s="51" t="str">
        <f t="shared" si="74"/>
        <v/>
      </c>
      <c r="L350" s="52" t="str">
        <f t="shared" si="75"/>
        <v/>
      </c>
      <c r="M350" s="53" t="str">
        <f t="shared" si="76"/>
        <v/>
      </c>
      <c r="N350" s="53" t="str">
        <f t="shared" si="77"/>
        <v/>
      </c>
      <c r="O350" s="53" t="str">
        <f t="shared" si="78"/>
        <v/>
      </c>
      <c r="P350" s="53" t="str">
        <f t="shared" si="79"/>
        <v/>
      </c>
      <c r="Q350" s="53" t="str">
        <f t="shared" si="80"/>
        <v/>
      </c>
      <c r="R350" s="53" t="str">
        <f t="shared" si="81"/>
        <v/>
      </c>
      <c r="S350" s="53" t="str">
        <f t="shared" si="82"/>
        <v/>
      </c>
      <c r="T350" s="53" t="str">
        <f t="shared" si="83"/>
        <v/>
      </c>
    </row>
    <row r="351" spans="1:20">
      <c r="A351" s="47" t="str">
        <f>IF(archive!E351="","",archive!E351)</f>
        <v/>
      </c>
      <c r="B351" s="48" t="str">
        <f t="shared" si="70"/>
        <v/>
      </c>
      <c r="C351" s="49" t="str">
        <f>IF(archive!F351="","",archive!F351)</f>
        <v/>
      </c>
      <c r="D351" s="50" t="str">
        <f t="shared" si="71"/>
        <v/>
      </c>
      <c r="E351" s="50" t="str">
        <f t="shared" si="72"/>
        <v/>
      </c>
      <c r="F351" s="47" t="str">
        <f>IF(COUNTA(archive!H351:CI351)=0,"",COUNTA(archive!H351:CI351))</f>
        <v/>
      </c>
      <c r="G351" s="47" t="str">
        <f>IF(archive!G351="","",archive!G351)</f>
        <v/>
      </c>
      <c r="H351" s="51" t="str">
        <f>IF(archive!CJ351="","",archive!CJ351)</f>
        <v/>
      </c>
      <c r="I351" s="51" t="str">
        <f>IF(archive!CK351="","",archive!CK351)</f>
        <v/>
      </c>
      <c r="J351" s="47" t="str">
        <f t="shared" si="73"/>
        <v/>
      </c>
      <c r="K351" s="51" t="str">
        <f t="shared" si="74"/>
        <v/>
      </c>
      <c r="L351" s="52" t="str">
        <f t="shared" si="75"/>
        <v/>
      </c>
      <c r="M351" s="53" t="str">
        <f t="shared" si="76"/>
        <v/>
      </c>
      <c r="N351" s="53" t="str">
        <f t="shared" si="77"/>
        <v/>
      </c>
      <c r="O351" s="53" t="str">
        <f t="shared" si="78"/>
        <v/>
      </c>
      <c r="P351" s="53" t="str">
        <f t="shared" si="79"/>
        <v/>
      </c>
      <c r="Q351" s="53" t="str">
        <f t="shared" si="80"/>
        <v/>
      </c>
      <c r="R351" s="53" t="str">
        <f t="shared" si="81"/>
        <v/>
      </c>
      <c r="S351" s="53" t="str">
        <f t="shared" si="82"/>
        <v/>
      </c>
      <c r="T351" s="53" t="str">
        <f t="shared" si="83"/>
        <v/>
      </c>
    </row>
    <row r="352" spans="1:20">
      <c r="A352" s="47" t="str">
        <f>IF(archive!E352="","",archive!E352)</f>
        <v/>
      </c>
      <c r="B352" s="48" t="str">
        <f t="shared" si="70"/>
        <v/>
      </c>
      <c r="C352" s="49" t="str">
        <f>IF(archive!F352="","",archive!F352)</f>
        <v/>
      </c>
      <c r="D352" s="50" t="str">
        <f t="shared" si="71"/>
        <v/>
      </c>
      <c r="E352" s="50" t="str">
        <f t="shared" si="72"/>
        <v/>
      </c>
      <c r="F352" s="47" t="str">
        <f>IF(COUNTA(archive!H352:CI352)=0,"",COUNTA(archive!H352:CI352))</f>
        <v/>
      </c>
      <c r="G352" s="47" t="str">
        <f>IF(archive!G352="","",archive!G352)</f>
        <v/>
      </c>
      <c r="H352" s="51" t="str">
        <f>IF(archive!CJ352="","",archive!CJ352)</f>
        <v/>
      </c>
      <c r="I352" s="51" t="str">
        <f>IF(archive!CK352="","",archive!CK352)</f>
        <v/>
      </c>
      <c r="J352" s="47" t="str">
        <f t="shared" si="73"/>
        <v/>
      </c>
      <c r="K352" s="51" t="str">
        <f t="shared" si="74"/>
        <v/>
      </c>
      <c r="L352" s="52" t="str">
        <f t="shared" si="75"/>
        <v/>
      </c>
      <c r="M352" s="53" t="str">
        <f t="shared" si="76"/>
        <v/>
      </c>
      <c r="N352" s="53" t="str">
        <f t="shared" si="77"/>
        <v/>
      </c>
      <c r="O352" s="53" t="str">
        <f t="shared" si="78"/>
        <v/>
      </c>
      <c r="P352" s="53" t="str">
        <f t="shared" si="79"/>
        <v/>
      </c>
      <c r="Q352" s="53" t="str">
        <f t="shared" si="80"/>
        <v/>
      </c>
      <c r="R352" s="53" t="str">
        <f t="shared" si="81"/>
        <v/>
      </c>
      <c r="S352" s="53" t="str">
        <f t="shared" si="82"/>
        <v/>
      </c>
      <c r="T352" s="53" t="str">
        <f t="shared" si="83"/>
        <v/>
      </c>
    </row>
    <row r="353" spans="1:20">
      <c r="A353" s="47" t="str">
        <f>IF(archive!E353="","",archive!E353)</f>
        <v/>
      </c>
      <c r="B353" s="48" t="str">
        <f t="shared" si="70"/>
        <v/>
      </c>
      <c r="C353" s="49" t="str">
        <f>IF(archive!F353="","",archive!F353)</f>
        <v/>
      </c>
      <c r="D353" s="50" t="str">
        <f t="shared" si="71"/>
        <v/>
      </c>
      <c r="E353" s="50" t="str">
        <f t="shared" si="72"/>
        <v/>
      </c>
      <c r="F353" s="47" t="str">
        <f>IF(COUNTA(archive!H353:CI353)=0,"",COUNTA(archive!H353:CI353))</f>
        <v/>
      </c>
      <c r="G353" s="47" t="str">
        <f>IF(archive!G353="","",archive!G353)</f>
        <v/>
      </c>
      <c r="H353" s="51" t="str">
        <f>IF(archive!CJ353="","",archive!CJ353)</f>
        <v/>
      </c>
      <c r="I353" s="51" t="str">
        <f>IF(archive!CK353="","",archive!CK353)</f>
        <v/>
      </c>
      <c r="J353" s="47" t="str">
        <f t="shared" si="73"/>
        <v/>
      </c>
      <c r="K353" s="51" t="str">
        <f t="shared" si="74"/>
        <v/>
      </c>
      <c r="L353" s="52" t="str">
        <f t="shared" si="75"/>
        <v/>
      </c>
      <c r="M353" s="53" t="str">
        <f t="shared" si="76"/>
        <v/>
      </c>
      <c r="N353" s="53" t="str">
        <f t="shared" si="77"/>
        <v/>
      </c>
      <c r="O353" s="53" t="str">
        <f t="shared" si="78"/>
        <v/>
      </c>
      <c r="P353" s="53" t="str">
        <f t="shared" si="79"/>
        <v/>
      </c>
      <c r="Q353" s="53" t="str">
        <f t="shared" si="80"/>
        <v/>
      </c>
      <c r="R353" s="53" t="str">
        <f t="shared" si="81"/>
        <v/>
      </c>
      <c r="S353" s="53" t="str">
        <f t="shared" si="82"/>
        <v/>
      </c>
      <c r="T353" s="53" t="str">
        <f t="shared" si="83"/>
        <v/>
      </c>
    </row>
    <row r="354" spans="1:20">
      <c r="A354" s="47" t="str">
        <f>IF(archive!E354="","",archive!E354)</f>
        <v/>
      </c>
      <c r="B354" s="48" t="str">
        <f t="shared" si="70"/>
        <v/>
      </c>
      <c r="C354" s="49" t="str">
        <f>IF(archive!F354="","",archive!F354)</f>
        <v/>
      </c>
      <c r="D354" s="50" t="str">
        <f t="shared" si="71"/>
        <v/>
      </c>
      <c r="E354" s="50" t="str">
        <f t="shared" si="72"/>
        <v/>
      </c>
      <c r="F354" s="47" t="str">
        <f>IF(COUNTA(archive!H354:CI354)=0,"",COUNTA(archive!H354:CI354))</f>
        <v/>
      </c>
      <c r="G354" s="47" t="str">
        <f>IF(archive!G354="","",archive!G354)</f>
        <v/>
      </c>
      <c r="H354" s="51" t="str">
        <f>IF(archive!CJ354="","",archive!CJ354)</f>
        <v/>
      </c>
      <c r="I354" s="51" t="str">
        <f>IF(archive!CK354="","",archive!CK354)</f>
        <v/>
      </c>
      <c r="J354" s="47" t="str">
        <f t="shared" si="73"/>
        <v/>
      </c>
      <c r="K354" s="51" t="str">
        <f t="shared" si="74"/>
        <v/>
      </c>
      <c r="L354" s="52" t="str">
        <f t="shared" si="75"/>
        <v/>
      </c>
      <c r="M354" s="53" t="str">
        <f t="shared" si="76"/>
        <v/>
      </c>
      <c r="N354" s="53" t="str">
        <f t="shared" si="77"/>
        <v/>
      </c>
      <c r="O354" s="53" t="str">
        <f t="shared" si="78"/>
        <v/>
      </c>
      <c r="P354" s="53" t="str">
        <f t="shared" si="79"/>
        <v/>
      </c>
      <c r="Q354" s="53" t="str">
        <f t="shared" si="80"/>
        <v/>
      </c>
      <c r="R354" s="53" t="str">
        <f t="shared" si="81"/>
        <v/>
      </c>
      <c r="S354" s="53" t="str">
        <f t="shared" si="82"/>
        <v/>
      </c>
      <c r="T354" s="53" t="str">
        <f t="shared" si="83"/>
        <v/>
      </c>
    </row>
    <row r="355" spans="1:20">
      <c r="A355" s="47" t="str">
        <f>IF(archive!E355="","",archive!E355)</f>
        <v/>
      </c>
      <c r="B355" s="48" t="str">
        <f t="shared" si="70"/>
        <v/>
      </c>
      <c r="C355" s="49" t="str">
        <f>IF(archive!F355="","",archive!F355)</f>
        <v/>
      </c>
      <c r="D355" s="50" t="str">
        <f t="shared" si="71"/>
        <v/>
      </c>
      <c r="E355" s="50" t="str">
        <f t="shared" si="72"/>
        <v/>
      </c>
      <c r="F355" s="47" t="str">
        <f>IF(COUNTA(archive!H355:CI355)=0,"",COUNTA(archive!H355:CI355))</f>
        <v/>
      </c>
      <c r="G355" s="47" t="str">
        <f>IF(archive!G355="","",archive!G355)</f>
        <v/>
      </c>
      <c r="H355" s="51" t="str">
        <f>IF(archive!CJ355="","",archive!CJ355)</f>
        <v/>
      </c>
      <c r="I355" s="51" t="str">
        <f>IF(archive!CK355="","",archive!CK355)</f>
        <v/>
      </c>
      <c r="J355" s="47" t="str">
        <f t="shared" si="73"/>
        <v/>
      </c>
      <c r="K355" s="51" t="str">
        <f t="shared" si="74"/>
        <v/>
      </c>
      <c r="L355" s="52" t="str">
        <f t="shared" si="75"/>
        <v/>
      </c>
      <c r="M355" s="53" t="str">
        <f t="shared" si="76"/>
        <v/>
      </c>
      <c r="N355" s="53" t="str">
        <f t="shared" si="77"/>
        <v/>
      </c>
      <c r="O355" s="53" t="str">
        <f t="shared" si="78"/>
        <v/>
      </c>
      <c r="P355" s="53" t="str">
        <f t="shared" si="79"/>
        <v/>
      </c>
      <c r="Q355" s="53" t="str">
        <f t="shared" si="80"/>
        <v/>
      </c>
      <c r="R355" s="53" t="str">
        <f t="shared" si="81"/>
        <v/>
      </c>
      <c r="S355" s="53" t="str">
        <f t="shared" si="82"/>
        <v/>
      </c>
      <c r="T355" s="53" t="str">
        <f t="shared" si="83"/>
        <v/>
      </c>
    </row>
    <row r="356" spans="1:20">
      <c r="A356" s="47" t="str">
        <f>IF(archive!E356="","",archive!E356)</f>
        <v/>
      </c>
      <c r="B356" s="48" t="str">
        <f t="shared" si="70"/>
        <v/>
      </c>
      <c r="C356" s="49" t="str">
        <f>IF(archive!F356="","",archive!F356)</f>
        <v/>
      </c>
      <c r="D356" s="50" t="str">
        <f t="shared" si="71"/>
        <v/>
      </c>
      <c r="E356" s="50" t="str">
        <f t="shared" si="72"/>
        <v/>
      </c>
      <c r="F356" s="47" t="str">
        <f>IF(COUNTA(archive!H356:CI356)=0,"",COUNTA(archive!H356:CI356))</f>
        <v/>
      </c>
      <c r="G356" s="47" t="str">
        <f>IF(archive!G356="","",archive!G356)</f>
        <v/>
      </c>
      <c r="H356" s="51" t="str">
        <f>IF(archive!CJ356="","",archive!CJ356)</f>
        <v/>
      </c>
      <c r="I356" s="51" t="str">
        <f>IF(archive!CK356="","",archive!CK356)</f>
        <v/>
      </c>
      <c r="J356" s="47" t="str">
        <f t="shared" si="73"/>
        <v/>
      </c>
      <c r="K356" s="51" t="str">
        <f t="shared" si="74"/>
        <v/>
      </c>
      <c r="L356" s="52" t="str">
        <f t="shared" si="75"/>
        <v/>
      </c>
      <c r="M356" s="53" t="str">
        <f t="shared" si="76"/>
        <v/>
      </c>
      <c r="N356" s="53" t="str">
        <f t="shared" si="77"/>
        <v/>
      </c>
      <c r="O356" s="53" t="str">
        <f t="shared" si="78"/>
        <v/>
      </c>
      <c r="P356" s="53" t="str">
        <f t="shared" si="79"/>
        <v/>
      </c>
      <c r="Q356" s="53" t="str">
        <f t="shared" si="80"/>
        <v/>
      </c>
      <c r="R356" s="53" t="str">
        <f t="shared" si="81"/>
        <v/>
      </c>
      <c r="S356" s="53" t="str">
        <f t="shared" si="82"/>
        <v/>
      </c>
      <c r="T356" s="53" t="str">
        <f t="shared" si="83"/>
        <v/>
      </c>
    </row>
    <row r="357" spans="1:20">
      <c r="A357" s="47" t="str">
        <f>IF(archive!E357="","",archive!E357)</f>
        <v/>
      </c>
      <c r="B357" s="48" t="str">
        <f t="shared" si="70"/>
        <v/>
      </c>
      <c r="C357" s="49" t="str">
        <f>IF(archive!F357="","",archive!F357)</f>
        <v/>
      </c>
      <c r="D357" s="50" t="str">
        <f t="shared" si="71"/>
        <v/>
      </c>
      <c r="E357" s="50" t="str">
        <f t="shared" si="72"/>
        <v/>
      </c>
      <c r="F357" s="47" t="str">
        <f>IF(COUNTA(archive!H357:CI357)=0,"",COUNTA(archive!H357:CI357))</f>
        <v/>
      </c>
      <c r="G357" s="47" t="str">
        <f>IF(archive!G357="","",archive!G357)</f>
        <v/>
      </c>
      <c r="H357" s="51" t="str">
        <f>IF(archive!CJ357="","",archive!CJ357)</f>
        <v/>
      </c>
      <c r="I357" s="51" t="str">
        <f>IF(archive!CK357="","",archive!CK357)</f>
        <v/>
      </c>
      <c r="J357" s="47" t="str">
        <f t="shared" si="73"/>
        <v/>
      </c>
      <c r="K357" s="51" t="str">
        <f t="shared" si="74"/>
        <v/>
      </c>
      <c r="L357" s="52" t="str">
        <f t="shared" si="75"/>
        <v/>
      </c>
      <c r="M357" s="53" t="str">
        <f t="shared" si="76"/>
        <v/>
      </c>
      <c r="N357" s="53" t="str">
        <f t="shared" si="77"/>
        <v/>
      </c>
      <c r="O357" s="53" t="str">
        <f t="shared" si="78"/>
        <v/>
      </c>
      <c r="P357" s="53" t="str">
        <f t="shared" si="79"/>
        <v/>
      </c>
      <c r="Q357" s="53" t="str">
        <f t="shared" si="80"/>
        <v/>
      </c>
      <c r="R357" s="53" t="str">
        <f t="shared" si="81"/>
        <v/>
      </c>
      <c r="S357" s="53" t="str">
        <f t="shared" si="82"/>
        <v/>
      </c>
      <c r="T357" s="53" t="str">
        <f t="shared" si="83"/>
        <v/>
      </c>
    </row>
    <row r="358" spans="1:20">
      <c r="A358" s="47" t="str">
        <f>IF(archive!E358="","",archive!E358)</f>
        <v/>
      </c>
      <c r="B358" s="48" t="str">
        <f t="shared" si="70"/>
        <v/>
      </c>
      <c r="C358" s="49" t="str">
        <f>IF(archive!F358="","",archive!F358)</f>
        <v/>
      </c>
      <c r="D358" s="50" t="str">
        <f t="shared" si="71"/>
        <v/>
      </c>
      <c r="E358" s="50" t="str">
        <f t="shared" si="72"/>
        <v/>
      </c>
      <c r="F358" s="47" t="str">
        <f>IF(COUNTA(archive!H358:CI358)=0,"",COUNTA(archive!H358:CI358))</f>
        <v/>
      </c>
      <c r="G358" s="47" t="str">
        <f>IF(archive!G358="","",archive!G358)</f>
        <v/>
      </c>
      <c r="H358" s="51" t="str">
        <f>IF(archive!CJ358="","",archive!CJ358)</f>
        <v/>
      </c>
      <c r="I358" s="51" t="str">
        <f>IF(archive!CK358="","",archive!CK358)</f>
        <v/>
      </c>
      <c r="J358" s="47" t="str">
        <f t="shared" si="73"/>
        <v/>
      </c>
      <c r="K358" s="51" t="str">
        <f t="shared" si="74"/>
        <v/>
      </c>
      <c r="L358" s="52" t="str">
        <f t="shared" si="75"/>
        <v/>
      </c>
      <c r="M358" s="53" t="str">
        <f t="shared" si="76"/>
        <v/>
      </c>
      <c r="N358" s="53" t="str">
        <f t="shared" si="77"/>
        <v/>
      </c>
      <c r="O358" s="53" t="str">
        <f t="shared" si="78"/>
        <v/>
      </c>
      <c r="P358" s="53" t="str">
        <f t="shared" si="79"/>
        <v/>
      </c>
      <c r="Q358" s="53" t="str">
        <f t="shared" si="80"/>
        <v/>
      </c>
      <c r="R358" s="53" t="str">
        <f t="shared" si="81"/>
        <v/>
      </c>
      <c r="S358" s="53" t="str">
        <f t="shared" si="82"/>
        <v/>
      </c>
      <c r="T358" s="53" t="str">
        <f t="shared" si="83"/>
        <v/>
      </c>
    </row>
    <row r="359" spans="1:20">
      <c r="A359" s="47" t="str">
        <f>IF(archive!E359="","",archive!E359)</f>
        <v/>
      </c>
      <c r="B359" s="48" t="str">
        <f t="shared" si="70"/>
        <v/>
      </c>
      <c r="C359" s="49" t="str">
        <f>IF(archive!F359="","",archive!F359)</f>
        <v/>
      </c>
      <c r="D359" s="50" t="str">
        <f t="shared" si="71"/>
        <v/>
      </c>
      <c r="E359" s="50" t="str">
        <f t="shared" si="72"/>
        <v/>
      </c>
      <c r="F359" s="47" t="str">
        <f>IF(COUNTA(archive!H359:CI359)=0,"",COUNTA(archive!H359:CI359))</f>
        <v/>
      </c>
      <c r="G359" s="47" t="str">
        <f>IF(archive!G359="","",archive!G359)</f>
        <v/>
      </c>
      <c r="H359" s="51" t="str">
        <f>IF(archive!CJ359="","",archive!CJ359)</f>
        <v/>
      </c>
      <c r="I359" s="51" t="str">
        <f>IF(archive!CK359="","",archive!CK359)</f>
        <v/>
      </c>
      <c r="J359" s="47" t="str">
        <f t="shared" si="73"/>
        <v/>
      </c>
      <c r="K359" s="51" t="str">
        <f t="shared" si="74"/>
        <v/>
      </c>
      <c r="L359" s="52" t="str">
        <f t="shared" si="75"/>
        <v/>
      </c>
      <c r="M359" s="53" t="str">
        <f t="shared" si="76"/>
        <v/>
      </c>
      <c r="N359" s="53" t="str">
        <f t="shared" si="77"/>
        <v/>
      </c>
      <c r="O359" s="53" t="str">
        <f t="shared" si="78"/>
        <v/>
      </c>
      <c r="P359" s="53" t="str">
        <f t="shared" si="79"/>
        <v/>
      </c>
      <c r="Q359" s="53" t="str">
        <f t="shared" si="80"/>
        <v/>
      </c>
      <c r="R359" s="53" t="str">
        <f t="shared" si="81"/>
        <v/>
      </c>
      <c r="S359" s="53" t="str">
        <f t="shared" si="82"/>
        <v/>
      </c>
      <c r="T359" s="53" t="str">
        <f t="shared" si="83"/>
        <v/>
      </c>
    </row>
    <row r="360" spans="1:20">
      <c r="A360" s="47" t="str">
        <f>IF(archive!E360="","",archive!E360)</f>
        <v/>
      </c>
      <c r="B360" s="48" t="str">
        <f t="shared" si="70"/>
        <v/>
      </c>
      <c r="C360" s="49" t="str">
        <f>IF(archive!F360="","",archive!F360)</f>
        <v/>
      </c>
      <c r="D360" s="50" t="str">
        <f t="shared" si="71"/>
        <v/>
      </c>
      <c r="E360" s="50" t="str">
        <f t="shared" si="72"/>
        <v/>
      </c>
      <c r="F360" s="47" t="str">
        <f>IF(COUNTA(archive!H360:CI360)=0,"",COUNTA(archive!H360:CI360))</f>
        <v/>
      </c>
      <c r="G360" s="47" t="str">
        <f>IF(archive!G360="","",archive!G360)</f>
        <v/>
      </c>
      <c r="H360" s="51" t="str">
        <f>IF(archive!CJ360="","",archive!CJ360)</f>
        <v/>
      </c>
      <c r="I360" s="51" t="str">
        <f>IF(archive!CK360="","",archive!CK360)</f>
        <v/>
      </c>
      <c r="J360" s="47" t="str">
        <f t="shared" si="73"/>
        <v/>
      </c>
      <c r="K360" s="51" t="str">
        <f t="shared" si="74"/>
        <v/>
      </c>
      <c r="L360" s="52" t="str">
        <f t="shared" si="75"/>
        <v/>
      </c>
      <c r="M360" s="53" t="str">
        <f t="shared" si="76"/>
        <v/>
      </c>
      <c r="N360" s="53" t="str">
        <f t="shared" si="77"/>
        <v/>
      </c>
      <c r="O360" s="53" t="str">
        <f t="shared" si="78"/>
        <v/>
      </c>
      <c r="P360" s="53" t="str">
        <f t="shared" si="79"/>
        <v/>
      </c>
      <c r="Q360" s="53" t="str">
        <f t="shared" si="80"/>
        <v/>
      </c>
      <c r="R360" s="53" t="str">
        <f t="shared" si="81"/>
        <v/>
      </c>
      <c r="S360" s="53" t="str">
        <f t="shared" si="82"/>
        <v/>
      </c>
      <c r="T360" s="53" t="str">
        <f t="shared" si="83"/>
        <v/>
      </c>
    </row>
    <row r="361" spans="1:20">
      <c r="A361" s="47" t="str">
        <f>IF(archive!E361="","",archive!E361)</f>
        <v/>
      </c>
      <c r="B361" s="48" t="str">
        <f t="shared" si="70"/>
        <v/>
      </c>
      <c r="C361" s="49" t="str">
        <f>IF(archive!F361="","",archive!F361)</f>
        <v/>
      </c>
      <c r="D361" s="50" t="str">
        <f t="shared" si="71"/>
        <v/>
      </c>
      <c r="E361" s="50" t="str">
        <f t="shared" si="72"/>
        <v/>
      </c>
      <c r="F361" s="47" t="str">
        <f>IF(COUNTA(archive!H361:CI361)=0,"",COUNTA(archive!H361:CI361))</f>
        <v/>
      </c>
      <c r="G361" s="47" t="str">
        <f>IF(archive!G361="","",archive!G361)</f>
        <v/>
      </c>
      <c r="H361" s="51" t="str">
        <f>IF(archive!CJ361="","",archive!CJ361)</f>
        <v/>
      </c>
      <c r="I361" s="51" t="str">
        <f>IF(archive!CK361="","",archive!CK361)</f>
        <v/>
      </c>
      <c r="J361" s="47" t="str">
        <f t="shared" si="73"/>
        <v/>
      </c>
      <c r="K361" s="51" t="str">
        <f t="shared" si="74"/>
        <v/>
      </c>
      <c r="L361" s="52" t="str">
        <f t="shared" si="75"/>
        <v/>
      </c>
      <c r="M361" s="53" t="str">
        <f t="shared" si="76"/>
        <v/>
      </c>
      <c r="N361" s="53" t="str">
        <f t="shared" si="77"/>
        <v/>
      </c>
      <c r="O361" s="53" t="str">
        <f t="shared" si="78"/>
        <v/>
      </c>
      <c r="P361" s="53" t="str">
        <f t="shared" si="79"/>
        <v/>
      </c>
      <c r="Q361" s="53" t="str">
        <f t="shared" si="80"/>
        <v/>
      </c>
      <c r="R361" s="53" t="str">
        <f t="shared" si="81"/>
        <v/>
      </c>
      <c r="S361" s="53" t="str">
        <f t="shared" si="82"/>
        <v/>
      </c>
      <c r="T361" s="53" t="str">
        <f t="shared" si="83"/>
        <v/>
      </c>
    </row>
    <row r="362" spans="1:20">
      <c r="A362" s="47" t="str">
        <f>IF(archive!E362="","",archive!E362)</f>
        <v/>
      </c>
      <c r="B362" s="48" t="str">
        <f t="shared" si="70"/>
        <v/>
      </c>
      <c r="C362" s="49" t="str">
        <f>IF(archive!F362="","",archive!F362)</f>
        <v/>
      </c>
      <c r="D362" s="50" t="str">
        <f t="shared" si="71"/>
        <v/>
      </c>
      <c r="E362" s="50" t="str">
        <f t="shared" si="72"/>
        <v/>
      </c>
      <c r="F362" s="47" t="str">
        <f>IF(COUNTA(archive!H362:CI362)=0,"",COUNTA(archive!H362:CI362))</f>
        <v/>
      </c>
      <c r="G362" s="47" t="str">
        <f>IF(archive!G362="","",archive!G362)</f>
        <v/>
      </c>
      <c r="H362" s="51" t="str">
        <f>IF(archive!CJ362="","",archive!CJ362)</f>
        <v/>
      </c>
      <c r="I362" s="51" t="str">
        <f>IF(archive!CK362="","",archive!CK362)</f>
        <v/>
      </c>
      <c r="J362" s="47" t="str">
        <f t="shared" si="73"/>
        <v/>
      </c>
      <c r="K362" s="51" t="str">
        <f t="shared" si="74"/>
        <v/>
      </c>
      <c r="L362" s="52" t="str">
        <f t="shared" si="75"/>
        <v/>
      </c>
      <c r="M362" s="53" t="str">
        <f t="shared" si="76"/>
        <v/>
      </c>
      <c r="N362" s="53" t="str">
        <f t="shared" si="77"/>
        <v/>
      </c>
      <c r="O362" s="53" t="str">
        <f t="shared" si="78"/>
        <v/>
      </c>
      <c r="P362" s="53" t="str">
        <f t="shared" si="79"/>
        <v/>
      </c>
      <c r="Q362" s="53" t="str">
        <f t="shared" si="80"/>
        <v/>
      </c>
      <c r="R362" s="53" t="str">
        <f t="shared" si="81"/>
        <v/>
      </c>
      <c r="S362" s="53" t="str">
        <f t="shared" si="82"/>
        <v/>
      </c>
      <c r="T362" s="53" t="str">
        <f t="shared" si="83"/>
        <v/>
      </c>
    </row>
    <row r="363" spans="1:20">
      <c r="A363" s="47" t="str">
        <f>IF(archive!E363="","",archive!E363)</f>
        <v/>
      </c>
      <c r="B363" s="48" t="str">
        <f t="shared" si="70"/>
        <v/>
      </c>
      <c r="C363" s="49" t="str">
        <f>IF(archive!F363="","",archive!F363)</f>
        <v/>
      </c>
      <c r="D363" s="50" t="str">
        <f t="shared" si="71"/>
        <v/>
      </c>
      <c r="E363" s="50" t="str">
        <f t="shared" si="72"/>
        <v/>
      </c>
      <c r="F363" s="47" t="str">
        <f>IF(COUNTA(archive!H363:CI363)=0,"",COUNTA(archive!H363:CI363))</f>
        <v/>
      </c>
      <c r="G363" s="47" t="str">
        <f>IF(archive!G363="","",archive!G363)</f>
        <v/>
      </c>
      <c r="H363" s="51" t="str">
        <f>IF(archive!CJ363="","",archive!CJ363)</f>
        <v/>
      </c>
      <c r="I363" s="51" t="str">
        <f>IF(archive!CK363="","",archive!CK363)</f>
        <v/>
      </c>
      <c r="J363" s="47" t="str">
        <f t="shared" si="73"/>
        <v/>
      </c>
      <c r="K363" s="51" t="str">
        <f t="shared" si="74"/>
        <v/>
      </c>
      <c r="L363" s="52" t="str">
        <f t="shared" si="75"/>
        <v/>
      </c>
      <c r="M363" s="53" t="str">
        <f t="shared" si="76"/>
        <v/>
      </c>
      <c r="N363" s="53" t="str">
        <f t="shared" si="77"/>
        <v/>
      </c>
      <c r="O363" s="53" t="str">
        <f t="shared" si="78"/>
        <v/>
      </c>
      <c r="P363" s="53" t="str">
        <f t="shared" si="79"/>
        <v/>
      </c>
      <c r="Q363" s="53" t="str">
        <f t="shared" si="80"/>
        <v/>
      </c>
      <c r="R363" s="53" t="str">
        <f t="shared" si="81"/>
        <v/>
      </c>
      <c r="S363" s="53" t="str">
        <f t="shared" si="82"/>
        <v/>
      </c>
      <c r="T363" s="53" t="str">
        <f t="shared" si="83"/>
        <v/>
      </c>
    </row>
    <row r="364" spans="1:20">
      <c r="A364" s="47" t="str">
        <f>IF(archive!E364="","",archive!E364)</f>
        <v/>
      </c>
      <c r="B364" s="48" t="str">
        <f t="shared" si="70"/>
        <v/>
      </c>
      <c r="C364" s="49" t="str">
        <f>IF(archive!F364="","",archive!F364)</f>
        <v/>
      </c>
      <c r="D364" s="50" t="str">
        <f t="shared" si="71"/>
        <v/>
      </c>
      <c r="E364" s="50" t="str">
        <f t="shared" si="72"/>
        <v/>
      </c>
      <c r="F364" s="47" t="str">
        <f>IF(COUNTA(archive!H364:CI364)=0,"",COUNTA(archive!H364:CI364))</f>
        <v/>
      </c>
      <c r="G364" s="47" t="str">
        <f>IF(archive!G364="","",archive!G364)</f>
        <v/>
      </c>
      <c r="H364" s="51" t="str">
        <f>IF(archive!CJ364="","",archive!CJ364)</f>
        <v/>
      </c>
      <c r="I364" s="51" t="str">
        <f>IF(archive!CK364="","",archive!CK364)</f>
        <v/>
      </c>
      <c r="J364" s="47" t="str">
        <f t="shared" si="73"/>
        <v/>
      </c>
      <c r="K364" s="51" t="str">
        <f t="shared" si="74"/>
        <v/>
      </c>
      <c r="L364" s="52" t="str">
        <f t="shared" si="75"/>
        <v/>
      </c>
      <c r="M364" s="53" t="str">
        <f t="shared" si="76"/>
        <v/>
      </c>
      <c r="N364" s="53" t="str">
        <f t="shared" si="77"/>
        <v/>
      </c>
      <c r="O364" s="53" t="str">
        <f t="shared" si="78"/>
        <v/>
      </c>
      <c r="P364" s="53" t="str">
        <f t="shared" si="79"/>
        <v/>
      </c>
      <c r="Q364" s="53" t="str">
        <f t="shared" si="80"/>
        <v/>
      </c>
      <c r="R364" s="53" t="str">
        <f t="shared" si="81"/>
        <v/>
      </c>
      <c r="S364" s="53" t="str">
        <f t="shared" si="82"/>
        <v/>
      </c>
      <c r="T364" s="53" t="str">
        <f t="shared" si="83"/>
        <v/>
      </c>
    </row>
    <row r="365" spans="1:20">
      <c r="A365" s="47" t="str">
        <f>IF(archive!E365="","",archive!E365)</f>
        <v/>
      </c>
      <c r="B365" s="48" t="str">
        <f t="shared" si="70"/>
        <v/>
      </c>
      <c r="C365" s="49" t="str">
        <f>IF(archive!F365="","",archive!F365)</f>
        <v/>
      </c>
      <c r="D365" s="50" t="str">
        <f t="shared" si="71"/>
        <v/>
      </c>
      <c r="E365" s="50" t="str">
        <f t="shared" si="72"/>
        <v/>
      </c>
      <c r="F365" s="47" t="str">
        <f>IF(COUNTA(archive!H365:CI365)=0,"",COUNTA(archive!H365:CI365))</f>
        <v/>
      </c>
      <c r="G365" s="47" t="str">
        <f>IF(archive!G365="","",archive!G365)</f>
        <v/>
      </c>
      <c r="H365" s="51" t="str">
        <f>IF(archive!CJ365="","",archive!CJ365)</f>
        <v/>
      </c>
      <c r="I365" s="51" t="str">
        <f>IF(archive!CK365="","",archive!CK365)</f>
        <v/>
      </c>
      <c r="J365" s="47" t="str">
        <f t="shared" si="73"/>
        <v/>
      </c>
      <c r="K365" s="51" t="str">
        <f t="shared" si="74"/>
        <v/>
      </c>
      <c r="L365" s="52" t="str">
        <f t="shared" si="75"/>
        <v/>
      </c>
      <c r="M365" s="53" t="str">
        <f t="shared" si="76"/>
        <v/>
      </c>
      <c r="N365" s="53" t="str">
        <f t="shared" si="77"/>
        <v/>
      </c>
      <c r="O365" s="53" t="str">
        <f t="shared" si="78"/>
        <v/>
      </c>
      <c r="P365" s="53" t="str">
        <f t="shared" si="79"/>
        <v/>
      </c>
      <c r="Q365" s="53" t="str">
        <f t="shared" si="80"/>
        <v/>
      </c>
      <c r="R365" s="53" t="str">
        <f t="shared" si="81"/>
        <v/>
      </c>
      <c r="S365" s="53" t="str">
        <f t="shared" si="82"/>
        <v/>
      </c>
      <c r="T365" s="53" t="str">
        <f t="shared" si="83"/>
        <v/>
      </c>
    </row>
    <row r="366" spans="1:20">
      <c r="A366" s="47" t="str">
        <f>IF(archive!E366="","",archive!E366)</f>
        <v/>
      </c>
      <c r="B366" s="48" t="str">
        <f t="shared" si="70"/>
        <v/>
      </c>
      <c r="C366" s="49" t="str">
        <f>IF(archive!F366="","",archive!F366)</f>
        <v/>
      </c>
      <c r="D366" s="50" t="str">
        <f t="shared" si="71"/>
        <v/>
      </c>
      <c r="E366" s="50" t="str">
        <f t="shared" si="72"/>
        <v/>
      </c>
      <c r="F366" s="47" t="str">
        <f>IF(COUNTA(archive!H366:CI366)=0,"",COUNTA(archive!H366:CI366))</f>
        <v/>
      </c>
      <c r="G366" s="47" t="str">
        <f>IF(archive!G366="","",archive!G366)</f>
        <v/>
      </c>
      <c r="H366" s="51" t="str">
        <f>IF(archive!CJ366="","",archive!CJ366)</f>
        <v/>
      </c>
      <c r="I366" s="51" t="str">
        <f>IF(archive!CK366="","",archive!CK366)</f>
        <v/>
      </c>
      <c r="J366" s="47" t="str">
        <f t="shared" si="73"/>
        <v/>
      </c>
      <c r="K366" s="51" t="str">
        <f t="shared" si="74"/>
        <v/>
      </c>
      <c r="L366" s="52" t="str">
        <f t="shared" si="75"/>
        <v/>
      </c>
      <c r="M366" s="53" t="str">
        <f t="shared" si="76"/>
        <v/>
      </c>
      <c r="N366" s="53" t="str">
        <f t="shared" si="77"/>
        <v/>
      </c>
      <c r="O366" s="53" t="str">
        <f t="shared" si="78"/>
        <v/>
      </c>
      <c r="P366" s="53" t="str">
        <f t="shared" si="79"/>
        <v/>
      </c>
      <c r="Q366" s="53" t="str">
        <f t="shared" si="80"/>
        <v/>
      </c>
      <c r="R366" s="53" t="str">
        <f t="shared" si="81"/>
        <v/>
      </c>
      <c r="S366" s="53" t="str">
        <f t="shared" si="82"/>
        <v/>
      </c>
      <c r="T366" s="53" t="str">
        <f t="shared" si="83"/>
        <v/>
      </c>
    </row>
    <row r="367" spans="1:20">
      <c r="A367" s="47" t="str">
        <f>IF(archive!E367="","",archive!E367)</f>
        <v/>
      </c>
      <c r="B367" s="48" t="str">
        <f t="shared" si="70"/>
        <v/>
      </c>
      <c r="C367" s="49" t="str">
        <f>IF(archive!F367="","",archive!F367)</f>
        <v/>
      </c>
      <c r="D367" s="50" t="str">
        <f t="shared" si="71"/>
        <v/>
      </c>
      <c r="E367" s="50" t="str">
        <f t="shared" si="72"/>
        <v/>
      </c>
      <c r="F367" s="47" t="str">
        <f>IF(COUNTA(archive!H367:CI367)=0,"",COUNTA(archive!H367:CI367))</f>
        <v/>
      </c>
      <c r="G367" s="47" t="str">
        <f>IF(archive!G367="","",archive!G367)</f>
        <v/>
      </c>
      <c r="H367" s="51" t="str">
        <f>IF(archive!CJ367="","",archive!CJ367)</f>
        <v/>
      </c>
      <c r="I367" s="51" t="str">
        <f>IF(archive!CK367="","",archive!CK367)</f>
        <v/>
      </c>
      <c r="J367" s="47" t="str">
        <f t="shared" si="73"/>
        <v/>
      </c>
      <c r="K367" s="51" t="str">
        <f t="shared" si="74"/>
        <v/>
      </c>
      <c r="L367" s="52" t="str">
        <f t="shared" si="75"/>
        <v/>
      </c>
      <c r="M367" s="53" t="str">
        <f t="shared" si="76"/>
        <v/>
      </c>
      <c r="N367" s="53" t="str">
        <f t="shared" si="77"/>
        <v/>
      </c>
      <c r="O367" s="53" t="str">
        <f t="shared" si="78"/>
        <v/>
      </c>
      <c r="P367" s="53" t="str">
        <f t="shared" si="79"/>
        <v/>
      </c>
      <c r="Q367" s="53" t="str">
        <f t="shared" si="80"/>
        <v/>
      </c>
      <c r="R367" s="53" t="str">
        <f t="shared" si="81"/>
        <v/>
      </c>
      <c r="S367" s="53" t="str">
        <f t="shared" si="82"/>
        <v/>
      </c>
      <c r="T367" s="53" t="str">
        <f t="shared" si="83"/>
        <v/>
      </c>
    </row>
    <row r="368" spans="1:20">
      <c r="A368" s="47" t="str">
        <f>IF(archive!E368="","",archive!E368)</f>
        <v/>
      </c>
      <c r="B368" s="48" t="str">
        <f t="shared" si="70"/>
        <v/>
      </c>
      <c r="C368" s="49" t="str">
        <f>IF(archive!F368="","",archive!F368)</f>
        <v/>
      </c>
      <c r="D368" s="50" t="str">
        <f t="shared" si="71"/>
        <v/>
      </c>
      <c r="E368" s="50" t="str">
        <f t="shared" si="72"/>
        <v/>
      </c>
      <c r="F368" s="47" t="str">
        <f>IF(COUNTA(archive!H368:CI368)=0,"",COUNTA(archive!H368:CI368))</f>
        <v/>
      </c>
      <c r="G368" s="47" t="str">
        <f>IF(archive!G368="","",archive!G368)</f>
        <v/>
      </c>
      <c r="H368" s="51" t="str">
        <f>IF(archive!CJ368="","",archive!CJ368)</f>
        <v/>
      </c>
      <c r="I368" s="51" t="str">
        <f>IF(archive!CK368="","",archive!CK368)</f>
        <v/>
      </c>
      <c r="J368" s="47" t="str">
        <f t="shared" si="73"/>
        <v/>
      </c>
      <c r="K368" s="51" t="str">
        <f t="shared" si="74"/>
        <v/>
      </c>
      <c r="L368" s="52" t="str">
        <f t="shared" si="75"/>
        <v/>
      </c>
      <c r="M368" s="53" t="str">
        <f t="shared" si="76"/>
        <v/>
      </c>
      <c r="N368" s="53" t="str">
        <f t="shared" si="77"/>
        <v/>
      </c>
      <c r="O368" s="53" t="str">
        <f t="shared" si="78"/>
        <v/>
      </c>
      <c r="P368" s="53" t="str">
        <f t="shared" si="79"/>
        <v/>
      </c>
      <c r="Q368" s="53" t="str">
        <f t="shared" si="80"/>
        <v/>
      </c>
      <c r="R368" s="53" t="str">
        <f t="shared" si="81"/>
        <v/>
      </c>
      <c r="S368" s="53" t="str">
        <f t="shared" si="82"/>
        <v/>
      </c>
      <c r="T368" s="53" t="str">
        <f t="shared" si="83"/>
        <v/>
      </c>
    </row>
    <row r="369" spans="1:20">
      <c r="A369" s="47" t="str">
        <f>IF(archive!E369="","",archive!E369)</f>
        <v/>
      </c>
      <c r="B369" s="48" t="str">
        <f t="shared" si="70"/>
        <v/>
      </c>
      <c r="C369" s="49" t="str">
        <f>IF(archive!F369="","",archive!F369)</f>
        <v/>
      </c>
      <c r="D369" s="50" t="str">
        <f t="shared" si="71"/>
        <v/>
      </c>
      <c r="E369" s="50" t="str">
        <f t="shared" si="72"/>
        <v/>
      </c>
      <c r="F369" s="47" t="str">
        <f>IF(COUNTA(archive!H369:CI369)=0,"",COUNTA(archive!H369:CI369))</f>
        <v/>
      </c>
      <c r="G369" s="47" t="str">
        <f>IF(archive!G369="","",archive!G369)</f>
        <v/>
      </c>
      <c r="H369" s="51" t="str">
        <f>IF(archive!CJ369="","",archive!CJ369)</f>
        <v/>
      </c>
      <c r="I369" s="51" t="str">
        <f>IF(archive!CK369="","",archive!CK369)</f>
        <v/>
      </c>
      <c r="J369" s="47" t="str">
        <f t="shared" si="73"/>
        <v/>
      </c>
      <c r="K369" s="51" t="str">
        <f t="shared" si="74"/>
        <v/>
      </c>
      <c r="L369" s="52" t="str">
        <f t="shared" si="75"/>
        <v/>
      </c>
      <c r="M369" s="53" t="str">
        <f t="shared" si="76"/>
        <v/>
      </c>
      <c r="N369" s="53" t="str">
        <f t="shared" si="77"/>
        <v/>
      </c>
      <c r="O369" s="53" t="str">
        <f t="shared" si="78"/>
        <v/>
      </c>
      <c r="P369" s="53" t="str">
        <f t="shared" si="79"/>
        <v/>
      </c>
      <c r="Q369" s="53" t="str">
        <f t="shared" si="80"/>
        <v/>
      </c>
      <c r="R369" s="53" t="str">
        <f t="shared" si="81"/>
        <v/>
      </c>
      <c r="S369" s="53" t="str">
        <f t="shared" si="82"/>
        <v/>
      </c>
      <c r="T369" s="53" t="str">
        <f t="shared" si="83"/>
        <v/>
      </c>
    </row>
    <row r="370" spans="1:20">
      <c r="A370" s="47" t="str">
        <f>IF(archive!E370="","",archive!E370)</f>
        <v/>
      </c>
      <c r="B370" s="48" t="str">
        <f t="shared" si="70"/>
        <v/>
      </c>
      <c r="C370" s="49" t="str">
        <f>IF(archive!F370="","",archive!F370)</f>
        <v/>
      </c>
      <c r="D370" s="50" t="str">
        <f t="shared" si="71"/>
        <v/>
      </c>
      <c r="E370" s="50" t="str">
        <f t="shared" si="72"/>
        <v/>
      </c>
      <c r="F370" s="47" t="str">
        <f>IF(COUNTA(archive!H370:CI370)=0,"",COUNTA(archive!H370:CI370))</f>
        <v/>
      </c>
      <c r="G370" s="47" t="str">
        <f>IF(archive!G370="","",archive!G370)</f>
        <v/>
      </c>
      <c r="H370" s="51" t="str">
        <f>IF(archive!CJ370="","",archive!CJ370)</f>
        <v/>
      </c>
      <c r="I370" s="51" t="str">
        <f>IF(archive!CK370="","",archive!CK370)</f>
        <v/>
      </c>
      <c r="J370" s="47" t="str">
        <f t="shared" si="73"/>
        <v/>
      </c>
      <c r="K370" s="51" t="str">
        <f t="shared" si="74"/>
        <v/>
      </c>
      <c r="L370" s="52" t="str">
        <f t="shared" si="75"/>
        <v/>
      </c>
      <c r="M370" s="53" t="str">
        <f t="shared" si="76"/>
        <v/>
      </c>
      <c r="N370" s="53" t="str">
        <f t="shared" si="77"/>
        <v/>
      </c>
      <c r="O370" s="53" t="str">
        <f t="shared" si="78"/>
        <v/>
      </c>
      <c r="P370" s="53" t="str">
        <f t="shared" si="79"/>
        <v/>
      </c>
      <c r="Q370" s="53" t="str">
        <f t="shared" si="80"/>
        <v/>
      </c>
      <c r="R370" s="53" t="str">
        <f t="shared" si="81"/>
        <v/>
      </c>
      <c r="S370" s="53" t="str">
        <f t="shared" si="82"/>
        <v/>
      </c>
      <c r="T370" s="53" t="str">
        <f t="shared" si="83"/>
        <v/>
      </c>
    </row>
    <row r="371" spans="1:20">
      <c r="A371" s="47" t="str">
        <f>IF(archive!E371="","",archive!E371)</f>
        <v/>
      </c>
      <c r="B371" s="48" t="str">
        <f t="shared" si="70"/>
        <v/>
      </c>
      <c r="C371" s="49" t="str">
        <f>IF(archive!F371="","",archive!F371)</f>
        <v/>
      </c>
      <c r="D371" s="50" t="str">
        <f t="shared" si="71"/>
        <v/>
      </c>
      <c r="E371" s="50" t="str">
        <f t="shared" si="72"/>
        <v/>
      </c>
      <c r="F371" s="47" t="str">
        <f>IF(COUNTA(archive!H371:CI371)=0,"",COUNTA(archive!H371:CI371))</f>
        <v/>
      </c>
      <c r="G371" s="47" t="str">
        <f>IF(archive!G371="","",archive!G371)</f>
        <v/>
      </c>
      <c r="H371" s="51" t="str">
        <f>IF(archive!CJ371="","",archive!CJ371)</f>
        <v/>
      </c>
      <c r="I371" s="51" t="str">
        <f>IF(archive!CK371="","",archive!CK371)</f>
        <v/>
      </c>
      <c r="J371" s="47" t="str">
        <f t="shared" si="73"/>
        <v/>
      </c>
      <c r="K371" s="51" t="str">
        <f t="shared" si="74"/>
        <v/>
      </c>
      <c r="L371" s="52" t="str">
        <f t="shared" si="75"/>
        <v/>
      </c>
      <c r="M371" s="53" t="str">
        <f t="shared" si="76"/>
        <v/>
      </c>
      <c r="N371" s="53" t="str">
        <f t="shared" si="77"/>
        <v/>
      </c>
      <c r="O371" s="53" t="str">
        <f t="shared" si="78"/>
        <v/>
      </c>
      <c r="P371" s="53" t="str">
        <f t="shared" si="79"/>
        <v/>
      </c>
      <c r="Q371" s="53" t="str">
        <f t="shared" si="80"/>
        <v/>
      </c>
      <c r="R371" s="53" t="str">
        <f t="shared" si="81"/>
        <v/>
      </c>
      <c r="S371" s="53" t="str">
        <f t="shared" si="82"/>
        <v/>
      </c>
      <c r="T371" s="53" t="str">
        <f t="shared" si="83"/>
        <v/>
      </c>
    </row>
    <row r="372" spans="1:20">
      <c r="A372" s="47" t="str">
        <f>IF(archive!E372="","",archive!E372)</f>
        <v/>
      </c>
      <c r="B372" s="48" t="str">
        <f t="shared" si="70"/>
        <v/>
      </c>
      <c r="C372" s="49" t="str">
        <f>IF(archive!F372="","",archive!F372)</f>
        <v/>
      </c>
      <c r="D372" s="50" t="str">
        <f t="shared" si="71"/>
        <v/>
      </c>
      <c r="E372" s="50" t="str">
        <f t="shared" si="72"/>
        <v/>
      </c>
      <c r="F372" s="47" t="str">
        <f>IF(COUNTA(archive!H372:CI372)=0,"",COUNTA(archive!H372:CI372))</f>
        <v/>
      </c>
      <c r="G372" s="47" t="str">
        <f>IF(archive!G372="","",archive!G372)</f>
        <v/>
      </c>
      <c r="H372" s="51" t="str">
        <f>IF(archive!CJ372="","",archive!CJ372)</f>
        <v/>
      </c>
      <c r="I372" s="51" t="str">
        <f>IF(archive!CK372="","",archive!CK372)</f>
        <v/>
      </c>
      <c r="J372" s="47" t="str">
        <f t="shared" si="73"/>
        <v/>
      </c>
      <c r="K372" s="51" t="str">
        <f t="shared" si="74"/>
        <v/>
      </c>
      <c r="L372" s="52" t="str">
        <f t="shared" si="75"/>
        <v/>
      </c>
      <c r="M372" s="53" t="str">
        <f t="shared" si="76"/>
        <v/>
      </c>
      <c r="N372" s="53" t="str">
        <f t="shared" si="77"/>
        <v/>
      </c>
      <c r="O372" s="53" t="str">
        <f t="shared" si="78"/>
        <v/>
      </c>
      <c r="P372" s="53" t="str">
        <f t="shared" si="79"/>
        <v/>
      </c>
      <c r="Q372" s="53" t="str">
        <f t="shared" si="80"/>
        <v/>
      </c>
      <c r="R372" s="53" t="str">
        <f t="shared" si="81"/>
        <v/>
      </c>
      <c r="S372" s="53" t="str">
        <f t="shared" si="82"/>
        <v/>
      </c>
      <c r="T372" s="53" t="str">
        <f t="shared" si="83"/>
        <v/>
      </c>
    </row>
    <row r="373" spans="1:20">
      <c r="A373" s="47" t="str">
        <f>IF(archive!E373="","",archive!E373)</f>
        <v/>
      </c>
      <c r="B373" s="48" t="str">
        <f t="shared" si="70"/>
        <v/>
      </c>
      <c r="C373" s="49" t="str">
        <f>IF(archive!F373="","",archive!F373)</f>
        <v/>
      </c>
      <c r="D373" s="50" t="str">
        <f t="shared" si="71"/>
        <v/>
      </c>
      <c r="E373" s="50" t="str">
        <f t="shared" si="72"/>
        <v/>
      </c>
      <c r="F373" s="47" t="str">
        <f>IF(COUNTA(archive!H373:CI373)=0,"",COUNTA(archive!H373:CI373))</f>
        <v/>
      </c>
      <c r="G373" s="47" t="str">
        <f>IF(archive!G373="","",archive!G373)</f>
        <v/>
      </c>
      <c r="H373" s="51" t="str">
        <f>IF(archive!CJ373="","",archive!CJ373)</f>
        <v/>
      </c>
      <c r="I373" s="51" t="str">
        <f>IF(archive!CK373="","",archive!CK373)</f>
        <v/>
      </c>
      <c r="J373" s="47" t="str">
        <f t="shared" si="73"/>
        <v/>
      </c>
      <c r="K373" s="51" t="str">
        <f t="shared" si="74"/>
        <v/>
      </c>
      <c r="L373" s="52" t="str">
        <f t="shared" si="75"/>
        <v/>
      </c>
      <c r="M373" s="53" t="str">
        <f t="shared" si="76"/>
        <v/>
      </c>
      <c r="N373" s="53" t="str">
        <f t="shared" si="77"/>
        <v/>
      </c>
      <c r="O373" s="53" t="str">
        <f t="shared" si="78"/>
        <v/>
      </c>
      <c r="P373" s="53" t="str">
        <f t="shared" si="79"/>
        <v/>
      </c>
      <c r="Q373" s="53" t="str">
        <f t="shared" si="80"/>
        <v/>
      </c>
      <c r="R373" s="53" t="str">
        <f t="shared" si="81"/>
        <v/>
      </c>
      <c r="S373" s="53" t="str">
        <f t="shared" si="82"/>
        <v/>
      </c>
      <c r="T373" s="53" t="str">
        <f t="shared" si="83"/>
        <v/>
      </c>
    </row>
    <row r="374" spans="1:20">
      <c r="A374" s="47" t="str">
        <f>IF(archive!E374="","",archive!E374)</f>
        <v/>
      </c>
      <c r="B374" s="48" t="str">
        <f t="shared" si="70"/>
        <v/>
      </c>
      <c r="C374" s="49" t="str">
        <f>IF(archive!F374="","",archive!F374)</f>
        <v/>
      </c>
      <c r="D374" s="50" t="str">
        <f t="shared" si="71"/>
        <v/>
      </c>
      <c r="E374" s="50" t="str">
        <f t="shared" si="72"/>
        <v/>
      </c>
      <c r="F374" s="47" t="str">
        <f>IF(COUNTA(archive!H374:CI374)=0,"",COUNTA(archive!H374:CI374))</f>
        <v/>
      </c>
      <c r="G374" s="47" t="str">
        <f>IF(archive!G374="","",archive!G374)</f>
        <v/>
      </c>
      <c r="H374" s="51" t="str">
        <f>IF(archive!CJ374="","",archive!CJ374)</f>
        <v/>
      </c>
      <c r="I374" s="51" t="str">
        <f>IF(archive!CK374="","",archive!CK374)</f>
        <v/>
      </c>
      <c r="J374" s="47" t="str">
        <f t="shared" si="73"/>
        <v/>
      </c>
      <c r="K374" s="51" t="str">
        <f t="shared" si="74"/>
        <v/>
      </c>
      <c r="L374" s="52" t="str">
        <f t="shared" si="75"/>
        <v/>
      </c>
      <c r="M374" s="53" t="str">
        <f t="shared" si="76"/>
        <v/>
      </c>
      <c r="N374" s="53" t="str">
        <f t="shared" si="77"/>
        <v/>
      </c>
      <c r="O374" s="53" t="str">
        <f t="shared" si="78"/>
        <v/>
      </c>
      <c r="P374" s="53" t="str">
        <f t="shared" si="79"/>
        <v/>
      </c>
      <c r="Q374" s="53" t="str">
        <f t="shared" si="80"/>
        <v/>
      </c>
      <c r="R374" s="53" t="str">
        <f t="shared" si="81"/>
        <v/>
      </c>
      <c r="S374" s="53" t="str">
        <f t="shared" si="82"/>
        <v/>
      </c>
      <c r="T374" s="53" t="str">
        <f t="shared" si="83"/>
        <v/>
      </c>
    </row>
    <row r="375" spans="1:20">
      <c r="A375" s="47" t="str">
        <f>IF(archive!E375="","",archive!E375)</f>
        <v/>
      </c>
      <c r="B375" s="48" t="str">
        <f t="shared" si="70"/>
        <v/>
      </c>
      <c r="C375" s="49" t="str">
        <f>IF(archive!F375="","",archive!F375)</f>
        <v/>
      </c>
      <c r="D375" s="50" t="str">
        <f t="shared" si="71"/>
        <v/>
      </c>
      <c r="E375" s="50" t="str">
        <f t="shared" si="72"/>
        <v/>
      </c>
      <c r="F375" s="47" t="str">
        <f>IF(COUNTA(archive!H375:CI375)=0,"",COUNTA(archive!H375:CI375))</f>
        <v/>
      </c>
      <c r="G375" s="47" t="str">
        <f>IF(archive!G375="","",archive!G375)</f>
        <v/>
      </c>
      <c r="H375" s="51" t="str">
        <f>IF(archive!CJ375="","",archive!CJ375)</f>
        <v/>
      </c>
      <c r="I375" s="51" t="str">
        <f>IF(archive!CK375="","",archive!CK375)</f>
        <v/>
      </c>
      <c r="J375" s="47" t="str">
        <f t="shared" si="73"/>
        <v/>
      </c>
      <c r="K375" s="51" t="str">
        <f t="shared" si="74"/>
        <v/>
      </c>
      <c r="L375" s="52" t="str">
        <f t="shared" si="75"/>
        <v/>
      </c>
      <c r="M375" s="53" t="str">
        <f t="shared" si="76"/>
        <v/>
      </c>
      <c r="N375" s="53" t="str">
        <f t="shared" si="77"/>
        <v/>
      </c>
      <c r="O375" s="53" t="str">
        <f t="shared" si="78"/>
        <v/>
      </c>
      <c r="P375" s="53" t="str">
        <f t="shared" si="79"/>
        <v/>
      </c>
      <c r="Q375" s="53" t="str">
        <f t="shared" si="80"/>
        <v/>
      </c>
      <c r="R375" s="53" t="str">
        <f t="shared" si="81"/>
        <v/>
      </c>
      <c r="S375" s="53" t="str">
        <f t="shared" si="82"/>
        <v/>
      </c>
      <c r="T375" s="53" t="str">
        <f t="shared" si="83"/>
        <v/>
      </c>
    </row>
    <row r="376" spans="1:20">
      <c r="A376" s="47" t="str">
        <f>IF(archive!E376="","",archive!E376)</f>
        <v/>
      </c>
      <c r="B376" s="48" t="str">
        <f t="shared" si="70"/>
        <v/>
      </c>
      <c r="C376" s="49" t="str">
        <f>IF(archive!F376="","",archive!F376)</f>
        <v/>
      </c>
      <c r="D376" s="50" t="str">
        <f t="shared" si="71"/>
        <v/>
      </c>
      <c r="E376" s="50" t="str">
        <f t="shared" si="72"/>
        <v/>
      </c>
      <c r="F376" s="47" t="str">
        <f>IF(COUNTA(archive!H376:CI376)=0,"",COUNTA(archive!H376:CI376))</f>
        <v/>
      </c>
      <c r="G376" s="47" t="str">
        <f>IF(archive!G376="","",archive!G376)</f>
        <v/>
      </c>
      <c r="H376" s="51" t="str">
        <f>IF(archive!CJ376="","",archive!CJ376)</f>
        <v/>
      </c>
      <c r="I376" s="51" t="str">
        <f>IF(archive!CK376="","",archive!CK376)</f>
        <v/>
      </c>
      <c r="J376" s="47" t="str">
        <f t="shared" si="73"/>
        <v/>
      </c>
      <c r="K376" s="51" t="str">
        <f t="shared" si="74"/>
        <v/>
      </c>
      <c r="L376" s="52" t="str">
        <f t="shared" si="75"/>
        <v/>
      </c>
      <c r="M376" s="53" t="str">
        <f t="shared" si="76"/>
        <v/>
      </c>
      <c r="N376" s="53" t="str">
        <f t="shared" si="77"/>
        <v/>
      </c>
      <c r="O376" s="53" t="str">
        <f t="shared" si="78"/>
        <v/>
      </c>
      <c r="P376" s="53" t="str">
        <f t="shared" si="79"/>
        <v/>
      </c>
      <c r="Q376" s="53" t="str">
        <f t="shared" si="80"/>
        <v/>
      </c>
      <c r="R376" s="53" t="str">
        <f t="shared" si="81"/>
        <v/>
      </c>
      <c r="S376" s="53" t="str">
        <f t="shared" si="82"/>
        <v/>
      </c>
      <c r="T376" s="53" t="str">
        <f t="shared" si="83"/>
        <v/>
      </c>
    </row>
    <row r="377" spans="1:20">
      <c r="A377" s="47" t="str">
        <f>IF(archive!E377="","",archive!E377)</f>
        <v/>
      </c>
      <c r="B377" s="48" t="str">
        <f t="shared" si="70"/>
        <v/>
      </c>
      <c r="C377" s="49" t="str">
        <f>IF(archive!F377="","",archive!F377)</f>
        <v/>
      </c>
      <c r="D377" s="50" t="str">
        <f t="shared" si="71"/>
        <v/>
      </c>
      <c r="E377" s="50" t="str">
        <f t="shared" si="72"/>
        <v/>
      </c>
      <c r="F377" s="47" t="str">
        <f>IF(COUNTA(archive!H377:CI377)=0,"",COUNTA(archive!H377:CI377))</f>
        <v/>
      </c>
      <c r="G377" s="47" t="str">
        <f>IF(archive!G377="","",archive!G377)</f>
        <v/>
      </c>
      <c r="H377" s="51" t="str">
        <f>IF(archive!CJ377="","",archive!CJ377)</f>
        <v/>
      </c>
      <c r="I377" s="51" t="str">
        <f>IF(archive!CK377="","",archive!CK377)</f>
        <v/>
      </c>
      <c r="J377" s="47" t="str">
        <f t="shared" si="73"/>
        <v/>
      </c>
      <c r="K377" s="51" t="str">
        <f t="shared" si="74"/>
        <v/>
      </c>
      <c r="L377" s="52" t="str">
        <f t="shared" si="75"/>
        <v/>
      </c>
      <c r="M377" s="53" t="str">
        <f t="shared" si="76"/>
        <v/>
      </c>
      <c r="N377" s="53" t="str">
        <f t="shared" si="77"/>
        <v/>
      </c>
      <c r="O377" s="53" t="str">
        <f t="shared" si="78"/>
        <v/>
      </c>
      <c r="P377" s="53" t="str">
        <f t="shared" si="79"/>
        <v/>
      </c>
      <c r="Q377" s="53" t="str">
        <f t="shared" si="80"/>
        <v/>
      </c>
      <c r="R377" s="53" t="str">
        <f t="shared" si="81"/>
        <v/>
      </c>
      <c r="S377" s="53" t="str">
        <f t="shared" si="82"/>
        <v/>
      </c>
      <c r="T377" s="53" t="str">
        <f t="shared" si="83"/>
        <v/>
      </c>
    </row>
    <row r="378" spans="1:20">
      <c r="A378" s="47" t="str">
        <f>IF(archive!E378="","",archive!E378)</f>
        <v/>
      </c>
      <c r="B378" s="48" t="str">
        <f t="shared" si="70"/>
        <v/>
      </c>
      <c r="C378" s="49" t="str">
        <f>IF(archive!F378="","",archive!F378)</f>
        <v/>
      </c>
      <c r="D378" s="50" t="str">
        <f t="shared" si="71"/>
        <v/>
      </c>
      <c r="E378" s="50" t="str">
        <f t="shared" si="72"/>
        <v/>
      </c>
      <c r="F378" s="47" t="str">
        <f>IF(COUNTA(archive!H378:CI378)=0,"",COUNTA(archive!H378:CI378))</f>
        <v/>
      </c>
      <c r="G378" s="47" t="str">
        <f>IF(archive!G378="","",archive!G378)</f>
        <v/>
      </c>
      <c r="H378" s="51" t="str">
        <f>IF(archive!CJ378="","",archive!CJ378)</f>
        <v/>
      </c>
      <c r="I378" s="51" t="str">
        <f>IF(archive!CK378="","",archive!CK378)</f>
        <v/>
      </c>
      <c r="J378" s="47" t="str">
        <f t="shared" si="73"/>
        <v/>
      </c>
      <c r="K378" s="51" t="str">
        <f t="shared" si="74"/>
        <v/>
      </c>
      <c r="L378" s="52" t="str">
        <f t="shared" si="75"/>
        <v/>
      </c>
      <c r="M378" s="53" t="str">
        <f t="shared" si="76"/>
        <v/>
      </c>
      <c r="N378" s="53" t="str">
        <f t="shared" si="77"/>
        <v/>
      </c>
      <c r="O378" s="53" t="str">
        <f t="shared" si="78"/>
        <v/>
      </c>
      <c r="P378" s="53" t="str">
        <f t="shared" si="79"/>
        <v/>
      </c>
      <c r="Q378" s="53" t="str">
        <f t="shared" si="80"/>
        <v/>
      </c>
      <c r="R378" s="53" t="str">
        <f t="shared" si="81"/>
        <v/>
      </c>
      <c r="S378" s="53" t="str">
        <f t="shared" si="82"/>
        <v/>
      </c>
      <c r="T378" s="53" t="str">
        <f t="shared" si="83"/>
        <v/>
      </c>
    </row>
    <row r="379" spans="1:20">
      <c r="A379" s="47" t="str">
        <f>IF(archive!E379="","",archive!E379)</f>
        <v/>
      </c>
      <c r="B379" s="48" t="str">
        <f t="shared" si="70"/>
        <v/>
      </c>
      <c r="C379" s="49" t="str">
        <f>IF(archive!F379="","",archive!F379)</f>
        <v/>
      </c>
      <c r="D379" s="50" t="str">
        <f t="shared" si="71"/>
        <v/>
      </c>
      <c r="E379" s="50" t="str">
        <f t="shared" si="72"/>
        <v/>
      </c>
      <c r="F379" s="47" t="str">
        <f>IF(COUNTA(archive!H379:CI379)=0,"",COUNTA(archive!H379:CI379))</f>
        <v/>
      </c>
      <c r="G379" s="47" t="str">
        <f>IF(archive!G379="","",archive!G379)</f>
        <v/>
      </c>
      <c r="H379" s="51" t="str">
        <f>IF(archive!CJ379="","",archive!CJ379)</f>
        <v/>
      </c>
      <c r="I379" s="51" t="str">
        <f>IF(archive!CK379="","",archive!CK379)</f>
        <v/>
      </c>
      <c r="J379" s="47" t="str">
        <f t="shared" si="73"/>
        <v/>
      </c>
      <c r="K379" s="51" t="str">
        <f t="shared" si="74"/>
        <v/>
      </c>
      <c r="L379" s="52" t="str">
        <f t="shared" si="75"/>
        <v/>
      </c>
      <c r="M379" s="53" t="str">
        <f t="shared" si="76"/>
        <v/>
      </c>
      <c r="N379" s="53" t="str">
        <f t="shared" si="77"/>
        <v/>
      </c>
      <c r="O379" s="53" t="str">
        <f t="shared" si="78"/>
        <v/>
      </c>
      <c r="P379" s="53" t="str">
        <f t="shared" si="79"/>
        <v/>
      </c>
      <c r="Q379" s="53" t="str">
        <f t="shared" si="80"/>
        <v/>
      </c>
      <c r="R379" s="53" t="str">
        <f t="shared" si="81"/>
        <v/>
      </c>
      <c r="S379" s="53" t="str">
        <f t="shared" si="82"/>
        <v/>
      </c>
      <c r="T379" s="53" t="str">
        <f t="shared" si="83"/>
        <v/>
      </c>
    </row>
    <row r="380" spans="1:20">
      <c r="A380" s="47" t="str">
        <f>IF(archive!E380="","",archive!E380)</f>
        <v/>
      </c>
      <c r="B380" s="48" t="str">
        <f t="shared" si="70"/>
        <v/>
      </c>
      <c r="C380" s="49" t="str">
        <f>IF(archive!F380="","",archive!F380)</f>
        <v/>
      </c>
      <c r="D380" s="50" t="str">
        <f t="shared" si="71"/>
        <v/>
      </c>
      <c r="E380" s="50" t="str">
        <f t="shared" si="72"/>
        <v/>
      </c>
      <c r="F380" s="47" t="str">
        <f>IF(COUNTA(archive!H380:CI380)=0,"",COUNTA(archive!H380:CI380))</f>
        <v/>
      </c>
      <c r="G380" s="47" t="str">
        <f>IF(archive!G380="","",archive!G380)</f>
        <v/>
      </c>
      <c r="H380" s="51" t="str">
        <f>IF(archive!CJ380="","",archive!CJ380)</f>
        <v/>
      </c>
      <c r="I380" s="51" t="str">
        <f>IF(archive!CK380="","",archive!CK380)</f>
        <v/>
      </c>
      <c r="J380" s="47" t="str">
        <f t="shared" si="73"/>
        <v/>
      </c>
      <c r="K380" s="51" t="str">
        <f t="shared" si="74"/>
        <v/>
      </c>
      <c r="L380" s="52" t="str">
        <f t="shared" si="75"/>
        <v/>
      </c>
      <c r="M380" s="53" t="str">
        <f t="shared" si="76"/>
        <v/>
      </c>
      <c r="N380" s="53" t="str">
        <f t="shared" si="77"/>
        <v/>
      </c>
      <c r="O380" s="53" t="str">
        <f t="shared" si="78"/>
        <v/>
      </c>
      <c r="P380" s="53" t="str">
        <f t="shared" si="79"/>
        <v/>
      </c>
      <c r="Q380" s="53" t="str">
        <f t="shared" si="80"/>
        <v/>
      </c>
      <c r="R380" s="53" t="str">
        <f t="shared" si="81"/>
        <v/>
      </c>
      <c r="S380" s="53" t="str">
        <f t="shared" si="82"/>
        <v/>
      </c>
      <c r="T380" s="53" t="str">
        <f t="shared" si="83"/>
        <v/>
      </c>
    </row>
    <row r="381" spans="1:20">
      <c r="A381" s="47" t="str">
        <f>IF(archive!E381="","",archive!E381)</f>
        <v/>
      </c>
      <c r="B381" s="48" t="str">
        <f t="shared" si="70"/>
        <v/>
      </c>
      <c r="C381" s="49" t="str">
        <f>IF(archive!F381="","",archive!F381)</f>
        <v/>
      </c>
      <c r="D381" s="50" t="str">
        <f t="shared" si="71"/>
        <v/>
      </c>
      <c r="E381" s="50" t="str">
        <f t="shared" si="72"/>
        <v/>
      </c>
      <c r="F381" s="47" t="str">
        <f>IF(COUNTA(archive!H381:CI381)=0,"",COUNTA(archive!H381:CI381))</f>
        <v/>
      </c>
      <c r="G381" s="47" t="str">
        <f>IF(archive!G381="","",archive!G381)</f>
        <v/>
      </c>
      <c r="H381" s="51" t="str">
        <f>IF(archive!CJ381="","",archive!CJ381)</f>
        <v/>
      </c>
      <c r="I381" s="51" t="str">
        <f>IF(archive!CK381="","",archive!CK381)</f>
        <v/>
      </c>
      <c r="J381" s="47" t="str">
        <f t="shared" si="73"/>
        <v/>
      </c>
      <c r="K381" s="51" t="str">
        <f t="shared" si="74"/>
        <v/>
      </c>
      <c r="L381" s="52" t="str">
        <f t="shared" si="75"/>
        <v/>
      </c>
      <c r="M381" s="53" t="str">
        <f t="shared" si="76"/>
        <v/>
      </c>
      <c r="N381" s="53" t="str">
        <f t="shared" si="77"/>
        <v/>
      </c>
      <c r="O381" s="53" t="str">
        <f t="shared" si="78"/>
        <v/>
      </c>
      <c r="P381" s="53" t="str">
        <f t="shared" si="79"/>
        <v/>
      </c>
      <c r="Q381" s="53" t="str">
        <f t="shared" si="80"/>
        <v/>
      </c>
      <c r="R381" s="53" t="str">
        <f t="shared" si="81"/>
        <v/>
      </c>
      <c r="S381" s="53" t="str">
        <f t="shared" si="82"/>
        <v/>
      </c>
      <c r="T381" s="53" t="str">
        <f t="shared" si="83"/>
        <v/>
      </c>
    </row>
    <row r="382" spans="1:20">
      <c r="A382" s="47" t="str">
        <f>IF(archive!E382="","",archive!E382)</f>
        <v/>
      </c>
      <c r="B382" s="48" t="str">
        <f t="shared" si="70"/>
        <v/>
      </c>
      <c r="C382" s="49" t="str">
        <f>IF(archive!F382="","",archive!F382)</f>
        <v/>
      </c>
      <c r="D382" s="50" t="str">
        <f t="shared" si="71"/>
        <v/>
      </c>
      <c r="E382" s="50" t="str">
        <f t="shared" si="72"/>
        <v/>
      </c>
      <c r="F382" s="47" t="str">
        <f>IF(COUNTA(archive!H382:CI382)=0,"",COUNTA(archive!H382:CI382))</f>
        <v/>
      </c>
      <c r="G382" s="47" t="str">
        <f>IF(archive!G382="","",archive!G382)</f>
        <v/>
      </c>
      <c r="H382" s="51" t="str">
        <f>IF(archive!CJ382="","",archive!CJ382)</f>
        <v/>
      </c>
      <c r="I382" s="51" t="str">
        <f>IF(archive!CK382="","",archive!CK382)</f>
        <v/>
      </c>
      <c r="J382" s="47" t="str">
        <f t="shared" si="73"/>
        <v/>
      </c>
      <c r="K382" s="51" t="str">
        <f t="shared" si="74"/>
        <v/>
      </c>
      <c r="L382" s="52" t="str">
        <f t="shared" si="75"/>
        <v/>
      </c>
      <c r="M382" s="53" t="str">
        <f t="shared" si="76"/>
        <v/>
      </c>
      <c r="N382" s="53" t="str">
        <f t="shared" si="77"/>
        <v/>
      </c>
      <c r="O382" s="53" t="str">
        <f t="shared" si="78"/>
        <v/>
      </c>
      <c r="P382" s="53" t="str">
        <f t="shared" si="79"/>
        <v/>
      </c>
      <c r="Q382" s="53" t="str">
        <f t="shared" si="80"/>
        <v/>
      </c>
      <c r="R382" s="53" t="str">
        <f t="shared" si="81"/>
        <v/>
      </c>
      <c r="S382" s="53" t="str">
        <f t="shared" si="82"/>
        <v/>
      </c>
      <c r="T382" s="53" t="str">
        <f t="shared" si="83"/>
        <v/>
      </c>
    </row>
    <row r="383" spans="1:20">
      <c r="A383" s="47" t="str">
        <f>IF(archive!E383="","",archive!E383)</f>
        <v/>
      </c>
      <c r="B383" s="48" t="str">
        <f t="shared" si="70"/>
        <v/>
      </c>
      <c r="C383" s="49" t="str">
        <f>IF(archive!F383="","",archive!F383)</f>
        <v/>
      </c>
      <c r="D383" s="50" t="str">
        <f t="shared" si="71"/>
        <v/>
      </c>
      <c r="E383" s="50" t="str">
        <f t="shared" si="72"/>
        <v/>
      </c>
      <c r="F383" s="47" t="str">
        <f>IF(COUNTA(archive!H383:CI383)=0,"",COUNTA(archive!H383:CI383))</f>
        <v/>
      </c>
      <c r="G383" s="47" t="str">
        <f>IF(archive!G383="","",archive!G383)</f>
        <v/>
      </c>
      <c r="H383" s="51" t="str">
        <f>IF(archive!CJ383="","",archive!CJ383)</f>
        <v/>
      </c>
      <c r="I383" s="51" t="str">
        <f>IF(archive!CK383="","",archive!CK383)</f>
        <v/>
      </c>
      <c r="J383" s="47" t="str">
        <f t="shared" si="73"/>
        <v/>
      </c>
      <c r="K383" s="51" t="str">
        <f t="shared" si="74"/>
        <v/>
      </c>
      <c r="L383" s="52" t="str">
        <f t="shared" si="75"/>
        <v/>
      </c>
      <c r="M383" s="53" t="str">
        <f t="shared" si="76"/>
        <v/>
      </c>
      <c r="N383" s="53" t="str">
        <f t="shared" si="77"/>
        <v/>
      </c>
      <c r="O383" s="53" t="str">
        <f t="shared" si="78"/>
        <v/>
      </c>
      <c r="P383" s="53" t="str">
        <f t="shared" si="79"/>
        <v/>
      </c>
      <c r="Q383" s="53" t="str">
        <f t="shared" si="80"/>
        <v/>
      </c>
      <c r="R383" s="53" t="str">
        <f t="shared" si="81"/>
        <v/>
      </c>
      <c r="S383" s="53" t="str">
        <f t="shared" si="82"/>
        <v/>
      </c>
      <c r="T383" s="53" t="str">
        <f t="shared" si="83"/>
        <v/>
      </c>
    </row>
    <row r="384" spans="1:20">
      <c r="A384" s="47" t="str">
        <f>IF(archive!E384="","",archive!E384)</f>
        <v/>
      </c>
      <c r="B384" s="48" t="str">
        <f t="shared" si="70"/>
        <v/>
      </c>
      <c r="C384" s="49" t="str">
        <f>IF(archive!F384="","",archive!F384)</f>
        <v/>
      </c>
      <c r="D384" s="50" t="str">
        <f t="shared" si="71"/>
        <v/>
      </c>
      <c r="E384" s="50" t="str">
        <f t="shared" si="72"/>
        <v/>
      </c>
      <c r="F384" s="47" t="str">
        <f>IF(COUNTA(archive!H384:CI384)=0,"",COUNTA(archive!H384:CI384))</f>
        <v/>
      </c>
      <c r="G384" s="47" t="str">
        <f>IF(archive!G384="","",archive!G384)</f>
        <v/>
      </c>
      <c r="H384" s="51" t="str">
        <f>IF(archive!CJ384="","",archive!CJ384)</f>
        <v/>
      </c>
      <c r="I384" s="51" t="str">
        <f>IF(archive!CK384="","",archive!CK384)</f>
        <v/>
      </c>
      <c r="J384" s="47" t="str">
        <f t="shared" si="73"/>
        <v/>
      </c>
      <c r="K384" s="51" t="str">
        <f t="shared" si="74"/>
        <v/>
      </c>
      <c r="L384" s="52" t="str">
        <f t="shared" si="75"/>
        <v/>
      </c>
      <c r="M384" s="53" t="str">
        <f t="shared" si="76"/>
        <v/>
      </c>
      <c r="N384" s="53" t="str">
        <f t="shared" si="77"/>
        <v/>
      </c>
      <c r="O384" s="53" t="str">
        <f t="shared" si="78"/>
        <v/>
      </c>
      <c r="P384" s="53" t="str">
        <f t="shared" si="79"/>
        <v/>
      </c>
      <c r="Q384" s="53" t="str">
        <f t="shared" si="80"/>
        <v/>
      </c>
      <c r="R384" s="53" t="str">
        <f t="shared" si="81"/>
        <v/>
      </c>
      <c r="S384" s="53" t="str">
        <f t="shared" si="82"/>
        <v/>
      </c>
      <c r="T384" s="53" t="str">
        <f t="shared" si="83"/>
        <v/>
      </c>
    </row>
    <row r="385" spans="1:20">
      <c r="A385" s="47" t="str">
        <f>IF(archive!E385="","",archive!E385)</f>
        <v/>
      </c>
      <c r="B385" s="48" t="str">
        <f t="shared" si="70"/>
        <v/>
      </c>
      <c r="C385" s="49" t="str">
        <f>IF(archive!F385="","",archive!F385)</f>
        <v/>
      </c>
      <c r="D385" s="50" t="str">
        <f t="shared" si="71"/>
        <v/>
      </c>
      <c r="E385" s="50" t="str">
        <f t="shared" si="72"/>
        <v/>
      </c>
      <c r="F385" s="47" t="str">
        <f>IF(COUNTA(archive!H385:CI385)=0,"",COUNTA(archive!H385:CI385))</f>
        <v/>
      </c>
      <c r="G385" s="47" t="str">
        <f>IF(archive!G385="","",archive!G385)</f>
        <v/>
      </c>
      <c r="H385" s="51" t="str">
        <f>IF(archive!CJ385="","",archive!CJ385)</f>
        <v/>
      </c>
      <c r="I385" s="51" t="str">
        <f>IF(archive!CK385="","",archive!CK385)</f>
        <v/>
      </c>
      <c r="J385" s="47" t="str">
        <f t="shared" si="73"/>
        <v/>
      </c>
      <c r="K385" s="51" t="str">
        <f t="shared" si="74"/>
        <v/>
      </c>
      <c r="L385" s="52" t="str">
        <f t="shared" si="75"/>
        <v/>
      </c>
      <c r="M385" s="53" t="str">
        <f t="shared" si="76"/>
        <v/>
      </c>
      <c r="N385" s="53" t="str">
        <f t="shared" si="77"/>
        <v/>
      </c>
      <c r="O385" s="53" t="str">
        <f t="shared" si="78"/>
        <v/>
      </c>
      <c r="P385" s="53" t="str">
        <f t="shared" si="79"/>
        <v/>
      </c>
      <c r="Q385" s="53" t="str">
        <f t="shared" si="80"/>
        <v/>
      </c>
      <c r="R385" s="53" t="str">
        <f t="shared" si="81"/>
        <v/>
      </c>
      <c r="S385" s="53" t="str">
        <f t="shared" si="82"/>
        <v/>
      </c>
      <c r="T385" s="53" t="str">
        <f t="shared" si="83"/>
        <v/>
      </c>
    </row>
    <row r="386" spans="1:20">
      <c r="A386" s="47" t="str">
        <f>IF(archive!E386="","",archive!E386)</f>
        <v/>
      </c>
      <c r="B386" s="48" t="str">
        <f t="shared" si="70"/>
        <v/>
      </c>
      <c r="C386" s="49" t="str">
        <f>IF(archive!F386="","",archive!F386)</f>
        <v/>
      </c>
      <c r="D386" s="50" t="str">
        <f t="shared" si="71"/>
        <v/>
      </c>
      <c r="E386" s="50" t="str">
        <f t="shared" si="72"/>
        <v/>
      </c>
      <c r="F386" s="47" t="str">
        <f>IF(COUNTA(archive!H386:CI386)=0,"",COUNTA(archive!H386:CI386))</f>
        <v/>
      </c>
      <c r="G386" s="47" t="str">
        <f>IF(archive!G386="","",archive!G386)</f>
        <v/>
      </c>
      <c r="H386" s="51" t="str">
        <f>IF(archive!CJ386="","",archive!CJ386)</f>
        <v/>
      </c>
      <c r="I386" s="51" t="str">
        <f>IF(archive!CK386="","",archive!CK386)</f>
        <v/>
      </c>
      <c r="J386" s="47" t="str">
        <f t="shared" si="73"/>
        <v/>
      </c>
      <c r="K386" s="51" t="str">
        <f t="shared" si="74"/>
        <v/>
      </c>
      <c r="L386" s="52" t="str">
        <f t="shared" si="75"/>
        <v/>
      </c>
      <c r="M386" s="53" t="str">
        <f t="shared" si="76"/>
        <v/>
      </c>
      <c r="N386" s="53" t="str">
        <f t="shared" si="77"/>
        <v/>
      </c>
      <c r="O386" s="53" t="str">
        <f t="shared" si="78"/>
        <v/>
      </c>
      <c r="P386" s="53" t="str">
        <f t="shared" si="79"/>
        <v/>
      </c>
      <c r="Q386" s="53" t="str">
        <f t="shared" si="80"/>
        <v/>
      </c>
      <c r="R386" s="53" t="str">
        <f t="shared" si="81"/>
        <v/>
      </c>
      <c r="S386" s="53" t="str">
        <f t="shared" si="82"/>
        <v/>
      </c>
      <c r="T386" s="53" t="str">
        <f t="shared" si="83"/>
        <v/>
      </c>
    </row>
    <row r="387" spans="1:20">
      <c r="A387" s="47" t="str">
        <f>IF(archive!E387="","",archive!E387)</f>
        <v/>
      </c>
      <c r="B387" s="48" t="str">
        <f t="shared" si="70"/>
        <v/>
      </c>
      <c r="C387" s="49" t="str">
        <f>IF(archive!F387="","",archive!F387)</f>
        <v/>
      </c>
      <c r="D387" s="50" t="str">
        <f t="shared" si="71"/>
        <v/>
      </c>
      <c r="E387" s="50" t="str">
        <f t="shared" si="72"/>
        <v/>
      </c>
      <c r="F387" s="47" t="str">
        <f>IF(COUNTA(archive!H387:CI387)=0,"",COUNTA(archive!H387:CI387))</f>
        <v/>
      </c>
      <c r="G387" s="47" t="str">
        <f>IF(archive!G387="","",archive!G387)</f>
        <v/>
      </c>
      <c r="H387" s="51" t="str">
        <f>IF(archive!CJ387="","",archive!CJ387)</f>
        <v/>
      </c>
      <c r="I387" s="51" t="str">
        <f>IF(archive!CK387="","",archive!CK387)</f>
        <v/>
      </c>
      <c r="J387" s="47" t="str">
        <f t="shared" si="73"/>
        <v/>
      </c>
      <c r="K387" s="51" t="str">
        <f t="shared" si="74"/>
        <v/>
      </c>
      <c r="L387" s="52" t="str">
        <f t="shared" si="75"/>
        <v/>
      </c>
      <c r="M387" s="53" t="str">
        <f t="shared" si="76"/>
        <v/>
      </c>
      <c r="N387" s="53" t="str">
        <f t="shared" si="77"/>
        <v/>
      </c>
      <c r="O387" s="53" t="str">
        <f t="shared" si="78"/>
        <v/>
      </c>
      <c r="P387" s="53" t="str">
        <f t="shared" si="79"/>
        <v/>
      </c>
      <c r="Q387" s="53" t="str">
        <f t="shared" si="80"/>
        <v/>
      </c>
      <c r="R387" s="53" t="str">
        <f t="shared" si="81"/>
        <v/>
      </c>
      <c r="S387" s="53" t="str">
        <f t="shared" si="82"/>
        <v/>
      </c>
      <c r="T387" s="53" t="str">
        <f t="shared" si="83"/>
        <v/>
      </c>
    </row>
    <row r="388" spans="1:20">
      <c r="A388" s="47" t="str">
        <f>IF(archive!E388="","",archive!E388)</f>
        <v/>
      </c>
      <c r="B388" s="48" t="str">
        <f t="shared" ref="B388:B451" si="84">IF(C388="","",VLOOKUP($C388,Tare,2,0))</f>
        <v/>
      </c>
      <c r="C388" s="49" t="str">
        <f>IF(archive!F388="","",archive!F388)</f>
        <v/>
      </c>
      <c r="D388" s="50" t="str">
        <f t="shared" ref="D388:D451" si="85">IF(C388="","",C388+B388)</f>
        <v/>
      </c>
      <c r="E388" s="50" t="str">
        <f t="shared" ref="E388:E451" si="86">IF(C388="","",(C388*0.025)+D388)</f>
        <v/>
      </c>
      <c r="F388" s="47" t="str">
        <f>IF(COUNTA(archive!H388:CI388)=0,"",COUNTA(archive!H388:CI388))</f>
        <v/>
      </c>
      <c r="G388" s="47" t="str">
        <f>IF(archive!G388="","",archive!G388)</f>
        <v/>
      </c>
      <c r="H388" s="51" t="str">
        <f>IF(archive!CJ388="","",archive!CJ388)</f>
        <v/>
      </c>
      <c r="I388" s="51" t="str">
        <f>IF(archive!CK388="","",archive!CK388)</f>
        <v/>
      </c>
      <c r="J388" s="47" t="str">
        <f t="shared" ref="J388:J451" si="87">IF(F388="","",VLOOKUP(F388,Valeur_g,2,0))</f>
        <v/>
      </c>
      <c r="K388" s="51" t="str">
        <f t="shared" ref="K388:K451" si="88">IF(C388="","",D388+(J388*I388))</f>
        <v/>
      </c>
      <c r="L388" s="52" t="str">
        <f t="shared" ref="L388:L451" si="89">IF(C388="","",IF(K388&lt;H388,"Conforme","Non conforme"))</f>
        <v/>
      </c>
      <c r="M388" s="53" t="str">
        <f t="shared" ref="M388:M451" si="90">IF(C388="","",1)</f>
        <v/>
      </c>
      <c r="N388" s="53" t="str">
        <f t="shared" ref="N388:N451" si="91">IF(L388="","",COUNTIF(L388,"Non conforme"))</f>
        <v/>
      </c>
      <c r="O388" s="53" t="str">
        <f t="shared" ref="O388:O451" si="92">IF($C388="","",IF($C388=0.25,$G388,"-"))</f>
        <v/>
      </c>
      <c r="P388" s="53" t="str">
        <f t="shared" ref="P388:P451" si="93">IF($C388="","",IF($C388=0.4,$G388,"-"))</f>
        <v/>
      </c>
      <c r="Q388" s="53" t="str">
        <f t="shared" ref="Q388:Q451" si="94">IF($C388="","",IF($C388=0.5,$G388,"-"))</f>
        <v/>
      </c>
      <c r="R388" s="53" t="str">
        <f t="shared" ref="R388:R451" si="95">IF($C388="","",IF($C388=0.6,$G388,"-"))</f>
        <v/>
      </c>
      <c r="S388" s="53" t="str">
        <f t="shared" ref="S388:S451" si="96">IF($C388="","",IF($C388=0.8,$G388,"-"))</f>
        <v/>
      </c>
      <c r="T388" s="53" t="str">
        <f t="shared" ref="T388:T451" si="97">IF($C388="","",IF($C388=1,$G388,"-"))</f>
        <v/>
      </c>
    </row>
    <row r="389" spans="1:20">
      <c r="A389" s="47" t="str">
        <f>IF(archive!E389="","",archive!E389)</f>
        <v/>
      </c>
      <c r="B389" s="48" t="str">
        <f t="shared" si="84"/>
        <v/>
      </c>
      <c r="C389" s="49" t="str">
        <f>IF(archive!F389="","",archive!F389)</f>
        <v/>
      </c>
      <c r="D389" s="50" t="str">
        <f t="shared" si="85"/>
        <v/>
      </c>
      <c r="E389" s="50" t="str">
        <f t="shared" si="86"/>
        <v/>
      </c>
      <c r="F389" s="47" t="str">
        <f>IF(COUNTA(archive!H389:CI389)=0,"",COUNTA(archive!H389:CI389))</f>
        <v/>
      </c>
      <c r="G389" s="47" t="str">
        <f>IF(archive!G389="","",archive!G389)</f>
        <v/>
      </c>
      <c r="H389" s="51" t="str">
        <f>IF(archive!CJ389="","",archive!CJ389)</f>
        <v/>
      </c>
      <c r="I389" s="51" t="str">
        <f>IF(archive!CK389="","",archive!CK389)</f>
        <v/>
      </c>
      <c r="J389" s="47" t="str">
        <f t="shared" si="87"/>
        <v/>
      </c>
      <c r="K389" s="51" t="str">
        <f t="shared" si="88"/>
        <v/>
      </c>
      <c r="L389" s="52" t="str">
        <f t="shared" si="89"/>
        <v/>
      </c>
      <c r="M389" s="53" t="str">
        <f t="shared" si="90"/>
        <v/>
      </c>
      <c r="N389" s="53" t="str">
        <f t="shared" si="91"/>
        <v/>
      </c>
      <c r="O389" s="53" t="str">
        <f t="shared" si="92"/>
        <v/>
      </c>
      <c r="P389" s="53" t="str">
        <f t="shared" si="93"/>
        <v/>
      </c>
      <c r="Q389" s="53" t="str">
        <f t="shared" si="94"/>
        <v/>
      </c>
      <c r="R389" s="53" t="str">
        <f t="shared" si="95"/>
        <v/>
      </c>
      <c r="S389" s="53" t="str">
        <f t="shared" si="96"/>
        <v/>
      </c>
      <c r="T389" s="53" t="str">
        <f t="shared" si="97"/>
        <v/>
      </c>
    </row>
    <row r="390" spans="1:20">
      <c r="A390" s="47" t="str">
        <f>IF(archive!E390="","",archive!E390)</f>
        <v/>
      </c>
      <c r="B390" s="48" t="str">
        <f t="shared" si="84"/>
        <v/>
      </c>
      <c r="C390" s="49" t="str">
        <f>IF(archive!F390="","",archive!F390)</f>
        <v/>
      </c>
      <c r="D390" s="50" t="str">
        <f t="shared" si="85"/>
        <v/>
      </c>
      <c r="E390" s="50" t="str">
        <f t="shared" si="86"/>
        <v/>
      </c>
      <c r="F390" s="47" t="str">
        <f>IF(COUNTA(archive!H390:CI390)=0,"",COUNTA(archive!H390:CI390))</f>
        <v/>
      </c>
      <c r="G390" s="47" t="str">
        <f>IF(archive!G390="","",archive!G390)</f>
        <v/>
      </c>
      <c r="H390" s="51" t="str">
        <f>IF(archive!CJ390="","",archive!CJ390)</f>
        <v/>
      </c>
      <c r="I390" s="51" t="str">
        <f>IF(archive!CK390="","",archive!CK390)</f>
        <v/>
      </c>
      <c r="J390" s="47" t="str">
        <f t="shared" si="87"/>
        <v/>
      </c>
      <c r="K390" s="51" t="str">
        <f t="shared" si="88"/>
        <v/>
      </c>
      <c r="L390" s="52" t="str">
        <f t="shared" si="89"/>
        <v/>
      </c>
      <c r="M390" s="53" t="str">
        <f t="shared" si="90"/>
        <v/>
      </c>
      <c r="N390" s="53" t="str">
        <f t="shared" si="91"/>
        <v/>
      </c>
      <c r="O390" s="53" t="str">
        <f t="shared" si="92"/>
        <v/>
      </c>
      <c r="P390" s="53" t="str">
        <f t="shared" si="93"/>
        <v/>
      </c>
      <c r="Q390" s="53" t="str">
        <f t="shared" si="94"/>
        <v/>
      </c>
      <c r="R390" s="53" t="str">
        <f t="shared" si="95"/>
        <v/>
      </c>
      <c r="S390" s="53" t="str">
        <f t="shared" si="96"/>
        <v/>
      </c>
      <c r="T390" s="53" t="str">
        <f t="shared" si="97"/>
        <v/>
      </c>
    </row>
    <row r="391" spans="1:20">
      <c r="A391" s="47" t="str">
        <f>IF(archive!E391="","",archive!E391)</f>
        <v/>
      </c>
      <c r="B391" s="48" t="str">
        <f t="shared" si="84"/>
        <v/>
      </c>
      <c r="C391" s="49" t="str">
        <f>IF(archive!F391="","",archive!F391)</f>
        <v/>
      </c>
      <c r="D391" s="50" t="str">
        <f t="shared" si="85"/>
        <v/>
      </c>
      <c r="E391" s="50" t="str">
        <f t="shared" si="86"/>
        <v/>
      </c>
      <c r="F391" s="47" t="str">
        <f>IF(COUNTA(archive!H391:CI391)=0,"",COUNTA(archive!H391:CI391))</f>
        <v/>
      </c>
      <c r="G391" s="47" t="str">
        <f>IF(archive!G391="","",archive!G391)</f>
        <v/>
      </c>
      <c r="H391" s="51" t="str">
        <f>IF(archive!CJ391="","",archive!CJ391)</f>
        <v/>
      </c>
      <c r="I391" s="51" t="str">
        <f>IF(archive!CK391="","",archive!CK391)</f>
        <v/>
      </c>
      <c r="J391" s="47" t="str">
        <f t="shared" si="87"/>
        <v/>
      </c>
      <c r="K391" s="51" t="str">
        <f t="shared" si="88"/>
        <v/>
      </c>
      <c r="L391" s="52" t="str">
        <f t="shared" si="89"/>
        <v/>
      </c>
      <c r="M391" s="53" t="str">
        <f t="shared" si="90"/>
        <v/>
      </c>
      <c r="N391" s="53" t="str">
        <f t="shared" si="91"/>
        <v/>
      </c>
      <c r="O391" s="53" t="str">
        <f t="shared" si="92"/>
        <v/>
      </c>
      <c r="P391" s="53" t="str">
        <f t="shared" si="93"/>
        <v/>
      </c>
      <c r="Q391" s="53" t="str">
        <f t="shared" si="94"/>
        <v/>
      </c>
      <c r="R391" s="53" t="str">
        <f t="shared" si="95"/>
        <v/>
      </c>
      <c r="S391" s="53" t="str">
        <f t="shared" si="96"/>
        <v/>
      </c>
      <c r="T391" s="53" t="str">
        <f t="shared" si="97"/>
        <v/>
      </c>
    </row>
    <row r="392" spans="1:20">
      <c r="A392" s="47" t="str">
        <f>IF(archive!E392="","",archive!E392)</f>
        <v/>
      </c>
      <c r="B392" s="48" t="str">
        <f t="shared" si="84"/>
        <v/>
      </c>
      <c r="C392" s="49" t="str">
        <f>IF(archive!F392="","",archive!F392)</f>
        <v/>
      </c>
      <c r="D392" s="50" t="str">
        <f t="shared" si="85"/>
        <v/>
      </c>
      <c r="E392" s="50" t="str">
        <f t="shared" si="86"/>
        <v/>
      </c>
      <c r="F392" s="47" t="str">
        <f>IF(COUNTA(archive!H392:CI392)=0,"",COUNTA(archive!H392:CI392))</f>
        <v/>
      </c>
      <c r="G392" s="47" t="str">
        <f>IF(archive!G392="","",archive!G392)</f>
        <v/>
      </c>
      <c r="H392" s="51" t="str">
        <f>IF(archive!CJ392="","",archive!CJ392)</f>
        <v/>
      </c>
      <c r="I392" s="51" t="str">
        <f>IF(archive!CK392="","",archive!CK392)</f>
        <v/>
      </c>
      <c r="J392" s="47" t="str">
        <f t="shared" si="87"/>
        <v/>
      </c>
      <c r="K392" s="51" t="str">
        <f t="shared" si="88"/>
        <v/>
      </c>
      <c r="L392" s="52" t="str">
        <f t="shared" si="89"/>
        <v/>
      </c>
      <c r="M392" s="53" t="str">
        <f t="shared" si="90"/>
        <v/>
      </c>
      <c r="N392" s="53" t="str">
        <f t="shared" si="91"/>
        <v/>
      </c>
      <c r="O392" s="53" t="str">
        <f t="shared" si="92"/>
        <v/>
      </c>
      <c r="P392" s="53" t="str">
        <f t="shared" si="93"/>
        <v/>
      </c>
      <c r="Q392" s="53" t="str">
        <f t="shared" si="94"/>
        <v/>
      </c>
      <c r="R392" s="53" t="str">
        <f t="shared" si="95"/>
        <v/>
      </c>
      <c r="S392" s="53" t="str">
        <f t="shared" si="96"/>
        <v/>
      </c>
      <c r="T392" s="53" t="str">
        <f t="shared" si="97"/>
        <v/>
      </c>
    </row>
    <row r="393" spans="1:20">
      <c r="A393" s="47" t="str">
        <f>IF(archive!E393="","",archive!E393)</f>
        <v/>
      </c>
      <c r="B393" s="48" t="str">
        <f t="shared" si="84"/>
        <v/>
      </c>
      <c r="C393" s="49" t="str">
        <f>IF(archive!F393="","",archive!F393)</f>
        <v/>
      </c>
      <c r="D393" s="50" t="str">
        <f t="shared" si="85"/>
        <v/>
      </c>
      <c r="E393" s="50" t="str">
        <f t="shared" si="86"/>
        <v/>
      </c>
      <c r="F393" s="47" t="str">
        <f>IF(COUNTA(archive!H393:CI393)=0,"",COUNTA(archive!H393:CI393))</f>
        <v/>
      </c>
      <c r="G393" s="47" t="str">
        <f>IF(archive!G393="","",archive!G393)</f>
        <v/>
      </c>
      <c r="H393" s="51" t="str">
        <f>IF(archive!CJ393="","",archive!CJ393)</f>
        <v/>
      </c>
      <c r="I393" s="51" t="str">
        <f>IF(archive!CK393="","",archive!CK393)</f>
        <v/>
      </c>
      <c r="J393" s="47" t="str">
        <f t="shared" si="87"/>
        <v/>
      </c>
      <c r="K393" s="51" t="str">
        <f t="shared" si="88"/>
        <v/>
      </c>
      <c r="L393" s="52" t="str">
        <f t="shared" si="89"/>
        <v/>
      </c>
      <c r="M393" s="53" t="str">
        <f t="shared" si="90"/>
        <v/>
      </c>
      <c r="N393" s="53" t="str">
        <f t="shared" si="91"/>
        <v/>
      </c>
      <c r="O393" s="53" t="str">
        <f t="shared" si="92"/>
        <v/>
      </c>
      <c r="P393" s="53" t="str">
        <f t="shared" si="93"/>
        <v/>
      </c>
      <c r="Q393" s="53" t="str">
        <f t="shared" si="94"/>
        <v/>
      </c>
      <c r="R393" s="53" t="str">
        <f t="shared" si="95"/>
        <v/>
      </c>
      <c r="S393" s="53" t="str">
        <f t="shared" si="96"/>
        <v/>
      </c>
      <c r="T393" s="53" t="str">
        <f t="shared" si="97"/>
        <v/>
      </c>
    </row>
    <row r="394" spans="1:20">
      <c r="A394" s="47" t="str">
        <f>IF(archive!E394="","",archive!E394)</f>
        <v/>
      </c>
      <c r="B394" s="48" t="str">
        <f t="shared" si="84"/>
        <v/>
      </c>
      <c r="C394" s="49" t="str">
        <f>IF(archive!F394="","",archive!F394)</f>
        <v/>
      </c>
      <c r="D394" s="50" t="str">
        <f t="shared" si="85"/>
        <v/>
      </c>
      <c r="E394" s="50" t="str">
        <f t="shared" si="86"/>
        <v/>
      </c>
      <c r="F394" s="47" t="str">
        <f>IF(COUNTA(archive!H394:CI394)=0,"",COUNTA(archive!H394:CI394))</f>
        <v/>
      </c>
      <c r="G394" s="47" t="str">
        <f>IF(archive!G394="","",archive!G394)</f>
        <v/>
      </c>
      <c r="H394" s="51" t="str">
        <f>IF(archive!CJ394="","",archive!CJ394)</f>
        <v/>
      </c>
      <c r="I394" s="51" t="str">
        <f>IF(archive!CK394="","",archive!CK394)</f>
        <v/>
      </c>
      <c r="J394" s="47" t="str">
        <f t="shared" si="87"/>
        <v/>
      </c>
      <c r="K394" s="51" t="str">
        <f t="shared" si="88"/>
        <v/>
      </c>
      <c r="L394" s="52" t="str">
        <f t="shared" si="89"/>
        <v/>
      </c>
      <c r="M394" s="53" t="str">
        <f t="shared" si="90"/>
        <v/>
      </c>
      <c r="N394" s="53" t="str">
        <f t="shared" si="91"/>
        <v/>
      </c>
      <c r="O394" s="53" t="str">
        <f t="shared" si="92"/>
        <v/>
      </c>
      <c r="P394" s="53" t="str">
        <f t="shared" si="93"/>
        <v/>
      </c>
      <c r="Q394" s="53" t="str">
        <f t="shared" si="94"/>
        <v/>
      </c>
      <c r="R394" s="53" t="str">
        <f t="shared" si="95"/>
        <v/>
      </c>
      <c r="S394" s="53" t="str">
        <f t="shared" si="96"/>
        <v/>
      </c>
      <c r="T394" s="53" t="str">
        <f t="shared" si="97"/>
        <v/>
      </c>
    </row>
    <row r="395" spans="1:20">
      <c r="A395" s="47" t="str">
        <f>IF(archive!E395="","",archive!E395)</f>
        <v/>
      </c>
      <c r="B395" s="48" t="str">
        <f t="shared" si="84"/>
        <v/>
      </c>
      <c r="C395" s="49" t="str">
        <f>IF(archive!F395="","",archive!F395)</f>
        <v/>
      </c>
      <c r="D395" s="50" t="str">
        <f t="shared" si="85"/>
        <v/>
      </c>
      <c r="E395" s="50" t="str">
        <f t="shared" si="86"/>
        <v/>
      </c>
      <c r="F395" s="47" t="str">
        <f>IF(COUNTA(archive!H395:CI395)=0,"",COUNTA(archive!H395:CI395))</f>
        <v/>
      </c>
      <c r="G395" s="47" t="str">
        <f>IF(archive!G395="","",archive!G395)</f>
        <v/>
      </c>
      <c r="H395" s="51" t="str">
        <f>IF(archive!CJ395="","",archive!CJ395)</f>
        <v/>
      </c>
      <c r="I395" s="51" t="str">
        <f>IF(archive!CK395="","",archive!CK395)</f>
        <v/>
      </c>
      <c r="J395" s="47" t="str">
        <f t="shared" si="87"/>
        <v/>
      </c>
      <c r="K395" s="51" t="str">
        <f t="shared" si="88"/>
        <v/>
      </c>
      <c r="L395" s="52" t="str">
        <f t="shared" si="89"/>
        <v/>
      </c>
      <c r="M395" s="53" t="str">
        <f t="shared" si="90"/>
        <v/>
      </c>
      <c r="N395" s="53" t="str">
        <f t="shared" si="91"/>
        <v/>
      </c>
      <c r="O395" s="53" t="str">
        <f t="shared" si="92"/>
        <v/>
      </c>
      <c r="P395" s="53" t="str">
        <f t="shared" si="93"/>
        <v/>
      </c>
      <c r="Q395" s="53" t="str">
        <f t="shared" si="94"/>
        <v/>
      </c>
      <c r="R395" s="53" t="str">
        <f t="shared" si="95"/>
        <v/>
      </c>
      <c r="S395" s="53" t="str">
        <f t="shared" si="96"/>
        <v/>
      </c>
      <c r="T395" s="53" t="str">
        <f t="shared" si="97"/>
        <v/>
      </c>
    </row>
    <row r="396" spans="1:20">
      <c r="A396" s="47" t="str">
        <f>IF(archive!E396="","",archive!E396)</f>
        <v/>
      </c>
      <c r="B396" s="48" t="str">
        <f t="shared" si="84"/>
        <v/>
      </c>
      <c r="C396" s="49" t="str">
        <f>IF(archive!F396="","",archive!F396)</f>
        <v/>
      </c>
      <c r="D396" s="50" t="str">
        <f t="shared" si="85"/>
        <v/>
      </c>
      <c r="E396" s="50" t="str">
        <f t="shared" si="86"/>
        <v/>
      </c>
      <c r="F396" s="47" t="str">
        <f>IF(COUNTA(archive!H396:CI396)=0,"",COUNTA(archive!H396:CI396))</f>
        <v/>
      </c>
      <c r="G396" s="47" t="str">
        <f>IF(archive!G396="","",archive!G396)</f>
        <v/>
      </c>
      <c r="H396" s="51" t="str">
        <f>IF(archive!CJ396="","",archive!CJ396)</f>
        <v/>
      </c>
      <c r="I396" s="51" t="str">
        <f>IF(archive!CK396="","",archive!CK396)</f>
        <v/>
      </c>
      <c r="J396" s="47" t="str">
        <f t="shared" si="87"/>
        <v/>
      </c>
      <c r="K396" s="51" t="str">
        <f t="shared" si="88"/>
        <v/>
      </c>
      <c r="L396" s="52" t="str">
        <f t="shared" si="89"/>
        <v/>
      </c>
      <c r="M396" s="53" t="str">
        <f t="shared" si="90"/>
        <v/>
      </c>
      <c r="N396" s="53" t="str">
        <f t="shared" si="91"/>
        <v/>
      </c>
      <c r="O396" s="53" t="str">
        <f t="shared" si="92"/>
        <v/>
      </c>
      <c r="P396" s="53" t="str">
        <f t="shared" si="93"/>
        <v/>
      </c>
      <c r="Q396" s="53" t="str">
        <f t="shared" si="94"/>
        <v/>
      </c>
      <c r="R396" s="53" t="str">
        <f t="shared" si="95"/>
        <v/>
      </c>
      <c r="S396" s="53" t="str">
        <f t="shared" si="96"/>
        <v/>
      </c>
      <c r="T396" s="53" t="str">
        <f t="shared" si="97"/>
        <v/>
      </c>
    </row>
    <row r="397" spans="1:20">
      <c r="A397" s="47" t="str">
        <f>IF(archive!E397="","",archive!E397)</f>
        <v/>
      </c>
      <c r="B397" s="48" t="str">
        <f t="shared" si="84"/>
        <v/>
      </c>
      <c r="C397" s="49" t="str">
        <f>IF(archive!F397="","",archive!F397)</f>
        <v/>
      </c>
      <c r="D397" s="50" t="str">
        <f t="shared" si="85"/>
        <v/>
      </c>
      <c r="E397" s="50" t="str">
        <f t="shared" si="86"/>
        <v/>
      </c>
      <c r="F397" s="47" t="str">
        <f>IF(COUNTA(archive!H397:CI397)=0,"",COUNTA(archive!H397:CI397))</f>
        <v/>
      </c>
      <c r="G397" s="47" t="str">
        <f>IF(archive!G397="","",archive!G397)</f>
        <v/>
      </c>
      <c r="H397" s="51" t="str">
        <f>IF(archive!CJ397="","",archive!CJ397)</f>
        <v/>
      </c>
      <c r="I397" s="51" t="str">
        <f>IF(archive!CK397="","",archive!CK397)</f>
        <v/>
      </c>
      <c r="J397" s="47" t="str">
        <f t="shared" si="87"/>
        <v/>
      </c>
      <c r="K397" s="51" t="str">
        <f t="shared" si="88"/>
        <v/>
      </c>
      <c r="L397" s="52" t="str">
        <f t="shared" si="89"/>
        <v/>
      </c>
      <c r="M397" s="53" t="str">
        <f t="shared" si="90"/>
        <v/>
      </c>
      <c r="N397" s="53" t="str">
        <f t="shared" si="91"/>
        <v/>
      </c>
      <c r="O397" s="53" t="str">
        <f t="shared" si="92"/>
        <v/>
      </c>
      <c r="P397" s="53" t="str">
        <f t="shared" si="93"/>
        <v/>
      </c>
      <c r="Q397" s="53" t="str">
        <f t="shared" si="94"/>
        <v/>
      </c>
      <c r="R397" s="53" t="str">
        <f t="shared" si="95"/>
        <v/>
      </c>
      <c r="S397" s="53" t="str">
        <f t="shared" si="96"/>
        <v/>
      </c>
      <c r="T397" s="53" t="str">
        <f t="shared" si="97"/>
        <v/>
      </c>
    </row>
    <row r="398" spans="1:20">
      <c r="A398" s="47" t="str">
        <f>IF(archive!E398="","",archive!E398)</f>
        <v/>
      </c>
      <c r="B398" s="48" t="str">
        <f t="shared" si="84"/>
        <v/>
      </c>
      <c r="C398" s="49" t="str">
        <f>IF(archive!F398="","",archive!F398)</f>
        <v/>
      </c>
      <c r="D398" s="50" t="str">
        <f t="shared" si="85"/>
        <v/>
      </c>
      <c r="E398" s="50" t="str">
        <f t="shared" si="86"/>
        <v/>
      </c>
      <c r="F398" s="47" t="str">
        <f>IF(COUNTA(archive!H398:CI398)=0,"",COUNTA(archive!H398:CI398))</f>
        <v/>
      </c>
      <c r="G398" s="47" t="str">
        <f>IF(archive!G398="","",archive!G398)</f>
        <v/>
      </c>
      <c r="H398" s="51" t="str">
        <f>IF(archive!CJ398="","",archive!CJ398)</f>
        <v/>
      </c>
      <c r="I398" s="51" t="str">
        <f>IF(archive!CK398="","",archive!CK398)</f>
        <v/>
      </c>
      <c r="J398" s="47" t="str">
        <f t="shared" si="87"/>
        <v/>
      </c>
      <c r="K398" s="51" t="str">
        <f t="shared" si="88"/>
        <v/>
      </c>
      <c r="L398" s="52" t="str">
        <f t="shared" si="89"/>
        <v/>
      </c>
      <c r="M398" s="53" t="str">
        <f t="shared" si="90"/>
        <v/>
      </c>
      <c r="N398" s="53" t="str">
        <f t="shared" si="91"/>
        <v/>
      </c>
      <c r="O398" s="53" t="str">
        <f t="shared" si="92"/>
        <v/>
      </c>
      <c r="P398" s="53" t="str">
        <f t="shared" si="93"/>
        <v/>
      </c>
      <c r="Q398" s="53" t="str">
        <f t="shared" si="94"/>
        <v/>
      </c>
      <c r="R398" s="53" t="str">
        <f t="shared" si="95"/>
        <v/>
      </c>
      <c r="S398" s="53" t="str">
        <f t="shared" si="96"/>
        <v/>
      </c>
      <c r="T398" s="53" t="str">
        <f t="shared" si="97"/>
        <v/>
      </c>
    </row>
    <row r="399" spans="1:20">
      <c r="A399" s="47" t="str">
        <f>IF(archive!E399="","",archive!E399)</f>
        <v/>
      </c>
      <c r="B399" s="48" t="str">
        <f t="shared" si="84"/>
        <v/>
      </c>
      <c r="C399" s="49" t="str">
        <f>IF(archive!F399="","",archive!F399)</f>
        <v/>
      </c>
      <c r="D399" s="50" t="str">
        <f t="shared" si="85"/>
        <v/>
      </c>
      <c r="E399" s="50" t="str">
        <f t="shared" si="86"/>
        <v/>
      </c>
      <c r="F399" s="47" t="str">
        <f>IF(COUNTA(archive!H399:CI399)=0,"",COUNTA(archive!H399:CI399))</f>
        <v/>
      </c>
      <c r="G399" s="47" t="str">
        <f>IF(archive!G399="","",archive!G399)</f>
        <v/>
      </c>
      <c r="H399" s="51" t="str">
        <f>IF(archive!CJ399="","",archive!CJ399)</f>
        <v/>
      </c>
      <c r="I399" s="51" t="str">
        <f>IF(archive!CK399="","",archive!CK399)</f>
        <v/>
      </c>
      <c r="J399" s="47" t="str">
        <f t="shared" si="87"/>
        <v/>
      </c>
      <c r="K399" s="51" t="str">
        <f t="shared" si="88"/>
        <v/>
      </c>
      <c r="L399" s="52" t="str">
        <f t="shared" si="89"/>
        <v/>
      </c>
      <c r="M399" s="53" t="str">
        <f t="shared" si="90"/>
        <v/>
      </c>
      <c r="N399" s="53" t="str">
        <f t="shared" si="91"/>
        <v/>
      </c>
      <c r="O399" s="53" t="str">
        <f t="shared" si="92"/>
        <v/>
      </c>
      <c r="P399" s="53" t="str">
        <f t="shared" si="93"/>
        <v/>
      </c>
      <c r="Q399" s="53" t="str">
        <f t="shared" si="94"/>
        <v/>
      </c>
      <c r="R399" s="53" t="str">
        <f t="shared" si="95"/>
        <v/>
      </c>
      <c r="S399" s="53" t="str">
        <f t="shared" si="96"/>
        <v/>
      </c>
      <c r="T399" s="53" t="str">
        <f t="shared" si="97"/>
        <v/>
      </c>
    </row>
    <row r="400" spans="1:20">
      <c r="A400" s="47" t="str">
        <f>IF(archive!E400="","",archive!E400)</f>
        <v/>
      </c>
      <c r="B400" s="48" t="str">
        <f t="shared" si="84"/>
        <v/>
      </c>
      <c r="C400" s="49" t="str">
        <f>IF(archive!F400="","",archive!F400)</f>
        <v/>
      </c>
      <c r="D400" s="50" t="str">
        <f t="shared" si="85"/>
        <v/>
      </c>
      <c r="E400" s="50" t="str">
        <f t="shared" si="86"/>
        <v/>
      </c>
      <c r="F400" s="47" t="str">
        <f>IF(COUNTA(archive!H400:CI400)=0,"",COUNTA(archive!H400:CI400))</f>
        <v/>
      </c>
      <c r="G400" s="47" t="str">
        <f>IF(archive!G400="","",archive!G400)</f>
        <v/>
      </c>
      <c r="H400" s="51" t="str">
        <f>IF(archive!CJ400="","",archive!CJ400)</f>
        <v/>
      </c>
      <c r="I400" s="51" t="str">
        <f>IF(archive!CK400="","",archive!CK400)</f>
        <v/>
      </c>
      <c r="J400" s="47" t="str">
        <f t="shared" si="87"/>
        <v/>
      </c>
      <c r="K400" s="51" t="str">
        <f t="shared" si="88"/>
        <v/>
      </c>
      <c r="L400" s="52" t="str">
        <f t="shared" si="89"/>
        <v/>
      </c>
      <c r="M400" s="53" t="str">
        <f t="shared" si="90"/>
        <v/>
      </c>
      <c r="N400" s="53" t="str">
        <f t="shared" si="91"/>
        <v/>
      </c>
      <c r="O400" s="53" t="str">
        <f t="shared" si="92"/>
        <v/>
      </c>
      <c r="P400" s="53" t="str">
        <f t="shared" si="93"/>
        <v/>
      </c>
      <c r="Q400" s="53" t="str">
        <f t="shared" si="94"/>
        <v/>
      </c>
      <c r="R400" s="53" t="str">
        <f t="shared" si="95"/>
        <v/>
      </c>
      <c r="S400" s="53" t="str">
        <f t="shared" si="96"/>
        <v/>
      </c>
      <c r="T400" s="53" t="str">
        <f t="shared" si="97"/>
        <v/>
      </c>
    </row>
    <row r="401" spans="1:20">
      <c r="A401" s="47" t="str">
        <f>IF(archive!E401="","",archive!E401)</f>
        <v/>
      </c>
      <c r="B401" s="48" t="str">
        <f t="shared" si="84"/>
        <v/>
      </c>
      <c r="C401" s="49" t="str">
        <f>IF(archive!F401="","",archive!F401)</f>
        <v/>
      </c>
      <c r="D401" s="50" t="str">
        <f t="shared" si="85"/>
        <v/>
      </c>
      <c r="E401" s="50" t="str">
        <f t="shared" si="86"/>
        <v/>
      </c>
      <c r="F401" s="47" t="str">
        <f>IF(COUNTA(archive!H401:CI401)=0,"",COUNTA(archive!H401:CI401))</f>
        <v/>
      </c>
      <c r="G401" s="47" t="str">
        <f>IF(archive!G401="","",archive!G401)</f>
        <v/>
      </c>
      <c r="H401" s="51" t="str">
        <f>IF(archive!CJ401="","",archive!CJ401)</f>
        <v/>
      </c>
      <c r="I401" s="51" t="str">
        <f>IF(archive!CK401="","",archive!CK401)</f>
        <v/>
      </c>
      <c r="J401" s="47" t="str">
        <f t="shared" si="87"/>
        <v/>
      </c>
      <c r="K401" s="51" t="str">
        <f t="shared" si="88"/>
        <v/>
      </c>
      <c r="L401" s="52" t="str">
        <f t="shared" si="89"/>
        <v/>
      </c>
      <c r="M401" s="53" t="str">
        <f t="shared" si="90"/>
        <v/>
      </c>
      <c r="N401" s="53" t="str">
        <f t="shared" si="91"/>
        <v/>
      </c>
      <c r="O401" s="53" t="str">
        <f t="shared" si="92"/>
        <v/>
      </c>
      <c r="P401" s="53" t="str">
        <f t="shared" si="93"/>
        <v/>
      </c>
      <c r="Q401" s="53" t="str">
        <f t="shared" si="94"/>
        <v/>
      </c>
      <c r="R401" s="53" t="str">
        <f t="shared" si="95"/>
        <v/>
      </c>
      <c r="S401" s="53" t="str">
        <f t="shared" si="96"/>
        <v/>
      </c>
      <c r="T401" s="53" t="str">
        <f t="shared" si="97"/>
        <v/>
      </c>
    </row>
    <row r="402" spans="1:20">
      <c r="A402" s="47" t="str">
        <f>IF(archive!E402="","",archive!E402)</f>
        <v/>
      </c>
      <c r="B402" s="48" t="str">
        <f t="shared" si="84"/>
        <v/>
      </c>
      <c r="C402" s="49" t="str">
        <f>IF(archive!F402="","",archive!F402)</f>
        <v/>
      </c>
      <c r="D402" s="50" t="str">
        <f t="shared" si="85"/>
        <v/>
      </c>
      <c r="E402" s="50" t="str">
        <f t="shared" si="86"/>
        <v/>
      </c>
      <c r="F402" s="47" t="str">
        <f>IF(COUNTA(archive!H402:CI402)=0,"",COUNTA(archive!H402:CI402))</f>
        <v/>
      </c>
      <c r="G402" s="47" t="str">
        <f>IF(archive!G402="","",archive!G402)</f>
        <v/>
      </c>
      <c r="H402" s="51" t="str">
        <f>IF(archive!CJ402="","",archive!CJ402)</f>
        <v/>
      </c>
      <c r="I402" s="51" t="str">
        <f>IF(archive!CK402="","",archive!CK402)</f>
        <v/>
      </c>
      <c r="J402" s="47" t="str">
        <f t="shared" si="87"/>
        <v/>
      </c>
      <c r="K402" s="51" t="str">
        <f t="shared" si="88"/>
        <v/>
      </c>
      <c r="L402" s="52" t="str">
        <f t="shared" si="89"/>
        <v/>
      </c>
      <c r="M402" s="53" t="str">
        <f t="shared" si="90"/>
        <v/>
      </c>
      <c r="N402" s="53" t="str">
        <f t="shared" si="91"/>
        <v/>
      </c>
      <c r="O402" s="53" t="str">
        <f t="shared" si="92"/>
        <v/>
      </c>
      <c r="P402" s="53" t="str">
        <f t="shared" si="93"/>
        <v/>
      </c>
      <c r="Q402" s="53" t="str">
        <f t="shared" si="94"/>
        <v/>
      </c>
      <c r="R402" s="53" t="str">
        <f t="shared" si="95"/>
        <v/>
      </c>
      <c r="S402" s="53" t="str">
        <f t="shared" si="96"/>
        <v/>
      </c>
      <c r="T402" s="53" t="str">
        <f t="shared" si="97"/>
        <v/>
      </c>
    </row>
    <row r="403" spans="1:20">
      <c r="A403" s="47" t="str">
        <f>IF(archive!E403="","",archive!E403)</f>
        <v/>
      </c>
      <c r="B403" s="48" t="str">
        <f t="shared" si="84"/>
        <v/>
      </c>
      <c r="C403" s="49" t="str">
        <f>IF(archive!F403="","",archive!F403)</f>
        <v/>
      </c>
      <c r="D403" s="50" t="str">
        <f t="shared" si="85"/>
        <v/>
      </c>
      <c r="E403" s="50" t="str">
        <f t="shared" si="86"/>
        <v/>
      </c>
      <c r="F403" s="47" t="str">
        <f>IF(COUNTA(archive!H403:CI403)=0,"",COUNTA(archive!H403:CI403))</f>
        <v/>
      </c>
      <c r="G403" s="47" t="str">
        <f>IF(archive!G403="","",archive!G403)</f>
        <v/>
      </c>
      <c r="H403" s="51" t="str">
        <f>IF(archive!CJ403="","",archive!CJ403)</f>
        <v/>
      </c>
      <c r="I403" s="51" t="str">
        <f>IF(archive!CK403="","",archive!CK403)</f>
        <v/>
      </c>
      <c r="J403" s="47" t="str">
        <f t="shared" si="87"/>
        <v/>
      </c>
      <c r="K403" s="51" t="str">
        <f t="shared" si="88"/>
        <v/>
      </c>
      <c r="L403" s="52" t="str">
        <f t="shared" si="89"/>
        <v/>
      </c>
      <c r="M403" s="53" t="str">
        <f t="shared" si="90"/>
        <v/>
      </c>
      <c r="N403" s="53" t="str">
        <f t="shared" si="91"/>
        <v/>
      </c>
      <c r="O403" s="53" t="str">
        <f t="shared" si="92"/>
        <v/>
      </c>
      <c r="P403" s="53" t="str">
        <f t="shared" si="93"/>
        <v/>
      </c>
      <c r="Q403" s="53" t="str">
        <f t="shared" si="94"/>
        <v/>
      </c>
      <c r="R403" s="53" t="str">
        <f t="shared" si="95"/>
        <v/>
      </c>
      <c r="S403" s="53" t="str">
        <f t="shared" si="96"/>
        <v/>
      </c>
      <c r="T403" s="53" t="str">
        <f t="shared" si="97"/>
        <v/>
      </c>
    </row>
    <row r="404" spans="1:20">
      <c r="A404" s="47" t="str">
        <f>IF(archive!E404="","",archive!E404)</f>
        <v/>
      </c>
      <c r="B404" s="48" t="str">
        <f t="shared" si="84"/>
        <v/>
      </c>
      <c r="C404" s="49" t="str">
        <f>IF(archive!F404="","",archive!F404)</f>
        <v/>
      </c>
      <c r="D404" s="50" t="str">
        <f t="shared" si="85"/>
        <v/>
      </c>
      <c r="E404" s="50" t="str">
        <f t="shared" si="86"/>
        <v/>
      </c>
      <c r="F404" s="47" t="str">
        <f>IF(COUNTA(archive!H404:CI404)=0,"",COUNTA(archive!H404:CI404))</f>
        <v/>
      </c>
      <c r="G404" s="47" t="str">
        <f>IF(archive!G404="","",archive!G404)</f>
        <v/>
      </c>
      <c r="H404" s="51" t="str">
        <f>IF(archive!CJ404="","",archive!CJ404)</f>
        <v/>
      </c>
      <c r="I404" s="51" t="str">
        <f>IF(archive!CK404="","",archive!CK404)</f>
        <v/>
      </c>
      <c r="J404" s="47" t="str">
        <f t="shared" si="87"/>
        <v/>
      </c>
      <c r="K404" s="51" t="str">
        <f t="shared" si="88"/>
        <v/>
      </c>
      <c r="L404" s="52" t="str">
        <f t="shared" si="89"/>
        <v/>
      </c>
      <c r="M404" s="53" t="str">
        <f t="shared" si="90"/>
        <v/>
      </c>
      <c r="N404" s="53" t="str">
        <f t="shared" si="91"/>
        <v/>
      </c>
      <c r="O404" s="53" t="str">
        <f t="shared" si="92"/>
        <v/>
      </c>
      <c r="P404" s="53" t="str">
        <f t="shared" si="93"/>
        <v/>
      </c>
      <c r="Q404" s="53" t="str">
        <f t="shared" si="94"/>
        <v/>
      </c>
      <c r="R404" s="53" t="str">
        <f t="shared" si="95"/>
        <v/>
      </c>
      <c r="S404" s="53" t="str">
        <f t="shared" si="96"/>
        <v/>
      </c>
      <c r="T404" s="53" t="str">
        <f t="shared" si="97"/>
        <v/>
      </c>
    </row>
    <row r="405" spans="1:20">
      <c r="A405" s="47" t="str">
        <f>IF(archive!E405="","",archive!E405)</f>
        <v/>
      </c>
      <c r="B405" s="48" t="str">
        <f t="shared" si="84"/>
        <v/>
      </c>
      <c r="C405" s="49" t="str">
        <f>IF(archive!F405="","",archive!F405)</f>
        <v/>
      </c>
      <c r="D405" s="50" t="str">
        <f t="shared" si="85"/>
        <v/>
      </c>
      <c r="E405" s="50" t="str">
        <f t="shared" si="86"/>
        <v/>
      </c>
      <c r="F405" s="47" t="str">
        <f>IF(COUNTA(archive!H405:CI405)=0,"",COUNTA(archive!H405:CI405))</f>
        <v/>
      </c>
      <c r="G405" s="47" t="str">
        <f>IF(archive!G405="","",archive!G405)</f>
        <v/>
      </c>
      <c r="H405" s="51" t="str">
        <f>IF(archive!CJ405="","",archive!CJ405)</f>
        <v/>
      </c>
      <c r="I405" s="51" t="str">
        <f>IF(archive!CK405="","",archive!CK405)</f>
        <v/>
      </c>
      <c r="J405" s="47" t="str">
        <f t="shared" si="87"/>
        <v/>
      </c>
      <c r="K405" s="51" t="str">
        <f t="shared" si="88"/>
        <v/>
      </c>
      <c r="L405" s="52" t="str">
        <f t="shared" si="89"/>
        <v/>
      </c>
      <c r="M405" s="53" t="str">
        <f t="shared" si="90"/>
        <v/>
      </c>
      <c r="N405" s="53" t="str">
        <f t="shared" si="91"/>
        <v/>
      </c>
      <c r="O405" s="53" t="str">
        <f t="shared" si="92"/>
        <v/>
      </c>
      <c r="P405" s="53" t="str">
        <f t="shared" si="93"/>
        <v/>
      </c>
      <c r="Q405" s="53" t="str">
        <f t="shared" si="94"/>
        <v/>
      </c>
      <c r="R405" s="53" t="str">
        <f t="shared" si="95"/>
        <v/>
      </c>
      <c r="S405" s="53" t="str">
        <f t="shared" si="96"/>
        <v/>
      </c>
      <c r="T405" s="53" t="str">
        <f t="shared" si="97"/>
        <v/>
      </c>
    </row>
    <row r="406" spans="1:20">
      <c r="A406" s="47" t="str">
        <f>IF(archive!E406="","",archive!E406)</f>
        <v/>
      </c>
      <c r="B406" s="48" t="str">
        <f t="shared" si="84"/>
        <v/>
      </c>
      <c r="C406" s="49" t="str">
        <f>IF(archive!F406="","",archive!F406)</f>
        <v/>
      </c>
      <c r="D406" s="50" t="str">
        <f t="shared" si="85"/>
        <v/>
      </c>
      <c r="E406" s="50" t="str">
        <f t="shared" si="86"/>
        <v/>
      </c>
      <c r="F406" s="47" t="str">
        <f>IF(COUNTA(archive!H406:CI406)=0,"",COUNTA(archive!H406:CI406))</f>
        <v/>
      </c>
      <c r="G406" s="47" t="str">
        <f>IF(archive!G406="","",archive!G406)</f>
        <v/>
      </c>
      <c r="H406" s="51" t="str">
        <f>IF(archive!CJ406="","",archive!CJ406)</f>
        <v/>
      </c>
      <c r="I406" s="51" t="str">
        <f>IF(archive!CK406="","",archive!CK406)</f>
        <v/>
      </c>
      <c r="J406" s="47" t="str">
        <f t="shared" si="87"/>
        <v/>
      </c>
      <c r="K406" s="51" t="str">
        <f t="shared" si="88"/>
        <v/>
      </c>
      <c r="L406" s="52" t="str">
        <f t="shared" si="89"/>
        <v/>
      </c>
      <c r="M406" s="53" t="str">
        <f t="shared" si="90"/>
        <v/>
      </c>
      <c r="N406" s="53" t="str">
        <f t="shared" si="91"/>
        <v/>
      </c>
      <c r="O406" s="53" t="str">
        <f t="shared" si="92"/>
        <v/>
      </c>
      <c r="P406" s="53" t="str">
        <f t="shared" si="93"/>
        <v/>
      </c>
      <c r="Q406" s="53" t="str">
        <f t="shared" si="94"/>
        <v/>
      </c>
      <c r="R406" s="53" t="str">
        <f t="shared" si="95"/>
        <v/>
      </c>
      <c r="S406" s="53" t="str">
        <f t="shared" si="96"/>
        <v/>
      </c>
      <c r="T406" s="53" t="str">
        <f t="shared" si="97"/>
        <v/>
      </c>
    </row>
    <row r="407" spans="1:20">
      <c r="A407" s="47" t="str">
        <f>IF(archive!E407="","",archive!E407)</f>
        <v/>
      </c>
      <c r="B407" s="48" t="str">
        <f t="shared" si="84"/>
        <v/>
      </c>
      <c r="C407" s="49" t="str">
        <f>IF(archive!F407="","",archive!F407)</f>
        <v/>
      </c>
      <c r="D407" s="50" t="str">
        <f t="shared" si="85"/>
        <v/>
      </c>
      <c r="E407" s="50" t="str">
        <f t="shared" si="86"/>
        <v/>
      </c>
      <c r="F407" s="47" t="str">
        <f>IF(COUNTA(archive!H407:CI407)=0,"",COUNTA(archive!H407:CI407))</f>
        <v/>
      </c>
      <c r="G407" s="47" t="str">
        <f>IF(archive!G407="","",archive!G407)</f>
        <v/>
      </c>
      <c r="H407" s="51" t="str">
        <f>IF(archive!CJ407="","",archive!CJ407)</f>
        <v/>
      </c>
      <c r="I407" s="51" t="str">
        <f>IF(archive!CK407="","",archive!CK407)</f>
        <v/>
      </c>
      <c r="J407" s="47" t="str">
        <f t="shared" si="87"/>
        <v/>
      </c>
      <c r="K407" s="51" t="str">
        <f t="shared" si="88"/>
        <v/>
      </c>
      <c r="L407" s="52" t="str">
        <f t="shared" si="89"/>
        <v/>
      </c>
      <c r="M407" s="53" t="str">
        <f t="shared" si="90"/>
        <v/>
      </c>
      <c r="N407" s="53" t="str">
        <f t="shared" si="91"/>
        <v/>
      </c>
      <c r="O407" s="53" t="str">
        <f t="shared" si="92"/>
        <v/>
      </c>
      <c r="P407" s="53" t="str">
        <f t="shared" si="93"/>
        <v/>
      </c>
      <c r="Q407" s="53" t="str">
        <f t="shared" si="94"/>
        <v/>
      </c>
      <c r="R407" s="53" t="str">
        <f t="shared" si="95"/>
        <v/>
      </c>
      <c r="S407" s="53" t="str">
        <f t="shared" si="96"/>
        <v/>
      </c>
      <c r="T407" s="53" t="str">
        <f t="shared" si="97"/>
        <v/>
      </c>
    </row>
    <row r="408" spans="1:20">
      <c r="A408" s="47" t="str">
        <f>IF(archive!E408="","",archive!E408)</f>
        <v/>
      </c>
      <c r="B408" s="48" t="str">
        <f t="shared" si="84"/>
        <v/>
      </c>
      <c r="C408" s="49" t="str">
        <f>IF(archive!F408="","",archive!F408)</f>
        <v/>
      </c>
      <c r="D408" s="50" t="str">
        <f t="shared" si="85"/>
        <v/>
      </c>
      <c r="E408" s="50" t="str">
        <f t="shared" si="86"/>
        <v/>
      </c>
      <c r="F408" s="47" t="str">
        <f>IF(COUNTA(archive!H408:CI408)=0,"",COUNTA(archive!H408:CI408))</f>
        <v/>
      </c>
      <c r="G408" s="47" t="str">
        <f>IF(archive!G408="","",archive!G408)</f>
        <v/>
      </c>
      <c r="H408" s="51" t="str">
        <f>IF(archive!CJ408="","",archive!CJ408)</f>
        <v/>
      </c>
      <c r="I408" s="51" t="str">
        <f>IF(archive!CK408="","",archive!CK408)</f>
        <v/>
      </c>
      <c r="J408" s="47" t="str">
        <f t="shared" si="87"/>
        <v/>
      </c>
      <c r="K408" s="51" t="str">
        <f t="shared" si="88"/>
        <v/>
      </c>
      <c r="L408" s="52" t="str">
        <f t="shared" si="89"/>
        <v/>
      </c>
      <c r="M408" s="53" t="str">
        <f t="shared" si="90"/>
        <v/>
      </c>
      <c r="N408" s="53" t="str">
        <f t="shared" si="91"/>
        <v/>
      </c>
      <c r="O408" s="53" t="str">
        <f t="shared" si="92"/>
        <v/>
      </c>
      <c r="P408" s="53" t="str">
        <f t="shared" si="93"/>
        <v/>
      </c>
      <c r="Q408" s="53" t="str">
        <f t="shared" si="94"/>
        <v/>
      </c>
      <c r="R408" s="53" t="str">
        <f t="shared" si="95"/>
        <v/>
      </c>
      <c r="S408" s="53" t="str">
        <f t="shared" si="96"/>
        <v/>
      </c>
      <c r="T408" s="53" t="str">
        <f t="shared" si="97"/>
        <v/>
      </c>
    </row>
    <row r="409" spans="1:20">
      <c r="A409" s="47" t="str">
        <f>IF(archive!E409="","",archive!E409)</f>
        <v/>
      </c>
      <c r="B409" s="48" t="str">
        <f t="shared" si="84"/>
        <v/>
      </c>
      <c r="C409" s="49" t="str">
        <f>IF(archive!F409="","",archive!F409)</f>
        <v/>
      </c>
      <c r="D409" s="50" t="str">
        <f t="shared" si="85"/>
        <v/>
      </c>
      <c r="E409" s="50" t="str">
        <f t="shared" si="86"/>
        <v/>
      </c>
      <c r="F409" s="47" t="str">
        <f>IF(COUNTA(archive!H409:CI409)=0,"",COUNTA(archive!H409:CI409))</f>
        <v/>
      </c>
      <c r="G409" s="47" t="str">
        <f>IF(archive!G409="","",archive!G409)</f>
        <v/>
      </c>
      <c r="H409" s="51" t="str">
        <f>IF(archive!CJ409="","",archive!CJ409)</f>
        <v/>
      </c>
      <c r="I409" s="51" t="str">
        <f>IF(archive!CK409="","",archive!CK409)</f>
        <v/>
      </c>
      <c r="J409" s="47" t="str">
        <f t="shared" si="87"/>
        <v/>
      </c>
      <c r="K409" s="51" t="str">
        <f t="shared" si="88"/>
        <v/>
      </c>
      <c r="L409" s="52" t="str">
        <f t="shared" si="89"/>
        <v/>
      </c>
      <c r="M409" s="53" t="str">
        <f t="shared" si="90"/>
        <v/>
      </c>
      <c r="N409" s="53" t="str">
        <f t="shared" si="91"/>
        <v/>
      </c>
      <c r="O409" s="53" t="str">
        <f t="shared" si="92"/>
        <v/>
      </c>
      <c r="P409" s="53" t="str">
        <f t="shared" si="93"/>
        <v/>
      </c>
      <c r="Q409" s="53" t="str">
        <f t="shared" si="94"/>
        <v/>
      </c>
      <c r="R409" s="53" t="str">
        <f t="shared" si="95"/>
        <v/>
      </c>
      <c r="S409" s="53" t="str">
        <f t="shared" si="96"/>
        <v/>
      </c>
      <c r="T409" s="53" t="str">
        <f t="shared" si="97"/>
        <v/>
      </c>
    </row>
    <row r="410" spans="1:20">
      <c r="A410" s="47" t="str">
        <f>IF(archive!E410="","",archive!E410)</f>
        <v/>
      </c>
      <c r="B410" s="48" t="str">
        <f t="shared" si="84"/>
        <v/>
      </c>
      <c r="C410" s="49" t="str">
        <f>IF(archive!F410="","",archive!F410)</f>
        <v/>
      </c>
      <c r="D410" s="50" t="str">
        <f t="shared" si="85"/>
        <v/>
      </c>
      <c r="E410" s="50" t="str">
        <f t="shared" si="86"/>
        <v/>
      </c>
      <c r="F410" s="47" t="str">
        <f>IF(COUNTA(archive!H410:CI410)=0,"",COUNTA(archive!H410:CI410))</f>
        <v/>
      </c>
      <c r="G410" s="47" t="str">
        <f>IF(archive!G410="","",archive!G410)</f>
        <v/>
      </c>
      <c r="H410" s="51" t="str">
        <f>IF(archive!CJ410="","",archive!CJ410)</f>
        <v/>
      </c>
      <c r="I410" s="51" t="str">
        <f>IF(archive!CK410="","",archive!CK410)</f>
        <v/>
      </c>
      <c r="J410" s="47" t="str">
        <f t="shared" si="87"/>
        <v/>
      </c>
      <c r="K410" s="51" t="str">
        <f t="shared" si="88"/>
        <v/>
      </c>
      <c r="L410" s="52" t="str">
        <f t="shared" si="89"/>
        <v/>
      </c>
      <c r="M410" s="53" t="str">
        <f t="shared" si="90"/>
        <v/>
      </c>
      <c r="N410" s="53" t="str">
        <f t="shared" si="91"/>
        <v/>
      </c>
      <c r="O410" s="53" t="str">
        <f t="shared" si="92"/>
        <v/>
      </c>
      <c r="P410" s="53" t="str">
        <f t="shared" si="93"/>
        <v/>
      </c>
      <c r="Q410" s="53" t="str">
        <f t="shared" si="94"/>
        <v/>
      </c>
      <c r="R410" s="53" t="str">
        <f t="shared" si="95"/>
        <v/>
      </c>
      <c r="S410" s="53" t="str">
        <f t="shared" si="96"/>
        <v/>
      </c>
      <c r="T410" s="53" t="str">
        <f t="shared" si="97"/>
        <v/>
      </c>
    </row>
    <row r="411" spans="1:20">
      <c r="A411" s="47" t="str">
        <f>IF(archive!E411="","",archive!E411)</f>
        <v/>
      </c>
      <c r="B411" s="48" t="str">
        <f t="shared" si="84"/>
        <v/>
      </c>
      <c r="C411" s="49" t="str">
        <f>IF(archive!F411="","",archive!F411)</f>
        <v/>
      </c>
      <c r="D411" s="50" t="str">
        <f t="shared" si="85"/>
        <v/>
      </c>
      <c r="E411" s="50" t="str">
        <f t="shared" si="86"/>
        <v/>
      </c>
      <c r="F411" s="47" t="str">
        <f>IF(COUNTA(archive!H411:CI411)=0,"",COUNTA(archive!H411:CI411))</f>
        <v/>
      </c>
      <c r="G411" s="47" t="str">
        <f>IF(archive!G411="","",archive!G411)</f>
        <v/>
      </c>
      <c r="H411" s="51" t="str">
        <f>IF(archive!CJ411="","",archive!CJ411)</f>
        <v/>
      </c>
      <c r="I411" s="51" t="str">
        <f>IF(archive!CK411="","",archive!CK411)</f>
        <v/>
      </c>
      <c r="J411" s="47" t="str">
        <f t="shared" si="87"/>
        <v/>
      </c>
      <c r="K411" s="51" t="str">
        <f t="shared" si="88"/>
        <v/>
      </c>
      <c r="L411" s="52" t="str">
        <f t="shared" si="89"/>
        <v/>
      </c>
      <c r="M411" s="53" t="str">
        <f t="shared" si="90"/>
        <v/>
      </c>
      <c r="N411" s="53" t="str">
        <f t="shared" si="91"/>
        <v/>
      </c>
      <c r="O411" s="53" t="str">
        <f t="shared" si="92"/>
        <v/>
      </c>
      <c r="P411" s="53" t="str">
        <f t="shared" si="93"/>
        <v/>
      </c>
      <c r="Q411" s="53" t="str">
        <f t="shared" si="94"/>
        <v/>
      </c>
      <c r="R411" s="53" t="str">
        <f t="shared" si="95"/>
        <v/>
      </c>
      <c r="S411" s="53" t="str">
        <f t="shared" si="96"/>
        <v/>
      </c>
      <c r="T411" s="53" t="str">
        <f t="shared" si="97"/>
        <v/>
      </c>
    </row>
    <row r="412" spans="1:20">
      <c r="A412" s="47" t="str">
        <f>IF(archive!E412="","",archive!E412)</f>
        <v/>
      </c>
      <c r="B412" s="48" t="str">
        <f t="shared" si="84"/>
        <v/>
      </c>
      <c r="C412" s="49" t="str">
        <f>IF(archive!F412="","",archive!F412)</f>
        <v/>
      </c>
      <c r="D412" s="50" t="str">
        <f t="shared" si="85"/>
        <v/>
      </c>
      <c r="E412" s="50" t="str">
        <f t="shared" si="86"/>
        <v/>
      </c>
      <c r="F412" s="47" t="str">
        <f>IF(COUNTA(archive!H412:CI412)=0,"",COUNTA(archive!H412:CI412))</f>
        <v/>
      </c>
      <c r="G412" s="47" t="str">
        <f>IF(archive!G412="","",archive!G412)</f>
        <v/>
      </c>
      <c r="H412" s="51" t="str">
        <f>IF(archive!CJ412="","",archive!CJ412)</f>
        <v/>
      </c>
      <c r="I412" s="51" t="str">
        <f>IF(archive!CK412="","",archive!CK412)</f>
        <v/>
      </c>
      <c r="J412" s="47" t="str">
        <f t="shared" si="87"/>
        <v/>
      </c>
      <c r="K412" s="51" t="str">
        <f t="shared" si="88"/>
        <v/>
      </c>
      <c r="L412" s="52" t="str">
        <f t="shared" si="89"/>
        <v/>
      </c>
      <c r="M412" s="53" t="str">
        <f t="shared" si="90"/>
        <v/>
      </c>
      <c r="N412" s="53" t="str">
        <f t="shared" si="91"/>
        <v/>
      </c>
      <c r="O412" s="53" t="str">
        <f t="shared" si="92"/>
        <v/>
      </c>
      <c r="P412" s="53" t="str">
        <f t="shared" si="93"/>
        <v/>
      </c>
      <c r="Q412" s="53" t="str">
        <f t="shared" si="94"/>
        <v/>
      </c>
      <c r="R412" s="53" t="str">
        <f t="shared" si="95"/>
        <v/>
      </c>
      <c r="S412" s="53" t="str">
        <f t="shared" si="96"/>
        <v/>
      </c>
      <c r="T412" s="53" t="str">
        <f t="shared" si="97"/>
        <v/>
      </c>
    </row>
    <row r="413" spans="1:20">
      <c r="A413" s="47" t="str">
        <f>IF(archive!E413="","",archive!E413)</f>
        <v/>
      </c>
      <c r="B413" s="48" t="str">
        <f t="shared" si="84"/>
        <v/>
      </c>
      <c r="C413" s="49" t="str">
        <f>IF(archive!F413="","",archive!F413)</f>
        <v/>
      </c>
      <c r="D413" s="50" t="str">
        <f t="shared" si="85"/>
        <v/>
      </c>
      <c r="E413" s="50" t="str">
        <f t="shared" si="86"/>
        <v/>
      </c>
      <c r="F413" s="47" t="str">
        <f>IF(COUNTA(archive!H413:CI413)=0,"",COUNTA(archive!H413:CI413))</f>
        <v/>
      </c>
      <c r="G413" s="47" t="str">
        <f>IF(archive!G413="","",archive!G413)</f>
        <v/>
      </c>
      <c r="H413" s="51" t="str">
        <f>IF(archive!CJ413="","",archive!CJ413)</f>
        <v/>
      </c>
      <c r="I413" s="51" t="str">
        <f>IF(archive!CK413="","",archive!CK413)</f>
        <v/>
      </c>
      <c r="J413" s="47" t="str">
        <f t="shared" si="87"/>
        <v/>
      </c>
      <c r="K413" s="51" t="str">
        <f t="shared" si="88"/>
        <v/>
      </c>
      <c r="L413" s="52" t="str">
        <f t="shared" si="89"/>
        <v/>
      </c>
      <c r="M413" s="53" t="str">
        <f t="shared" si="90"/>
        <v/>
      </c>
      <c r="N413" s="53" t="str">
        <f t="shared" si="91"/>
        <v/>
      </c>
      <c r="O413" s="53" t="str">
        <f t="shared" si="92"/>
        <v/>
      </c>
      <c r="P413" s="53" t="str">
        <f t="shared" si="93"/>
        <v/>
      </c>
      <c r="Q413" s="53" t="str">
        <f t="shared" si="94"/>
        <v/>
      </c>
      <c r="R413" s="53" t="str">
        <f t="shared" si="95"/>
        <v/>
      </c>
      <c r="S413" s="53" t="str">
        <f t="shared" si="96"/>
        <v/>
      </c>
      <c r="T413" s="53" t="str">
        <f t="shared" si="97"/>
        <v/>
      </c>
    </row>
    <row r="414" spans="1:20">
      <c r="A414" s="47" t="str">
        <f>IF(archive!E414="","",archive!E414)</f>
        <v/>
      </c>
      <c r="B414" s="48" t="str">
        <f t="shared" si="84"/>
        <v/>
      </c>
      <c r="C414" s="49" t="str">
        <f>IF(archive!F414="","",archive!F414)</f>
        <v/>
      </c>
      <c r="D414" s="50" t="str">
        <f t="shared" si="85"/>
        <v/>
      </c>
      <c r="E414" s="50" t="str">
        <f t="shared" si="86"/>
        <v/>
      </c>
      <c r="F414" s="47" t="str">
        <f>IF(COUNTA(archive!H414:CI414)=0,"",COUNTA(archive!H414:CI414))</f>
        <v/>
      </c>
      <c r="G414" s="47" t="str">
        <f>IF(archive!G414="","",archive!G414)</f>
        <v/>
      </c>
      <c r="H414" s="51" t="str">
        <f>IF(archive!CJ414="","",archive!CJ414)</f>
        <v/>
      </c>
      <c r="I414" s="51" t="str">
        <f>IF(archive!CK414="","",archive!CK414)</f>
        <v/>
      </c>
      <c r="J414" s="47" t="str">
        <f t="shared" si="87"/>
        <v/>
      </c>
      <c r="K414" s="51" t="str">
        <f t="shared" si="88"/>
        <v/>
      </c>
      <c r="L414" s="52" t="str">
        <f t="shared" si="89"/>
        <v/>
      </c>
      <c r="M414" s="53" t="str">
        <f t="shared" si="90"/>
        <v/>
      </c>
      <c r="N414" s="53" t="str">
        <f t="shared" si="91"/>
        <v/>
      </c>
      <c r="O414" s="53" t="str">
        <f t="shared" si="92"/>
        <v/>
      </c>
      <c r="P414" s="53" t="str">
        <f t="shared" si="93"/>
        <v/>
      </c>
      <c r="Q414" s="53" t="str">
        <f t="shared" si="94"/>
        <v/>
      </c>
      <c r="R414" s="53" t="str">
        <f t="shared" si="95"/>
        <v/>
      </c>
      <c r="S414" s="53" t="str">
        <f t="shared" si="96"/>
        <v/>
      </c>
      <c r="T414" s="53" t="str">
        <f t="shared" si="97"/>
        <v/>
      </c>
    </row>
    <row r="415" spans="1:20">
      <c r="A415" s="47" t="str">
        <f>IF(archive!E415="","",archive!E415)</f>
        <v/>
      </c>
      <c r="B415" s="48" t="str">
        <f t="shared" si="84"/>
        <v/>
      </c>
      <c r="C415" s="49" t="str">
        <f>IF(archive!F415="","",archive!F415)</f>
        <v/>
      </c>
      <c r="D415" s="50" t="str">
        <f t="shared" si="85"/>
        <v/>
      </c>
      <c r="E415" s="50" t="str">
        <f t="shared" si="86"/>
        <v/>
      </c>
      <c r="F415" s="47" t="str">
        <f>IF(COUNTA(archive!H415:CI415)=0,"",COUNTA(archive!H415:CI415))</f>
        <v/>
      </c>
      <c r="G415" s="47" t="str">
        <f>IF(archive!G415="","",archive!G415)</f>
        <v/>
      </c>
      <c r="H415" s="51" t="str">
        <f>IF(archive!CJ415="","",archive!CJ415)</f>
        <v/>
      </c>
      <c r="I415" s="51" t="str">
        <f>IF(archive!CK415="","",archive!CK415)</f>
        <v/>
      </c>
      <c r="J415" s="47" t="str">
        <f t="shared" si="87"/>
        <v/>
      </c>
      <c r="K415" s="51" t="str">
        <f t="shared" si="88"/>
        <v/>
      </c>
      <c r="L415" s="52" t="str">
        <f t="shared" si="89"/>
        <v/>
      </c>
      <c r="M415" s="53" t="str">
        <f t="shared" si="90"/>
        <v/>
      </c>
      <c r="N415" s="53" t="str">
        <f t="shared" si="91"/>
        <v/>
      </c>
      <c r="O415" s="53" t="str">
        <f t="shared" si="92"/>
        <v/>
      </c>
      <c r="P415" s="53" t="str">
        <f t="shared" si="93"/>
        <v/>
      </c>
      <c r="Q415" s="53" t="str">
        <f t="shared" si="94"/>
        <v/>
      </c>
      <c r="R415" s="53" t="str">
        <f t="shared" si="95"/>
        <v/>
      </c>
      <c r="S415" s="53" t="str">
        <f t="shared" si="96"/>
        <v/>
      </c>
      <c r="T415" s="53" t="str">
        <f t="shared" si="97"/>
        <v/>
      </c>
    </row>
    <row r="416" spans="1:20">
      <c r="A416" s="47" t="str">
        <f>IF(archive!E416="","",archive!E416)</f>
        <v/>
      </c>
      <c r="B416" s="48" t="str">
        <f t="shared" si="84"/>
        <v/>
      </c>
      <c r="C416" s="49" t="str">
        <f>IF(archive!F416="","",archive!F416)</f>
        <v/>
      </c>
      <c r="D416" s="50" t="str">
        <f t="shared" si="85"/>
        <v/>
      </c>
      <c r="E416" s="50" t="str">
        <f t="shared" si="86"/>
        <v/>
      </c>
      <c r="F416" s="47" t="str">
        <f>IF(COUNTA(archive!H416:CI416)=0,"",COUNTA(archive!H416:CI416))</f>
        <v/>
      </c>
      <c r="G416" s="47" t="str">
        <f>IF(archive!G416="","",archive!G416)</f>
        <v/>
      </c>
      <c r="H416" s="51" t="str">
        <f>IF(archive!CJ416="","",archive!CJ416)</f>
        <v/>
      </c>
      <c r="I416" s="51" t="str">
        <f>IF(archive!CK416="","",archive!CK416)</f>
        <v/>
      </c>
      <c r="J416" s="47" t="str">
        <f t="shared" si="87"/>
        <v/>
      </c>
      <c r="K416" s="51" t="str">
        <f t="shared" si="88"/>
        <v/>
      </c>
      <c r="L416" s="52" t="str">
        <f t="shared" si="89"/>
        <v/>
      </c>
      <c r="M416" s="53" t="str">
        <f t="shared" si="90"/>
        <v/>
      </c>
      <c r="N416" s="53" t="str">
        <f t="shared" si="91"/>
        <v/>
      </c>
      <c r="O416" s="53" t="str">
        <f t="shared" si="92"/>
        <v/>
      </c>
      <c r="P416" s="53" t="str">
        <f t="shared" si="93"/>
        <v/>
      </c>
      <c r="Q416" s="53" t="str">
        <f t="shared" si="94"/>
        <v/>
      </c>
      <c r="R416" s="53" t="str">
        <f t="shared" si="95"/>
        <v/>
      </c>
      <c r="S416" s="53" t="str">
        <f t="shared" si="96"/>
        <v/>
      </c>
      <c r="T416" s="53" t="str">
        <f t="shared" si="97"/>
        <v/>
      </c>
    </row>
    <row r="417" spans="1:20">
      <c r="A417" s="47" t="str">
        <f>IF(archive!E417="","",archive!E417)</f>
        <v/>
      </c>
      <c r="B417" s="48" t="str">
        <f t="shared" si="84"/>
        <v/>
      </c>
      <c r="C417" s="49" t="str">
        <f>IF(archive!F417="","",archive!F417)</f>
        <v/>
      </c>
      <c r="D417" s="50" t="str">
        <f t="shared" si="85"/>
        <v/>
      </c>
      <c r="E417" s="50" t="str">
        <f t="shared" si="86"/>
        <v/>
      </c>
      <c r="F417" s="47" t="str">
        <f>IF(COUNTA(archive!H417:CI417)=0,"",COUNTA(archive!H417:CI417))</f>
        <v/>
      </c>
      <c r="G417" s="47" t="str">
        <f>IF(archive!G417="","",archive!G417)</f>
        <v/>
      </c>
      <c r="H417" s="51" t="str">
        <f>IF(archive!CJ417="","",archive!CJ417)</f>
        <v/>
      </c>
      <c r="I417" s="51" t="str">
        <f>IF(archive!CK417="","",archive!CK417)</f>
        <v/>
      </c>
      <c r="J417" s="47" t="str">
        <f t="shared" si="87"/>
        <v/>
      </c>
      <c r="K417" s="51" t="str">
        <f t="shared" si="88"/>
        <v/>
      </c>
      <c r="L417" s="52" t="str">
        <f t="shared" si="89"/>
        <v/>
      </c>
      <c r="M417" s="53" t="str">
        <f t="shared" si="90"/>
        <v/>
      </c>
      <c r="N417" s="53" t="str">
        <f t="shared" si="91"/>
        <v/>
      </c>
      <c r="O417" s="53" t="str">
        <f t="shared" si="92"/>
        <v/>
      </c>
      <c r="P417" s="53" t="str">
        <f t="shared" si="93"/>
        <v/>
      </c>
      <c r="Q417" s="53" t="str">
        <f t="shared" si="94"/>
        <v/>
      </c>
      <c r="R417" s="53" t="str">
        <f t="shared" si="95"/>
        <v/>
      </c>
      <c r="S417" s="53" t="str">
        <f t="shared" si="96"/>
        <v/>
      </c>
      <c r="T417" s="53" t="str">
        <f t="shared" si="97"/>
        <v/>
      </c>
    </row>
    <row r="418" spans="1:20">
      <c r="A418" s="47" t="str">
        <f>IF(archive!E418="","",archive!E418)</f>
        <v/>
      </c>
      <c r="B418" s="48" t="str">
        <f t="shared" si="84"/>
        <v/>
      </c>
      <c r="C418" s="49" t="str">
        <f>IF(archive!F418="","",archive!F418)</f>
        <v/>
      </c>
      <c r="D418" s="50" t="str">
        <f t="shared" si="85"/>
        <v/>
      </c>
      <c r="E418" s="50" t="str">
        <f t="shared" si="86"/>
        <v/>
      </c>
      <c r="F418" s="47" t="str">
        <f>IF(COUNTA(archive!H418:CI418)=0,"",COUNTA(archive!H418:CI418))</f>
        <v/>
      </c>
      <c r="G418" s="47" t="str">
        <f>IF(archive!G418="","",archive!G418)</f>
        <v/>
      </c>
      <c r="H418" s="51" t="str">
        <f>IF(archive!CJ418="","",archive!CJ418)</f>
        <v/>
      </c>
      <c r="I418" s="51" t="str">
        <f>IF(archive!CK418="","",archive!CK418)</f>
        <v/>
      </c>
      <c r="J418" s="47" t="str">
        <f t="shared" si="87"/>
        <v/>
      </c>
      <c r="K418" s="51" t="str">
        <f t="shared" si="88"/>
        <v/>
      </c>
      <c r="L418" s="52" t="str">
        <f t="shared" si="89"/>
        <v/>
      </c>
      <c r="M418" s="53" t="str">
        <f t="shared" si="90"/>
        <v/>
      </c>
      <c r="N418" s="53" t="str">
        <f t="shared" si="91"/>
        <v/>
      </c>
      <c r="O418" s="53" t="str">
        <f t="shared" si="92"/>
        <v/>
      </c>
      <c r="P418" s="53" t="str">
        <f t="shared" si="93"/>
        <v/>
      </c>
      <c r="Q418" s="53" t="str">
        <f t="shared" si="94"/>
        <v/>
      </c>
      <c r="R418" s="53" t="str">
        <f t="shared" si="95"/>
        <v/>
      </c>
      <c r="S418" s="53" t="str">
        <f t="shared" si="96"/>
        <v/>
      </c>
      <c r="T418" s="53" t="str">
        <f t="shared" si="97"/>
        <v/>
      </c>
    </row>
    <row r="419" spans="1:20">
      <c r="A419" s="47" t="str">
        <f>IF(archive!E419="","",archive!E419)</f>
        <v/>
      </c>
      <c r="B419" s="48" t="str">
        <f t="shared" si="84"/>
        <v/>
      </c>
      <c r="C419" s="49" t="str">
        <f>IF(archive!F419="","",archive!F419)</f>
        <v/>
      </c>
      <c r="D419" s="50" t="str">
        <f t="shared" si="85"/>
        <v/>
      </c>
      <c r="E419" s="50" t="str">
        <f t="shared" si="86"/>
        <v/>
      </c>
      <c r="F419" s="47" t="str">
        <f>IF(COUNTA(archive!H419:CI419)=0,"",COUNTA(archive!H419:CI419))</f>
        <v/>
      </c>
      <c r="G419" s="47" t="str">
        <f>IF(archive!G419="","",archive!G419)</f>
        <v/>
      </c>
      <c r="H419" s="51" t="str">
        <f>IF(archive!CJ419="","",archive!CJ419)</f>
        <v/>
      </c>
      <c r="I419" s="51" t="str">
        <f>IF(archive!CK419="","",archive!CK419)</f>
        <v/>
      </c>
      <c r="J419" s="47" t="str">
        <f t="shared" si="87"/>
        <v/>
      </c>
      <c r="K419" s="51" t="str">
        <f t="shared" si="88"/>
        <v/>
      </c>
      <c r="L419" s="52" t="str">
        <f t="shared" si="89"/>
        <v/>
      </c>
      <c r="M419" s="53" t="str">
        <f t="shared" si="90"/>
        <v/>
      </c>
      <c r="N419" s="53" t="str">
        <f t="shared" si="91"/>
        <v/>
      </c>
      <c r="O419" s="53" t="str">
        <f t="shared" si="92"/>
        <v/>
      </c>
      <c r="P419" s="53" t="str">
        <f t="shared" si="93"/>
        <v/>
      </c>
      <c r="Q419" s="53" t="str">
        <f t="shared" si="94"/>
        <v/>
      </c>
      <c r="R419" s="53" t="str">
        <f t="shared" si="95"/>
        <v/>
      </c>
      <c r="S419" s="53" t="str">
        <f t="shared" si="96"/>
        <v/>
      </c>
      <c r="T419" s="53" t="str">
        <f t="shared" si="97"/>
        <v/>
      </c>
    </row>
    <row r="420" spans="1:20">
      <c r="A420" s="47" t="str">
        <f>IF(archive!E420="","",archive!E420)</f>
        <v/>
      </c>
      <c r="B420" s="48" t="str">
        <f t="shared" si="84"/>
        <v/>
      </c>
      <c r="C420" s="49" t="str">
        <f>IF(archive!F420="","",archive!F420)</f>
        <v/>
      </c>
      <c r="D420" s="50" t="str">
        <f t="shared" si="85"/>
        <v/>
      </c>
      <c r="E420" s="50" t="str">
        <f t="shared" si="86"/>
        <v/>
      </c>
      <c r="F420" s="47" t="str">
        <f>IF(COUNTA(archive!H420:CI420)=0,"",COUNTA(archive!H420:CI420))</f>
        <v/>
      </c>
      <c r="G420" s="47" t="str">
        <f>IF(archive!G420="","",archive!G420)</f>
        <v/>
      </c>
      <c r="H420" s="51" t="str">
        <f>IF(archive!CJ420="","",archive!CJ420)</f>
        <v/>
      </c>
      <c r="I420" s="51" t="str">
        <f>IF(archive!CK420="","",archive!CK420)</f>
        <v/>
      </c>
      <c r="J420" s="47" t="str">
        <f t="shared" si="87"/>
        <v/>
      </c>
      <c r="K420" s="51" t="str">
        <f t="shared" si="88"/>
        <v/>
      </c>
      <c r="L420" s="52" t="str">
        <f t="shared" si="89"/>
        <v/>
      </c>
      <c r="M420" s="53" t="str">
        <f t="shared" si="90"/>
        <v/>
      </c>
      <c r="N420" s="53" t="str">
        <f t="shared" si="91"/>
        <v/>
      </c>
      <c r="O420" s="53" t="str">
        <f t="shared" si="92"/>
        <v/>
      </c>
      <c r="P420" s="53" t="str">
        <f t="shared" si="93"/>
        <v/>
      </c>
      <c r="Q420" s="53" t="str">
        <f t="shared" si="94"/>
        <v/>
      </c>
      <c r="R420" s="53" t="str">
        <f t="shared" si="95"/>
        <v/>
      </c>
      <c r="S420" s="53" t="str">
        <f t="shared" si="96"/>
        <v/>
      </c>
      <c r="T420" s="53" t="str">
        <f t="shared" si="97"/>
        <v/>
      </c>
    </row>
    <row r="421" spans="1:20">
      <c r="A421" s="47" t="str">
        <f>IF(archive!E421="","",archive!E421)</f>
        <v/>
      </c>
      <c r="B421" s="48" t="str">
        <f t="shared" si="84"/>
        <v/>
      </c>
      <c r="C421" s="49" t="str">
        <f>IF(archive!F421="","",archive!F421)</f>
        <v/>
      </c>
      <c r="D421" s="50" t="str">
        <f t="shared" si="85"/>
        <v/>
      </c>
      <c r="E421" s="50" t="str">
        <f t="shared" si="86"/>
        <v/>
      </c>
      <c r="F421" s="47" t="str">
        <f>IF(COUNTA(archive!H421:CI421)=0,"",COUNTA(archive!H421:CI421))</f>
        <v/>
      </c>
      <c r="G421" s="47" t="str">
        <f>IF(archive!G421="","",archive!G421)</f>
        <v/>
      </c>
      <c r="H421" s="51" t="str">
        <f>IF(archive!CJ421="","",archive!CJ421)</f>
        <v/>
      </c>
      <c r="I421" s="51" t="str">
        <f>IF(archive!CK421="","",archive!CK421)</f>
        <v/>
      </c>
      <c r="J421" s="47" t="str">
        <f t="shared" si="87"/>
        <v/>
      </c>
      <c r="K421" s="51" t="str">
        <f t="shared" si="88"/>
        <v/>
      </c>
      <c r="L421" s="52" t="str">
        <f t="shared" si="89"/>
        <v/>
      </c>
      <c r="M421" s="53" t="str">
        <f t="shared" si="90"/>
        <v/>
      </c>
      <c r="N421" s="53" t="str">
        <f t="shared" si="91"/>
        <v/>
      </c>
      <c r="O421" s="53" t="str">
        <f t="shared" si="92"/>
        <v/>
      </c>
      <c r="P421" s="53" t="str">
        <f t="shared" si="93"/>
        <v/>
      </c>
      <c r="Q421" s="53" t="str">
        <f t="shared" si="94"/>
        <v/>
      </c>
      <c r="R421" s="53" t="str">
        <f t="shared" si="95"/>
        <v/>
      </c>
      <c r="S421" s="53" t="str">
        <f t="shared" si="96"/>
        <v/>
      </c>
      <c r="T421" s="53" t="str">
        <f t="shared" si="97"/>
        <v/>
      </c>
    </row>
    <row r="422" spans="1:20">
      <c r="A422" s="47" t="str">
        <f>IF(archive!E422="","",archive!E422)</f>
        <v/>
      </c>
      <c r="B422" s="48" t="str">
        <f t="shared" si="84"/>
        <v/>
      </c>
      <c r="C422" s="49" t="str">
        <f>IF(archive!F422="","",archive!F422)</f>
        <v/>
      </c>
      <c r="D422" s="50" t="str">
        <f t="shared" si="85"/>
        <v/>
      </c>
      <c r="E422" s="50" t="str">
        <f t="shared" si="86"/>
        <v/>
      </c>
      <c r="F422" s="47" t="str">
        <f>IF(COUNTA(archive!H422:CI422)=0,"",COUNTA(archive!H422:CI422))</f>
        <v/>
      </c>
      <c r="G422" s="47" t="str">
        <f>IF(archive!G422="","",archive!G422)</f>
        <v/>
      </c>
      <c r="H422" s="51" t="str">
        <f>IF(archive!CJ422="","",archive!CJ422)</f>
        <v/>
      </c>
      <c r="I422" s="51" t="str">
        <f>IF(archive!CK422="","",archive!CK422)</f>
        <v/>
      </c>
      <c r="J422" s="47" t="str">
        <f t="shared" si="87"/>
        <v/>
      </c>
      <c r="K422" s="51" t="str">
        <f t="shared" si="88"/>
        <v/>
      </c>
      <c r="L422" s="52" t="str">
        <f t="shared" si="89"/>
        <v/>
      </c>
      <c r="M422" s="53" t="str">
        <f t="shared" si="90"/>
        <v/>
      </c>
      <c r="N422" s="53" t="str">
        <f t="shared" si="91"/>
        <v/>
      </c>
      <c r="O422" s="53" t="str">
        <f t="shared" si="92"/>
        <v/>
      </c>
      <c r="P422" s="53" t="str">
        <f t="shared" si="93"/>
        <v/>
      </c>
      <c r="Q422" s="53" t="str">
        <f t="shared" si="94"/>
        <v/>
      </c>
      <c r="R422" s="53" t="str">
        <f t="shared" si="95"/>
        <v/>
      </c>
      <c r="S422" s="53" t="str">
        <f t="shared" si="96"/>
        <v/>
      </c>
      <c r="T422" s="53" t="str">
        <f t="shared" si="97"/>
        <v/>
      </c>
    </row>
    <row r="423" spans="1:20">
      <c r="A423" s="47" t="str">
        <f>IF(archive!E423="","",archive!E423)</f>
        <v/>
      </c>
      <c r="B423" s="48" t="str">
        <f t="shared" si="84"/>
        <v/>
      </c>
      <c r="C423" s="49" t="str">
        <f>IF(archive!F423="","",archive!F423)</f>
        <v/>
      </c>
      <c r="D423" s="50" t="str">
        <f t="shared" si="85"/>
        <v/>
      </c>
      <c r="E423" s="50" t="str">
        <f t="shared" si="86"/>
        <v/>
      </c>
      <c r="F423" s="47" t="str">
        <f>IF(COUNTA(archive!H423:CI423)=0,"",COUNTA(archive!H423:CI423))</f>
        <v/>
      </c>
      <c r="G423" s="47" t="str">
        <f>IF(archive!G423="","",archive!G423)</f>
        <v/>
      </c>
      <c r="H423" s="51" t="str">
        <f>IF(archive!CJ423="","",archive!CJ423)</f>
        <v/>
      </c>
      <c r="I423" s="51" t="str">
        <f>IF(archive!CK423="","",archive!CK423)</f>
        <v/>
      </c>
      <c r="J423" s="47" t="str">
        <f t="shared" si="87"/>
        <v/>
      </c>
      <c r="K423" s="51" t="str">
        <f t="shared" si="88"/>
        <v/>
      </c>
      <c r="L423" s="52" t="str">
        <f t="shared" si="89"/>
        <v/>
      </c>
      <c r="M423" s="53" t="str">
        <f t="shared" si="90"/>
        <v/>
      </c>
      <c r="N423" s="53" t="str">
        <f t="shared" si="91"/>
        <v/>
      </c>
      <c r="O423" s="53" t="str">
        <f t="shared" si="92"/>
        <v/>
      </c>
      <c r="P423" s="53" t="str">
        <f t="shared" si="93"/>
        <v/>
      </c>
      <c r="Q423" s="53" t="str">
        <f t="shared" si="94"/>
        <v/>
      </c>
      <c r="R423" s="53" t="str">
        <f t="shared" si="95"/>
        <v/>
      </c>
      <c r="S423" s="53" t="str">
        <f t="shared" si="96"/>
        <v/>
      </c>
      <c r="T423" s="53" t="str">
        <f t="shared" si="97"/>
        <v/>
      </c>
    </row>
    <row r="424" spans="1:20">
      <c r="A424" s="47" t="str">
        <f>IF(archive!E424="","",archive!E424)</f>
        <v/>
      </c>
      <c r="B424" s="48" t="str">
        <f t="shared" si="84"/>
        <v/>
      </c>
      <c r="C424" s="49" t="str">
        <f>IF(archive!F424="","",archive!F424)</f>
        <v/>
      </c>
      <c r="D424" s="50" t="str">
        <f t="shared" si="85"/>
        <v/>
      </c>
      <c r="E424" s="50" t="str">
        <f t="shared" si="86"/>
        <v/>
      </c>
      <c r="F424" s="47" t="str">
        <f>IF(COUNTA(archive!H424:CI424)=0,"",COUNTA(archive!H424:CI424))</f>
        <v/>
      </c>
      <c r="G424" s="47" t="str">
        <f>IF(archive!G424="","",archive!G424)</f>
        <v/>
      </c>
      <c r="H424" s="51" t="str">
        <f>IF(archive!CJ424="","",archive!CJ424)</f>
        <v/>
      </c>
      <c r="I424" s="51" t="str">
        <f>IF(archive!CK424="","",archive!CK424)</f>
        <v/>
      </c>
      <c r="J424" s="47" t="str">
        <f t="shared" si="87"/>
        <v/>
      </c>
      <c r="K424" s="51" t="str">
        <f t="shared" si="88"/>
        <v/>
      </c>
      <c r="L424" s="52" t="str">
        <f t="shared" si="89"/>
        <v/>
      </c>
      <c r="M424" s="53" t="str">
        <f t="shared" si="90"/>
        <v/>
      </c>
      <c r="N424" s="53" t="str">
        <f t="shared" si="91"/>
        <v/>
      </c>
      <c r="O424" s="53" t="str">
        <f t="shared" si="92"/>
        <v/>
      </c>
      <c r="P424" s="53" t="str">
        <f t="shared" si="93"/>
        <v/>
      </c>
      <c r="Q424" s="53" t="str">
        <f t="shared" si="94"/>
        <v/>
      </c>
      <c r="R424" s="53" t="str">
        <f t="shared" si="95"/>
        <v/>
      </c>
      <c r="S424" s="53" t="str">
        <f t="shared" si="96"/>
        <v/>
      </c>
      <c r="T424" s="53" t="str">
        <f t="shared" si="97"/>
        <v/>
      </c>
    </row>
    <row r="425" spans="1:20">
      <c r="A425" s="47" t="str">
        <f>IF(archive!E425="","",archive!E425)</f>
        <v/>
      </c>
      <c r="B425" s="48" t="str">
        <f t="shared" si="84"/>
        <v/>
      </c>
      <c r="C425" s="49" t="str">
        <f>IF(archive!F425="","",archive!F425)</f>
        <v/>
      </c>
      <c r="D425" s="50" t="str">
        <f t="shared" si="85"/>
        <v/>
      </c>
      <c r="E425" s="50" t="str">
        <f t="shared" si="86"/>
        <v/>
      </c>
      <c r="F425" s="47" t="str">
        <f>IF(COUNTA(archive!H425:CI425)=0,"",COUNTA(archive!H425:CI425))</f>
        <v/>
      </c>
      <c r="G425" s="47" t="str">
        <f>IF(archive!G425="","",archive!G425)</f>
        <v/>
      </c>
      <c r="H425" s="51" t="str">
        <f>IF(archive!CJ425="","",archive!CJ425)</f>
        <v/>
      </c>
      <c r="I425" s="51" t="str">
        <f>IF(archive!CK425="","",archive!CK425)</f>
        <v/>
      </c>
      <c r="J425" s="47" t="str">
        <f t="shared" si="87"/>
        <v/>
      </c>
      <c r="K425" s="51" t="str">
        <f t="shared" si="88"/>
        <v/>
      </c>
      <c r="L425" s="52" t="str">
        <f t="shared" si="89"/>
        <v/>
      </c>
      <c r="M425" s="53" t="str">
        <f t="shared" si="90"/>
        <v/>
      </c>
      <c r="N425" s="53" t="str">
        <f t="shared" si="91"/>
        <v/>
      </c>
      <c r="O425" s="53" t="str">
        <f t="shared" si="92"/>
        <v/>
      </c>
      <c r="P425" s="53" t="str">
        <f t="shared" si="93"/>
        <v/>
      </c>
      <c r="Q425" s="53" t="str">
        <f t="shared" si="94"/>
        <v/>
      </c>
      <c r="R425" s="53" t="str">
        <f t="shared" si="95"/>
        <v/>
      </c>
      <c r="S425" s="53" t="str">
        <f t="shared" si="96"/>
        <v/>
      </c>
      <c r="T425" s="53" t="str">
        <f t="shared" si="97"/>
        <v/>
      </c>
    </row>
    <row r="426" spans="1:20">
      <c r="A426" s="47" t="str">
        <f>IF(archive!E426="","",archive!E426)</f>
        <v/>
      </c>
      <c r="B426" s="48" t="str">
        <f t="shared" si="84"/>
        <v/>
      </c>
      <c r="C426" s="49" t="str">
        <f>IF(archive!F426="","",archive!F426)</f>
        <v/>
      </c>
      <c r="D426" s="50" t="str">
        <f t="shared" si="85"/>
        <v/>
      </c>
      <c r="E426" s="50" t="str">
        <f t="shared" si="86"/>
        <v/>
      </c>
      <c r="F426" s="47" t="str">
        <f>IF(COUNTA(archive!H426:CI426)=0,"",COUNTA(archive!H426:CI426))</f>
        <v/>
      </c>
      <c r="G426" s="47" t="str">
        <f>IF(archive!G426="","",archive!G426)</f>
        <v/>
      </c>
      <c r="H426" s="51" t="str">
        <f>IF(archive!CJ426="","",archive!CJ426)</f>
        <v/>
      </c>
      <c r="I426" s="51" t="str">
        <f>IF(archive!CK426="","",archive!CK426)</f>
        <v/>
      </c>
      <c r="J426" s="47" t="str">
        <f t="shared" si="87"/>
        <v/>
      </c>
      <c r="K426" s="51" t="str">
        <f t="shared" si="88"/>
        <v/>
      </c>
      <c r="L426" s="52" t="str">
        <f t="shared" si="89"/>
        <v/>
      </c>
      <c r="M426" s="53" t="str">
        <f t="shared" si="90"/>
        <v/>
      </c>
      <c r="N426" s="53" t="str">
        <f t="shared" si="91"/>
        <v/>
      </c>
      <c r="O426" s="53" t="str">
        <f t="shared" si="92"/>
        <v/>
      </c>
      <c r="P426" s="53" t="str">
        <f t="shared" si="93"/>
        <v/>
      </c>
      <c r="Q426" s="53" t="str">
        <f t="shared" si="94"/>
        <v/>
      </c>
      <c r="R426" s="53" t="str">
        <f t="shared" si="95"/>
        <v/>
      </c>
      <c r="S426" s="53" t="str">
        <f t="shared" si="96"/>
        <v/>
      </c>
      <c r="T426" s="53" t="str">
        <f t="shared" si="97"/>
        <v/>
      </c>
    </row>
    <row r="427" spans="1:20">
      <c r="A427" s="47" t="str">
        <f>IF(archive!E427="","",archive!E427)</f>
        <v/>
      </c>
      <c r="B427" s="48" t="str">
        <f t="shared" si="84"/>
        <v/>
      </c>
      <c r="C427" s="49" t="str">
        <f>IF(archive!F427="","",archive!F427)</f>
        <v/>
      </c>
      <c r="D427" s="50" t="str">
        <f t="shared" si="85"/>
        <v/>
      </c>
      <c r="E427" s="50" t="str">
        <f t="shared" si="86"/>
        <v/>
      </c>
      <c r="F427" s="47" t="str">
        <f>IF(COUNTA(archive!H427:CI427)=0,"",COUNTA(archive!H427:CI427))</f>
        <v/>
      </c>
      <c r="G427" s="47" t="str">
        <f>IF(archive!G427="","",archive!G427)</f>
        <v/>
      </c>
      <c r="H427" s="51" t="str">
        <f>IF(archive!CJ427="","",archive!CJ427)</f>
        <v/>
      </c>
      <c r="I427" s="51" t="str">
        <f>IF(archive!CK427="","",archive!CK427)</f>
        <v/>
      </c>
      <c r="J427" s="47" t="str">
        <f t="shared" si="87"/>
        <v/>
      </c>
      <c r="K427" s="51" t="str">
        <f t="shared" si="88"/>
        <v/>
      </c>
      <c r="L427" s="52" t="str">
        <f t="shared" si="89"/>
        <v/>
      </c>
      <c r="M427" s="53" t="str">
        <f t="shared" si="90"/>
        <v/>
      </c>
      <c r="N427" s="53" t="str">
        <f t="shared" si="91"/>
        <v/>
      </c>
      <c r="O427" s="53" t="str">
        <f t="shared" si="92"/>
        <v/>
      </c>
      <c r="P427" s="53" t="str">
        <f t="shared" si="93"/>
        <v/>
      </c>
      <c r="Q427" s="53" t="str">
        <f t="shared" si="94"/>
        <v/>
      </c>
      <c r="R427" s="53" t="str">
        <f t="shared" si="95"/>
        <v/>
      </c>
      <c r="S427" s="53" t="str">
        <f t="shared" si="96"/>
        <v/>
      </c>
      <c r="T427" s="53" t="str">
        <f t="shared" si="97"/>
        <v/>
      </c>
    </row>
    <row r="428" spans="1:20">
      <c r="A428" s="47" t="str">
        <f>IF(archive!E428="","",archive!E428)</f>
        <v/>
      </c>
      <c r="B428" s="48" t="str">
        <f t="shared" si="84"/>
        <v/>
      </c>
      <c r="C428" s="49" t="str">
        <f>IF(archive!F428="","",archive!F428)</f>
        <v/>
      </c>
      <c r="D428" s="50" t="str">
        <f t="shared" si="85"/>
        <v/>
      </c>
      <c r="E428" s="50" t="str">
        <f t="shared" si="86"/>
        <v/>
      </c>
      <c r="F428" s="47" t="str">
        <f>IF(COUNTA(archive!H428:CI428)=0,"",COUNTA(archive!H428:CI428))</f>
        <v/>
      </c>
      <c r="G428" s="47" t="str">
        <f>IF(archive!G428="","",archive!G428)</f>
        <v/>
      </c>
      <c r="H428" s="51" t="str">
        <f>IF(archive!CJ428="","",archive!CJ428)</f>
        <v/>
      </c>
      <c r="I428" s="51" t="str">
        <f>IF(archive!CK428="","",archive!CK428)</f>
        <v/>
      </c>
      <c r="J428" s="47" t="str">
        <f t="shared" si="87"/>
        <v/>
      </c>
      <c r="K428" s="51" t="str">
        <f t="shared" si="88"/>
        <v/>
      </c>
      <c r="L428" s="52" t="str">
        <f t="shared" si="89"/>
        <v/>
      </c>
      <c r="M428" s="53" t="str">
        <f t="shared" si="90"/>
        <v/>
      </c>
      <c r="N428" s="53" t="str">
        <f t="shared" si="91"/>
        <v/>
      </c>
      <c r="O428" s="53" t="str">
        <f t="shared" si="92"/>
        <v/>
      </c>
      <c r="P428" s="53" t="str">
        <f t="shared" si="93"/>
        <v/>
      </c>
      <c r="Q428" s="53" t="str">
        <f t="shared" si="94"/>
        <v/>
      </c>
      <c r="R428" s="53" t="str">
        <f t="shared" si="95"/>
        <v/>
      </c>
      <c r="S428" s="53" t="str">
        <f t="shared" si="96"/>
        <v/>
      </c>
      <c r="T428" s="53" t="str">
        <f t="shared" si="97"/>
        <v/>
      </c>
    </row>
    <row r="429" spans="1:20">
      <c r="A429" s="47" t="str">
        <f>IF(archive!E429="","",archive!E429)</f>
        <v/>
      </c>
      <c r="B429" s="48" t="str">
        <f t="shared" si="84"/>
        <v/>
      </c>
      <c r="C429" s="49" t="str">
        <f>IF(archive!F429="","",archive!F429)</f>
        <v/>
      </c>
      <c r="D429" s="50" t="str">
        <f t="shared" si="85"/>
        <v/>
      </c>
      <c r="E429" s="50" t="str">
        <f t="shared" si="86"/>
        <v/>
      </c>
      <c r="F429" s="47" t="str">
        <f>IF(COUNTA(archive!H429:CI429)=0,"",COUNTA(archive!H429:CI429))</f>
        <v/>
      </c>
      <c r="G429" s="47" t="str">
        <f>IF(archive!G429="","",archive!G429)</f>
        <v/>
      </c>
      <c r="H429" s="51" t="str">
        <f>IF(archive!CJ429="","",archive!CJ429)</f>
        <v/>
      </c>
      <c r="I429" s="51" t="str">
        <f>IF(archive!CK429="","",archive!CK429)</f>
        <v/>
      </c>
      <c r="J429" s="47" t="str">
        <f t="shared" si="87"/>
        <v/>
      </c>
      <c r="K429" s="51" t="str">
        <f t="shared" si="88"/>
        <v/>
      </c>
      <c r="L429" s="52" t="str">
        <f t="shared" si="89"/>
        <v/>
      </c>
      <c r="M429" s="53" t="str">
        <f t="shared" si="90"/>
        <v/>
      </c>
      <c r="N429" s="53" t="str">
        <f t="shared" si="91"/>
        <v/>
      </c>
      <c r="O429" s="53" t="str">
        <f t="shared" si="92"/>
        <v/>
      </c>
      <c r="P429" s="53" t="str">
        <f t="shared" si="93"/>
        <v/>
      </c>
      <c r="Q429" s="53" t="str">
        <f t="shared" si="94"/>
        <v/>
      </c>
      <c r="R429" s="53" t="str">
        <f t="shared" si="95"/>
        <v/>
      </c>
      <c r="S429" s="53" t="str">
        <f t="shared" si="96"/>
        <v/>
      </c>
      <c r="T429" s="53" t="str">
        <f t="shared" si="97"/>
        <v/>
      </c>
    </row>
    <row r="430" spans="1:20">
      <c r="A430" s="47" t="str">
        <f>IF(archive!E430="","",archive!E430)</f>
        <v/>
      </c>
      <c r="B430" s="48" t="str">
        <f t="shared" si="84"/>
        <v/>
      </c>
      <c r="C430" s="49" t="str">
        <f>IF(archive!F430="","",archive!F430)</f>
        <v/>
      </c>
      <c r="D430" s="50" t="str">
        <f t="shared" si="85"/>
        <v/>
      </c>
      <c r="E430" s="50" t="str">
        <f t="shared" si="86"/>
        <v/>
      </c>
      <c r="F430" s="47" t="str">
        <f>IF(COUNTA(archive!H430:CI430)=0,"",COUNTA(archive!H430:CI430))</f>
        <v/>
      </c>
      <c r="G430" s="47" t="str">
        <f>IF(archive!G430="","",archive!G430)</f>
        <v/>
      </c>
      <c r="H430" s="51" t="str">
        <f>IF(archive!CJ430="","",archive!CJ430)</f>
        <v/>
      </c>
      <c r="I430" s="51" t="str">
        <f>IF(archive!CK430="","",archive!CK430)</f>
        <v/>
      </c>
      <c r="J430" s="47" t="str">
        <f t="shared" si="87"/>
        <v/>
      </c>
      <c r="K430" s="51" t="str">
        <f t="shared" si="88"/>
        <v/>
      </c>
      <c r="L430" s="52" t="str">
        <f t="shared" si="89"/>
        <v/>
      </c>
      <c r="M430" s="53" t="str">
        <f t="shared" si="90"/>
        <v/>
      </c>
      <c r="N430" s="53" t="str">
        <f t="shared" si="91"/>
        <v/>
      </c>
      <c r="O430" s="53" t="str">
        <f t="shared" si="92"/>
        <v/>
      </c>
      <c r="P430" s="53" t="str">
        <f t="shared" si="93"/>
        <v/>
      </c>
      <c r="Q430" s="53" t="str">
        <f t="shared" si="94"/>
        <v/>
      </c>
      <c r="R430" s="53" t="str">
        <f t="shared" si="95"/>
        <v/>
      </c>
      <c r="S430" s="53" t="str">
        <f t="shared" si="96"/>
        <v/>
      </c>
      <c r="T430" s="53" t="str">
        <f t="shared" si="97"/>
        <v/>
      </c>
    </row>
    <row r="431" spans="1:20">
      <c r="A431" s="47" t="str">
        <f>IF(archive!E431="","",archive!E431)</f>
        <v/>
      </c>
      <c r="B431" s="48" t="str">
        <f t="shared" si="84"/>
        <v/>
      </c>
      <c r="C431" s="49" t="str">
        <f>IF(archive!F431="","",archive!F431)</f>
        <v/>
      </c>
      <c r="D431" s="50" t="str">
        <f t="shared" si="85"/>
        <v/>
      </c>
      <c r="E431" s="50" t="str">
        <f t="shared" si="86"/>
        <v/>
      </c>
      <c r="F431" s="47" t="str">
        <f>IF(COUNTA(archive!H431:CI431)=0,"",COUNTA(archive!H431:CI431))</f>
        <v/>
      </c>
      <c r="G431" s="47" t="str">
        <f>IF(archive!G431="","",archive!G431)</f>
        <v/>
      </c>
      <c r="H431" s="51" t="str">
        <f>IF(archive!CJ431="","",archive!CJ431)</f>
        <v/>
      </c>
      <c r="I431" s="51" t="str">
        <f>IF(archive!CK431="","",archive!CK431)</f>
        <v/>
      </c>
      <c r="J431" s="47" t="str">
        <f t="shared" si="87"/>
        <v/>
      </c>
      <c r="K431" s="51" t="str">
        <f t="shared" si="88"/>
        <v/>
      </c>
      <c r="L431" s="52" t="str">
        <f t="shared" si="89"/>
        <v/>
      </c>
      <c r="M431" s="53" t="str">
        <f t="shared" si="90"/>
        <v/>
      </c>
      <c r="N431" s="53" t="str">
        <f t="shared" si="91"/>
        <v/>
      </c>
      <c r="O431" s="53" t="str">
        <f t="shared" si="92"/>
        <v/>
      </c>
      <c r="P431" s="53" t="str">
        <f t="shared" si="93"/>
        <v/>
      </c>
      <c r="Q431" s="53" t="str">
        <f t="shared" si="94"/>
        <v/>
      </c>
      <c r="R431" s="53" t="str">
        <f t="shared" si="95"/>
        <v/>
      </c>
      <c r="S431" s="53" t="str">
        <f t="shared" si="96"/>
        <v/>
      </c>
      <c r="T431" s="53" t="str">
        <f t="shared" si="97"/>
        <v/>
      </c>
    </row>
    <row r="432" spans="1:20">
      <c r="A432" s="47" t="str">
        <f>IF(archive!E432="","",archive!E432)</f>
        <v/>
      </c>
      <c r="B432" s="48" t="str">
        <f t="shared" si="84"/>
        <v/>
      </c>
      <c r="C432" s="49" t="str">
        <f>IF(archive!F432="","",archive!F432)</f>
        <v/>
      </c>
      <c r="D432" s="50" t="str">
        <f t="shared" si="85"/>
        <v/>
      </c>
      <c r="E432" s="50" t="str">
        <f t="shared" si="86"/>
        <v/>
      </c>
      <c r="F432" s="47" t="str">
        <f>IF(COUNTA(archive!H432:CI432)=0,"",COUNTA(archive!H432:CI432))</f>
        <v/>
      </c>
      <c r="G432" s="47" t="str">
        <f>IF(archive!G432="","",archive!G432)</f>
        <v/>
      </c>
      <c r="H432" s="51" t="str">
        <f>IF(archive!CJ432="","",archive!CJ432)</f>
        <v/>
      </c>
      <c r="I432" s="51" t="str">
        <f>IF(archive!CK432="","",archive!CK432)</f>
        <v/>
      </c>
      <c r="J432" s="47" t="str">
        <f t="shared" si="87"/>
        <v/>
      </c>
      <c r="K432" s="51" t="str">
        <f t="shared" si="88"/>
        <v/>
      </c>
      <c r="L432" s="52" t="str">
        <f t="shared" si="89"/>
        <v/>
      </c>
      <c r="M432" s="53" t="str">
        <f t="shared" si="90"/>
        <v/>
      </c>
      <c r="N432" s="53" t="str">
        <f t="shared" si="91"/>
        <v/>
      </c>
      <c r="O432" s="53" t="str">
        <f t="shared" si="92"/>
        <v/>
      </c>
      <c r="P432" s="53" t="str">
        <f t="shared" si="93"/>
        <v/>
      </c>
      <c r="Q432" s="53" t="str">
        <f t="shared" si="94"/>
        <v/>
      </c>
      <c r="R432" s="53" t="str">
        <f t="shared" si="95"/>
        <v/>
      </c>
      <c r="S432" s="53" t="str">
        <f t="shared" si="96"/>
        <v/>
      </c>
      <c r="T432" s="53" t="str">
        <f t="shared" si="97"/>
        <v/>
      </c>
    </row>
    <row r="433" spans="1:20">
      <c r="A433" s="47" t="str">
        <f>IF(archive!E433="","",archive!E433)</f>
        <v/>
      </c>
      <c r="B433" s="48" t="str">
        <f t="shared" si="84"/>
        <v/>
      </c>
      <c r="C433" s="49" t="str">
        <f>IF(archive!F433="","",archive!F433)</f>
        <v/>
      </c>
      <c r="D433" s="50" t="str">
        <f t="shared" si="85"/>
        <v/>
      </c>
      <c r="E433" s="50" t="str">
        <f t="shared" si="86"/>
        <v/>
      </c>
      <c r="F433" s="47" t="str">
        <f>IF(COUNTA(archive!H433:CI433)=0,"",COUNTA(archive!H433:CI433))</f>
        <v/>
      </c>
      <c r="G433" s="47" t="str">
        <f>IF(archive!G433="","",archive!G433)</f>
        <v/>
      </c>
      <c r="H433" s="51" t="str">
        <f>IF(archive!CJ433="","",archive!CJ433)</f>
        <v/>
      </c>
      <c r="I433" s="51" t="str">
        <f>IF(archive!CK433="","",archive!CK433)</f>
        <v/>
      </c>
      <c r="J433" s="47" t="str">
        <f t="shared" si="87"/>
        <v/>
      </c>
      <c r="K433" s="51" t="str">
        <f t="shared" si="88"/>
        <v/>
      </c>
      <c r="L433" s="52" t="str">
        <f t="shared" si="89"/>
        <v/>
      </c>
      <c r="M433" s="53" t="str">
        <f t="shared" si="90"/>
        <v/>
      </c>
      <c r="N433" s="53" t="str">
        <f t="shared" si="91"/>
        <v/>
      </c>
      <c r="O433" s="53" t="str">
        <f t="shared" si="92"/>
        <v/>
      </c>
      <c r="P433" s="53" t="str">
        <f t="shared" si="93"/>
        <v/>
      </c>
      <c r="Q433" s="53" t="str">
        <f t="shared" si="94"/>
        <v/>
      </c>
      <c r="R433" s="53" t="str">
        <f t="shared" si="95"/>
        <v/>
      </c>
      <c r="S433" s="53" t="str">
        <f t="shared" si="96"/>
        <v/>
      </c>
      <c r="T433" s="53" t="str">
        <f t="shared" si="97"/>
        <v/>
      </c>
    </row>
    <row r="434" spans="1:20">
      <c r="A434" s="47" t="str">
        <f>IF(archive!E434="","",archive!E434)</f>
        <v/>
      </c>
      <c r="B434" s="48" t="str">
        <f t="shared" si="84"/>
        <v/>
      </c>
      <c r="C434" s="49" t="str">
        <f>IF(archive!F434="","",archive!F434)</f>
        <v/>
      </c>
      <c r="D434" s="50" t="str">
        <f t="shared" si="85"/>
        <v/>
      </c>
      <c r="E434" s="50" t="str">
        <f t="shared" si="86"/>
        <v/>
      </c>
      <c r="F434" s="47" t="str">
        <f>IF(COUNTA(archive!H434:CI434)=0,"",COUNTA(archive!H434:CI434))</f>
        <v/>
      </c>
      <c r="G434" s="47" t="str">
        <f>IF(archive!G434="","",archive!G434)</f>
        <v/>
      </c>
      <c r="H434" s="51" t="str">
        <f>IF(archive!CJ434="","",archive!CJ434)</f>
        <v/>
      </c>
      <c r="I434" s="51" t="str">
        <f>IF(archive!CK434="","",archive!CK434)</f>
        <v/>
      </c>
      <c r="J434" s="47" t="str">
        <f t="shared" si="87"/>
        <v/>
      </c>
      <c r="K434" s="51" t="str">
        <f t="shared" si="88"/>
        <v/>
      </c>
      <c r="L434" s="52" t="str">
        <f t="shared" si="89"/>
        <v/>
      </c>
      <c r="M434" s="53" t="str">
        <f t="shared" si="90"/>
        <v/>
      </c>
      <c r="N434" s="53" t="str">
        <f t="shared" si="91"/>
        <v/>
      </c>
      <c r="O434" s="53" t="str">
        <f t="shared" si="92"/>
        <v/>
      </c>
      <c r="P434" s="53" t="str">
        <f t="shared" si="93"/>
        <v/>
      </c>
      <c r="Q434" s="53" t="str">
        <f t="shared" si="94"/>
        <v/>
      </c>
      <c r="R434" s="53" t="str">
        <f t="shared" si="95"/>
        <v/>
      </c>
      <c r="S434" s="53" t="str">
        <f t="shared" si="96"/>
        <v/>
      </c>
      <c r="T434" s="53" t="str">
        <f t="shared" si="97"/>
        <v/>
      </c>
    </row>
    <row r="435" spans="1:20">
      <c r="A435" s="47" t="str">
        <f>IF(archive!E435="","",archive!E435)</f>
        <v/>
      </c>
      <c r="B435" s="48" t="str">
        <f t="shared" si="84"/>
        <v/>
      </c>
      <c r="C435" s="49" t="str">
        <f>IF(archive!F435="","",archive!F435)</f>
        <v/>
      </c>
      <c r="D435" s="50" t="str">
        <f t="shared" si="85"/>
        <v/>
      </c>
      <c r="E435" s="50" t="str">
        <f t="shared" si="86"/>
        <v/>
      </c>
      <c r="F435" s="47" t="str">
        <f>IF(COUNTA(archive!H435:CI435)=0,"",COUNTA(archive!H435:CI435))</f>
        <v/>
      </c>
      <c r="G435" s="47" t="str">
        <f>IF(archive!G435="","",archive!G435)</f>
        <v/>
      </c>
      <c r="H435" s="51" t="str">
        <f>IF(archive!CJ435="","",archive!CJ435)</f>
        <v/>
      </c>
      <c r="I435" s="51" t="str">
        <f>IF(archive!CK435="","",archive!CK435)</f>
        <v/>
      </c>
      <c r="J435" s="47" t="str">
        <f t="shared" si="87"/>
        <v/>
      </c>
      <c r="K435" s="51" t="str">
        <f t="shared" si="88"/>
        <v/>
      </c>
      <c r="L435" s="52" t="str">
        <f t="shared" si="89"/>
        <v/>
      </c>
      <c r="M435" s="53" t="str">
        <f t="shared" si="90"/>
        <v/>
      </c>
      <c r="N435" s="53" t="str">
        <f t="shared" si="91"/>
        <v/>
      </c>
      <c r="O435" s="53" t="str">
        <f t="shared" si="92"/>
        <v/>
      </c>
      <c r="P435" s="53" t="str">
        <f t="shared" si="93"/>
        <v/>
      </c>
      <c r="Q435" s="53" t="str">
        <f t="shared" si="94"/>
        <v/>
      </c>
      <c r="R435" s="53" t="str">
        <f t="shared" si="95"/>
        <v/>
      </c>
      <c r="S435" s="53" t="str">
        <f t="shared" si="96"/>
        <v/>
      </c>
      <c r="T435" s="53" t="str">
        <f t="shared" si="97"/>
        <v/>
      </c>
    </row>
    <row r="436" spans="1:20">
      <c r="A436" s="47" t="str">
        <f>IF(archive!E436="","",archive!E436)</f>
        <v/>
      </c>
      <c r="B436" s="48" t="str">
        <f t="shared" si="84"/>
        <v/>
      </c>
      <c r="C436" s="49" t="str">
        <f>IF(archive!F436="","",archive!F436)</f>
        <v/>
      </c>
      <c r="D436" s="50" t="str">
        <f t="shared" si="85"/>
        <v/>
      </c>
      <c r="E436" s="50" t="str">
        <f t="shared" si="86"/>
        <v/>
      </c>
      <c r="F436" s="47" t="str">
        <f>IF(COUNTA(archive!H436:CI436)=0,"",COUNTA(archive!H436:CI436))</f>
        <v/>
      </c>
      <c r="G436" s="47" t="str">
        <f>IF(archive!G436="","",archive!G436)</f>
        <v/>
      </c>
      <c r="H436" s="51" t="str">
        <f>IF(archive!CJ436="","",archive!CJ436)</f>
        <v/>
      </c>
      <c r="I436" s="51" t="str">
        <f>IF(archive!CK436="","",archive!CK436)</f>
        <v/>
      </c>
      <c r="J436" s="47" t="str">
        <f t="shared" si="87"/>
        <v/>
      </c>
      <c r="K436" s="51" t="str">
        <f t="shared" si="88"/>
        <v/>
      </c>
      <c r="L436" s="52" t="str">
        <f t="shared" si="89"/>
        <v/>
      </c>
      <c r="M436" s="53" t="str">
        <f t="shared" si="90"/>
        <v/>
      </c>
      <c r="N436" s="53" t="str">
        <f t="shared" si="91"/>
        <v/>
      </c>
      <c r="O436" s="53" t="str">
        <f t="shared" si="92"/>
        <v/>
      </c>
      <c r="P436" s="53" t="str">
        <f t="shared" si="93"/>
        <v/>
      </c>
      <c r="Q436" s="53" t="str">
        <f t="shared" si="94"/>
        <v/>
      </c>
      <c r="R436" s="53" t="str">
        <f t="shared" si="95"/>
        <v/>
      </c>
      <c r="S436" s="53" t="str">
        <f t="shared" si="96"/>
        <v/>
      </c>
      <c r="T436" s="53" t="str">
        <f t="shared" si="97"/>
        <v/>
      </c>
    </row>
    <row r="437" spans="1:20">
      <c r="A437" s="47" t="str">
        <f>IF(archive!E437="","",archive!E437)</f>
        <v/>
      </c>
      <c r="B437" s="48" t="str">
        <f t="shared" si="84"/>
        <v/>
      </c>
      <c r="C437" s="49" t="str">
        <f>IF(archive!F437="","",archive!F437)</f>
        <v/>
      </c>
      <c r="D437" s="50" t="str">
        <f t="shared" si="85"/>
        <v/>
      </c>
      <c r="E437" s="50" t="str">
        <f t="shared" si="86"/>
        <v/>
      </c>
      <c r="F437" s="47" t="str">
        <f>IF(COUNTA(archive!H437:CI437)=0,"",COUNTA(archive!H437:CI437))</f>
        <v/>
      </c>
      <c r="G437" s="47" t="str">
        <f>IF(archive!G437="","",archive!G437)</f>
        <v/>
      </c>
      <c r="H437" s="51" t="str">
        <f>IF(archive!CJ437="","",archive!CJ437)</f>
        <v/>
      </c>
      <c r="I437" s="51" t="str">
        <f>IF(archive!CK437="","",archive!CK437)</f>
        <v/>
      </c>
      <c r="J437" s="47" t="str">
        <f t="shared" si="87"/>
        <v/>
      </c>
      <c r="K437" s="51" t="str">
        <f t="shared" si="88"/>
        <v/>
      </c>
      <c r="L437" s="52" t="str">
        <f t="shared" si="89"/>
        <v/>
      </c>
      <c r="M437" s="53" t="str">
        <f t="shared" si="90"/>
        <v/>
      </c>
      <c r="N437" s="53" t="str">
        <f t="shared" si="91"/>
        <v/>
      </c>
      <c r="O437" s="53" t="str">
        <f t="shared" si="92"/>
        <v/>
      </c>
      <c r="P437" s="53" t="str">
        <f t="shared" si="93"/>
        <v/>
      </c>
      <c r="Q437" s="53" t="str">
        <f t="shared" si="94"/>
        <v/>
      </c>
      <c r="R437" s="53" t="str">
        <f t="shared" si="95"/>
        <v/>
      </c>
      <c r="S437" s="53" t="str">
        <f t="shared" si="96"/>
        <v/>
      </c>
      <c r="T437" s="53" t="str">
        <f t="shared" si="97"/>
        <v/>
      </c>
    </row>
    <row r="438" spans="1:20">
      <c r="A438" s="47" t="str">
        <f>IF(archive!E438="","",archive!E438)</f>
        <v/>
      </c>
      <c r="B438" s="48" t="str">
        <f t="shared" si="84"/>
        <v/>
      </c>
      <c r="C438" s="49" t="str">
        <f>IF(archive!F438="","",archive!F438)</f>
        <v/>
      </c>
      <c r="D438" s="50" t="str">
        <f t="shared" si="85"/>
        <v/>
      </c>
      <c r="E438" s="50" t="str">
        <f t="shared" si="86"/>
        <v/>
      </c>
      <c r="F438" s="47" t="str">
        <f>IF(COUNTA(archive!H438:CI438)=0,"",COUNTA(archive!H438:CI438))</f>
        <v/>
      </c>
      <c r="G438" s="47" t="str">
        <f>IF(archive!G438="","",archive!G438)</f>
        <v/>
      </c>
      <c r="H438" s="51" t="str">
        <f>IF(archive!CJ438="","",archive!CJ438)</f>
        <v/>
      </c>
      <c r="I438" s="51" t="str">
        <f>IF(archive!CK438="","",archive!CK438)</f>
        <v/>
      </c>
      <c r="J438" s="47" t="str">
        <f t="shared" si="87"/>
        <v/>
      </c>
      <c r="K438" s="51" t="str">
        <f t="shared" si="88"/>
        <v/>
      </c>
      <c r="L438" s="52" t="str">
        <f t="shared" si="89"/>
        <v/>
      </c>
      <c r="M438" s="53" t="str">
        <f t="shared" si="90"/>
        <v/>
      </c>
      <c r="N438" s="53" t="str">
        <f t="shared" si="91"/>
        <v/>
      </c>
      <c r="O438" s="53" t="str">
        <f t="shared" si="92"/>
        <v/>
      </c>
      <c r="P438" s="53" t="str">
        <f t="shared" si="93"/>
        <v/>
      </c>
      <c r="Q438" s="53" t="str">
        <f t="shared" si="94"/>
        <v/>
      </c>
      <c r="R438" s="53" t="str">
        <f t="shared" si="95"/>
        <v/>
      </c>
      <c r="S438" s="53" t="str">
        <f t="shared" si="96"/>
        <v/>
      </c>
      <c r="T438" s="53" t="str">
        <f t="shared" si="97"/>
        <v/>
      </c>
    </row>
    <row r="439" spans="1:20">
      <c r="A439" s="47" t="str">
        <f>IF(archive!E439="","",archive!E439)</f>
        <v/>
      </c>
      <c r="B439" s="48" t="str">
        <f t="shared" si="84"/>
        <v/>
      </c>
      <c r="C439" s="49" t="str">
        <f>IF(archive!F439="","",archive!F439)</f>
        <v/>
      </c>
      <c r="D439" s="50" t="str">
        <f t="shared" si="85"/>
        <v/>
      </c>
      <c r="E439" s="50" t="str">
        <f t="shared" si="86"/>
        <v/>
      </c>
      <c r="F439" s="47" t="str">
        <f>IF(COUNTA(archive!H439:CI439)=0,"",COUNTA(archive!H439:CI439))</f>
        <v/>
      </c>
      <c r="G439" s="47" t="str">
        <f>IF(archive!G439="","",archive!G439)</f>
        <v/>
      </c>
      <c r="H439" s="51" t="str">
        <f>IF(archive!CJ439="","",archive!CJ439)</f>
        <v/>
      </c>
      <c r="I439" s="51" t="str">
        <f>IF(archive!CK439="","",archive!CK439)</f>
        <v/>
      </c>
      <c r="J439" s="47" t="str">
        <f t="shared" si="87"/>
        <v/>
      </c>
      <c r="K439" s="51" t="str">
        <f t="shared" si="88"/>
        <v/>
      </c>
      <c r="L439" s="52" t="str">
        <f t="shared" si="89"/>
        <v/>
      </c>
      <c r="M439" s="53" t="str">
        <f t="shared" si="90"/>
        <v/>
      </c>
      <c r="N439" s="53" t="str">
        <f t="shared" si="91"/>
        <v/>
      </c>
      <c r="O439" s="53" t="str">
        <f t="shared" si="92"/>
        <v/>
      </c>
      <c r="P439" s="53" t="str">
        <f t="shared" si="93"/>
        <v/>
      </c>
      <c r="Q439" s="53" t="str">
        <f t="shared" si="94"/>
        <v/>
      </c>
      <c r="R439" s="53" t="str">
        <f t="shared" si="95"/>
        <v/>
      </c>
      <c r="S439" s="53" t="str">
        <f t="shared" si="96"/>
        <v/>
      </c>
      <c r="T439" s="53" t="str">
        <f t="shared" si="97"/>
        <v/>
      </c>
    </row>
    <row r="440" spans="1:20">
      <c r="A440" s="47" t="str">
        <f>IF(archive!E440="","",archive!E440)</f>
        <v/>
      </c>
      <c r="B440" s="48" t="str">
        <f t="shared" si="84"/>
        <v/>
      </c>
      <c r="C440" s="49" t="str">
        <f>IF(archive!F440="","",archive!F440)</f>
        <v/>
      </c>
      <c r="D440" s="50" t="str">
        <f t="shared" si="85"/>
        <v/>
      </c>
      <c r="E440" s="50" t="str">
        <f t="shared" si="86"/>
        <v/>
      </c>
      <c r="F440" s="47" t="str">
        <f>IF(COUNTA(archive!H440:CI440)=0,"",COUNTA(archive!H440:CI440))</f>
        <v/>
      </c>
      <c r="G440" s="47" t="str">
        <f>IF(archive!G440="","",archive!G440)</f>
        <v/>
      </c>
      <c r="H440" s="51" t="str">
        <f>IF(archive!CJ440="","",archive!CJ440)</f>
        <v/>
      </c>
      <c r="I440" s="51" t="str">
        <f>IF(archive!CK440="","",archive!CK440)</f>
        <v/>
      </c>
      <c r="J440" s="47" t="str">
        <f t="shared" si="87"/>
        <v/>
      </c>
      <c r="K440" s="51" t="str">
        <f t="shared" si="88"/>
        <v/>
      </c>
      <c r="L440" s="52" t="str">
        <f t="shared" si="89"/>
        <v/>
      </c>
      <c r="M440" s="53" t="str">
        <f t="shared" si="90"/>
        <v/>
      </c>
      <c r="N440" s="53" t="str">
        <f t="shared" si="91"/>
        <v/>
      </c>
      <c r="O440" s="53" t="str">
        <f t="shared" si="92"/>
        <v/>
      </c>
      <c r="P440" s="53" t="str">
        <f t="shared" si="93"/>
        <v/>
      </c>
      <c r="Q440" s="53" t="str">
        <f t="shared" si="94"/>
        <v/>
      </c>
      <c r="R440" s="53" t="str">
        <f t="shared" si="95"/>
        <v/>
      </c>
      <c r="S440" s="53" t="str">
        <f t="shared" si="96"/>
        <v/>
      </c>
      <c r="T440" s="53" t="str">
        <f t="shared" si="97"/>
        <v/>
      </c>
    </row>
    <row r="441" spans="1:20">
      <c r="A441" s="47" t="str">
        <f>IF(archive!E441="","",archive!E441)</f>
        <v/>
      </c>
      <c r="B441" s="48" t="str">
        <f t="shared" si="84"/>
        <v/>
      </c>
      <c r="C441" s="49" t="str">
        <f>IF(archive!F441="","",archive!F441)</f>
        <v/>
      </c>
      <c r="D441" s="50" t="str">
        <f t="shared" si="85"/>
        <v/>
      </c>
      <c r="E441" s="50" t="str">
        <f t="shared" si="86"/>
        <v/>
      </c>
      <c r="F441" s="47" t="str">
        <f>IF(COUNTA(archive!H441:CI441)=0,"",COUNTA(archive!H441:CI441))</f>
        <v/>
      </c>
      <c r="G441" s="47" t="str">
        <f>IF(archive!G441="","",archive!G441)</f>
        <v/>
      </c>
      <c r="H441" s="51" t="str">
        <f>IF(archive!CJ441="","",archive!CJ441)</f>
        <v/>
      </c>
      <c r="I441" s="51" t="str">
        <f>IF(archive!CK441="","",archive!CK441)</f>
        <v/>
      </c>
      <c r="J441" s="47" t="str">
        <f t="shared" si="87"/>
        <v/>
      </c>
      <c r="K441" s="51" t="str">
        <f t="shared" si="88"/>
        <v/>
      </c>
      <c r="L441" s="52" t="str">
        <f t="shared" si="89"/>
        <v/>
      </c>
      <c r="M441" s="53" t="str">
        <f t="shared" si="90"/>
        <v/>
      </c>
      <c r="N441" s="53" t="str">
        <f t="shared" si="91"/>
        <v/>
      </c>
      <c r="O441" s="53" t="str">
        <f t="shared" si="92"/>
        <v/>
      </c>
      <c r="P441" s="53" t="str">
        <f t="shared" si="93"/>
        <v/>
      </c>
      <c r="Q441" s="53" t="str">
        <f t="shared" si="94"/>
        <v/>
      </c>
      <c r="R441" s="53" t="str">
        <f t="shared" si="95"/>
        <v/>
      </c>
      <c r="S441" s="53" t="str">
        <f t="shared" si="96"/>
        <v/>
      </c>
      <c r="T441" s="53" t="str">
        <f t="shared" si="97"/>
        <v/>
      </c>
    </row>
    <row r="442" spans="1:20">
      <c r="A442" s="47" t="str">
        <f>IF(archive!E442="","",archive!E442)</f>
        <v/>
      </c>
      <c r="B442" s="48" t="str">
        <f t="shared" si="84"/>
        <v/>
      </c>
      <c r="C442" s="49" t="str">
        <f>IF(archive!F442="","",archive!F442)</f>
        <v/>
      </c>
      <c r="D442" s="50" t="str">
        <f t="shared" si="85"/>
        <v/>
      </c>
      <c r="E442" s="50" t="str">
        <f t="shared" si="86"/>
        <v/>
      </c>
      <c r="F442" s="47" t="str">
        <f>IF(COUNTA(archive!H442:CI442)=0,"",COUNTA(archive!H442:CI442))</f>
        <v/>
      </c>
      <c r="G442" s="47" t="str">
        <f>IF(archive!G442="","",archive!G442)</f>
        <v/>
      </c>
      <c r="H442" s="51" t="str">
        <f>IF(archive!CJ442="","",archive!CJ442)</f>
        <v/>
      </c>
      <c r="I442" s="51" t="str">
        <f>IF(archive!CK442="","",archive!CK442)</f>
        <v/>
      </c>
      <c r="J442" s="47" t="str">
        <f t="shared" si="87"/>
        <v/>
      </c>
      <c r="K442" s="51" t="str">
        <f t="shared" si="88"/>
        <v/>
      </c>
      <c r="L442" s="52" t="str">
        <f t="shared" si="89"/>
        <v/>
      </c>
      <c r="M442" s="53" t="str">
        <f t="shared" si="90"/>
        <v/>
      </c>
      <c r="N442" s="53" t="str">
        <f t="shared" si="91"/>
        <v/>
      </c>
      <c r="O442" s="53" t="str">
        <f t="shared" si="92"/>
        <v/>
      </c>
      <c r="P442" s="53" t="str">
        <f t="shared" si="93"/>
        <v/>
      </c>
      <c r="Q442" s="53" t="str">
        <f t="shared" si="94"/>
        <v/>
      </c>
      <c r="R442" s="53" t="str">
        <f t="shared" si="95"/>
        <v/>
      </c>
      <c r="S442" s="53" t="str">
        <f t="shared" si="96"/>
        <v/>
      </c>
      <c r="T442" s="53" t="str">
        <f t="shared" si="97"/>
        <v/>
      </c>
    </row>
    <row r="443" spans="1:20">
      <c r="A443" s="47" t="str">
        <f>IF(archive!E443="","",archive!E443)</f>
        <v/>
      </c>
      <c r="B443" s="48" t="str">
        <f t="shared" si="84"/>
        <v/>
      </c>
      <c r="C443" s="49" t="str">
        <f>IF(archive!F443="","",archive!F443)</f>
        <v/>
      </c>
      <c r="D443" s="50" t="str">
        <f t="shared" si="85"/>
        <v/>
      </c>
      <c r="E443" s="50" t="str">
        <f t="shared" si="86"/>
        <v/>
      </c>
      <c r="F443" s="47" t="str">
        <f>IF(COUNTA(archive!H443:CI443)=0,"",COUNTA(archive!H443:CI443))</f>
        <v/>
      </c>
      <c r="G443" s="47" t="str">
        <f>IF(archive!G443="","",archive!G443)</f>
        <v/>
      </c>
      <c r="H443" s="51" t="str">
        <f>IF(archive!CJ443="","",archive!CJ443)</f>
        <v/>
      </c>
      <c r="I443" s="51" t="str">
        <f>IF(archive!CK443="","",archive!CK443)</f>
        <v/>
      </c>
      <c r="J443" s="47" t="str">
        <f t="shared" si="87"/>
        <v/>
      </c>
      <c r="K443" s="51" t="str">
        <f t="shared" si="88"/>
        <v/>
      </c>
      <c r="L443" s="52" t="str">
        <f t="shared" si="89"/>
        <v/>
      </c>
      <c r="M443" s="53" t="str">
        <f t="shared" si="90"/>
        <v/>
      </c>
      <c r="N443" s="53" t="str">
        <f t="shared" si="91"/>
        <v/>
      </c>
      <c r="O443" s="53" t="str">
        <f t="shared" si="92"/>
        <v/>
      </c>
      <c r="P443" s="53" t="str">
        <f t="shared" si="93"/>
        <v/>
      </c>
      <c r="Q443" s="53" t="str">
        <f t="shared" si="94"/>
        <v/>
      </c>
      <c r="R443" s="53" t="str">
        <f t="shared" si="95"/>
        <v/>
      </c>
      <c r="S443" s="53" t="str">
        <f t="shared" si="96"/>
        <v/>
      </c>
      <c r="T443" s="53" t="str">
        <f t="shared" si="97"/>
        <v/>
      </c>
    </row>
    <row r="444" spans="1:20">
      <c r="A444" s="47" t="str">
        <f>IF(archive!E444="","",archive!E444)</f>
        <v/>
      </c>
      <c r="B444" s="48" t="str">
        <f t="shared" si="84"/>
        <v/>
      </c>
      <c r="C444" s="49" t="str">
        <f>IF(archive!F444="","",archive!F444)</f>
        <v/>
      </c>
      <c r="D444" s="50" t="str">
        <f t="shared" si="85"/>
        <v/>
      </c>
      <c r="E444" s="50" t="str">
        <f t="shared" si="86"/>
        <v/>
      </c>
      <c r="F444" s="47" t="str">
        <f>IF(COUNTA(archive!H444:CI444)=0,"",COUNTA(archive!H444:CI444))</f>
        <v/>
      </c>
      <c r="G444" s="47" t="str">
        <f>IF(archive!G444="","",archive!G444)</f>
        <v/>
      </c>
      <c r="H444" s="51" t="str">
        <f>IF(archive!CJ444="","",archive!CJ444)</f>
        <v/>
      </c>
      <c r="I444" s="51" t="str">
        <f>IF(archive!CK444="","",archive!CK444)</f>
        <v/>
      </c>
      <c r="J444" s="47" t="str">
        <f t="shared" si="87"/>
        <v/>
      </c>
      <c r="K444" s="51" t="str">
        <f t="shared" si="88"/>
        <v/>
      </c>
      <c r="L444" s="52" t="str">
        <f t="shared" si="89"/>
        <v/>
      </c>
      <c r="M444" s="53" t="str">
        <f t="shared" si="90"/>
        <v/>
      </c>
      <c r="N444" s="53" t="str">
        <f t="shared" si="91"/>
        <v/>
      </c>
      <c r="O444" s="53" t="str">
        <f t="shared" si="92"/>
        <v/>
      </c>
      <c r="P444" s="53" t="str">
        <f t="shared" si="93"/>
        <v/>
      </c>
      <c r="Q444" s="53" t="str">
        <f t="shared" si="94"/>
        <v/>
      </c>
      <c r="R444" s="53" t="str">
        <f t="shared" si="95"/>
        <v/>
      </c>
      <c r="S444" s="53" t="str">
        <f t="shared" si="96"/>
        <v/>
      </c>
      <c r="T444" s="53" t="str">
        <f t="shared" si="97"/>
        <v/>
      </c>
    </row>
    <row r="445" spans="1:20">
      <c r="A445" s="47" t="str">
        <f>IF(archive!E445="","",archive!E445)</f>
        <v/>
      </c>
      <c r="B445" s="48" t="str">
        <f t="shared" si="84"/>
        <v/>
      </c>
      <c r="C445" s="49" t="str">
        <f>IF(archive!F445="","",archive!F445)</f>
        <v/>
      </c>
      <c r="D445" s="50" t="str">
        <f t="shared" si="85"/>
        <v/>
      </c>
      <c r="E445" s="50" t="str">
        <f t="shared" si="86"/>
        <v/>
      </c>
      <c r="F445" s="47" t="str">
        <f>IF(COUNTA(archive!H445:CI445)=0,"",COUNTA(archive!H445:CI445))</f>
        <v/>
      </c>
      <c r="G445" s="47" t="str">
        <f>IF(archive!G445="","",archive!G445)</f>
        <v/>
      </c>
      <c r="H445" s="51" t="str">
        <f>IF(archive!CJ445="","",archive!CJ445)</f>
        <v/>
      </c>
      <c r="I445" s="51" t="str">
        <f>IF(archive!CK445="","",archive!CK445)</f>
        <v/>
      </c>
      <c r="J445" s="47" t="str">
        <f t="shared" si="87"/>
        <v/>
      </c>
      <c r="K445" s="51" t="str">
        <f t="shared" si="88"/>
        <v/>
      </c>
      <c r="L445" s="52" t="str">
        <f t="shared" si="89"/>
        <v/>
      </c>
      <c r="M445" s="53" t="str">
        <f t="shared" si="90"/>
        <v/>
      </c>
      <c r="N445" s="53" t="str">
        <f t="shared" si="91"/>
        <v/>
      </c>
      <c r="O445" s="53" t="str">
        <f t="shared" si="92"/>
        <v/>
      </c>
      <c r="P445" s="53" t="str">
        <f t="shared" si="93"/>
        <v/>
      </c>
      <c r="Q445" s="53" t="str">
        <f t="shared" si="94"/>
        <v/>
      </c>
      <c r="R445" s="53" t="str">
        <f t="shared" si="95"/>
        <v/>
      </c>
      <c r="S445" s="53" t="str">
        <f t="shared" si="96"/>
        <v/>
      </c>
      <c r="T445" s="53" t="str">
        <f t="shared" si="97"/>
        <v/>
      </c>
    </row>
    <row r="446" spans="1:20">
      <c r="A446" s="47" t="str">
        <f>IF(archive!E446="","",archive!E446)</f>
        <v/>
      </c>
      <c r="B446" s="48" t="str">
        <f t="shared" si="84"/>
        <v/>
      </c>
      <c r="C446" s="49" t="str">
        <f>IF(archive!F446="","",archive!F446)</f>
        <v/>
      </c>
      <c r="D446" s="50" t="str">
        <f t="shared" si="85"/>
        <v/>
      </c>
      <c r="E446" s="50" t="str">
        <f t="shared" si="86"/>
        <v/>
      </c>
      <c r="F446" s="47" t="str">
        <f>IF(COUNTA(archive!H446:CI446)=0,"",COUNTA(archive!H446:CI446))</f>
        <v/>
      </c>
      <c r="G446" s="47" t="str">
        <f>IF(archive!G446="","",archive!G446)</f>
        <v/>
      </c>
      <c r="H446" s="51" t="str">
        <f>IF(archive!CJ446="","",archive!CJ446)</f>
        <v/>
      </c>
      <c r="I446" s="51" t="str">
        <f>IF(archive!CK446="","",archive!CK446)</f>
        <v/>
      </c>
      <c r="J446" s="47" t="str">
        <f t="shared" si="87"/>
        <v/>
      </c>
      <c r="K446" s="51" t="str">
        <f t="shared" si="88"/>
        <v/>
      </c>
      <c r="L446" s="52" t="str">
        <f t="shared" si="89"/>
        <v/>
      </c>
      <c r="M446" s="53" t="str">
        <f t="shared" si="90"/>
        <v/>
      </c>
      <c r="N446" s="53" t="str">
        <f t="shared" si="91"/>
        <v/>
      </c>
      <c r="O446" s="53" t="str">
        <f t="shared" si="92"/>
        <v/>
      </c>
      <c r="P446" s="53" t="str">
        <f t="shared" si="93"/>
        <v/>
      </c>
      <c r="Q446" s="53" t="str">
        <f t="shared" si="94"/>
        <v/>
      </c>
      <c r="R446" s="53" t="str">
        <f t="shared" si="95"/>
        <v/>
      </c>
      <c r="S446" s="53" t="str">
        <f t="shared" si="96"/>
        <v/>
      </c>
      <c r="T446" s="53" t="str">
        <f t="shared" si="97"/>
        <v/>
      </c>
    </row>
    <row r="447" spans="1:20">
      <c r="A447" s="47" t="str">
        <f>IF(archive!E447="","",archive!E447)</f>
        <v/>
      </c>
      <c r="B447" s="48" t="str">
        <f t="shared" si="84"/>
        <v/>
      </c>
      <c r="C447" s="49" t="str">
        <f>IF(archive!F447="","",archive!F447)</f>
        <v/>
      </c>
      <c r="D447" s="50" t="str">
        <f t="shared" si="85"/>
        <v/>
      </c>
      <c r="E447" s="50" t="str">
        <f t="shared" si="86"/>
        <v/>
      </c>
      <c r="F447" s="47" t="str">
        <f>IF(COUNTA(archive!H447:CI447)=0,"",COUNTA(archive!H447:CI447))</f>
        <v/>
      </c>
      <c r="G447" s="47" t="str">
        <f>IF(archive!G447="","",archive!G447)</f>
        <v/>
      </c>
      <c r="H447" s="51" t="str">
        <f>IF(archive!CJ447="","",archive!CJ447)</f>
        <v/>
      </c>
      <c r="I447" s="51" t="str">
        <f>IF(archive!CK447="","",archive!CK447)</f>
        <v/>
      </c>
      <c r="J447" s="47" t="str">
        <f t="shared" si="87"/>
        <v/>
      </c>
      <c r="K447" s="51" t="str">
        <f t="shared" si="88"/>
        <v/>
      </c>
      <c r="L447" s="52" t="str">
        <f t="shared" si="89"/>
        <v/>
      </c>
      <c r="M447" s="53" t="str">
        <f t="shared" si="90"/>
        <v/>
      </c>
      <c r="N447" s="53" t="str">
        <f t="shared" si="91"/>
        <v/>
      </c>
      <c r="O447" s="53" t="str">
        <f t="shared" si="92"/>
        <v/>
      </c>
      <c r="P447" s="53" t="str">
        <f t="shared" si="93"/>
        <v/>
      </c>
      <c r="Q447" s="53" t="str">
        <f t="shared" si="94"/>
        <v/>
      </c>
      <c r="R447" s="53" t="str">
        <f t="shared" si="95"/>
        <v/>
      </c>
      <c r="S447" s="53" t="str">
        <f t="shared" si="96"/>
        <v/>
      </c>
      <c r="T447" s="53" t="str">
        <f t="shared" si="97"/>
        <v/>
      </c>
    </row>
    <row r="448" spans="1:20">
      <c r="A448" s="47" t="str">
        <f>IF(archive!E448="","",archive!E448)</f>
        <v/>
      </c>
      <c r="B448" s="48" t="str">
        <f t="shared" si="84"/>
        <v/>
      </c>
      <c r="C448" s="49" t="str">
        <f>IF(archive!F448="","",archive!F448)</f>
        <v/>
      </c>
      <c r="D448" s="50" t="str">
        <f t="shared" si="85"/>
        <v/>
      </c>
      <c r="E448" s="50" t="str">
        <f t="shared" si="86"/>
        <v/>
      </c>
      <c r="F448" s="47" t="str">
        <f>IF(COUNTA(archive!H448:CI448)=0,"",COUNTA(archive!H448:CI448))</f>
        <v/>
      </c>
      <c r="G448" s="47" t="str">
        <f>IF(archive!G448="","",archive!G448)</f>
        <v/>
      </c>
      <c r="H448" s="51" t="str">
        <f>IF(archive!CJ448="","",archive!CJ448)</f>
        <v/>
      </c>
      <c r="I448" s="51" t="str">
        <f>IF(archive!CK448="","",archive!CK448)</f>
        <v/>
      </c>
      <c r="J448" s="47" t="str">
        <f t="shared" si="87"/>
        <v/>
      </c>
      <c r="K448" s="51" t="str">
        <f t="shared" si="88"/>
        <v/>
      </c>
      <c r="L448" s="52" t="str">
        <f t="shared" si="89"/>
        <v/>
      </c>
      <c r="M448" s="53" t="str">
        <f t="shared" si="90"/>
        <v/>
      </c>
      <c r="N448" s="53" t="str">
        <f t="shared" si="91"/>
        <v/>
      </c>
      <c r="O448" s="53" t="str">
        <f t="shared" si="92"/>
        <v/>
      </c>
      <c r="P448" s="53" t="str">
        <f t="shared" si="93"/>
        <v/>
      </c>
      <c r="Q448" s="53" t="str">
        <f t="shared" si="94"/>
        <v/>
      </c>
      <c r="R448" s="53" t="str">
        <f t="shared" si="95"/>
        <v/>
      </c>
      <c r="S448" s="53" t="str">
        <f t="shared" si="96"/>
        <v/>
      </c>
      <c r="T448" s="53" t="str">
        <f t="shared" si="97"/>
        <v/>
      </c>
    </row>
    <row r="449" spans="1:20">
      <c r="A449" s="47" t="str">
        <f>IF(archive!E449="","",archive!E449)</f>
        <v/>
      </c>
      <c r="B449" s="48" t="str">
        <f t="shared" si="84"/>
        <v/>
      </c>
      <c r="C449" s="49" t="str">
        <f>IF(archive!F449="","",archive!F449)</f>
        <v/>
      </c>
      <c r="D449" s="50" t="str">
        <f t="shared" si="85"/>
        <v/>
      </c>
      <c r="E449" s="50" t="str">
        <f t="shared" si="86"/>
        <v/>
      </c>
      <c r="F449" s="47" t="str">
        <f>IF(COUNTA(archive!H449:CI449)=0,"",COUNTA(archive!H449:CI449))</f>
        <v/>
      </c>
      <c r="G449" s="47" t="str">
        <f>IF(archive!G449="","",archive!G449)</f>
        <v/>
      </c>
      <c r="H449" s="51" t="str">
        <f>IF(archive!CJ449="","",archive!CJ449)</f>
        <v/>
      </c>
      <c r="I449" s="51" t="str">
        <f>IF(archive!CK449="","",archive!CK449)</f>
        <v/>
      </c>
      <c r="J449" s="47" t="str">
        <f t="shared" si="87"/>
        <v/>
      </c>
      <c r="K449" s="51" t="str">
        <f t="shared" si="88"/>
        <v/>
      </c>
      <c r="L449" s="52" t="str">
        <f t="shared" si="89"/>
        <v/>
      </c>
      <c r="M449" s="53" t="str">
        <f t="shared" si="90"/>
        <v/>
      </c>
      <c r="N449" s="53" t="str">
        <f t="shared" si="91"/>
        <v/>
      </c>
      <c r="O449" s="53" t="str">
        <f t="shared" si="92"/>
        <v/>
      </c>
      <c r="P449" s="53" t="str">
        <f t="shared" si="93"/>
        <v/>
      </c>
      <c r="Q449" s="53" t="str">
        <f t="shared" si="94"/>
        <v/>
      </c>
      <c r="R449" s="53" t="str">
        <f t="shared" si="95"/>
        <v/>
      </c>
      <c r="S449" s="53" t="str">
        <f t="shared" si="96"/>
        <v/>
      </c>
      <c r="T449" s="53" t="str">
        <f t="shared" si="97"/>
        <v/>
      </c>
    </row>
    <row r="450" spans="1:20">
      <c r="A450" s="47" t="str">
        <f>IF(archive!E450="","",archive!E450)</f>
        <v/>
      </c>
      <c r="B450" s="48" t="str">
        <f t="shared" si="84"/>
        <v/>
      </c>
      <c r="C450" s="49" t="str">
        <f>IF(archive!F450="","",archive!F450)</f>
        <v/>
      </c>
      <c r="D450" s="50" t="str">
        <f t="shared" si="85"/>
        <v/>
      </c>
      <c r="E450" s="50" t="str">
        <f t="shared" si="86"/>
        <v/>
      </c>
      <c r="F450" s="47" t="str">
        <f>IF(COUNTA(archive!H450:CI450)=0,"",COUNTA(archive!H450:CI450))</f>
        <v/>
      </c>
      <c r="G450" s="47" t="str">
        <f>IF(archive!G450="","",archive!G450)</f>
        <v/>
      </c>
      <c r="H450" s="51" t="str">
        <f>IF(archive!CJ450="","",archive!CJ450)</f>
        <v/>
      </c>
      <c r="I450" s="51" t="str">
        <f>IF(archive!CK450="","",archive!CK450)</f>
        <v/>
      </c>
      <c r="J450" s="47" t="str">
        <f t="shared" si="87"/>
        <v/>
      </c>
      <c r="K450" s="51" t="str">
        <f t="shared" si="88"/>
        <v/>
      </c>
      <c r="L450" s="52" t="str">
        <f t="shared" si="89"/>
        <v/>
      </c>
      <c r="M450" s="53" t="str">
        <f t="shared" si="90"/>
        <v/>
      </c>
      <c r="N450" s="53" t="str">
        <f t="shared" si="91"/>
        <v/>
      </c>
      <c r="O450" s="53" t="str">
        <f t="shared" si="92"/>
        <v/>
      </c>
      <c r="P450" s="53" t="str">
        <f t="shared" si="93"/>
        <v/>
      </c>
      <c r="Q450" s="53" t="str">
        <f t="shared" si="94"/>
        <v/>
      </c>
      <c r="R450" s="53" t="str">
        <f t="shared" si="95"/>
        <v/>
      </c>
      <c r="S450" s="53" t="str">
        <f t="shared" si="96"/>
        <v/>
      </c>
      <c r="T450" s="53" t="str">
        <f t="shared" si="97"/>
        <v/>
      </c>
    </row>
    <row r="451" spans="1:20">
      <c r="A451" s="47" t="str">
        <f>IF(archive!E451="","",archive!E451)</f>
        <v/>
      </c>
      <c r="B451" s="48" t="str">
        <f t="shared" si="84"/>
        <v/>
      </c>
      <c r="C451" s="49" t="str">
        <f>IF(archive!F451="","",archive!F451)</f>
        <v/>
      </c>
      <c r="D451" s="50" t="str">
        <f t="shared" si="85"/>
        <v/>
      </c>
      <c r="E451" s="50" t="str">
        <f t="shared" si="86"/>
        <v/>
      </c>
      <c r="F451" s="47" t="str">
        <f>IF(COUNTA(archive!H451:CI451)=0,"",COUNTA(archive!H451:CI451))</f>
        <v/>
      </c>
      <c r="G451" s="47" t="str">
        <f>IF(archive!G451="","",archive!G451)</f>
        <v/>
      </c>
      <c r="H451" s="51" t="str">
        <f>IF(archive!CJ451="","",archive!CJ451)</f>
        <v/>
      </c>
      <c r="I451" s="51" t="str">
        <f>IF(archive!CK451="","",archive!CK451)</f>
        <v/>
      </c>
      <c r="J451" s="47" t="str">
        <f t="shared" si="87"/>
        <v/>
      </c>
      <c r="K451" s="51" t="str">
        <f t="shared" si="88"/>
        <v/>
      </c>
      <c r="L451" s="52" t="str">
        <f t="shared" si="89"/>
        <v/>
      </c>
      <c r="M451" s="53" t="str">
        <f t="shared" si="90"/>
        <v/>
      </c>
      <c r="N451" s="53" t="str">
        <f t="shared" si="91"/>
        <v/>
      </c>
      <c r="O451" s="53" t="str">
        <f t="shared" si="92"/>
        <v/>
      </c>
      <c r="P451" s="53" t="str">
        <f t="shared" si="93"/>
        <v/>
      </c>
      <c r="Q451" s="53" t="str">
        <f t="shared" si="94"/>
        <v/>
      </c>
      <c r="R451" s="53" t="str">
        <f t="shared" si="95"/>
        <v/>
      </c>
      <c r="S451" s="53" t="str">
        <f t="shared" si="96"/>
        <v/>
      </c>
      <c r="T451" s="53" t="str">
        <f t="shared" si="97"/>
        <v/>
      </c>
    </row>
    <row r="452" spans="1:20">
      <c r="A452" s="47" t="str">
        <f>IF(archive!E452="","",archive!E452)</f>
        <v/>
      </c>
      <c r="B452" s="48" t="str">
        <f t="shared" ref="B452:B515" si="98">IF(C452="","",VLOOKUP($C452,Tare,2,0))</f>
        <v/>
      </c>
      <c r="C452" s="49" t="str">
        <f>IF(archive!F452="","",archive!F452)</f>
        <v/>
      </c>
      <c r="D452" s="50" t="str">
        <f t="shared" ref="D452:D515" si="99">IF(C452="","",C452+B452)</f>
        <v/>
      </c>
      <c r="E452" s="50" t="str">
        <f t="shared" ref="E452:E515" si="100">IF(C452="","",(C452*0.025)+D452)</f>
        <v/>
      </c>
      <c r="F452" s="47" t="str">
        <f>IF(COUNTA(archive!H452:CI452)=0,"",COUNTA(archive!H452:CI452))</f>
        <v/>
      </c>
      <c r="G452" s="47" t="str">
        <f>IF(archive!G452="","",archive!G452)</f>
        <v/>
      </c>
      <c r="H452" s="51" t="str">
        <f>IF(archive!CJ452="","",archive!CJ452)</f>
        <v/>
      </c>
      <c r="I452" s="51" t="str">
        <f>IF(archive!CK452="","",archive!CK452)</f>
        <v/>
      </c>
      <c r="J452" s="47" t="str">
        <f t="shared" ref="J452:J515" si="101">IF(F452="","",VLOOKUP(F452,Valeur_g,2,0))</f>
        <v/>
      </c>
      <c r="K452" s="51" t="str">
        <f t="shared" ref="K452:K515" si="102">IF(C452="","",D452+(J452*I452))</f>
        <v/>
      </c>
      <c r="L452" s="52" t="str">
        <f t="shared" ref="L452:L515" si="103">IF(C452="","",IF(K452&lt;H452,"Conforme","Non conforme"))</f>
        <v/>
      </c>
      <c r="M452" s="53" t="str">
        <f t="shared" ref="M452:M515" si="104">IF(C452="","",1)</f>
        <v/>
      </c>
      <c r="N452" s="53" t="str">
        <f t="shared" ref="N452:N515" si="105">IF(L452="","",COUNTIF(L452,"Non conforme"))</f>
        <v/>
      </c>
      <c r="O452" s="53" t="str">
        <f t="shared" ref="O452:O515" si="106">IF($C452="","",IF($C452=0.25,$G452,"-"))</f>
        <v/>
      </c>
      <c r="P452" s="53" t="str">
        <f t="shared" ref="P452:P515" si="107">IF($C452="","",IF($C452=0.4,$G452,"-"))</f>
        <v/>
      </c>
      <c r="Q452" s="53" t="str">
        <f t="shared" ref="Q452:Q515" si="108">IF($C452="","",IF($C452=0.5,$G452,"-"))</f>
        <v/>
      </c>
      <c r="R452" s="53" t="str">
        <f t="shared" ref="R452:R515" si="109">IF($C452="","",IF($C452=0.6,$G452,"-"))</f>
        <v/>
      </c>
      <c r="S452" s="53" t="str">
        <f t="shared" ref="S452:S515" si="110">IF($C452="","",IF($C452=0.8,$G452,"-"))</f>
        <v/>
      </c>
      <c r="T452" s="53" t="str">
        <f t="shared" ref="T452:T515" si="111">IF($C452="","",IF($C452=1,$G452,"-"))</f>
        <v/>
      </c>
    </row>
    <row r="453" spans="1:20">
      <c r="A453" s="47" t="str">
        <f>IF(archive!E453="","",archive!E453)</f>
        <v/>
      </c>
      <c r="B453" s="48" t="str">
        <f t="shared" si="98"/>
        <v/>
      </c>
      <c r="C453" s="49" t="str">
        <f>IF(archive!F453="","",archive!F453)</f>
        <v/>
      </c>
      <c r="D453" s="50" t="str">
        <f t="shared" si="99"/>
        <v/>
      </c>
      <c r="E453" s="50" t="str">
        <f t="shared" si="100"/>
        <v/>
      </c>
      <c r="F453" s="47" t="str">
        <f>IF(COUNTA(archive!H453:CI453)=0,"",COUNTA(archive!H453:CI453))</f>
        <v/>
      </c>
      <c r="G453" s="47" t="str">
        <f>IF(archive!G453="","",archive!G453)</f>
        <v/>
      </c>
      <c r="H453" s="51" t="str">
        <f>IF(archive!CJ453="","",archive!CJ453)</f>
        <v/>
      </c>
      <c r="I453" s="51" t="str">
        <f>IF(archive!CK453="","",archive!CK453)</f>
        <v/>
      </c>
      <c r="J453" s="47" t="str">
        <f t="shared" si="101"/>
        <v/>
      </c>
      <c r="K453" s="51" t="str">
        <f t="shared" si="102"/>
        <v/>
      </c>
      <c r="L453" s="52" t="str">
        <f t="shared" si="103"/>
        <v/>
      </c>
      <c r="M453" s="53" t="str">
        <f t="shared" si="104"/>
        <v/>
      </c>
      <c r="N453" s="53" t="str">
        <f t="shared" si="105"/>
        <v/>
      </c>
      <c r="O453" s="53" t="str">
        <f t="shared" si="106"/>
        <v/>
      </c>
      <c r="P453" s="53" t="str">
        <f t="shared" si="107"/>
        <v/>
      </c>
      <c r="Q453" s="53" t="str">
        <f t="shared" si="108"/>
        <v/>
      </c>
      <c r="R453" s="53" t="str">
        <f t="shared" si="109"/>
        <v/>
      </c>
      <c r="S453" s="53" t="str">
        <f t="shared" si="110"/>
        <v/>
      </c>
      <c r="T453" s="53" t="str">
        <f t="shared" si="111"/>
        <v/>
      </c>
    </row>
    <row r="454" spans="1:20">
      <c r="A454" s="47" t="str">
        <f>IF(archive!E454="","",archive!E454)</f>
        <v/>
      </c>
      <c r="B454" s="48" t="str">
        <f t="shared" si="98"/>
        <v/>
      </c>
      <c r="C454" s="49" t="str">
        <f>IF(archive!F454="","",archive!F454)</f>
        <v/>
      </c>
      <c r="D454" s="50" t="str">
        <f t="shared" si="99"/>
        <v/>
      </c>
      <c r="E454" s="50" t="str">
        <f t="shared" si="100"/>
        <v/>
      </c>
      <c r="F454" s="47" t="str">
        <f>IF(COUNTA(archive!H454:CI454)=0,"",COUNTA(archive!H454:CI454))</f>
        <v/>
      </c>
      <c r="G454" s="47" t="str">
        <f>IF(archive!G454="","",archive!G454)</f>
        <v/>
      </c>
      <c r="H454" s="51" t="str">
        <f>IF(archive!CJ454="","",archive!CJ454)</f>
        <v/>
      </c>
      <c r="I454" s="51" t="str">
        <f>IF(archive!CK454="","",archive!CK454)</f>
        <v/>
      </c>
      <c r="J454" s="47" t="str">
        <f t="shared" si="101"/>
        <v/>
      </c>
      <c r="K454" s="51" t="str">
        <f t="shared" si="102"/>
        <v/>
      </c>
      <c r="L454" s="52" t="str">
        <f t="shared" si="103"/>
        <v/>
      </c>
      <c r="M454" s="53" t="str">
        <f t="shared" si="104"/>
        <v/>
      </c>
      <c r="N454" s="53" t="str">
        <f t="shared" si="105"/>
        <v/>
      </c>
      <c r="O454" s="53" t="str">
        <f t="shared" si="106"/>
        <v/>
      </c>
      <c r="P454" s="53" t="str">
        <f t="shared" si="107"/>
        <v/>
      </c>
      <c r="Q454" s="53" t="str">
        <f t="shared" si="108"/>
        <v/>
      </c>
      <c r="R454" s="53" t="str">
        <f t="shared" si="109"/>
        <v/>
      </c>
      <c r="S454" s="53" t="str">
        <f t="shared" si="110"/>
        <v/>
      </c>
      <c r="T454" s="53" t="str">
        <f t="shared" si="111"/>
        <v/>
      </c>
    </row>
    <row r="455" spans="1:20">
      <c r="A455" s="47" t="str">
        <f>IF(archive!E455="","",archive!E455)</f>
        <v/>
      </c>
      <c r="B455" s="48" t="str">
        <f t="shared" si="98"/>
        <v/>
      </c>
      <c r="C455" s="49" t="str">
        <f>IF(archive!F455="","",archive!F455)</f>
        <v/>
      </c>
      <c r="D455" s="50" t="str">
        <f t="shared" si="99"/>
        <v/>
      </c>
      <c r="E455" s="50" t="str">
        <f t="shared" si="100"/>
        <v/>
      </c>
      <c r="F455" s="47" t="str">
        <f>IF(COUNTA(archive!H455:CI455)=0,"",COUNTA(archive!H455:CI455))</f>
        <v/>
      </c>
      <c r="G455" s="47" t="str">
        <f>IF(archive!G455="","",archive!G455)</f>
        <v/>
      </c>
      <c r="H455" s="51" t="str">
        <f>IF(archive!CJ455="","",archive!CJ455)</f>
        <v/>
      </c>
      <c r="I455" s="51" t="str">
        <f>IF(archive!CK455="","",archive!CK455)</f>
        <v/>
      </c>
      <c r="J455" s="47" t="str">
        <f t="shared" si="101"/>
        <v/>
      </c>
      <c r="K455" s="51" t="str">
        <f t="shared" si="102"/>
        <v/>
      </c>
      <c r="L455" s="52" t="str">
        <f t="shared" si="103"/>
        <v/>
      </c>
      <c r="M455" s="53" t="str">
        <f t="shared" si="104"/>
        <v/>
      </c>
      <c r="N455" s="53" t="str">
        <f t="shared" si="105"/>
        <v/>
      </c>
      <c r="O455" s="53" t="str">
        <f t="shared" si="106"/>
        <v/>
      </c>
      <c r="P455" s="53" t="str">
        <f t="shared" si="107"/>
        <v/>
      </c>
      <c r="Q455" s="53" t="str">
        <f t="shared" si="108"/>
        <v/>
      </c>
      <c r="R455" s="53" t="str">
        <f t="shared" si="109"/>
        <v/>
      </c>
      <c r="S455" s="53" t="str">
        <f t="shared" si="110"/>
        <v/>
      </c>
      <c r="T455" s="53" t="str">
        <f t="shared" si="111"/>
        <v/>
      </c>
    </row>
    <row r="456" spans="1:20">
      <c r="A456" s="47" t="str">
        <f>IF(archive!E456="","",archive!E456)</f>
        <v/>
      </c>
      <c r="B456" s="48" t="str">
        <f t="shared" si="98"/>
        <v/>
      </c>
      <c r="C456" s="49" t="str">
        <f>IF(archive!F456="","",archive!F456)</f>
        <v/>
      </c>
      <c r="D456" s="50" t="str">
        <f t="shared" si="99"/>
        <v/>
      </c>
      <c r="E456" s="50" t="str">
        <f t="shared" si="100"/>
        <v/>
      </c>
      <c r="F456" s="47" t="str">
        <f>IF(COUNTA(archive!H456:CI456)=0,"",COUNTA(archive!H456:CI456))</f>
        <v/>
      </c>
      <c r="G456" s="47" t="str">
        <f>IF(archive!G456="","",archive!G456)</f>
        <v/>
      </c>
      <c r="H456" s="51" t="str">
        <f>IF(archive!CJ456="","",archive!CJ456)</f>
        <v/>
      </c>
      <c r="I456" s="51" t="str">
        <f>IF(archive!CK456="","",archive!CK456)</f>
        <v/>
      </c>
      <c r="J456" s="47" t="str">
        <f t="shared" si="101"/>
        <v/>
      </c>
      <c r="K456" s="51" t="str">
        <f t="shared" si="102"/>
        <v/>
      </c>
      <c r="L456" s="52" t="str">
        <f t="shared" si="103"/>
        <v/>
      </c>
      <c r="M456" s="53" t="str">
        <f t="shared" si="104"/>
        <v/>
      </c>
      <c r="N456" s="53" t="str">
        <f t="shared" si="105"/>
        <v/>
      </c>
      <c r="O456" s="53" t="str">
        <f t="shared" si="106"/>
        <v/>
      </c>
      <c r="P456" s="53" t="str">
        <f t="shared" si="107"/>
        <v/>
      </c>
      <c r="Q456" s="53" t="str">
        <f t="shared" si="108"/>
        <v/>
      </c>
      <c r="R456" s="53" t="str">
        <f t="shared" si="109"/>
        <v/>
      </c>
      <c r="S456" s="53" t="str">
        <f t="shared" si="110"/>
        <v/>
      </c>
      <c r="T456" s="53" t="str">
        <f t="shared" si="111"/>
        <v/>
      </c>
    </row>
    <row r="457" spans="1:20">
      <c r="A457" s="47" t="str">
        <f>IF(archive!E457="","",archive!E457)</f>
        <v/>
      </c>
      <c r="B457" s="48" t="str">
        <f t="shared" si="98"/>
        <v/>
      </c>
      <c r="C457" s="49" t="str">
        <f>IF(archive!F457="","",archive!F457)</f>
        <v/>
      </c>
      <c r="D457" s="50" t="str">
        <f t="shared" si="99"/>
        <v/>
      </c>
      <c r="E457" s="50" t="str">
        <f t="shared" si="100"/>
        <v/>
      </c>
      <c r="F457" s="47" t="str">
        <f>IF(COUNTA(archive!H457:CI457)=0,"",COUNTA(archive!H457:CI457))</f>
        <v/>
      </c>
      <c r="G457" s="47" t="str">
        <f>IF(archive!G457="","",archive!G457)</f>
        <v/>
      </c>
      <c r="H457" s="51" t="str">
        <f>IF(archive!CJ457="","",archive!CJ457)</f>
        <v/>
      </c>
      <c r="I457" s="51" t="str">
        <f>IF(archive!CK457="","",archive!CK457)</f>
        <v/>
      </c>
      <c r="J457" s="47" t="str">
        <f t="shared" si="101"/>
        <v/>
      </c>
      <c r="K457" s="51" t="str">
        <f t="shared" si="102"/>
        <v/>
      </c>
      <c r="L457" s="52" t="str">
        <f t="shared" si="103"/>
        <v/>
      </c>
      <c r="M457" s="53" t="str">
        <f t="shared" si="104"/>
        <v/>
      </c>
      <c r="N457" s="53" t="str">
        <f t="shared" si="105"/>
        <v/>
      </c>
      <c r="O457" s="53" t="str">
        <f t="shared" si="106"/>
        <v/>
      </c>
      <c r="P457" s="53" t="str">
        <f t="shared" si="107"/>
        <v/>
      </c>
      <c r="Q457" s="53" t="str">
        <f t="shared" si="108"/>
        <v/>
      </c>
      <c r="R457" s="53" t="str">
        <f t="shared" si="109"/>
        <v/>
      </c>
      <c r="S457" s="53" t="str">
        <f t="shared" si="110"/>
        <v/>
      </c>
      <c r="T457" s="53" t="str">
        <f t="shared" si="111"/>
        <v/>
      </c>
    </row>
    <row r="458" spans="1:20">
      <c r="A458" s="47" t="str">
        <f>IF(archive!E458="","",archive!E458)</f>
        <v/>
      </c>
      <c r="B458" s="48" t="str">
        <f t="shared" si="98"/>
        <v/>
      </c>
      <c r="C458" s="49" t="str">
        <f>IF(archive!F458="","",archive!F458)</f>
        <v/>
      </c>
      <c r="D458" s="50" t="str">
        <f t="shared" si="99"/>
        <v/>
      </c>
      <c r="E458" s="50" t="str">
        <f t="shared" si="100"/>
        <v/>
      </c>
      <c r="F458" s="47" t="str">
        <f>IF(COUNTA(archive!H458:CI458)=0,"",COUNTA(archive!H458:CI458))</f>
        <v/>
      </c>
      <c r="G458" s="47" t="str">
        <f>IF(archive!G458="","",archive!G458)</f>
        <v/>
      </c>
      <c r="H458" s="51" t="str">
        <f>IF(archive!CJ458="","",archive!CJ458)</f>
        <v/>
      </c>
      <c r="I458" s="51" t="str">
        <f>IF(archive!CK458="","",archive!CK458)</f>
        <v/>
      </c>
      <c r="J458" s="47" t="str">
        <f t="shared" si="101"/>
        <v/>
      </c>
      <c r="K458" s="51" t="str">
        <f t="shared" si="102"/>
        <v/>
      </c>
      <c r="L458" s="52" t="str">
        <f t="shared" si="103"/>
        <v/>
      </c>
      <c r="M458" s="53" t="str">
        <f t="shared" si="104"/>
        <v/>
      </c>
      <c r="N458" s="53" t="str">
        <f t="shared" si="105"/>
        <v/>
      </c>
      <c r="O458" s="53" t="str">
        <f t="shared" si="106"/>
        <v/>
      </c>
      <c r="P458" s="53" t="str">
        <f t="shared" si="107"/>
        <v/>
      </c>
      <c r="Q458" s="53" t="str">
        <f t="shared" si="108"/>
        <v/>
      </c>
      <c r="R458" s="53" t="str">
        <f t="shared" si="109"/>
        <v/>
      </c>
      <c r="S458" s="53" t="str">
        <f t="shared" si="110"/>
        <v/>
      </c>
      <c r="T458" s="53" t="str">
        <f t="shared" si="111"/>
        <v/>
      </c>
    </row>
    <row r="459" spans="1:20">
      <c r="A459" s="47" t="str">
        <f>IF(archive!E459="","",archive!E459)</f>
        <v/>
      </c>
      <c r="B459" s="48" t="str">
        <f t="shared" si="98"/>
        <v/>
      </c>
      <c r="C459" s="49" t="str">
        <f>IF(archive!F459="","",archive!F459)</f>
        <v/>
      </c>
      <c r="D459" s="50" t="str">
        <f t="shared" si="99"/>
        <v/>
      </c>
      <c r="E459" s="50" t="str">
        <f t="shared" si="100"/>
        <v/>
      </c>
      <c r="F459" s="47" t="str">
        <f>IF(COUNTA(archive!H459:CI459)=0,"",COUNTA(archive!H459:CI459))</f>
        <v/>
      </c>
      <c r="G459" s="47" t="str">
        <f>IF(archive!G459="","",archive!G459)</f>
        <v/>
      </c>
      <c r="H459" s="51" t="str">
        <f>IF(archive!CJ459="","",archive!CJ459)</f>
        <v/>
      </c>
      <c r="I459" s="51" t="str">
        <f>IF(archive!CK459="","",archive!CK459)</f>
        <v/>
      </c>
      <c r="J459" s="47" t="str">
        <f t="shared" si="101"/>
        <v/>
      </c>
      <c r="K459" s="51" t="str">
        <f t="shared" si="102"/>
        <v/>
      </c>
      <c r="L459" s="52" t="str">
        <f t="shared" si="103"/>
        <v/>
      </c>
      <c r="M459" s="53" t="str">
        <f t="shared" si="104"/>
        <v/>
      </c>
      <c r="N459" s="53" t="str">
        <f t="shared" si="105"/>
        <v/>
      </c>
      <c r="O459" s="53" t="str">
        <f t="shared" si="106"/>
        <v/>
      </c>
      <c r="P459" s="53" t="str">
        <f t="shared" si="107"/>
        <v/>
      </c>
      <c r="Q459" s="53" t="str">
        <f t="shared" si="108"/>
        <v/>
      </c>
      <c r="R459" s="53" t="str">
        <f t="shared" si="109"/>
        <v/>
      </c>
      <c r="S459" s="53" t="str">
        <f t="shared" si="110"/>
        <v/>
      </c>
      <c r="T459" s="53" t="str">
        <f t="shared" si="111"/>
        <v/>
      </c>
    </row>
    <row r="460" spans="1:20">
      <c r="A460" s="47" t="str">
        <f>IF(archive!E460="","",archive!E460)</f>
        <v/>
      </c>
      <c r="B460" s="48" t="str">
        <f t="shared" si="98"/>
        <v/>
      </c>
      <c r="C460" s="49" t="str">
        <f>IF(archive!F460="","",archive!F460)</f>
        <v/>
      </c>
      <c r="D460" s="50" t="str">
        <f t="shared" si="99"/>
        <v/>
      </c>
      <c r="E460" s="50" t="str">
        <f t="shared" si="100"/>
        <v/>
      </c>
      <c r="F460" s="47" t="str">
        <f>IF(COUNTA(archive!H460:CI460)=0,"",COUNTA(archive!H460:CI460))</f>
        <v/>
      </c>
      <c r="G460" s="47" t="str">
        <f>IF(archive!G460="","",archive!G460)</f>
        <v/>
      </c>
      <c r="H460" s="51" t="str">
        <f>IF(archive!CJ460="","",archive!CJ460)</f>
        <v/>
      </c>
      <c r="I460" s="51" t="str">
        <f>IF(archive!CK460="","",archive!CK460)</f>
        <v/>
      </c>
      <c r="J460" s="47" t="str">
        <f t="shared" si="101"/>
        <v/>
      </c>
      <c r="K460" s="51" t="str">
        <f t="shared" si="102"/>
        <v/>
      </c>
      <c r="L460" s="52" t="str">
        <f t="shared" si="103"/>
        <v/>
      </c>
      <c r="M460" s="53" t="str">
        <f t="shared" si="104"/>
        <v/>
      </c>
      <c r="N460" s="53" t="str">
        <f t="shared" si="105"/>
        <v/>
      </c>
      <c r="O460" s="53" t="str">
        <f t="shared" si="106"/>
        <v/>
      </c>
      <c r="P460" s="53" t="str">
        <f t="shared" si="107"/>
        <v/>
      </c>
      <c r="Q460" s="53" t="str">
        <f t="shared" si="108"/>
        <v/>
      </c>
      <c r="R460" s="53" t="str">
        <f t="shared" si="109"/>
        <v/>
      </c>
      <c r="S460" s="53" t="str">
        <f t="shared" si="110"/>
        <v/>
      </c>
      <c r="T460" s="53" t="str">
        <f t="shared" si="111"/>
        <v/>
      </c>
    </row>
    <row r="461" spans="1:20">
      <c r="A461" s="47" t="str">
        <f>IF(archive!E461="","",archive!E461)</f>
        <v/>
      </c>
      <c r="B461" s="48" t="str">
        <f t="shared" si="98"/>
        <v/>
      </c>
      <c r="C461" s="49" t="str">
        <f>IF(archive!F461="","",archive!F461)</f>
        <v/>
      </c>
      <c r="D461" s="50" t="str">
        <f t="shared" si="99"/>
        <v/>
      </c>
      <c r="E461" s="50" t="str">
        <f t="shared" si="100"/>
        <v/>
      </c>
      <c r="F461" s="47" t="str">
        <f>IF(COUNTA(archive!H461:CI461)=0,"",COUNTA(archive!H461:CI461))</f>
        <v/>
      </c>
      <c r="G461" s="47" t="str">
        <f>IF(archive!G461="","",archive!G461)</f>
        <v/>
      </c>
      <c r="H461" s="51" t="str">
        <f>IF(archive!CJ461="","",archive!CJ461)</f>
        <v/>
      </c>
      <c r="I461" s="51" t="str">
        <f>IF(archive!CK461="","",archive!CK461)</f>
        <v/>
      </c>
      <c r="J461" s="47" t="str">
        <f t="shared" si="101"/>
        <v/>
      </c>
      <c r="K461" s="51" t="str">
        <f t="shared" si="102"/>
        <v/>
      </c>
      <c r="L461" s="52" t="str">
        <f t="shared" si="103"/>
        <v/>
      </c>
      <c r="M461" s="53" t="str">
        <f t="shared" si="104"/>
        <v/>
      </c>
      <c r="N461" s="53" t="str">
        <f t="shared" si="105"/>
        <v/>
      </c>
      <c r="O461" s="53" t="str">
        <f t="shared" si="106"/>
        <v/>
      </c>
      <c r="P461" s="53" t="str">
        <f t="shared" si="107"/>
        <v/>
      </c>
      <c r="Q461" s="53" t="str">
        <f t="shared" si="108"/>
        <v/>
      </c>
      <c r="R461" s="53" t="str">
        <f t="shared" si="109"/>
        <v/>
      </c>
      <c r="S461" s="53" t="str">
        <f t="shared" si="110"/>
        <v/>
      </c>
      <c r="T461" s="53" t="str">
        <f t="shared" si="111"/>
        <v/>
      </c>
    </row>
    <row r="462" spans="1:20">
      <c r="A462" s="47" t="str">
        <f>IF(archive!E462="","",archive!E462)</f>
        <v/>
      </c>
      <c r="B462" s="48" t="str">
        <f t="shared" si="98"/>
        <v/>
      </c>
      <c r="C462" s="49" t="str">
        <f>IF(archive!F462="","",archive!F462)</f>
        <v/>
      </c>
      <c r="D462" s="50" t="str">
        <f t="shared" si="99"/>
        <v/>
      </c>
      <c r="E462" s="50" t="str">
        <f t="shared" si="100"/>
        <v/>
      </c>
      <c r="F462" s="47" t="str">
        <f>IF(COUNTA(archive!H462:CI462)=0,"",COUNTA(archive!H462:CI462))</f>
        <v/>
      </c>
      <c r="G462" s="47" t="str">
        <f>IF(archive!G462="","",archive!G462)</f>
        <v/>
      </c>
      <c r="H462" s="51" t="str">
        <f>IF(archive!CJ462="","",archive!CJ462)</f>
        <v/>
      </c>
      <c r="I462" s="51" t="str">
        <f>IF(archive!CK462="","",archive!CK462)</f>
        <v/>
      </c>
      <c r="J462" s="47" t="str">
        <f t="shared" si="101"/>
        <v/>
      </c>
      <c r="K462" s="51" t="str">
        <f t="shared" si="102"/>
        <v/>
      </c>
      <c r="L462" s="52" t="str">
        <f t="shared" si="103"/>
        <v/>
      </c>
      <c r="M462" s="53" t="str">
        <f t="shared" si="104"/>
        <v/>
      </c>
      <c r="N462" s="53" t="str">
        <f t="shared" si="105"/>
        <v/>
      </c>
      <c r="O462" s="53" t="str">
        <f t="shared" si="106"/>
        <v/>
      </c>
      <c r="P462" s="53" t="str">
        <f t="shared" si="107"/>
        <v/>
      </c>
      <c r="Q462" s="53" t="str">
        <f t="shared" si="108"/>
        <v/>
      </c>
      <c r="R462" s="53" t="str">
        <f t="shared" si="109"/>
        <v/>
      </c>
      <c r="S462" s="53" t="str">
        <f t="shared" si="110"/>
        <v/>
      </c>
      <c r="T462" s="53" t="str">
        <f t="shared" si="111"/>
        <v/>
      </c>
    </row>
    <row r="463" spans="1:20">
      <c r="A463" s="47" t="str">
        <f>IF(archive!E463="","",archive!E463)</f>
        <v/>
      </c>
      <c r="B463" s="48" t="str">
        <f t="shared" si="98"/>
        <v/>
      </c>
      <c r="C463" s="49" t="str">
        <f>IF(archive!F463="","",archive!F463)</f>
        <v/>
      </c>
      <c r="D463" s="50" t="str">
        <f t="shared" si="99"/>
        <v/>
      </c>
      <c r="E463" s="50" t="str">
        <f t="shared" si="100"/>
        <v/>
      </c>
      <c r="F463" s="47" t="str">
        <f>IF(COUNTA(archive!H463:CI463)=0,"",COUNTA(archive!H463:CI463))</f>
        <v/>
      </c>
      <c r="G463" s="47" t="str">
        <f>IF(archive!G463="","",archive!G463)</f>
        <v/>
      </c>
      <c r="H463" s="51" t="str">
        <f>IF(archive!CJ463="","",archive!CJ463)</f>
        <v/>
      </c>
      <c r="I463" s="51" t="str">
        <f>IF(archive!CK463="","",archive!CK463)</f>
        <v/>
      </c>
      <c r="J463" s="47" t="str">
        <f t="shared" si="101"/>
        <v/>
      </c>
      <c r="K463" s="51" t="str">
        <f t="shared" si="102"/>
        <v/>
      </c>
      <c r="L463" s="52" t="str">
        <f t="shared" si="103"/>
        <v/>
      </c>
      <c r="M463" s="53" t="str">
        <f t="shared" si="104"/>
        <v/>
      </c>
      <c r="N463" s="53" t="str">
        <f t="shared" si="105"/>
        <v/>
      </c>
      <c r="O463" s="53" t="str">
        <f t="shared" si="106"/>
        <v/>
      </c>
      <c r="P463" s="53" t="str">
        <f t="shared" si="107"/>
        <v/>
      </c>
      <c r="Q463" s="53" t="str">
        <f t="shared" si="108"/>
        <v/>
      </c>
      <c r="R463" s="53" t="str">
        <f t="shared" si="109"/>
        <v/>
      </c>
      <c r="S463" s="53" t="str">
        <f t="shared" si="110"/>
        <v/>
      </c>
      <c r="T463" s="53" t="str">
        <f t="shared" si="111"/>
        <v/>
      </c>
    </row>
    <row r="464" spans="1:20">
      <c r="A464" s="47" t="str">
        <f>IF(archive!E464="","",archive!E464)</f>
        <v/>
      </c>
      <c r="B464" s="48" t="str">
        <f t="shared" si="98"/>
        <v/>
      </c>
      <c r="C464" s="49" t="str">
        <f>IF(archive!F464="","",archive!F464)</f>
        <v/>
      </c>
      <c r="D464" s="50" t="str">
        <f t="shared" si="99"/>
        <v/>
      </c>
      <c r="E464" s="50" t="str">
        <f t="shared" si="100"/>
        <v/>
      </c>
      <c r="F464" s="47" t="str">
        <f>IF(COUNTA(archive!H464:CI464)=0,"",COUNTA(archive!H464:CI464))</f>
        <v/>
      </c>
      <c r="G464" s="47" t="str">
        <f>IF(archive!G464="","",archive!G464)</f>
        <v/>
      </c>
      <c r="H464" s="51" t="str">
        <f>IF(archive!CJ464="","",archive!CJ464)</f>
        <v/>
      </c>
      <c r="I464" s="51" t="str">
        <f>IF(archive!CK464="","",archive!CK464)</f>
        <v/>
      </c>
      <c r="J464" s="47" t="str">
        <f t="shared" si="101"/>
        <v/>
      </c>
      <c r="K464" s="51" t="str">
        <f t="shared" si="102"/>
        <v/>
      </c>
      <c r="L464" s="52" t="str">
        <f t="shared" si="103"/>
        <v/>
      </c>
      <c r="M464" s="53" t="str">
        <f t="shared" si="104"/>
        <v/>
      </c>
      <c r="N464" s="53" t="str">
        <f t="shared" si="105"/>
        <v/>
      </c>
      <c r="O464" s="53" t="str">
        <f t="shared" si="106"/>
        <v/>
      </c>
      <c r="P464" s="53" t="str">
        <f t="shared" si="107"/>
        <v/>
      </c>
      <c r="Q464" s="53" t="str">
        <f t="shared" si="108"/>
        <v/>
      </c>
      <c r="R464" s="53" t="str">
        <f t="shared" si="109"/>
        <v/>
      </c>
      <c r="S464" s="53" t="str">
        <f t="shared" si="110"/>
        <v/>
      </c>
      <c r="T464" s="53" t="str">
        <f t="shared" si="111"/>
        <v/>
      </c>
    </row>
    <row r="465" spans="1:20">
      <c r="A465" s="47" t="str">
        <f>IF(archive!E465="","",archive!E465)</f>
        <v/>
      </c>
      <c r="B465" s="48" t="str">
        <f t="shared" si="98"/>
        <v/>
      </c>
      <c r="C465" s="49" t="str">
        <f>IF(archive!F465="","",archive!F465)</f>
        <v/>
      </c>
      <c r="D465" s="50" t="str">
        <f t="shared" si="99"/>
        <v/>
      </c>
      <c r="E465" s="50" t="str">
        <f t="shared" si="100"/>
        <v/>
      </c>
      <c r="F465" s="47" t="str">
        <f>IF(COUNTA(archive!H465:CI465)=0,"",COUNTA(archive!H465:CI465))</f>
        <v/>
      </c>
      <c r="G465" s="47" t="str">
        <f>IF(archive!G465="","",archive!G465)</f>
        <v/>
      </c>
      <c r="H465" s="51" t="str">
        <f>IF(archive!CJ465="","",archive!CJ465)</f>
        <v/>
      </c>
      <c r="I465" s="51" t="str">
        <f>IF(archive!CK465="","",archive!CK465)</f>
        <v/>
      </c>
      <c r="J465" s="47" t="str">
        <f t="shared" si="101"/>
        <v/>
      </c>
      <c r="K465" s="51" t="str">
        <f t="shared" si="102"/>
        <v/>
      </c>
      <c r="L465" s="52" t="str">
        <f t="shared" si="103"/>
        <v/>
      </c>
      <c r="M465" s="53" t="str">
        <f t="shared" si="104"/>
        <v/>
      </c>
      <c r="N465" s="53" t="str">
        <f t="shared" si="105"/>
        <v/>
      </c>
      <c r="O465" s="53" t="str">
        <f t="shared" si="106"/>
        <v/>
      </c>
      <c r="P465" s="53" t="str">
        <f t="shared" si="107"/>
        <v/>
      </c>
      <c r="Q465" s="53" t="str">
        <f t="shared" si="108"/>
        <v/>
      </c>
      <c r="R465" s="53" t="str">
        <f t="shared" si="109"/>
        <v/>
      </c>
      <c r="S465" s="53" t="str">
        <f t="shared" si="110"/>
        <v/>
      </c>
      <c r="T465" s="53" t="str">
        <f t="shared" si="111"/>
        <v/>
      </c>
    </row>
    <row r="466" spans="1:20">
      <c r="A466" s="47" t="str">
        <f>IF(archive!E466="","",archive!E466)</f>
        <v/>
      </c>
      <c r="B466" s="48" t="str">
        <f t="shared" si="98"/>
        <v/>
      </c>
      <c r="C466" s="49" t="str">
        <f>IF(archive!F466="","",archive!F466)</f>
        <v/>
      </c>
      <c r="D466" s="50" t="str">
        <f t="shared" si="99"/>
        <v/>
      </c>
      <c r="E466" s="50" t="str">
        <f t="shared" si="100"/>
        <v/>
      </c>
      <c r="F466" s="47" t="str">
        <f>IF(COUNTA(archive!H466:CI466)=0,"",COUNTA(archive!H466:CI466))</f>
        <v/>
      </c>
      <c r="G466" s="47" t="str">
        <f>IF(archive!G466="","",archive!G466)</f>
        <v/>
      </c>
      <c r="H466" s="51" t="str">
        <f>IF(archive!CJ466="","",archive!CJ466)</f>
        <v/>
      </c>
      <c r="I466" s="51" t="str">
        <f>IF(archive!CK466="","",archive!CK466)</f>
        <v/>
      </c>
      <c r="J466" s="47" t="str">
        <f t="shared" si="101"/>
        <v/>
      </c>
      <c r="K466" s="51" t="str">
        <f t="shared" si="102"/>
        <v/>
      </c>
      <c r="L466" s="52" t="str">
        <f t="shared" si="103"/>
        <v/>
      </c>
      <c r="M466" s="53" t="str">
        <f t="shared" si="104"/>
        <v/>
      </c>
      <c r="N466" s="53" t="str">
        <f t="shared" si="105"/>
        <v/>
      </c>
      <c r="O466" s="53" t="str">
        <f t="shared" si="106"/>
        <v/>
      </c>
      <c r="P466" s="53" t="str">
        <f t="shared" si="107"/>
        <v/>
      </c>
      <c r="Q466" s="53" t="str">
        <f t="shared" si="108"/>
        <v/>
      </c>
      <c r="R466" s="53" t="str">
        <f t="shared" si="109"/>
        <v/>
      </c>
      <c r="S466" s="53" t="str">
        <f t="shared" si="110"/>
        <v/>
      </c>
      <c r="T466" s="53" t="str">
        <f t="shared" si="111"/>
        <v/>
      </c>
    </row>
    <row r="467" spans="1:20">
      <c r="A467" s="47" t="str">
        <f>IF(archive!E467="","",archive!E467)</f>
        <v/>
      </c>
      <c r="B467" s="48" t="str">
        <f t="shared" si="98"/>
        <v/>
      </c>
      <c r="C467" s="49" t="str">
        <f>IF(archive!F467="","",archive!F467)</f>
        <v/>
      </c>
      <c r="D467" s="50" t="str">
        <f t="shared" si="99"/>
        <v/>
      </c>
      <c r="E467" s="50" t="str">
        <f t="shared" si="100"/>
        <v/>
      </c>
      <c r="F467" s="47" t="str">
        <f>IF(COUNTA(archive!H467:CI467)=0,"",COUNTA(archive!H467:CI467))</f>
        <v/>
      </c>
      <c r="G467" s="47" t="str">
        <f>IF(archive!G467="","",archive!G467)</f>
        <v/>
      </c>
      <c r="H467" s="51" t="str">
        <f>IF(archive!CJ467="","",archive!CJ467)</f>
        <v/>
      </c>
      <c r="I467" s="51" t="str">
        <f>IF(archive!CK467="","",archive!CK467)</f>
        <v/>
      </c>
      <c r="J467" s="47" t="str">
        <f t="shared" si="101"/>
        <v/>
      </c>
      <c r="K467" s="51" t="str">
        <f t="shared" si="102"/>
        <v/>
      </c>
      <c r="L467" s="52" t="str">
        <f t="shared" si="103"/>
        <v/>
      </c>
      <c r="M467" s="53" t="str">
        <f t="shared" si="104"/>
        <v/>
      </c>
      <c r="N467" s="53" t="str">
        <f t="shared" si="105"/>
        <v/>
      </c>
      <c r="O467" s="53" t="str">
        <f t="shared" si="106"/>
        <v/>
      </c>
      <c r="P467" s="53" t="str">
        <f t="shared" si="107"/>
        <v/>
      </c>
      <c r="Q467" s="53" t="str">
        <f t="shared" si="108"/>
        <v/>
      </c>
      <c r="R467" s="53" t="str">
        <f t="shared" si="109"/>
        <v/>
      </c>
      <c r="S467" s="53" t="str">
        <f t="shared" si="110"/>
        <v/>
      </c>
      <c r="T467" s="53" t="str">
        <f t="shared" si="111"/>
        <v/>
      </c>
    </row>
    <row r="468" spans="1:20">
      <c r="A468" s="47" t="str">
        <f>IF(archive!E468="","",archive!E468)</f>
        <v/>
      </c>
      <c r="B468" s="48" t="str">
        <f t="shared" si="98"/>
        <v/>
      </c>
      <c r="C468" s="49" t="str">
        <f>IF(archive!F468="","",archive!F468)</f>
        <v/>
      </c>
      <c r="D468" s="50" t="str">
        <f t="shared" si="99"/>
        <v/>
      </c>
      <c r="E468" s="50" t="str">
        <f t="shared" si="100"/>
        <v/>
      </c>
      <c r="F468" s="47" t="str">
        <f>IF(COUNTA(archive!H468:CI468)=0,"",COUNTA(archive!H468:CI468))</f>
        <v/>
      </c>
      <c r="G468" s="47" t="str">
        <f>IF(archive!G468="","",archive!G468)</f>
        <v/>
      </c>
      <c r="H468" s="51" t="str">
        <f>IF(archive!CJ468="","",archive!CJ468)</f>
        <v/>
      </c>
      <c r="I468" s="51" t="str">
        <f>IF(archive!CK468="","",archive!CK468)</f>
        <v/>
      </c>
      <c r="J468" s="47" t="str">
        <f t="shared" si="101"/>
        <v/>
      </c>
      <c r="K468" s="51" t="str">
        <f t="shared" si="102"/>
        <v/>
      </c>
      <c r="L468" s="52" t="str">
        <f t="shared" si="103"/>
        <v/>
      </c>
      <c r="M468" s="53" t="str">
        <f t="shared" si="104"/>
        <v/>
      </c>
      <c r="N468" s="53" t="str">
        <f t="shared" si="105"/>
        <v/>
      </c>
      <c r="O468" s="53" t="str">
        <f t="shared" si="106"/>
        <v/>
      </c>
      <c r="P468" s="53" t="str">
        <f t="shared" si="107"/>
        <v/>
      </c>
      <c r="Q468" s="53" t="str">
        <f t="shared" si="108"/>
        <v/>
      </c>
      <c r="R468" s="53" t="str">
        <f t="shared" si="109"/>
        <v/>
      </c>
      <c r="S468" s="53" t="str">
        <f t="shared" si="110"/>
        <v/>
      </c>
      <c r="T468" s="53" t="str">
        <f t="shared" si="111"/>
        <v/>
      </c>
    </row>
    <row r="469" spans="1:20">
      <c r="A469" s="47" t="str">
        <f>IF(archive!E469="","",archive!E469)</f>
        <v/>
      </c>
      <c r="B469" s="48" t="str">
        <f t="shared" si="98"/>
        <v/>
      </c>
      <c r="C469" s="49" t="str">
        <f>IF(archive!F469="","",archive!F469)</f>
        <v/>
      </c>
      <c r="D469" s="50" t="str">
        <f t="shared" si="99"/>
        <v/>
      </c>
      <c r="E469" s="50" t="str">
        <f t="shared" si="100"/>
        <v/>
      </c>
      <c r="F469" s="47" t="str">
        <f>IF(COUNTA(archive!H469:CI469)=0,"",COUNTA(archive!H469:CI469))</f>
        <v/>
      </c>
      <c r="G469" s="47" t="str">
        <f>IF(archive!G469="","",archive!G469)</f>
        <v/>
      </c>
      <c r="H469" s="51" t="str">
        <f>IF(archive!CJ469="","",archive!CJ469)</f>
        <v/>
      </c>
      <c r="I469" s="51" t="str">
        <f>IF(archive!CK469="","",archive!CK469)</f>
        <v/>
      </c>
      <c r="J469" s="47" t="str">
        <f t="shared" si="101"/>
        <v/>
      </c>
      <c r="K469" s="51" t="str">
        <f t="shared" si="102"/>
        <v/>
      </c>
      <c r="L469" s="52" t="str">
        <f t="shared" si="103"/>
        <v/>
      </c>
      <c r="M469" s="53" t="str">
        <f t="shared" si="104"/>
        <v/>
      </c>
      <c r="N469" s="53" t="str">
        <f t="shared" si="105"/>
        <v/>
      </c>
      <c r="O469" s="53" t="str">
        <f t="shared" si="106"/>
        <v/>
      </c>
      <c r="P469" s="53" t="str">
        <f t="shared" si="107"/>
        <v/>
      </c>
      <c r="Q469" s="53" t="str">
        <f t="shared" si="108"/>
        <v/>
      </c>
      <c r="R469" s="53" t="str">
        <f t="shared" si="109"/>
        <v/>
      </c>
      <c r="S469" s="53" t="str">
        <f t="shared" si="110"/>
        <v/>
      </c>
      <c r="T469" s="53" t="str">
        <f t="shared" si="111"/>
        <v/>
      </c>
    </row>
    <row r="470" spans="1:20">
      <c r="A470" s="47" t="str">
        <f>IF(archive!E470="","",archive!E470)</f>
        <v/>
      </c>
      <c r="B470" s="48" t="str">
        <f t="shared" si="98"/>
        <v/>
      </c>
      <c r="C470" s="49" t="str">
        <f>IF(archive!F470="","",archive!F470)</f>
        <v/>
      </c>
      <c r="D470" s="50" t="str">
        <f t="shared" si="99"/>
        <v/>
      </c>
      <c r="E470" s="50" t="str">
        <f t="shared" si="100"/>
        <v/>
      </c>
      <c r="F470" s="47" t="str">
        <f>IF(COUNTA(archive!H470:CI470)=0,"",COUNTA(archive!H470:CI470))</f>
        <v/>
      </c>
      <c r="G470" s="47" t="str">
        <f>IF(archive!G470="","",archive!G470)</f>
        <v/>
      </c>
      <c r="H470" s="51" t="str">
        <f>IF(archive!CJ470="","",archive!CJ470)</f>
        <v/>
      </c>
      <c r="I470" s="51" t="str">
        <f>IF(archive!CK470="","",archive!CK470)</f>
        <v/>
      </c>
      <c r="J470" s="47" t="str">
        <f t="shared" si="101"/>
        <v/>
      </c>
      <c r="K470" s="51" t="str">
        <f t="shared" si="102"/>
        <v/>
      </c>
      <c r="L470" s="52" t="str">
        <f t="shared" si="103"/>
        <v/>
      </c>
      <c r="M470" s="53" t="str">
        <f t="shared" si="104"/>
        <v/>
      </c>
      <c r="N470" s="53" t="str">
        <f t="shared" si="105"/>
        <v/>
      </c>
      <c r="O470" s="53" t="str">
        <f t="shared" si="106"/>
        <v/>
      </c>
      <c r="P470" s="53" t="str">
        <f t="shared" si="107"/>
        <v/>
      </c>
      <c r="Q470" s="53" t="str">
        <f t="shared" si="108"/>
        <v/>
      </c>
      <c r="R470" s="53" t="str">
        <f t="shared" si="109"/>
        <v/>
      </c>
      <c r="S470" s="53" t="str">
        <f t="shared" si="110"/>
        <v/>
      </c>
      <c r="T470" s="53" t="str">
        <f t="shared" si="111"/>
        <v/>
      </c>
    </row>
    <row r="471" spans="1:20">
      <c r="A471" s="47" t="str">
        <f>IF(archive!E471="","",archive!E471)</f>
        <v/>
      </c>
      <c r="B471" s="48" t="str">
        <f t="shared" si="98"/>
        <v/>
      </c>
      <c r="C471" s="49" t="str">
        <f>IF(archive!F471="","",archive!F471)</f>
        <v/>
      </c>
      <c r="D471" s="50" t="str">
        <f t="shared" si="99"/>
        <v/>
      </c>
      <c r="E471" s="50" t="str">
        <f t="shared" si="100"/>
        <v/>
      </c>
      <c r="F471" s="47" t="str">
        <f>IF(COUNTA(archive!H471:CI471)=0,"",COUNTA(archive!H471:CI471))</f>
        <v/>
      </c>
      <c r="G471" s="47" t="str">
        <f>IF(archive!G471="","",archive!G471)</f>
        <v/>
      </c>
      <c r="H471" s="51" t="str">
        <f>IF(archive!CJ471="","",archive!CJ471)</f>
        <v/>
      </c>
      <c r="I471" s="51" t="str">
        <f>IF(archive!CK471="","",archive!CK471)</f>
        <v/>
      </c>
      <c r="J471" s="47" t="str">
        <f t="shared" si="101"/>
        <v/>
      </c>
      <c r="K471" s="51" t="str">
        <f t="shared" si="102"/>
        <v/>
      </c>
      <c r="L471" s="52" t="str">
        <f t="shared" si="103"/>
        <v/>
      </c>
      <c r="M471" s="53" t="str">
        <f t="shared" si="104"/>
        <v/>
      </c>
      <c r="N471" s="53" t="str">
        <f t="shared" si="105"/>
        <v/>
      </c>
      <c r="O471" s="53" t="str">
        <f t="shared" si="106"/>
        <v/>
      </c>
      <c r="P471" s="53" t="str">
        <f t="shared" si="107"/>
        <v/>
      </c>
      <c r="Q471" s="53" t="str">
        <f t="shared" si="108"/>
        <v/>
      </c>
      <c r="R471" s="53" t="str">
        <f t="shared" si="109"/>
        <v/>
      </c>
      <c r="S471" s="53" t="str">
        <f t="shared" si="110"/>
        <v/>
      </c>
      <c r="T471" s="53" t="str">
        <f t="shared" si="111"/>
        <v/>
      </c>
    </row>
    <row r="472" spans="1:20">
      <c r="A472" s="47" t="str">
        <f>IF(archive!E472="","",archive!E472)</f>
        <v/>
      </c>
      <c r="B472" s="48" t="str">
        <f t="shared" si="98"/>
        <v/>
      </c>
      <c r="C472" s="49" t="str">
        <f>IF(archive!F472="","",archive!F472)</f>
        <v/>
      </c>
      <c r="D472" s="50" t="str">
        <f t="shared" si="99"/>
        <v/>
      </c>
      <c r="E472" s="50" t="str">
        <f t="shared" si="100"/>
        <v/>
      </c>
      <c r="F472" s="47" t="str">
        <f>IF(COUNTA(archive!H472:CI472)=0,"",COUNTA(archive!H472:CI472))</f>
        <v/>
      </c>
      <c r="G472" s="47" t="str">
        <f>IF(archive!G472="","",archive!G472)</f>
        <v/>
      </c>
      <c r="H472" s="51" t="str">
        <f>IF(archive!CJ472="","",archive!CJ472)</f>
        <v/>
      </c>
      <c r="I472" s="51" t="str">
        <f>IF(archive!CK472="","",archive!CK472)</f>
        <v/>
      </c>
      <c r="J472" s="47" t="str">
        <f t="shared" si="101"/>
        <v/>
      </c>
      <c r="K472" s="51" t="str">
        <f t="shared" si="102"/>
        <v/>
      </c>
      <c r="L472" s="52" t="str">
        <f t="shared" si="103"/>
        <v/>
      </c>
      <c r="M472" s="53" t="str">
        <f t="shared" si="104"/>
        <v/>
      </c>
      <c r="N472" s="53" t="str">
        <f t="shared" si="105"/>
        <v/>
      </c>
      <c r="O472" s="53" t="str">
        <f t="shared" si="106"/>
        <v/>
      </c>
      <c r="P472" s="53" t="str">
        <f t="shared" si="107"/>
        <v/>
      </c>
      <c r="Q472" s="53" t="str">
        <f t="shared" si="108"/>
        <v/>
      </c>
      <c r="R472" s="53" t="str">
        <f t="shared" si="109"/>
        <v/>
      </c>
      <c r="S472" s="53" t="str">
        <f t="shared" si="110"/>
        <v/>
      </c>
      <c r="T472" s="53" t="str">
        <f t="shared" si="111"/>
        <v/>
      </c>
    </row>
    <row r="473" spans="1:20">
      <c r="A473" s="47" t="str">
        <f>IF(archive!E473="","",archive!E473)</f>
        <v/>
      </c>
      <c r="B473" s="48" t="str">
        <f t="shared" si="98"/>
        <v/>
      </c>
      <c r="C473" s="49" t="str">
        <f>IF(archive!F473="","",archive!F473)</f>
        <v/>
      </c>
      <c r="D473" s="50" t="str">
        <f t="shared" si="99"/>
        <v/>
      </c>
      <c r="E473" s="50" t="str">
        <f t="shared" si="100"/>
        <v/>
      </c>
      <c r="F473" s="47" t="str">
        <f>IF(COUNTA(archive!H473:CI473)=0,"",COUNTA(archive!H473:CI473))</f>
        <v/>
      </c>
      <c r="G473" s="47" t="str">
        <f>IF(archive!G473="","",archive!G473)</f>
        <v/>
      </c>
      <c r="H473" s="51" t="str">
        <f>IF(archive!CJ473="","",archive!CJ473)</f>
        <v/>
      </c>
      <c r="I473" s="51" t="str">
        <f>IF(archive!CK473="","",archive!CK473)</f>
        <v/>
      </c>
      <c r="J473" s="47" t="str">
        <f t="shared" si="101"/>
        <v/>
      </c>
      <c r="K473" s="51" t="str">
        <f t="shared" si="102"/>
        <v/>
      </c>
      <c r="L473" s="52" t="str">
        <f t="shared" si="103"/>
        <v/>
      </c>
      <c r="M473" s="53" t="str">
        <f t="shared" si="104"/>
        <v/>
      </c>
      <c r="N473" s="53" t="str">
        <f t="shared" si="105"/>
        <v/>
      </c>
      <c r="O473" s="53" t="str">
        <f t="shared" si="106"/>
        <v/>
      </c>
      <c r="P473" s="53" t="str">
        <f t="shared" si="107"/>
        <v/>
      </c>
      <c r="Q473" s="53" t="str">
        <f t="shared" si="108"/>
        <v/>
      </c>
      <c r="R473" s="53" t="str">
        <f t="shared" si="109"/>
        <v/>
      </c>
      <c r="S473" s="53" t="str">
        <f t="shared" si="110"/>
        <v/>
      </c>
      <c r="T473" s="53" t="str">
        <f t="shared" si="111"/>
        <v/>
      </c>
    </row>
    <row r="474" spans="1:20">
      <c r="A474" s="47" t="str">
        <f>IF(archive!E474="","",archive!E474)</f>
        <v/>
      </c>
      <c r="B474" s="48" t="str">
        <f t="shared" si="98"/>
        <v/>
      </c>
      <c r="C474" s="49" t="str">
        <f>IF(archive!F474="","",archive!F474)</f>
        <v/>
      </c>
      <c r="D474" s="50" t="str">
        <f t="shared" si="99"/>
        <v/>
      </c>
      <c r="E474" s="50" t="str">
        <f t="shared" si="100"/>
        <v/>
      </c>
      <c r="F474" s="47" t="str">
        <f>IF(COUNTA(archive!H474:CI474)=0,"",COUNTA(archive!H474:CI474))</f>
        <v/>
      </c>
      <c r="G474" s="47" t="str">
        <f>IF(archive!G474="","",archive!G474)</f>
        <v/>
      </c>
      <c r="H474" s="51" t="str">
        <f>IF(archive!CJ474="","",archive!CJ474)</f>
        <v/>
      </c>
      <c r="I474" s="51" t="str">
        <f>IF(archive!CK474="","",archive!CK474)</f>
        <v/>
      </c>
      <c r="J474" s="47" t="str">
        <f t="shared" si="101"/>
        <v/>
      </c>
      <c r="K474" s="51" t="str">
        <f t="shared" si="102"/>
        <v/>
      </c>
      <c r="L474" s="52" t="str">
        <f t="shared" si="103"/>
        <v/>
      </c>
      <c r="M474" s="53" t="str">
        <f t="shared" si="104"/>
        <v/>
      </c>
      <c r="N474" s="53" t="str">
        <f t="shared" si="105"/>
        <v/>
      </c>
      <c r="O474" s="53" t="str">
        <f t="shared" si="106"/>
        <v/>
      </c>
      <c r="P474" s="53" t="str">
        <f t="shared" si="107"/>
        <v/>
      </c>
      <c r="Q474" s="53" t="str">
        <f t="shared" si="108"/>
        <v/>
      </c>
      <c r="R474" s="53" t="str">
        <f t="shared" si="109"/>
        <v/>
      </c>
      <c r="S474" s="53" t="str">
        <f t="shared" si="110"/>
        <v/>
      </c>
      <c r="T474" s="53" t="str">
        <f t="shared" si="111"/>
        <v/>
      </c>
    </row>
    <row r="475" spans="1:20">
      <c r="A475" s="47" t="str">
        <f>IF(archive!E475="","",archive!E475)</f>
        <v/>
      </c>
      <c r="B475" s="48" t="str">
        <f t="shared" si="98"/>
        <v/>
      </c>
      <c r="C475" s="49" t="str">
        <f>IF(archive!F475="","",archive!F475)</f>
        <v/>
      </c>
      <c r="D475" s="50" t="str">
        <f t="shared" si="99"/>
        <v/>
      </c>
      <c r="E475" s="50" t="str">
        <f t="shared" si="100"/>
        <v/>
      </c>
      <c r="F475" s="47" t="str">
        <f>IF(COUNTA(archive!H475:CI475)=0,"",COUNTA(archive!H475:CI475))</f>
        <v/>
      </c>
      <c r="G475" s="47" t="str">
        <f>IF(archive!G475="","",archive!G475)</f>
        <v/>
      </c>
      <c r="H475" s="51" t="str">
        <f>IF(archive!CJ475="","",archive!CJ475)</f>
        <v/>
      </c>
      <c r="I475" s="51" t="str">
        <f>IF(archive!CK475="","",archive!CK475)</f>
        <v/>
      </c>
      <c r="J475" s="47" t="str">
        <f t="shared" si="101"/>
        <v/>
      </c>
      <c r="K475" s="51" t="str">
        <f t="shared" si="102"/>
        <v/>
      </c>
      <c r="L475" s="52" t="str">
        <f t="shared" si="103"/>
        <v/>
      </c>
      <c r="M475" s="53" t="str">
        <f t="shared" si="104"/>
        <v/>
      </c>
      <c r="N475" s="53" t="str">
        <f t="shared" si="105"/>
        <v/>
      </c>
      <c r="O475" s="53" t="str">
        <f t="shared" si="106"/>
        <v/>
      </c>
      <c r="P475" s="53" t="str">
        <f t="shared" si="107"/>
        <v/>
      </c>
      <c r="Q475" s="53" t="str">
        <f t="shared" si="108"/>
        <v/>
      </c>
      <c r="R475" s="53" t="str">
        <f t="shared" si="109"/>
        <v/>
      </c>
      <c r="S475" s="53" t="str">
        <f t="shared" si="110"/>
        <v/>
      </c>
      <c r="T475" s="53" t="str">
        <f t="shared" si="111"/>
        <v/>
      </c>
    </row>
    <row r="476" spans="1:20">
      <c r="A476" s="47" t="str">
        <f>IF(archive!E476="","",archive!E476)</f>
        <v/>
      </c>
      <c r="B476" s="48" t="str">
        <f t="shared" si="98"/>
        <v/>
      </c>
      <c r="C476" s="49" t="str">
        <f>IF(archive!F476="","",archive!F476)</f>
        <v/>
      </c>
      <c r="D476" s="50" t="str">
        <f t="shared" si="99"/>
        <v/>
      </c>
      <c r="E476" s="50" t="str">
        <f t="shared" si="100"/>
        <v/>
      </c>
      <c r="F476" s="47" t="str">
        <f>IF(COUNTA(archive!H476:CI476)=0,"",COUNTA(archive!H476:CI476))</f>
        <v/>
      </c>
      <c r="G476" s="47" t="str">
        <f>IF(archive!G476="","",archive!G476)</f>
        <v/>
      </c>
      <c r="H476" s="51" t="str">
        <f>IF(archive!CJ476="","",archive!CJ476)</f>
        <v/>
      </c>
      <c r="I476" s="51" t="str">
        <f>IF(archive!CK476="","",archive!CK476)</f>
        <v/>
      </c>
      <c r="J476" s="47" t="str">
        <f t="shared" si="101"/>
        <v/>
      </c>
      <c r="K476" s="51" t="str">
        <f t="shared" si="102"/>
        <v/>
      </c>
      <c r="L476" s="52" t="str">
        <f t="shared" si="103"/>
        <v/>
      </c>
      <c r="M476" s="53" t="str">
        <f t="shared" si="104"/>
        <v/>
      </c>
      <c r="N476" s="53" t="str">
        <f t="shared" si="105"/>
        <v/>
      </c>
      <c r="O476" s="53" t="str">
        <f t="shared" si="106"/>
        <v/>
      </c>
      <c r="P476" s="53" t="str">
        <f t="shared" si="107"/>
        <v/>
      </c>
      <c r="Q476" s="53" t="str">
        <f t="shared" si="108"/>
        <v/>
      </c>
      <c r="R476" s="53" t="str">
        <f t="shared" si="109"/>
        <v/>
      </c>
      <c r="S476" s="53" t="str">
        <f t="shared" si="110"/>
        <v/>
      </c>
      <c r="T476" s="53" t="str">
        <f t="shared" si="111"/>
        <v/>
      </c>
    </row>
    <row r="477" spans="1:20">
      <c r="A477" s="47" t="str">
        <f>IF(archive!E477="","",archive!E477)</f>
        <v/>
      </c>
      <c r="B477" s="48" t="str">
        <f t="shared" si="98"/>
        <v/>
      </c>
      <c r="C477" s="49" t="str">
        <f>IF(archive!F477="","",archive!F477)</f>
        <v/>
      </c>
      <c r="D477" s="50" t="str">
        <f t="shared" si="99"/>
        <v/>
      </c>
      <c r="E477" s="50" t="str">
        <f t="shared" si="100"/>
        <v/>
      </c>
      <c r="F477" s="47" t="str">
        <f>IF(COUNTA(archive!H477:CI477)=0,"",COUNTA(archive!H477:CI477))</f>
        <v/>
      </c>
      <c r="G477" s="47" t="str">
        <f>IF(archive!G477="","",archive!G477)</f>
        <v/>
      </c>
      <c r="H477" s="51" t="str">
        <f>IF(archive!CJ477="","",archive!CJ477)</f>
        <v/>
      </c>
      <c r="I477" s="51" t="str">
        <f>IF(archive!CK477="","",archive!CK477)</f>
        <v/>
      </c>
      <c r="J477" s="47" t="str">
        <f t="shared" si="101"/>
        <v/>
      </c>
      <c r="K477" s="51" t="str">
        <f t="shared" si="102"/>
        <v/>
      </c>
      <c r="L477" s="52" t="str">
        <f t="shared" si="103"/>
        <v/>
      </c>
      <c r="M477" s="53" t="str">
        <f t="shared" si="104"/>
        <v/>
      </c>
      <c r="N477" s="53" t="str">
        <f t="shared" si="105"/>
        <v/>
      </c>
      <c r="O477" s="53" t="str">
        <f t="shared" si="106"/>
        <v/>
      </c>
      <c r="P477" s="53" t="str">
        <f t="shared" si="107"/>
        <v/>
      </c>
      <c r="Q477" s="53" t="str">
        <f t="shared" si="108"/>
        <v/>
      </c>
      <c r="R477" s="53" t="str">
        <f t="shared" si="109"/>
        <v/>
      </c>
      <c r="S477" s="53" t="str">
        <f t="shared" si="110"/>
        <v/>
      </c>
      <c r="T477" s="53" t="str">
        <f t="shared" si="111"/>
        <v/>
      </c>
    </row>
    <row r="478" spans="1:20">
      <c r="A478" s="47" t="str">
        <f>IF(archive!E478="","",archive!E478)</f>
        <v/>
      </c>
      <c r="B478" s="48" t="str">
        <f t="shared" si="98"/>
        <v/>
      </c>
      <c r="C478" s="49" t="str">
        <f>IF(archive!F478="","",archive!F478)</f>
        <v/>
      </c>
      <c r="D478" s="50" t="str">
        <f t="shared" si="99"/>
        <v/>
      </c>
      <c r="E478" s="50" t="str">
        <f t="shared" si="100"/>
        <v/>
      </c>
      <c r="F478" s="47" t="str">
        <f>IF(COUNTA(archive!H478:CI478)=0,"",COUNTA(archive!H478:CI478))</f>
        <v/>
      </c>
      <c r="G478" s="47" t="str">
        <f>IF(archive!G478="","",archive!G478)</f>
        <v/>
      </c>
      <c r="H478" s="51" t="str">
        <f>IF(archive!CJ478="","",archive!CJ478)</f>
        <v/>
      </c>
      <c r="I478" s="51" t="str">
        <f>IF(archive!CK478="","",archive!CK478)</f>
        <v/>
      </c>
      <c r="J478" s="47" t="str">
        <f t="shared" si="101"/>
        <v/>
      </c>
      <c r="K478" s="51" t="str">
        <f t="shared" si="102"/>
        <v/>
      </c>
      <c r="L478" s="52" t="str">
        <f t="shared" si="103"/>
        <v/>
      </c>
      <c r="M478" s="53" t="str">
        <f t="shared" si="104"/>
        <v/>
      </c>
      <c r="N478" s="53" t="str">
        <f t="shared" si="105"/>
        <v/>
      </c>
      <c r="O478" s="53" t="str">
        <f t="shared" si="106"/>
        <v/>
      </c>
      <c r="P478" s="53" t="str">
        <f t="shared" si="107"/>
        <v/>
      </c>
      <c r="Q478" s="53" t="str">
        <f t="shared" si="108"/>
        <v/>
      </c>
      <c r="R478" s="53" t="str">
        <f t="shared" si="109"/>
        <v/>
      </c>
      <c r="S478" s="53" t="str">
        <f t="shared" si="110"/>
        <v/>
      </c>
      <c r="T478" s="53" t="str">
        <f t="shared" si="111"/>
        <v/>
      </c>
    </row>
    <row r="479" spans="1:20">
      <c r="A479" s="47" t="str">
        <f>IF(archive!E479="","",archive!E479)</f>
        <v/>
      </c>
      <c r="B479" s="48" t="str">
        <f t="shared" si="98"/>
        <v/>
      </c>
      <c r="C479" s="49" t="str">
        <f>IF(archive!F479="","",archive!F479)</f>
        <v/>
      </c>
      <c r="D479" s="50" t="str">
        <f t="shared" si="99"/>
        <v/>
      </c>
      <c r="E479" s="50" t="str">
        <f t="shared" si="100"/>
        <v/>
      </c>
      <c r="F479" s="47" t="str">
        <f>IF(COUNTA(archive!H479:CI479)=0,"",COUNTA(archive!H479:CI479))</f>
        <v/>
      </c>
      <c r="G479" s="47" t="str">
        <f>IF(archive!G479="","",archive!G479)</f>
        <v/>
      </c>
      <c r="H479" s="51" t="str">
        <f>IF(archive!CJ479="","",archive!CJ479)</f>
        <v/>
      </c>
      <c r="I479" s="51" t="str">
        <f>IF(archive!CK479="","",archive!CK479)</f>
        <v/>
      </c>
      <c r="J479" s="47" t="str">
        <f t="shared" si="101"/>
        <v/>
      </c>
      <c r="K479" s="51" t="str">
        <f t="shared" si="102"/>
        <v/>
      </c>
      <c r="L479" s="52" t="str">
        <f t="shared" si="103"/>
        <v/>
      </c>
      <c r="M479" s="53" t="str">
        <f t="shared" si="104"/>
        <v/>
      </c>
      <c r="N479" s="53" t="str">
        <f t="shared" si="105"/>
        <v/>
      </c>
      <c r="O479" s="53" t="str">
        <f t="shared" si="106"/>
        <v/>
      </c>
      <c r="P479" s="53" t="str">
        <f t="shared" si="107"/>
        <v/>
      </c>
      <c r="Q479" s="53" t="str">
        <f t="shared" si="108"/>
        <v/>
      </c>
      <c r="R479" s="53" t="str">
        <f t="shared" si="109"/>
        <v/>
      </c>
      <c r="S479" s="53" t="str">
        <f t="shared" si="110"/>
        <v/>
      </c>
      <c r="T479" s="53" t="str">
        <f t="shared" si="111"/>
        <v/>
      </c>
    </row>
    <row r="480" spans="1:20">
      <c r="A480" s="47" t="str">
        <f>IF(archive!E480="","",archive!E480)</f>
        <v/>
      </c>
      <c r="B480" s="48" t="str">
        <f t="shared" si="98"/>
        <v/>
      </c>
      <c r="C480" s="49" t="str">
        <f>IF(archive!F480="","",archive!F480)</f>
        <v/>
      </c>
      <c r="D480" s="50" t="str">
        <f t="shared" si="99"/>
        <v/>
      </c>
      <c r="E480" s="50" t="str">
        <f t="shared" si="100"/>
        <v/>
      </c>
      <c r="F480" s="47" t="str">
        <f>IF(COUNTA(archive!H480:CI480)=0,"",COUNTA(archive!H480:CI480))</f>
        <v/>
      </c>
      <c r="G480" s="47" t="str">
        <f>IF(archive!G480="","",archive!G480)</f>
        <v/>
      </c>
      <c r="H480" s="51" t="str">
        <f>IF(archive!CJ480="","",archive!CJ480)</f>
        <v/>
      </c>
      <c r="I480" s="51" t="str">
        <f>IF(archive!CK480="","",archive!CK480)</f>
        <v/>
      </c>
      <c r="J480" s="47" t="str">
        <f t="shared" si="101"/>
        <v/>
      </c>
      <c r="K480" s="51" t="str">
        <f t="shared" si="102"/>
        <v/>
      </c>
      <c r="L480" s="52" t="str">
        <f t="shared" si="103"/>
        <v/>
      </c>
      <c r="M480" s="53" t="str">
        <f t="shared" si="104"/>
        <v/>
      </c>
      <c r="N480" s="53" t="str">
        <f t="shared" si="105"/>
        <v/>
      </c>
      <c r="O480" s="53" t="str">
        <f t="shared" si="106"/>
        <v/>
      </c>
      <c r="P480" s="53" t="str">
        <f t="shared" si="107"/>
        <v/>
      </c>
      <c r="Q480" s="53" t="str">
        <f t="shared" si="108"/>
        <v/>
      </c>
      <c r="R480" s="53" t="str">
        <f t="shared" si="109"/>
        <v/>
      </c>
      <c r="S480" s="53" t="str">
        <f t="shared" si="110"/>
        <v/>
      </c>
      <c r="T480" s="53" t="str">
        <f t="shared" si="111"/>
        <v/>
      </c>
    </row>
    <row r="481" spans="1:20">
      <c r="A481" s="47" t="str">
        <f>IF(archive!E481="","",archive!E481)</f>
        <v/>
      </c>
      <c r="B481" s="48" t="str">
        <f t="shared" si="98"/>
        <v/>
      </c>
      <c r="C481" s="49" t="str">
        <f>IF(archive!F481="","",archive!F481)</f>
        <v/>
      </c>
      <c r="D481" s="50" t="str">
        <f t="shared" si="99"/>
        <v/>
      </c>
      <c r="E481" s="50" t="str">
        <f t="shared" si="100"/>
        <v/>
      </c>
      <c r="F481" s="47" t="str">
        <f>IF(COUNTA(archive!H481:CI481)=0,"",COUNTA(archive!H481:CI481))</f>
        <v/>
      </c>
      <c r="G481" s="47" t="str">
        <f>IF(archive!G481="","",archive!G481)</f>
        <v/>
      </c>
      <c r="H481" s="51" t="str">
        <f>IF(archive!CJ481="","",archive!CJ481)</f>
        <v/>
      </c>
      <c r="I481" s="51" t="str">
        <f>IF(archive!CK481="","",archive!CK481)</f>
        <v/>
      </c>
      <c r="J481" s="47" t="str">
        <f t="shared" si="101"/>
        <v/>
      </c>
      <c r="K481" s="51" t="str">
        <f t="shared" si="102"/>
        <v/>
      </c>
      <c r="L481" s="52" t="str">
        <f t="shared" si="103"/>
        <v/>
      </c>
      <c r="M481" s="53" t="str">
        <f t="shared" si="104"/>
        <v/>
      </c>
      <c r="N481" s="53" t="str">
        <f t="shared" si="105"/>
        <v/>
      </c>
      <c r="O481" s="53" t="str">
        <f t="shared" si="106"/>
        <v/>
      </c>
      <c r="P481" s="53" t="str">
        <f t="shared" si="107"/>
        <v/>
      </c>
      <c r="Q481" s="53" t="str">
        <f t="shared" si="108"/>
        <v/>
      </c>
      <c r="R481" s="53" t="str">
        <f t="shared" si="109"/>
        <v/>
      </c>
      <c r="S481" s="53" t="str">
        <f t="shared" si="110"/>
        <v/>
      </c>
      <c r="T481" s="53" t="str">
        <f t="shared" si="111"/>
        <v/>
      </c>
    </row>
    <row r="482" spans="1:20">
      <c r="A482" s="47" t="str">
        <f>IF(archive!E482="","",archive!E482)</f>
        <v/>
      </c>
      <c r="B482" s="48" t="str">
        <f t="shared" si="98"/>
        <v/>
      </c>
      <c r="C482" s="49" t="str">
        <f>IF(archive!F482="","",archive!F482)</f>
        <v/>
      </c>
      <c r="D482" s="50" t="str">
        <f t="shared" si="99"/>
        <v/>
      </c>
      <c r="E482" s="50" t="str">
        <f t="shared" si="100"/>
        <v/>
      </c>
      <c r="F482" s="47" t="str">
        <f>IF(COUNTA(archive!H482:CI482)=0,"",COUNTA(archive!H482:CI482))</f>
        <v/>
      </c>
      <c r="G482" s="47" t="str">
        <f>IF(archive!G482="","",archive!G482)</f>
        <v/>
      </c>
      <c r="H482" s="51" t="str">
        <f>IF(archive!CJ482="","",archive!CJ482)</f>
        <v/>
      </c>
      <c r="I482" s="51" t="str">
        <f>IF(archive!CK482="","",archive!CK482)</f>
        <v/>
      </c>
      <c r="J482" s="47" t="str">
        <f t="shared" si="101"/>
        <v/>
      </c>
      <c r="K482" s="51" t="str">
        <f t="shared" si="102"/>
        <v/>
      </c>
      <c r="L482" s="52" t="str">
        <f t="shared" si="103"/>
        <v/>
      </c>
      <c r="M482" s="53" t="str">
        <f t="shared" si="104"/>
        <v/>
      </c>
      <c r="N482" s="53" t="str">
        <f t="shared" si="105"/>
        <v/>
      </c>
      <c r="O482" s="53" t="str">
        <f t="shared" si="106"/>
        <v/>
      </c>
      <c r="P482" s="53" t="str">
        <f t="shared" si="107"/>
        <v/>
      </c>
      <c r="Q482" s="53" t="str">
        <f t="shared" si="108"/>
        <v/>
      </c>
      <c r="R482" s="53" t="str">
        <f t="shared" si="109"/>
        <v/>
      </c>
      <c r="S482" s="53" t="str">
        <f t="shared" si="110"/>
        <v/>
      </c>
      <c r="T482" s="53" t="str">
        <f t="shared" si="111"/>
        <v/>
      </c>
    </row>
    <row r="483" spans="1:20">
      <c r="A483" s="47" t="str">
        <f>IF(archive!E483="","",archive!E483)</f>
        <v/>
      </c>
      <c r="B483" s="48" t="str">
        <f t="shared" si="98"/>
        <v/>
      </c>
      <c r="C483" s="49" t="str">
        <f>IF(archive!F483="","",archive!F483)</f>
        <v/>
      </c>
      <c r="D483" s="50" t="str">
        <f t="shared" si="99"/>
        <v/>
      </c>
      <c r="E483" s="50" t="str">
        <f t="shared" si="100"/>
        <v/>
      </c>
      <c r="F483" s="47" t="str">
        <f>IF(COUNTA(archive!H483:CI483)=0,"",COUNTA(archive!H483:CI483))</f>
        <v/>
      </c>
      <c r="G483" s="47" t="str">
        <f>IF(archive!G483="","",archive!G483)</f>
        <v/>
      </c>
      <c r="H483" s="51" t="str">
        <f>IF(archive!CJ483="","",archive!CJ483)</f>
        <v/>
      </c>
      <c r="I483" s="51" t="str">
        <f>IF(archive!CK483="","",archive!CK483)</f>
        <v/>
      </c>
      <c r="J483" s="47" t="str">
        <f t="shared" si="101"/>
        <v/>
      </c>
      <c r="K483" s="51" t="str">
        <f t="shared" si="102"/>
        <v/>
      </c>
      <c r="L483" s="52" t="str">
        <f t="shared" si="103"/>
        <v/>
      </c>
      <c r="M483" s="53" t="str">
        <f t="shared" si="104"/>
        <v/>
      </c>
      <c r="N483" s="53" t="str">
        <f t="shared" si="105"/>
        <v/>
      </c>
      <c r="O483" s="53" t="str">
        <f t="shared" si="106"/>
        <v/>
      </c>
      <c r="P483" s="53" t="str">
        <f t="shared" si="107"/>
        <v/>
      </c>
      <c r="Q483" s="53" t="str">
        <f t="shared" si="108"/>
        <v/>
      </c>
      <c r="R483" s="53" t="str">
        <f t="shared" si="109"/>
        <v/>
      </c>
      <c r="S483" s="53" t="str">
        <f t="shared" si="110"/>
        <v/>
      </c>
      <c r="T483" s="53" t="str">
        <f t="shared" si="111"/>
        <v/>
      </c>
    </row>
    <row r="484" spans="1:20">
      <c r="A484" s="47" t="str">
        <f>IF(archive!E484="","",archive!E484)</f>
        <v/>
      </c>
      <c r="B484" s="48" t="str">
        <f t="shared" si="98"/>
        <v/>
      </c>
      <c r="C484" s="49" t="str">
        <f>IF(archive!F484="","",archive!F484)</f>
        <v/>
      </c>
      <c r="D484" s="50" t="str">
        <f t="shared" si="99"/>
        <v/>
      </c>
      <c r="E484" s="50" t="str">
        <f t="shared" si="100"/>
        <v/>
      </c>
      <c r="F484" s="47" t="str">
        <f>IF(COUNTA(archive!H484:CI484)=0,"",COUNTA(archive!H484:CI484))</f>
        <v/>
      </c>
      <c r="G484" s="47" t="str">
        <f>IF(archive!G484="","",archive!G484)</f>
        <v/>
      </c>
      <c r="H484" s="51" t="str">
        <f>IF(archive!CJ484="","",archive!CJ484)</f>
        <v/>
      </c>
      <c r="I484" s="51" t="str">
        <f>IF(archive!CK484="","",archive!CK484)</f>
        <v/>
      </c>
      <c r="J484" s="47" t="str">
        <f t="shared" si="101"/>
        <v/>
      </c>
      <c r="K484" s="51" t="str">
        <f t="shared" si="102"/>
        <v/>
      </c>
      <c r="L484" s="52" t="str">
        <f t="shared" si="103"/>
        <v/>
      </c>
      <c r="M484" s="53" t="str">
        <f t="shared" si="104"/>
        <v/>
      </c>
      <c r="N484" s="53" t="str">
        <f t="shared" si="105"/>
        <v/>
      </c>
      <c r="O484" s="53" t="str">
        <f t="shared" si="106"/>
        <v/>
      </c>
      <c r="P484" s="53" t="str">
        <f t="shared" si="107"/>
        <v/>
      </c>
      <c r="Q484" s="53" t="str">
        <f t="shared" si="108"/>
        <v/>
      </c>
      <c r="R484" s="53" t="str">
        <f t="shared" si="109"/>
        <v/>
      </c>
      <c r="S484" s="53" t="str">
        <f t="shared" si="110"/>
        <v/>
      </c>
      <c r="T484" s="53" t="str">
        <f t="shared" si="111"/>
        <v/>
      </c>
    </row>
    <row r="485" spans="1:20">
      <c r="A485" s="47" t="str">
        <f>IF(archive!E485="","",archive!E485)</f>
        <v/>
      </c>
      <c r="B485" s="48" t="str">
        <f t="shared" si="98"/>
        <v/>
      </c>
      <c r="C485" s="49" t="str">
        <f>IF(archive!F485="","",archive!F485)</f>
        <v/>
      </c>
      <c r="D485" s="50" t="str">
        <f t="shared" si="99"/>
        <v/>
      </c>
      <c r="E485" s="50" t="str">
        <f t="shared" si="100"/>
        <v/>
      </c>
      <c r="F485" s="47" t="str">
        <f>IF(COUNTA(archive!H485:CI485)=0,"",COUNTA(archive!H485:CI485))</f>
        <v/>
      </c>
      <c r="G485" s="47" t="str">
        <f>IF(archive!G485="","",archive!G485)</f>
        <v/>
      </c>
      <c r="H485" s="51" t="str">
        <f>IF(archive!CJ485="","",archive!CJ485)</f>
        <v/>
      </c>
      <c r="I485" s="51" t="str">
        <f>IF(archive!CK485="","",archive!CK485)</f>
        <v/>
      </c>
      <c r="J485" s="47" t="str">
        <f t="shared" si="101"/>
        <v/>
      </c>
      <c r="K485" s="51" t="str">
        <f t="shared" si="102"/>
        <v/>
      </c>
      <c r="L485" s="52" t="str">
        <f t="shared" si="103"/>
        <v/>
      </c>
      <c r="M485" s="53" t="str">
        <f t="shared" si="104"/>
        <v/>
      </c>
      <c r="N485" s="53" t="str">
        <f t="shared" si="105"/>
        <v/>
      </c>
      <c r="O485" s="53" t="str">
        <f t="shared" si="106"/>
        <v/>
      </c>
      <c r="P485" s="53" t="str">
        <f t="shared" si="107"/>
        <v/>
      </c>
      <c r="Q485" s="53" t="str">
        <f t="shared" si="108"/>
        <v/>
      </c>
      <c r="R485" s="53" t="str">
        <f t="shared" si="109"/>
        <v/>
      </c>
      <c r="S485" s="53" t="str">
        <f t="shared" si="110"/>
        <v/>
      </c>
      <c r="T485" s="53" t="str">
        <f t="shared" si="111"/>
        <v/>
      </c>
    </row>
    <row r="486" spans="1:20">
      <c r="A486" s="47" t="str">
        <f>IF(archive!E486="","",archive!E486)</f>
        <v/>
      </c>
      <c r="B486" s="48" t="str">
        <f t="shared" si="98"/>
        <v/>
      </c>
      <c r="C486" s="49" t="str">
        <f>IF(archive!F486="","",archive!F486)</f>
        <v/>
      </c>
      <c r="D486" s="50" t="str">
        <f t="shared" si="99"/>
        <v/>
      </c>
      <c r="E486" s="50" t="str">
        <f t="shared" si="100"/>
        <v/>
      </c>
      <c r="F486" s="47" t="str">
        <f>IF(COUNTA(archive!H486:CI486)=0,"",COUNTA(archive!H486:CI486))</f>
        <v/>
      </c>
      <c r="G486" s="47" t="str">
        <f>IF(archive!G486="","",archive!G486)</f>
        <v/>
      </c>
      <c r="H486" s="51" t="str">
        <f>IF(archive!CJ486="","",archive!CJ486)</f>
        <v/>
      </c>
      <c r="I486" s="51" t="str">
        <f>IF(archive!CK486="","",archive!CK486)</f>
        <v/>
      </c>
      <c r="J486" s="47" t="str">
        <f t="shared" si="101"/>
        <v/>
      </c>
      <c r="K486" s="51" t="str">
        <f t="shared" si="102"/>
        <v/>
      </c>
      <c r="L486" s="52" t="str">
        <f t="shared" si="103"/>
        <v/>
      </c>
      <c r="M486" s="53" t="str">
        <f t="shared" si="104"/>
        <v/>
      </c>
      <c r="N486" s="53" t="str">
        <f t="shared" si="105"/>
        <v/>
      </c>
      <c r="O486" s="53" t="str">
        <f t="shared" si="106"/>
        <v/>
      </c>
      <c r="P486" s="53" t="str">
        <f t="shared" si="107"/>
        <v/>
      </c>
      <c r="Q486" s="53" t="str">
        <f t="shared" si="108"/>
        <v/>
      </c>
      <c r="R486" s="53" t="str">
        <f t="shared" si="109"/>
        <v/>
      </c>
      <c r="S486" s="53" t="str">
        <f t="shared" si="110"/>
        <v/>
      </c>
      <c r="T486" s="53" t="str">
        <f t="shared" si="111"/>
        <v/>
      </c>
    </row>
    <row r="487" spans="1:20">
      <c r="A487" s="47" t="str">
        <f>IF(archive!E487="","",archive!E487)</f>
        <v/>
      </c>
      <c r="B487" s="48" t="str">
        <f t="shared" si="98"/>
        <v/>
      </c>
      <c r="C487" s="49" t="str">
        <f>IF(archive!F487="","",archive!F487)</f>
        <v/>
      </c>
      <c r="D487" s="50" t="str">
        <f t="shared" si="99"/>
        <v/>
      </c>
      <c r="E487" s="50" t="str">
        <f t="shared" si="100"/>
        <v/>
      </c>
      <c r="F487" s="47" t="str">
        <f>IF(COUNTA(archive!H487:CI487)=0,"",COUNTA(archive!H487:CI487))</f>
        <v/>
      </c>
      <c r="G487" s="47" t="str">
        <f>IF(archive!G487="","",archive!G487)</f>
        <v/>
      </c>
      <c r="H487" s="51" t="str">
        <f>IF(archive!CJ487="","",archive!CJ487)</f>
        <v/>
      </c>
      <c r="I487" s="51" t="str">
        <f>IF(archive!CK487="","",archive!CK487)</f>
        <v/>
      </c>
      <c r="J487" s="47" t="str">
        <f t="shared" si="101"/>
        <v/>
      </c>
      <c r="K487" s="51" t="str">
        <f t="shared" si="102"/>
        <v/>
      </c>
      <c r="L487" s="52" t="str">
        <f t="shared" si="103"/>
        <v/>
      </c>
      <c r="M487" s="53" t="str">
        <f t="shared" si="104"/>
        <v/>
      </c>
      <c r="N487" s="53" t="str">
        <f t="shared" si="105"/>
        <v/>
      </c>
      <c r="O487" s="53" t="str">
        <f t="shared" si="106"/>
        <v/>
      </c>
      <c r="P487" s="53" t="str">
        <f t="shared" si="107"/>
        <v/>
      </c>
      <c r="Q487" s="53" t="str">
        <f t="shared" si="108"/>
        <v/>
      </c>
      <c r="R487" s="53" t="str">
        <f t="shared" si="109"/>
        <v/>
      </c>
      <c r="S487" s="53" t="str">
        <f t="shared" si="110"/>
        <v/>
      </c>
      <c r="T487" s="53" t="str">
        <f t="shared" si="111"/>
        <v/>
      </c>
    </row>
    <row r="488" spans="1:20">
      <c r="A488" s="47" t="str">
        <f>IF(archive!E488="","",archive!E488)</f>
        <v/>
      </c>
      <c r="B488" s="48" t="str">
        <f t="shared" si="98"/>
        <v/>
      </c>
      <c r="C488" s="49" t="str">
        <f>IF(archive!F488="","",archive!F488)</f>
        <v/>
      </c>
      <c r="D488" s="50" t="str">
        <f t="shared" si="99"/>
        <v/>
      </c>
      <c r="E488" s="50" t="str">
        <f t="shared" si="100"/>
        <v/>
      </c>
      <c r="F488" s="47" t="str">
        <f>IF(COUNTA(archive!H488:CI488)=0,"",COUNTA(archive!H488:CI488))</f>
        <v/>
      </c>
      <c r="G488" s="47" t="str">
        <f>IF(archive!G488="","",archive!G488)</f>
        <v/>
      </c>
      <c r="H488" s="51" t="str">
        <f>IF(archive!CJ488="","",archive!CJ488)</f>
        <v/>
      </c>
      <c r="I488" s="51" t="str">
        <f>IF(archive!CK488="","",archive!CK488)</f>
        <v/>
      </c>
      <c r="J488" s="47" t="str">
        <f t="shared" si="101"/>
        <v/>
      </c>
      <c r="K488" s="51" t="str">
        <f t="shared" si="102"/>
        <v/>
      </c>
      <c r="L488" s="52" t="str">
        <f t="shared" si="103"/>
        <v/>
      </c>
      <c r="M488" s="53" t="str">
        <f t="shared" si="104"/>
        <v/>
      </c>
      <c r="N488" s="53" t="str">
        <f t="shared" si="105"/>
        <v/>
      </c>
      <c r="O488" s="53" t="str">
        <f t="shared" si="106"/>
        <v/>
      </c>
      <c r="P488" s="53" t="str">
        <f t="shared" si="107"/>
        <v/>
      </c>
      <c r="Q488" s="53" t="str">
        <f t="shared" si="108"/>
        <v/>
      </c>
      <c r="R488" s="53" t="str">
        <f t="shared" si="109"/>
        <v/>
      </c>
      <c r="S488" s="53" t="str">
        <f t="shared" si="110"/>
        <v/>
      </c>
      <c r="T488" s="53" t="str">
        <f t="shared" si="111"/>
        <v/>
      </c>
    </row>
    <row r="489" spans="1:20">
      <c r="A489" s="47" t="str">
        <f>IF(archive!E489="","",archive!E489)</f>
        <v/>
      </c>
      <c r="B489" s="48" t="str">
        <f t="shared" si="98"/>
        <v/>
      </c>
      <c r="C489" s="49" t="str">
        <f>IF(archive!F489="","",archive!F489)</f>
        <v/>
      </c>
      <c r="D489" s="50" t="str">
        <f t="shared" si="99"/>
        <v/>
      </c>
      <c r="E489" s="50" t="str">
        <f t="shared" si="100"/>
        <v/>
      </c>
      <c r="F489" s="47" t="str">
        <f>IF(COUNTA(archive!H489:CI489)=0,"",COUNTA(archive!H489:CI489))</f>
        <v/>
      </c>
      <c r="G489" s="47" t="str">
        <f>IF(archive!G489="","",archive!G489)</f>
        <v/>
      </c>
      <c r="H489" s="51" t="str">
        <f>IF(archive!CJ489="","",archive!CJ489)</f>
        <v/>
      </c>
      <c r="I489" s="51" t="str">
        <f>IF(archive!CK489="","",archive!CK489)</f>
        <v/>
      </c>
      <c r="J489" s="47" t="str">
        <f t="shared" si="101"/>
        <v/>
      </c>
      <c r="K489" s="51" t="str">
        <f t="shared" si="102"/>
        <v/>
      </c>
      <c r="L489" s="52" t="str">
        <f t="shared" si="103"/>
        <v/>
      </c>
      <c r="M489" s="53" t="str">
        <f t="shared" si="104"/>
        <v/>
      </c>
      <c r="N489" s="53" t="str">
        <f t="shared" si="105"/>
        <v/>
      </c>
      <c r="O489" s="53" t="str">
        <f t="shared" si="106"/>
        <v/>
      </c>
      <c r="P489" s="53" t="str">
        <f t="shared" si="107"/>
        <v/>
      </c>
      <c r="Q489" s="53" t="str">
        <f t="shared" si="108"/>
        <v/>
      </c>
      <c r="R489" s="53" t="str">
        <f t="shared" si="109"/>
        <v/>
      </c>
      <c r="S489" s="53" t="str">
        <f t="shared" si="110"/>
        <v/>
      </c>
      <c r="T489" s="53" t="str">
        <f t="shared" si="111"/>
        <v/>
      </c>
    </row>
    <row r="490" spans="1:20">
      <c r="A490" s="47" t="str">
        <f>IF(archive!E490="","",archive!E490)</f>
        <v/>
      </c>
      <c r="B490" s="48" t="str">
        <f t="shared" si="98"/>
        <v/>
      </c>
      <c r="C490" s="49" t="str">
        <f>IF(archive!F490="","",archive!F490)</f>
        <v/>
      </c>
      <c r="D490" s="50" t="str">
        <f t="shared" si="99"/>
        <v/>
      </c>
      <c r="E490" s="50" t="str">
        <f t="shared" si="100"/>
        <v/>
      </c>
      <c r="F490" s="47" t="str">
        <f>IF(COUNTA(archive!H490:CI490)=0,"",COUNTA(archive!H490:CI490))</f>
        <v/>
      </c>
      <c r="G490" s="47" t="str">
        <f>IF(archive!G490="","",archive!G490)</f>
        <v/>
      </c>
      <c r="H490" s="51" t="str">
        <f>IF(archive!CJ490="","",archive!CJ490)</f>
        <v/>
      </c>
      <c r="I490" s="51" t="str">
        <f>IF(archive!CK490="","",archive!CK490)</f>
        <v/>
      </c>
      <c r="J490" s="47" t="str">
        <f t="shared" si="101"/>
        <v/>
      </c>
      <c r="K490" s="51" t="str">
        <f t="shared" si="102"/>
        <v/>
      </c>
      <c r="L490" s="52" t="str">
        <f t="shared" si="103"/>
        <v/>
      </c>
      <c r="M490" s="53" t="str">
        <f t="shared" si="104"/>
        <v/>
      </c>
      <c r="N490" s="53" t="str">
        <f t="shared" si="105"/>
        <v/>
      </c>
      <c r="O490" s="53" t="str">
        <f t="shared" si="106"/>
        <v/>
      </c>
      <c r="P490" s="53" t="str">
        <f t="shared" si="107"/>
        <v/>
      </c>
      <c r="Q490" s="53" t="str">
        <f t="shared" si="108"/>
        <v/>
      </c>
      <c r="R490" s="53" t="str">
        <f t="shared" si="109"/>
        <v/>
      </c>
      <c r="S490" s="53" t="str">
        <f t="shared" si="110"/>
        <v/>
      </c>
      <c r="T490" s="53" t="str">
        <f t="shared" si="111"/>
        <v/>
      </c>
    </row>
    <row r="491" spans="1:20">
      <c r="A491" s="47" t="str">
        <f>IF(archive!E491="","",archive!E491)</f>
        <v/>
      </c>
      <c r="B491" s="48" t="str">
        <f t="shared" si="98"/>
        <v/>
      </c>
      <c r="C491" s="49" t="str">
        <f>IF(archive!F491="","",archive!F491)</f>
        <v/>
      </c>
      <c r="D491" s="50" t="str">
        <f t="shared" si="99"/>
        <v/>
      </c>
      <c r="E491" s="50" t="str">
        <f t="shared" si="100"/>
        <v/>
      </c>
      <c r="F491" s="47" t="str">
        <f>IF(COUNTA(archive!H491:CI491)=0,"",COUNTA(archive!H491:CI491))</f>
        <v/>
      </c>
      <c r="G491" s="47" t="str">
        <f>IF(archive!G491="","",archive!G491)</f>
        <v/>
      </c>
      <c r="H491" s="51" t="str">
        <f>IF(archive!CJ491="","",archive!CJ491)</f>
        <v/>
      </c>
      <c r="I491" s="51" t="str">
        <f>IF(archive!CK491="","",archive!CK491)</f>
        <v/>
      </c>
      <c r="J491" s="47" t="str">
        <f t="shared" si="101"/>
        <v/>
      </c>
      <c r="K491" s="51" t="str">
        <f t="shared" si="102"/>
        <v/>
      </c>
      <c r="L491" s="52" t="str">
        <f t="shared" si="103"/>
        <v/>
      </c>
      <c r="M491" s="53" t="str">
        <f t="shared" si="104"/>
        <v/>
      </c>
      <c r="N491" s="53" t="str">
        <f t="shared" si="105"/>
        <v/>
      </c>
      <c r="O491" s="53" t="str">
        <f t="shared" si="106"/>
        <v/>
      </c>
      <c r="P491" s="53" t="str">
        <f t="shared" si="107"/>
        <v/>
      </c>
      <c r="Q491" s="53" t="str">
        <f t="shared" si="108"/>
        <v/>
      </c>
      <c r="R491" s="53" t="str">
        <f t="shared" si="109"/>
        <v/>
      </c>
      <c r="S491" s="53" t="str">
        <f t="shared" si="110"/>
        <v/>
      </c>
      <c r="T491" s="53" t="str">
        <f t="shared" si="111"/>
        <v/>
      </c>
    </row>
    <row r="492" spans="1:20">
      <c r="A492" s="47" t="str">
        <f>IF(archive!E492="","",archive!E492)</f>
        <v/>
      </c>
      <c r="B492" s="48" t="str">
        <f t="shared" si="98"/>
        <v/>
      </c>
      <c r="C492" s="49" t="str">
        <f>IF(archive!F492="","",archive!F492)</f>
        <v/>
      </c>
      <c r="D492" s="50" t="str">
        <f t="shared" si="99"/>
        <v/>
      </c>
      <c r="E492" s="50" t="str">
        <f t="shared" si="100"/>
        <v/>
      </c>
      <c r="F492" s="47" t="str">
        <f>IF(COUNTA(archive!H492:CI492)=0,"",COUNTA(archive!H492:CI492))</f>
        <v/>
      </c>
      <c r="G492" s="47" t="str">
        <f>IF(archive!G492="","",archive!G492)</f>
        <v/>
      </c>
      <c r="H492" s="51" t="str">
        <f>IF(archive!CJ492="","",archive!CJ492)</f>
        <v/>
      </c>
      <c r="I492" s="51" t="str">
        <f>IF(archive!CK492="","",archive!CK492)</f>
        <v/>
      </c>
      <c r="J492" s="47" t="str">
        <f t="shared" si="101"/>
        <v/>
      </c>
      <c r="K492" s="51" t="str">
        <f t="shared" si="102"/>
        <v/>
      </c>
      <c r="L492" s="52" t="str">
        <f t="shared" si="103"/>
        <v/>
      </c>
      <c r="M492" s="53" t="str">
        <f t="shared" si="104"/>
        <v/>
      </c>
      <c r="N492" s="53" t="str">
        <f t="shared" si="105"/>
        <v/>
      </c>
      <c r="O492" s="53" t="str">
        <f t="shared" si="106"/>
        <v/>
      </c>
      <c r="P492" s="53" t="str">
        <f t="shared" si="107"/>
        <v/>
      </c>
      <c r="Q492" s="53" t="str">
        <f t="shared" si="108"/>
        <v/>
      </c>
      <c r="R492" s="53" t="str">
        <f t="shared" si="109"/>
        <v/>
      </c>
      <c r="S492" s="53" t="str">
        <f t="shared" si="110"/>
        <v/>
      </c>
      <c r="T492" s="53" t="str">
        <f t="shared" si="111"/>
        <v/>
      </c>
    </row>
    <row r="493" spans="1:20">
      <c r="A493" s="47" t="str">
        <f>IF(archive!E493="","",archive!E493)</f>
        <v/>
      </c>
      <c r="B493" s="48" t="str">
        <f t="shared" si="98"/>
        <v/>
      </c>
      <c r="C493" s="49" t="str">
        <f>IF(archive!F493="","",archive!F493)</f>
        <v/>
      </c>
      <c r="D493" s="50" t="str">
        <f t="shared" si="99"/>
        <v/>
      </c>
      <c r="E493" s="50" t="str">
        <f t="shared" si="100"/>
        <v/>
      </c>
      <c r="F493" s="47" t="str">
        <f>IF(COUNTA(archive!H493:CI493)=0,"",COUNTA(archive!H493:CI493))</f>
        <v/>
      </c>
      <c r="G493" s="47" t="str">
        <f>IF(archive!G493="","",archive!G493)</f>
        <v/>
      </c>
      <c r="H493" s="51" t="str">
        <f>IF(archive!CJ493="","",archive!CJ493)</f>
        <v/>
      </c>
      <c r="I493" s="51" t="str">
        <f>IF(archive!CK493="","",archive!CK493)</f>
        <v/>
      </c>
      <c r="J493" s="47" t="str">
        <f t="shared" si="101"/>
        <v/>
      </c>
      <c r="K493" s="51" t="str">
        <f t="shared" si="102"/>
        <v/>
      </c>
      <c r="L493" s="52" t="str">
        <f t="shared" si="103"/>
        <v/>
      </c>
      <c r="M493" s="53" t="str">
        <f t="shared" si="104"/>
        <v/>
      </c>
      <c r="N493" s="53" t="str">
        <f t="shared" si="105"/>
        <v/>
      </c>
      <c r="O493" s="53" t="str">
        <f t="shared" si="106"/>
        <v/>
      </c>
      <c r="P493" s="53" t="str">
        <f t="shared" si="107"/>
        <v/>
      </c>
      <c r="Q493" s="53" t="str">
        <f t="shared" si="108"/>
        <v/>
      </c>
      <c r="R493" s="53" t="str">
        <f t="shared" si="109"/>
        <v/>
      </c>
      <c r="S493" s="53" t="str">
        <f t="shared" si="110"/>
        <v/>
      </c>
      <c r="T493" s="53" t="str">
        <f t="shared" si="111"/>
        <v/>
      </c>
    </row>
    <row r="494" spans="1:20">
      <c r="A494" s="47" t="str">
        <f>IF(archive!E494="","",archive!E494)</f>
        <v/>
      </c>
      <c r="B494" s="48" t="str">
        <f t="shared" si="98"/>
        <v/>
      </c>
      <c r="C494" s="49" t="str">
        <f>IF(archive!F494="","",archive!F494)</f>
        <v/>
      </c>
      <c r="D494" s="50" t="str">
        <f t="shared" si="99"/>
        <v/>
      </c>
      <c r="E494" s="50" t="str">
        <f t="shared" si="100"/>
        <v/>
      </c>
      <c r="F494" s="47" t="str">
        <f>IF(COUNTA(archive!H494:CI494)=0,"",COUNTA(archive!H494:CI494))</f>
        <v/>
      </c>
      <c r="G494" s="47" t="str">
        <f>IF(archive!G494="","",archive!G494)</f>
        <v/>
      </c>
      <c r="H494" s="51" t="str">
        <f>IF(archive!CJ494="","",archive!CJ494)</f>
        <v/>
      </c>
      <c r="I494" s="51" t="str">
        <f>IF(archive!CK494="","",archive!CK494)</f>
        <v/>
      </c>
      <c r="J494" s="47" t="str">
        <f t="shared" si="101"/>
        <v/>
      </c>
      <c r="K494" s="51" t="str">
        <f t="shared" si="102"/>
        <v/>
      </c>
      <c r="L494" s="52" t="str">
        <f t="shared" si="103"/>
        <v/>
      </c>
      <c r="M494" s="53" t="str">
        <f t="shared" si="104"/>
        <v/>
      </c>
      <c r="N494" s="53" t="str">
        <f t="shared" si="105"/>
        <v/>
      </c>
      <c r="O494" s="53" t="str">
        <f t="shared" si="106"/>
        <v/>
      </c>
      <c r="P494" s="53" t="str">
        <f t="shared" si="107"/>
        <v/>
      </c>
      <c r="Q494" s="53" t="str">
        <f t="shared" si="108"/>
        <v/>
      </c>
      <c r="R494" s="53" t="str">
        <f t="shared" si="109"/>
        <v/>
      </c>
      <c r="S494" s="53" t="str">
        <f t="shared" si="110"/>
        <v/>
      </c>
      <c r="T494" s="53" t="str">
        <f t="shared" si="111"/>
        <v/>
      </c>
    </row>
    <row r="495" spans="1:20">
      <c r="A495" s="47" t="str">
        <f>IF(archive!E495="","",archive!E495)</f>
        <v/>
      </c>
      <c r="B495" s="48" t="str">
        <f t="shared" si="98"/>
        <v/>
      </c>
      <c r="C495" s="49" t="str">
        <f>IF(archive!F495="","",archive!F495)</f>
        <v/>
      </c>
      <c r="D495" s="50" t="str">
        <f t="shared" si="99"/>
        <v/>
      </c>
      <c r="E495" s="50" t="str">
        <f t="shared" si="100"/>
        <v/>
      </c>
      <c r="F495" s="47" t="str">
        <f>IF(COUNTA(archive!H495:CI495)=0,"",COUNTA(archive!H495:CI495))</f>
        <v/>
      </c>
      <c r="G495" s="47" t="str">
        <f>IF(archive!G495="","",archive!G495)</f>
        <v/>
      </c>
      <c r="H495" s="51" t="str">
        <f>IF(archive!CJ495="","",archive!CJ495)</f>
        <v/>
      </c>
      <c r="I495" s="51" t="str">
        <f>IF(archive!CK495="","",archive!CK495)</f>
        <v/>
      </c>
      <c r="J495" s="47" t="str">
        <f t="shared" si="101"/>
        <v/>
      </c>
      <c r="K495" s="51" t="str">
        <f t="shared" si="102"/>
        <v/>
      </c>
      <c r="L495" s="52" t="str">
        <f t="shared" si="103"/>
        <v/>
      </c>
      <c r="M495" s="53" t="str">
        <f t="shared" si="104"/>
        <v/>
      </c>
      <c r="N495" s="53" t="str">
        <f t="shared" si="105"/>
        <v/>
      </c>
      <c r="O495" s="53" t="str">
        <f t="shared" si="106"/>
        <v/>
      </c>
      <c r="P495" s="53" t="str">
        <f t="shared" si="107"/>
        <v/>
      </c>
      <c r="Q495" s="53" t="str">
        <f t="shared" si="108"/>
        <v/>
      </c>
      <c r="R495" s="53" t="str">
        <f t="shared" si="109"/>
        <v/>
      </c>
      <c r="S495" s="53" t="str">
        <f t="shared" si="110"/>
        <v/>
      </c>
      <c r="T495" s="53" t="str">
        <f t="shared" si="111"/>
        <v/>
      </c>
    </row>
    <row r="496" spans="1:20">
      <c r="A496" s="47" t="str">
        <f>IF(archive!E496="","",archive!E496)</f>
        <v/>
      </c>
      <c r="B496" s="48" t="str">
        <f t="shared" si="98"/>
        <v/>
      </c>
      <c r="C496" s="49" t="str">
        <f>IF(archive!F496="","",archive!F496)</f>
        <v/>
      </c>
      <c r="D496" s="50" t="str">
        <f t="shared" si="99"/>
        <v/>
      </c>
      <c r="E496" s="50" t="str">
        <f t="shared" si="100"/>
        <v/>
      </c>
      <c r="F496" s="47" t="str">
        <f>IF(COUNTA(archive!H496:CI496)=0,"",COUNTA(archive!H496:CI496))</f>
        <v/>
      </c>
      <c r="G496" s="47" t="str">
        <f>IF(archive!G496="","",archive!G496)</f>
        <v/>
      </c>
      <c r="H496" s="51" t="str">
        <f>IF(archive!CJ496="","",archive!CJ496)</f>
        <v/>
      </c>
      <c r="I496" s="51" t="str">
        <f>IF(archive!CK496="","",archive!CK496)</f>
        <v/>
      </c>
      <c r="J496" s="47" t="str">
        <f t="shared" si="101"/>
        <v/>
      </c>
      <c r="K496" s="51" t="str">
        <f t="shared" si="102"/>
        <v/>
      </c>
      <c r="L496" s="52" t="str">
        <f t="shared" si="103"/>
        <v/>
      </c>
      <c r="M496" s="53" t="str">
        <f t="shared" si="104"/>
        <v/>
      </c>
      <c r="N496" s="53" t="str">
        <f t="shared" si="105"/>
        <v/>
      </c>
      <c r="O496" s="53" t="str">
        <f t="shared" si="106"/>
        <v/>
      </c>
      <c r="P496" s="53" t="str">
        <f t="shared" si="107"/>
        <v/>
      </c>
      <c r="Q496" s="53" t="str">
        <f t="shared" si="108"/>
        <v/>
      </c>
      <c r="R496" s="53" t="str">
        <f t="shared" si="109"/>
        <v/>
      </c>
      <c r="S496" s="53" t="str">
        <f t="shared" si="110"/>
        <v/>
      </c>
      <c r="T496" s="53" t="str">
        <f t="shared" si="111"/>
        <v/>
      </c>
    </row>
    <row r="497" spans="1:20">
      <c r="A497" s="47" t="str">
        <f>IF(archive!E497="","",archive!E497)</f>
        <v/>
      </c>
      <c r="B497" s="48" t="str">
        <f t="shared" si="98"/>
        <v/>
      </c>
      <c r="C497" s="49" t="str">
        <f>IF(archive!F497="","",archive!F497)</f>
        <v/>
      </c>
      <c r="D497" s="50" t="str">
        <f t="shared" si="99"/>
        <v/>
      </c>
      <c r="E497" s="50" t="str">
        <f t="shared" si="100"/>
        <v/>
      </c>
      <c r="F497" s="47" t="str">
        <f>IF(COUNTA(archive!H497:CI497)=0,"",COUNTA(archive!H497:CI497))</f>
        <v/>
      </c>
      <c r="G497" s="47" t="str">
        <f>IF(archive!G497="","",archive!G497)</f>
        <v/>
      </c>
      <c r="H497" s="51" t="str">
        <f>IF(archive!CJ497="","",archive!CJ497)</f>
        <v/>
      </c>
      <c r="I497" s="51" t="str">
        <f>IF(archive!CK497="","",archive!CK497)</f>
        <v/>
      </c>
      <c r="J497" s="47" t="str">
        <f t="shared" si="101"/>
        <v/>
      </c>
      <c r="K497" s="51" t="str">
        <f t="shared" si="102"/>
        <v/>
      </c>
      <c r="L497" s="52" t="str">
        <f t="shared" si="103"/>
        <v/>
      </c>
      <c r="M497" s="53" t="str">
        <f t="shared" si="104"/>
        <v/>
      </c>
      <c r="N497" s="53" t="str">
        <f t="shared" si="105"/>
        <v/>
      </c>
      <c r="O497" s="53" t="str">
        <f t="shared" si="106"/>
        <v/>
      </c>
      <c r="P497" s="53" t="str">
        <f t="shared" si="107"/>
        <v/>
      </c>
      <c r="Q497" s="53" t="str">
        <f t="shared" si="108"/>
        <v/>
      </c>
      <c r="R497" s="53" t="str">
        <f t="shared" si="109"/>
        <v/>
      </c>
      <c r="S497" s="53" t="str">
        <f t="shared" si="110"/>
        <v/>
      </c>
      <c r="T497" s="53" t="str">
        <f t="shared" si="111"/>
        <v/>
      </c>
    </row>
    <row r="498" spans="1:20">
      <c r="A498" s="47" t="str">
        <f>IF(archive!E498="","",archive!E498)</f>
        <v/>
      </c>
      <c r="B498" s="48" t="str">
        <f t="shared" si="98"/>
        <v/>
      </c>
      <c r="C498" s="49" t="str">
        <f>IF(archive!F498="","",archive!F498)</f>
        <v/>
      </c>
      <c r="D498" s="50" t="str">
        <f t="shared" si="99"/>
        <v/>
      </c>
      <c r="E498" s="50" t="str">
        <f t="shared" si="100"/>
        <v/>
      </c>
      <c r="F498" s="47" t="str">
        <f>IF(COUNTA(archive!H498:CI498)=0,"",COUNTA(archive!H498:CI498))</f>
        <v/>
      </c>
      <c r="G498" s="47" t="str">
        <f>IF(archive!G498="","",archive!G498)</f>
        <v/>
      </c>
      <c r="H498" s="51" t="str">
        <f>IF(archive!CJ498="","",archive!CJ498)</f>
        <v/>
      </c>
      <c r="I498" s="51" t="str">
        <f>IF(archive!CK498="","",archive!CK498)</f>
        <v/>
      </c>
      <c r="J498" s="47" t="str">
        <f t="shared" si="101"/>
        <v/>
      </c>
      <c r="K498" s="51" t="str">
        <f t="shared" si="102"/>
        <v/>
      </c>
      <c r="L498" s="52" t="str">
        <f t="shared" si="103"/>
        <v/>
      </c>
      <c r="M498" s="53" t="str">
        <f t="shared" si="104"/>
        <v/>
      </c>
      <c r="N498" s="53" t="str">
        <f t="shared" si="105"/>
        <v/>
      </c>
      <c r="O498" s="53" t="str">
        <f t="shared" si="106"/>
        <v/>
      </c>
      <c r="P498" s="53" t="str">
        <f t="shared" si="107"/>
        <v/>
      </c>
      <c r="Q498" s="53" t="str">
        <f t="shared" si="108"/>
        <v/>
      </c>
      <c r="R498" s="53" t="str">
        <f t="shared" si="109"/>
        <v/>
      </c>
      <c r="S498" s="53" t="str">
        <f t="shared" si="110"/>
        <v/>
      </c>
      <c r="T498" s="53" t="str">
        <f t="shared" si="111"/>
        <v/>
      </c>
    </row>
    <row r="499" spans="1:20">
      <c r="A499" s="47" t="str">
        <f>IF(archive!E499="","",archive!E499)</f>
        <v/>
      </c>
      <c r="B499" s="48" t="str">
        <f t="shared" si="98"/>
        <v/>
      </c>
      <c r="C499" s="49" t="str">
        <f>IF(archive!F499="","",archive!F499)</f>
        <v/>
      </c>
      <c r="D499" s="50" t="str">
        <f t="shared" si="99"/>
        <v/>
      </c>
      <c r="E499" s="50" t="str">
        <f t="shared" si="100"/>
        <v/>
      </c>
      <c r="F499" s="47" t="str">
        <f>IF(COUNTA(archive!H499:CI499)=0,"",COUNTA(archive!H499:CI499))</f>
        <v/>
      </c>
      <c r="G499" s="47" t="str">
        <f>IF(archive!G499="","",archive!G499)</f>
        <v/>
      </c>
      <c r="H499" s="51" t="str">
        <f>IF(archive!CJ499="","",archive!CJ499)</f>
        <v/>
      </c>
      <c r="I499" s="51" t="str">
        <f>IF(archive!CK499="","",archive!CK499)</f>
        <v/>
      </c>
      <c r="J499" s="47" t="str">
        <f t="shared" si="101"/>
        <v/>
      </c>
      <c r="K499" s="51" t="str">
        <f t="shared" si="102"/>
        <v/>
      </c>
      <c r="L499" s="52" t="str">
        <f t="shared" si="103"/>
        <v/>
      </c>
      <c r="M499" s="53" t="str">
        <f t="shared" si="104"/>
        <v/>
      </c>
      <c r="N499" s="53" t="str">
        <f t="shared" si="105"/>
        <v/>
      </c>
      <c r="O499" s="53" t="str">
        <f t="shared" si="106"/>
        <v/>
      </c>
      <c r="P499" s="53" t="str">
        <f t="shared" si="107"/>
        <v/>
      </c>
      <c r="Q499" s="53" t="str">
        <f t="shared" si="108"/>
        <v/>
      </c>
      <c r="R499" s="53" t="str">
        <f t="shared" si="109"/>
        <v/>
      </c>
      <c r="S499" s="53" t="str">
        <f t="shared" si="110"/>
        <v/>
      </c>
      <c r="T499" s="53" t="str">
        <f t="shared" si="111"/>
        <v/>
      </c>
    </row>
    <row r="500" spans="1:20">
      <c r="A500" s="47" t="str">
        <f>IF(archive!E500="","",archive!E500)</f>
        <v/>
      </c>
      <c r="B500" s="48" t="str">
        <f t="shared" si="98"/>
        <v/>
      </c>
      <c r="C500" s="49" t="str">
        <f>IF(archive!F500="","",archive!F500)</f>
        <v/>
      </c>
      <c r="D500" s="50" t="str">
        <f t="shared" si="99"/>
        <v/>
      </c>
      <c r="E500" s="50" t="str">
        <f t="shared" si="100"/>
        <v/>
      </c>
      <c r="F500" s="47" t="str">
        <f>IF(COUNTA(archive!H500:CI500)=0,"",COUNTA(archive!H500:CI500))</f>
        <v/>
      </c>
      <c r="G500" s="47" t="str">
        <f>IF(archive!G500="","",archive!G500)</f>
        <v/>
      </c>
      <c r="H500" s="51" t="str">
        <f>IF(archive!CJ500="","",archive!CJ500)</f>
        <v/>
      </c>
      <c r="I500" s="51" t="str">
        <f>IF(archive!CK500="","",archive!CK500)</f>
        <v/>
      </c>
      <c r="J500" s="47" t="str">
        <f t="shared" si="101"/>
        <v/>
      </c>
      <c r="K500" s="51" t="str">
        <f t="shared" si="102"/>
        <v/>
      </c>
      <c r="L500" s="52" t="str">
        <f t="shared" si="103"/>
        <v/>
      </c>
      <c r="M500" s="53" t="str">
        <f t="shared" si="104"/>
        <v/>
      </c>
      <c r="N500" s="53" t="str">
        <f t="shared" si="105"/>
        <v/>
      </c>
      <c r="O500" s="53" t="str">
        <f t="shared" si="106"/>
        <v/>
      </c>
      <c r="P500" s="53" t="str">
        <f t="shared" si="107"/>
        <v/>
      </c>
      <c r="Q500" s="53" t="str">
        <f t="shared" si="108"/>
        <v/>
      </c>
      <c r="R500" s="53" t="str">
        <f t="shared" si="109"/>
        <v/>
      </c>
      <c r="S500" s="53" t="str">
        <f t="shared" si="110"/>
        <v/>
      </c>
      <c r="T500" s="53" t="str">
        <f t="shared" si="111"/>
        <v/>
      </c>
    </row>
    <row r="501" spans="1:20">
      <c r="A501" s="47" t="str">
        <f>IF(archive!E501="","",archive!E501)</f>
        <v/>
      </c>
      <c r="B501" s="48" t="str">
        <f t="shared" si="98"/>
        <v/>
      </c>
      <c r="C501" s="49" t="str">
        <f>IF(archive!F501="","",archive!F501)</f>
        <v/>
      </c>
      <c r="D501" s="50" t="str">
        <f t="shared" si="99"/>
        <v/>
      </c>
      <c r="E501" s="50" t="str">
        <f t="shared" si="100"/>
        <v/>
      </c>
      <c r="F501" s="47" t="str">
        <f>IF(COUNTA(archive!H501:CI501)=0,"",COUNTA(archive!H501:CI501))</f>
        <v/>
      </c>
      <c r="G501" s="47" t="str">
        <f>IF(archive!G501="","",archive!G501)</f>
        <v/>
      </c>
      <c r="H501" s="51" t="str">
        <f>IF(archive!CJ501="","",archive!CJ501)</f>
        <v/>
      </c>
      <c r="I501" s="51" t="str">
        <f>IF(archive!CK501="","",archive!CK501)</f>
        <v/>
      </c>
      <c r="J501" s="47" t="str">
        <f t="shared" si="101"/>
        <v/>
      </c>
      <c r="K501" s="51" t="str">
        <f t="shared" si="102"/>
        <v/>
      </c>
      <c r="L501" s="52" t="str">
        <f t="shared" si="103"/>
        <v/>
      </c>
      <c r="M501" s="53" t="str">
        <f t="shared" si="104"/>
        <v/>
      </c>
      <c r="N501" s="53" t="str">
        <f t="shared" si="105"/>
        <v/>
      </c>
      <c r="O501" s="53" t="str">
        <f t="shared" si="106"/>
        <v/>
      </c>
      <c r="P501" s="53" t="str">
        <f t="shared" si="107"/>
        <v/>
      </c>
      <c r="Q501" s="53" t="str">
        <f t="shared" si="108"/>
        <v/>
      </c>
      <c r="R501" s="53" t="str">
        <f t="shared" si="109"/>
        <v/>
      </c>
      <c r="S501" s="53" t="str">
        <f t="shared" si="110"/>
        <v/>
      </c>
      <c r="T501" s="53" t="str">
        <f t="shared" si="111"/>
        <v/>
      </c>
    </row>
    <row r="502" spans="1:20">
      <c r="A502" s="47" t="str">
        <f>IF(archive!E502="","",archive!E502)</f>
        <v/>
      </c>
      <c r="B502" s="48" t="str">
        <f t="shared" si="98"/>
        <v/>
      </c>
      <c r="C502" s="49" t="str">
        <f>IF(archive!F502="","",archive!F502)</f>
        <v/>
      </c>
      <c r="D502" s="50" t="str">
        <f t="shared" si="99"/>
        <v/>
      </c>
      <c r="E502" s="50" t="str">
        <f t="shared" si="100"/>
        <v/>
      </c>
      <c r="F502" s="47" t="str">
        <f>IF(COUNTA(archive!H502:CI502)=0,"",COUNTA(archive!H502:CI502))</f>
        <v/>
      </c>
      <c r="G502" s="47" t="str">
        <f>IF(archive!G502="","",archive!G502)</f>
        <v/>
      </c>
      <c r="H502" s="51" t="str">
        <f>IF(archive!CJ502="","",archive!CJ502)</f>
        <v/>
      </c>
      <c r="I502" s="51" t="str">
        <f>IF(archive!CK502="","",archive!CK502)</f>
        <v/>
      </c>
      <c r="J502" s="47" t="str">
        <f t="shared" si="101"/>
        <v/>
      </c>
      <c r="K502" s="51" t="str">
        <f t="shared" si="102"/>
        <v/>
      </c>
      <c r="L502" s="52" t="str">
        <f t="shared" si="103"/>
        <v/>
      </c>
      <c r="M502" s="53" t="str">
        <f t="shared" si="104"/>
        <v/>
      </c>
      <c r="N502" s="53" t="str">
        <f t="shared" si="105"/>
        <v/>
      </c>
      <c r="O502" s="53" t="str">
        <f t="shared" si="106"/>
        <v/>
      </c>
      <c r="P502" s="53" t="str">
        <f t="shared" si="107"/>
        <v/>
      </c>
      <c r="Q502" s="53" t="str">
        <f t="shared" si="108"/>
        <v/>
      </c>
      <c r="R502" s="53" t="str">
        <f t="shared" si="109"/>
        <v/>
      </c>
      <c r="S502" s="53" t="str">
        <f t="shared" si="110"/>
        <v/>
      </c>
      <c r="T502" s="53" t="str">
        <f t="shared" si="111"/>
        <v/>
      </c>
    </row>
    <row r="503" spans="1:20">
      <c r="A503" s="47" t="str">
        <f>IF(archive!E503="","",archive!E503)</f>
        <v/>
      </c>
      <c r="B503" s="48" t="str">
        <f t="shared" si="98"/>
        <v/>
      </c>
      <c r="C503" s="49" t="str">
        <f>IF(archive!F503="","",archive!F503)</f>
        <v/>
      </c>
      <c r="D503" s="50" t="str">
        <f t="shared" si="99"/>
        <v/>
      </c>
      <c r="E503" s="50" t="str">
        <f t="shared" si="100"/>
        <v/>
      </c>
      <c r="F503" s="47" t="str">
        <f>IF(COUNTA(archive!H503:CI503)=0,"",COUNTA(archive!H503:CI503))</f>
        <v/>
      </c>
      <c r="G503" s="47" t="str">
        <f>IF(archive!G503="","",archive!G503)</f>
        <v/>
      </c>
      <c r="H503" s="51" t="str">
        <f>IF(archive!CJ503="","",archive!CJ503)</f>
        <v/>
      </c>
      <c r="I503" s="51" t="str">
        <f>IF(archive!CK503="","",archive!CK503)</f>
        <v/>
      </c>
      <c r="J503" s="47" t="str">
        <f t="shared" si="101"/>
        <v/>
      </c>
      <c r="K503" s="51" t="str">
        <f t="shared" si="102"/>
        <v/>
      </c>
      <c r="L503" s="52" t="str">
        <f t="shared" si="103"/>
        <v/>
      </c>
      <c r="M503" s="53" t="str">
        <f t="shared" si="104"/>
        <v/>
      </c>
      <c r="N503" s="53" t="str">
        <f t="shared" si="105"/>
        <v/>
      </c>
      <c r="O503" s="53" t="str">
        <f t="shared" si="106"/>
        <v/>
      </c>
      <c r="P503" s="53" t="str">
        <f t="shared" si="107"/>
        <v/>
      </c>
      <c r="Q503" s="53" t="str">
        <f t="shared" si="108"/>
        <v/>
      </c>
      <c r="R503" s="53" t="str">
        <f t="shared" si="109"/>
        <v/>
      </c>
      <c r="S503" s="53" t="str">
        <f t="shared" si="110"/>
        <v/>
      </c>
      <c r="T503" s="53" t="str">
        <f t="shared" si="111"/>
        <v/>
      </c>
    </row>
    <row r="504" spans="1:20">
      <c r="A504" s="47" t="str">
        <f>IF(archive!E504="","",archive!E504)</f>
        <v/>
      </c>
      <c r="B504" s="48" t="str">
        <f t="shared" si="98"/>
        <v/>
      </c>
      <c r="C504" s="49" t="str">
        <f>IF(archive!F504="","",archive!F504)</f>
        <v/>
      </c>
      <c r="D504" s="50" t="str">
        <f t="shared" si="99"/>
        <v/>
      </c>
      <c r="E504" s="50" t="str">
        <f t="shared" si="100"/>
        <v/>
      </c>
      <c r="F504" s="47" t="str">
        <f>IF(COUNTA(archive!H504:CI504)=0,"",COUNTA(archive!H504:CI504))</f>
        <v/>
      </c>
      <c r="G504" s="47" t="str">
        <f>IF(archive!G504="","",archive!G504)</f>
        <v/>
      </c>
      <c r="H504" s="51" t="str">
        <f>IF(archive!CJ504="","",archive!CJ504)</f>
        <v/>
      </c>
      <c r="I504" s="51" t="str">
        <f>IF(archive!CK504="","",archive!CK504)</f>
        <v/>
      </c>
      <c r="J504" s="47" t="str">
        <f t="shared" si="101"/>
        <v/>
      </c>
      <c r="K504" s="51" t="str">
        <f t="shared" si="102"/>
        <v/>
      </c>
      <c r="L504" s="52" t="str">
        <f t="shared" si="103"/>
        <v/>
      </c>
      <c r="M504" s="53" t="str">
        <f t="shared" si="104"/>
        <v/>
      </c>
      <c r="N504" s="53" t="str">
        <f t="shared" si="105"/>
        <v/>
      </c>
      <c r="O504" s="53" t="str">
        <f t="shared" si="106"/>
        <v/>
      </c>
      <c r="P504" s="53" t="str">
        <f t="shared" si="107"/>
        <v/>
      </c>
      <c r="Q504" s="53" t="str">
        <f t="shared" si="108"/>
        <v/>
      </c>
      <c r="R504" s="53" t="str">
        <f t="shared" si="109"/>
        <v/>
      </c>
      <c r="S504" s="53" t="str">
        <f t="shared" si="110"/>
        <v/>
      </c>
      <c r="T504" s="53" t="str">
        <f t="shared" si="111"/>
        <v/>
      </c>
    </row>
    <row r="505" spans="1:20">
      <c r="A505" s="47" t="str">
        <f>IF(archive!E505="","",archive!E505)</f>
        <v/>
      </c>
      <c r="B505" s="48" t="str">
        <f t="shared" si="98"/>
        <v/>
      </c>
      <c r="C505" s="49" t="str">
        <f>IF(archive!F505="","",archive!F505)</f>
        <v/>
      </c>
      <c r="D505" s="50" t="str">
        <f t="shared" si="99"/>
        <v/>
      </c>
      <c r="E505" s="50" t="str">
        <f t="shared" si="100"/>
        <v/>
      </c>
      <c r="F505" s="47" t="str">
        <f>IF(COUNTA(archive!H505:CI505)=0,"",COUNTA(archive!H505:CI505))</f>
        <v/>
      </c>
      <c r="G505" s="47" t="str">
        <f>IF(archive!G505="","",archive!G505)</f>
        <v/>
      </c>
      <c r="H505" s="51" t="str">
        <f>IF(archive!CJ505="","",archive!CJ505)</f>
        <v/>
      </c>
      <c r="I505" s="51" t="str">
        <f>IF(archive!CK505="","",archive!CK505)</f>
        <v/>
      </c>
      <c r="J505" s="47" t="str">
        <f t="shared" si="101"/>
        <v/>
      </c>
      <c r="K505" s="51" t="str">
        <f t="shared" si="102"/>
        <v/>
      </c>
      <c r="L505" s="52" t="str">
        <f t="shared" si="103"/>
        <v/>
      </c>
      <c r="M505" s="53" t="str">
        <f t="shared" si="104"/>
        <v/>
      </c>
      <c r="N505" s="53" t="str">
        <f t="shared" si="105"/>
        <v/>
      </c>
      <c r="O505" s="53" t="str">
        <f t="shared" si="106"/>
        <v/>
      </c>
      <c r="P505" s="53" t="str">
        <f t="shared" si="107"/>
        <v/>
      </c>
      <c r="Q505" s="53" t="str">
        <f t="shared" si="108"/>
        <v/>
      </c>
      <c r="R505" s="53" t="str">
        <f t="shared" si="109"/>
        <v/>
      </c>
      <c r="S505" s="53" t="str">
        <f t="shared" si="110"/>
        <v/>
      </c>
      <c r="T505" s="53" t="str">
        <f t="shared" si="111"/>
        <v/>
      </c>
    </row>
    <row r="506" spans="1:20">
      <c r="A506" s="47" t="str">
        <f>IF(archive!E506="","",archive!E506)</f>
        <v/>
      </c>
      <c r="B506" s="48" t="str">
        <f t="shared" si="98"/>
        <v/>
      </c>
      <c r="C506" s="49" t="str">
        <f>IF(archive!F506="","",archive!F506)</f>
        <v/>
      </c>
      <c r="D506" s="50" t="str">
        <f t="shared" si="99"/>
        <v/>
      </c>
      <c r="E506" s="50" t="str">
        <f t="shared" si="100"/>
        <v/>
      </c>
      <c r="F506" s="47" t="str">
        <f>IF(COUNTA(archive!H506:CI506)=0,"",COUNTA(archive!H506:CI506))</f>
        <v/>
      </c>
      <c r="G506" s="47" t="str">
        <f>IF(archive!G506="","",archive!G506)</f>
        <v/>
      </c>
      <c r="H506" s="51" t="str">
        <f>IF(archive!CJ506="","",archive!CJ506)</f>
        <v/>
      </c>
      <c r="I506" s="51" t="str">
        <f>IF(archive!CK506="","",archive!CK506)</f>
        <v/>
      </c>
      <c r="J506" s="47" t="str">
        <f t="shared" si="101"/>
        <v/>
      </c>
      <c r="K506" s="51" t="str">
        <f t="shared" si="102"/>
        <v/>
      </c>
      <c r="L506" s="52" t="str">
        <f t="shared" si="103"/>
        <v/>
      </c>
      <c r="M506" s="53" t="str">
        <f t="shared" si="104"/>
        <v/>
      </c>
      <c r="N506" s="53" t="str">
        <f t="shared" si="105"/>
        <v/>
      </c>
      <c r="O506" s="53" t="str">
        <f t="shared" si="106"/>
        <v/>
      </c>
      <c r="P506" s="53" t="str">
        <f t="shared" si="107"/>
        <v/>
      </c>
      <c r="Q506" s="53" t="str">
        <f t="shared" si="108"/>
        <v/>
      </c>
      <c r="R506" s="53" t="str">
        <f t="shared" si="109"/>
        <v/>
      </c>
      <c r="S506" s="53" t="str">
        <f t="shared" si="110"/>
        <v/>
      </c>
      <c r="T506" s="53" t="str">
        <f t="shared" si="111"/>
        <v/>
      </c>
    </row>
    <row r="507" spans="1:20">
      <c r="A507" s="47" t="str">
        <f>IF(archive!E507="","",archive!E507)</f>
        <v/>
      </c>
      <c r="B507" s="48" t="str">
        <f t="shared" si="98"/>
        <v/>
      </c>
      <c r="C507" s="49" t="str">
        <f>IF(archive!F507="","",archive!F507)</f>
        <v/>
      </c>
      <c r="D507" s="50" t="str">
        <f t="shared" si="99"/>
        <v/>
      </c>
      <c r="E507" s="50" t="str">
        <f t="shared" si="100"/>
        <v/>
      </c>
      <c r="F507" s="47" t="str">
        <f>IF(COUNTA(archive!H507:CI507)=0,"",COUNTA(archive!H507:CI507))</f>
        <v/>
      </c>
      <c r="G507" s="47" t="str">
        <f>IF(archive!G507="","",archive!G507)</f>
        <v/>
      </c>
      <c r="H507" s="51" t="str">
        <f>IF(archive!CJ507="","",archive!CJ507)</f>
        <v/>
      </c>
      <c r="I507" s="51" t="str">
        <f>IF(archive!CK507="","",archive!CK507)</f>
        <v/>
      </c>
      <c r="J507" s="47" t="str">
        <f t="shared" si="101"/>
        <v/>
      </c>
      <c r="K507" s="51" t="str">
        <f t="shared" si="102"/>
        <v/>
      </c>
      <c r="L507" s="52" t="str">
        <f t="shared" si="103"/>
        <v/>
      </c>
      <c r="M507" s="53" t="str">
        <f t="shared" si="104"/>
        <v/>
      </c>
      <c r="N507" s="53" t="str">
        <f t="shared" si="105"/>
        <v/>
      </c>
      <c r="O507" s="53" t="str">
        <f t="shared" si="106"/>
        <v/>
      </c>
      <c r="P507" s="53" t="str">
        <f t="shared" si="107"/>
        <v/>
      </c>
      <c r="Q507" s="53" t="str">
        <f t="shared" si="108"/>
        <v/>
      </c>
      <c r="R507" s="53" t="str">
        <f t="shared" si="109"/>
        <v/>
      </c>
      <c r="S507" s="53" t="str">
        <f t="shared" si="110"/>
        <v/>
      </c>
      <c r="T507" s="53" t="str">
        <f t="shared" si="111"/>
        <v/>
      </c>
    </row>
    <row r="508" spans="1:20">
      <c r="A508" s="47" t="str">
        <f>IF(archive!E508="","",archive!E508)</f>
        <v/>
      </c>
      <c r="B508" s="48" t="str">
        <f t="shared" si="98"/>
        <v/>
      </c>
      <c r="C508" s="49" t="str">
        <f>IF(archive!F508="","",archive!F508)</f>
        <v/>
      </c>
      <c r="D508" s="50" t="str">
        <f t="shared" si="99"/>
        <v/>
      </c>
      <c r="E508" s="50" t="str">
        <f t="shared" si="100"/>
        <v/>
      </c>
      <c r="F508" s="47" t="str">
        <f>IF(COUNTA(archive!H508:CI508)=0,"",COUNTA(archive!H508:CI508))</f>
        <v/>
      </c>
      <c r="G508" s="47" t="str">
        <f>IF(archive!G508="","",archive!G508)</f>
        <v/>
      </c>
      <c r="H508" s="51" t="str">
        <f>IF(archive!CJ508="","",archive!CJ508)</f>
        <v/>
      </c>
      <c r="I508" s="51" t="str">
        <f>IF(archive!CK508="","",archive!CK508)</f>
        <v/>
      </c>
      <c r="J508" s="47" t="str">
        <f t="shared" si="101"/>
        <v/>
      </c>
      <c r="K508" s="51" t="str">
        <f t="shared" si="102"/>
        <v/>
      </c>
      <c r="L508" s="52" t="str">
        <f t="shared" si="103"/>
        <v/>
      </c>
      <c r="M508" s="53" t="str">
        <f t="shared" si="104"/>
        <v/>
      </c>
      <c r="N508" s="53" t="str">
        <f t="shared" si="105"/>
        <v/>
      </c>
      <c r="O508" s="53" t="str">
        <f t="shared" si="106"/>
        <v/>
      </c>
      <c r="P508" s="53" t="str">
        <f t="shared" si="107"/>
        <v/>
      </c>
      <c r="Q508" s="53" t="str">
        <f t="shared" si="108"/>
        <v/>
      </c>
      <c r="R508" s="53" t="str">
        <f t="shared" si="109"/>
        <v/>
      </c>
      <c r="S508" s="53" t="str">
        <f t="shared" si="110"/>
        <v/>
      </c>
      <c r="T508" s="53" t="str">
        <f t="shared" si="111"/>
        <v/>
      </c>
    </row>
    <row r="509" spans="1:20">
      <c r="A509" s="47" t="str">
        <f>IF(archive!E509="","",archive!E509)</f>
        <v/>
      </c>
      <c r="B509" s="48" t="str">
        <f t="shared" si="98"/>
        <v/>
      </c>
      <c r="C509" s="49" t="str">
        <f>IF(archive!F509="","",archive!F509)</f>
        <v/>
      </c>
      <c r="D509" s="50" t="str">
        <f t="shared" si="99"/>
        <v/>
      </c>
      <c r="E509" s="50" t="str">
        <f t="shared" si="100"/>
        <v/>
      </c>
      <c r="F509" s="47" t="str">
        <f>IF(COUNTA(archive!H509:CI509)=0,"",COUNTA(archive!H509:CI509))</f>
        <v/>
      </c>
      <c r="G509" s="47" t="str">
        <f>IF(archive!G509="","",archive!G509)</f>
        <v/>
      </c>
      <c r="H509" s="51" t="str">
        <f>IF(archive!CJ509="","",archive!CJ509)</f>
        <v/>
      </c>
      <c r="I509" s="51" t="str">
        <f>IF(archive!CK509="","",archive!CK509)</f>
        <v/>
      </c>
      <c r="J509" s="47" t="str">
        <f t="shared" si="101"/>
        <v/>
      </c>
      <c r="K509" s="51" t="str">
        <f t="shared" si="102"/>
        <v/>
      </c>
      <c r="L509" s="52" t="str">
        <f t="shared" si="103"/>
        <v/>
      </c>
      <c r="M509" s="53" t="str">
        <f t="shared" si="104"/>
        <v/>
      </c>
      <c r="N509" s="53" t="str">
        <f t="shared" si="105"/>
        <v/>
      </c>
      <c r="O509" s="53" t="str">
        <f t="shared" si="106"/>
        <v/>
      </c>
      <c r="P509" s="53" t="str">
        <f t="shared" si="107"/>
        <v/>
      </c>
      <c r="Q509" s="53" t="str">
        <f t="shared" si="108"/>
        <v/>
      </c>
      <c r="R509" s="53" t="str">
        <f t="shared" si="109"/>
        <v/>
      </c>
      <c r="S509" s="53" t="str">
        <f t="shared" si="110"/>
        <v/>
      </c>
      <c r="T509" s="53" t="str">
        <f t="shared" si="111"/>
        <v/>
      </c>
    </row>
    <row r="510" spans="1:20">
      <c r="A510" s="47" t="str">
        <f>IF(archive!E510="","",archive!E510)</f>
        <v/>
      </c>
      <c r="B510" s="48" t="str">
        <f t="shared" si="98"/>
        <v/>
      </c>
      <c r="C510" s="49" t="str">
        <f>IF(archive!F510="","",archive!F510)</f>
        <v/>
      </c>
      <c r="D510" s="50" t="str">
        <f t="shared" si="99"/>
        <v/>
      </c>
      <c r="E510" s="50" t="str">
        <f t="shared" si="100"/>
        <v/>
      </c>
      <c r="F510" s="47" t="str">
        <f>IF(COUNTA(archive!H510:CI510)=0,"",COUNTA(archive!H510:CI510))</f>
        <v/>
      </c>
      <c r="G510" s="47" t="str">
        <f>IF(archive!G510="","",archive!G510)</f>
        <v/>
      </c>
      <c r="H510" s="51" t="str">
        <f>IF(archive!CJ510="","",archive!CJ510)</f>
        <v/>
      </c>
      <c r="I510" s="51" t="str">
        <f>IF(archive!CK510="","",archive!CK510)</f>
        <v/>
      </c>
      <c r="J510" s="47" t="str">
        <f t="shared" si="101"/>
        <v/>
      </c>
      <c r="K510" s="51" t="str">
        <f t="shared" si="102"/>
        <v/>
      </c>
      <c r="L510" s="52" t="str">
        <f t="shared" si="103"/>
        <v/>
      </c>
      <c r="M510" s="53" t="str">
        <f t="shared" si="104"/>
        <v/>
      </c>
      <c r="N510" s="53" t="str">
        <f t="shared" si="105"/>
        <v/>
      </c>
      <c r="O510" s="53" t="str">
        <f t="shared" si="106"/>
        <v/>
      </c>
      <c r="P510" s="53" t="str">
        <f t="shared" si="107"/>
        <v/>
      </c>
      <c r="Q510" s="53" t="str">
        <f t="shared" si="108"/>
        <v/>
      </c>
      <c r="R510" s="53" t="str">
        <f t="shared" si="109"/>
        <v/>
      </c>
      <c r="S510" s="53" t="str">
        <f t="shared" si="110"/>
        <v/>
      </c>
      <c r="T510" s="53" t="str">
        <f t="shared" si="111"/>
        <v/>
      </c>
    </row>
    <row r="511" spans="1:20">
      <c r="A511" s="47" t="str">
        <f>IF(archive!E511="","",archive!E511)</f>
        <v/>
      </c>
      <c r="B511" s="48" t="str">
        <f t="shared" si="98"/>
        <v/>
      </c>
      <c r="C511" s="49" t="str">
        <f>IF(archive!F511="","",archive!F511)</f>
        <v/>
      </c>
      <c r="D511" s="50" t="str">
        <f t="shared" si="99"/>
        <v/>
      </c>
      <c r="E511" s="50" t="str">
        <f t="shared" si="100"/>
        <v/>
      </c>
      <c r="F511" s="47" t="str">
        <f>IF(COUNTA(archive!H511:CI511)=0,"",COUNTA(archive!H511:CI511))</f>
        <v/>
      </c>
      <c r="G511" s="47" t="str">
        <f>IF(archive!G511="","",archive!G511)</f>
        <v/>
      </c>
      <c r="H511" s="51" t="str">
        <f>IF(archive!CJ511="","",archive!CJ511)</f>
        <v/>
      </c>
      <c r="I511" s="51" t="str">
        <f>IF(archive!CK511="","",archive!CK511)</f>
        <v/>
      </c>
      <c r="J511" s="47" t="str">
        <f t="shared" si="101"/>
        <v/>
      </c>
      <c r="K511" s="51" t="str">
        <f t="shared" si="102"/>
        <v/>
      </c>
      <c r="L511" s="52" t="str">
        <f t="shared" si="103"/>
        <v/>
      </c>
      <c r="M511" s="53" t="str">
        <f t="shared" si="104"/>
        <v/>
      </c>
      <c r="N511" s="53" t="str">
        <f t="shared" si="105"/>
        <v/>
      </c>
      <c r="O511" s="53" t="str">
        <f t="shared" si="106"/>
        <v/>
      </c>
      <c r="P511" s="53" t="str">
        <f t="shared" si="107"/>
        <v/>
      </c>
      <c r="Q511" s="53" t="str">
        <f t="shared" si="108"/>
        <v/>
      </c>
      <c r="R511" s="53" t="str">
        <f t="shared" si="109"/>
        <v/>
      </c>
      <c r="S511" s="53" t="str">
        <f t="shared" si="110"/>
        <v/>
      </c>
      <c r="T511" s="53" t="str">
        <f t="shared" si="111"/>
        <v/>
      </c>
    </row>
    <row r="512" spans="1:20">
      <c r="A512" s="47" t="str">
        <f>IF(archive!E512="","",archive!E512)</f>
        <v/>
      </c>
      <c r="B512" s="48" t="str">
        <f t="shared" si="98"/>
        <v/>
      </c>
      <c r="C512" s="49" t="str">
        <f>IF(archive!F512="","",archive!F512)</f>
        <v/>
      </c>
      <c r="D512" s="50" t="str">
        <f t="shared" si="99"/>
        <v/>
      </c>
      <c r="E512" s="50" t="str">
        <f t="shared" si="100"/>
        <v/>
      </c>
      <c r="F512" s="47" t="str">
        <f>IF(COUNTA(archive!H512:CI512)=0,"",COUNTA(archive!H512:CI512))</f>
        <v/>
      </c>
      <c r="G512" s="47" t="str">
        <f>IF(archive!G512="","",archive!G512)</f>
        <v/>
      </c>
      <c r="H512" s="51" t="str">
        <f>IF(archive!CJ512="","",archive!CJ512)</f>
        <v/>
      </c>
      <c r="I512" s="51" t="str">
        <f>IF(archive!CK512="","",archive!CK512)</f>
        <v/>
      </c>
      <c r="J512" s="47" t="str">
        <f t="shared" si="101"/>
        <v/>
      </c>
      <c r="K512" s="51" t="str">
        <f t="shared" si="102"/>
        <v/>
      </c>
      <c r="L512" s="52" t="str">
        <f t="shared" si="103"/>
        <v/>
      </c>
      <c r="M512" s="53" t="str">
        <f t="shared" si="104"/>
        <v/>
      </c>
      <c r="N512" s="53" t="str">
        <f t="shared" si="105"/>
        <v/>
      </c>
      <c r="O512" s="53" t="str">
        <f t="shared" si="106"/>
        <v/>
      </c>
      <c r="P512" s="53" t="str">
        <f t="shared" si="107"/>
        <v/>
      </c>
      <c r="Q512" s="53" t="str">
        <f t="shared" si="108"/>
        <v/>
      </c>
      <c r="R512" s="53" t="str">
        <f t="shared" si="109"/>
        <v/>
      </c>
      <c r="S512" s="53" t="str">
        <f t="shared" si="110"/>
        <v/>
      </c>
      <c r="T512" s="53" t="str">
        <f t="shared" si="111"/>
        <v/>
      </c>
    </row>
    <row r="513" spans="1:20">
      <c r="A513" s="47" t="str">
        <f>IF(archive!E513="","",archive!E513)</f>
        <v/>
      </c>
      <c r="B513" s="48" t="str">
        <f t="shared" si="98"/>
        <v/>
      </c>
      <c r="C513" s="49" t="str">
        <f>IF(archive!F513="","",archive!F513)</f>
        <v/>
      </c>
      <c r="D513" s="50" t="str">
        <f t="shared" si="99"/>
        <v/>
      </c>
      <c r="E513" s="50" t="str">
        <f t="shared" si="100"/>
        <v/>
      </c>
      <c r="F513" s="47" t="str">
        <f>IF(COUNTA(archive!H513:CI513)=0,"",COUNTA(archive!H513:CI513))</f>
        <v/>
      </c>
      <c r="G513" s="47" t="str">
        <f>IF(archive!G513="","",archive!G513)</f>
        <v/>
      </c>
      <c r="H513" s="51" t="str">
        <f>IF(archive!CJ513="","",archive!CJ513)</f>
        <v/>
      </c>
      <c r="I513" s="51" t="str">
        <f>IF(archive!CK513="","",archive!CK513)</f>
        <v/>
      </c>
      <c r="J513" s="47" t="str">
        <f t="shared" si="101"/>
        <v/>
      </c>
      <c r="K513" s="51" t="str">
        <f t="shared" si="102"/>
        <v/>
      </c>
      <c r="L513" s="52" t="str">
        <f t="shared" si="103"/>
        <v/>
      </c>
      <c r="M513" s="53" t="str">
        <f t="shared" si="104"/>
        <v/>
      </c>
      <c r="N513" s="53" t="str">
        <f t="shared" si="105"/>
        <v/>
      </c>
      <c r="O513" s="53" t="str">
        <f t="shared" si="106"/>
        <v/>
      </c>
      <c r="P513" s="53" t="str">
        <f t="shared" si="107"/>
        <v/>
      </c>
      <c r="Q513" s="53" t="str">
        <f t="shared" si="108"/>
        <v/>
      </c>
      <c r="R513" s="53" t="str">
        <f t="shared" si="109"/>
        <v/>
      </c>
      <c r="S513" s="53" t="str">
        <f t="shared" si="110"/>
        <v/>
      </c>
      <c r="T513" s="53" t="str">
        <f t="shared" si="111"/>
        <v/>
      </c>
    </row>
    <row r="514" spans="1:20">
      <c r="A514" s="47" t="str">
        <f>IF(archive!E514="","",archive!E514)</f>
        <v/>
      </c>
      <c r="B514" s="48" t="str">
        <f t="shared" si="98"/>
        <v/>
      </c>
      <c r="C514" s="49" t="str">
        <f>IF(archive!F514="","",archive!F514)</f>
        <v/>
      </c>
      <c r="D514" s="50" t="str">
        <f t="shared" si="99"/>
        <v/>
      </c>
      <c r="E514" s="50" t="str">
        <f t="shared" si="100"/>
        <v/>
      </c>
      <c r="F514" s="47" t="str">
        <f>IF(COUNTA(archive!H514:CI514)=0,"",COUNTA(archive!H514:CI514))</f>
        <v/>
      </c>
      <c r="G514" s="47" t="str">
        <f>IF(archive!G514="","",archive!G514)</f>
        <v/>
      </c>
      <c r="H514" s="51" t="str">
        <f>IF(archive!CJ514="","",archive!CJ514)</f>
        <v/>
      </c>
      <c r="I514" s="51" t="str">
        <f>IF(archive!CK514="","",archive!CK514)</f>
        <v/>
      </c>
      <c r="J514" s="47" t="str">
        <f t="shared" si="101"/>
        <v/>
      </c>
      <c r="K514" s="51" t="str">
        <f t="shared" si="102"/>
        <v/>
      </c>
      <c r="L514" s="52" t="str">
        <f t="shared" si="103"/>
        <v/>
      </c>
      <c r="M514" s="53" t="str">
        <f t="shared" si="104"/>
        <v/>
      </c>
      <c r="N514" s="53" t="str">
        <f t="shared" si="105"/>
        <v/>
      </c>
      <c r="O514" s="53" t="str">
        <f t="shared" si="106"/>
        <v/>
      </c>
      <c r="P514" s="53" t="str">
        <f t="shared" si="107"/>
        <v/>
      </c>
      <c r="Q514" s="53" t="str">
        <f t="shared" si="108"/>
        <v/>
      </c>
      <c r="R514" s="53" t="str">
        <f t="shared" si="109"/>
        <v/>
      </c>
      <c r="S514" s="53" t="str">
        <f t="shared" si="110"/>
        <v/>
      </c>
      <c r="T514" s="53" t="str">
        <f t="shared" si="111"/>
        <v/>
      </c>
    </row>
    <row r="515" spans="1:20">
      <c r="A515" s="47" t="str">
        <f>IF(archive!E515="","",archive!E515)</f>
        <v/>
      </c>
      <c r="B515" s="48" t="str">
        <f t="shared" si="98"/>
        <v/>
      </c>
      <c r="C515" s="49" t="str">
        <f>IF(archive!F515="","",archive!F515)</f>
        <v/>
      </c>
      <c r="D515" s="50" t="str">
        <f t="shared" si="99"/>
        <v/>
      </c>
      <c r="E515" s="50" t="str">
        <f t="shared" si="100"/>
        <v/>
      </c>
      <c r="F515" s="47" t="str">
        <f>IF(COUNTA(archive!H515:CI515)=0,"",COUNTA(archive!H515:CI515))</f>
        <v/>
      </c>
      <c r="G515" s="47" t="str">
        <f>IF(archive!G515="","",archive!G515)</f>
        <v/>
      </c>
      <c r="H515" s="51" t="str">
        <f>IF(archive!CJ515="","",archive!CJ515)</f>
        <v/>
      </c>
      <c r="I515" s="51" t="str">
        <f>IF(archive!CK515="","",archive!CK515)</f>
        <v/>
      </c>
      <c r="J515" s="47" t="str">
        <f t="shared" si="101"/>
        <v/>
      </c>
      <c r="K515" s="51" t="str">
        <f t="shared" si="102"/>
        <v/>
      </c>
      <c r="L515" s="52" t="str">
        <f t="shared" si="103"/>
        <v/>
      </c>
      <c r="M515" s="53" t="str">
        <f t="shared" si="104"/>
        <v/>
      </c>
      <c r="N515" s="53" t="str">
        <f t="shared" si="105"/>
        <v/>
      </c>
      <c r="O515" s="53" t="str">
        <f t="shared" si="106"/>
        <v/>
      </c>
      <c r="P515" s="53" t="str">
        <f t="shared" si="107"/>
        <v/>
      </c>
      <c r="Q515" s="53" t="str">
        <f t="shared" si="108"/>
        <v/>
      </c>
      <c r="R515" s="53" t="str">
        <f t="shared" si="109"/>
        <v/>
      </c>
      <c r="S515" s="53" t="str">
        <f t="shared" si="110"/>
        <v/>
      </c>
      <c r="T515" s="53" t="str">
        <f t="shared" si="111"/>
        <v/>
      </c>
    </row>
    <row r="516" spans="1:20">
      <c r="A516" s="47" t="str">
        <f>IF(archive!E516="","",archive!E516)</f>
        <v/>
      </c>
      <c r="B516" s="48" t="str">
        <f t="shared" ref="B516:B579" si="112">IF(C516="","",VLOOKUP($C516,Tare,2,0))</f>
        <v/>
      </c>
      <c r="C516" s="49" t="str">
        <f>IF(archive!F516="","",archive!F516)</f>
        <v/>
      </c>
      <c r="D516" s="50" t="str">
        <f t="shared" ref="D516:D579" si="113">IF(C516="","",C516+B516)</f>
        <v/>
      </c>
      <c r="E516" s="50" t="str">
        <f t="shared" ref="E516:E579" si="114">IF(C516="","",(C516*0.025)+D516)</f>
        <v/>
      </c>
      <c r="F516" s="47" t="str">
        <f>IF(COUNTA(archive!H516:CI516)=0,"",COUNTA(archive!H516:CI516))</f>
        <v/>
      </c>
      <c r="G516" s="47" t="str">
        <f>IF(archive!G516="","",archive!G516)</f>
        <v/>
      </c>
      <c r="H516" s="51" t="str">
        <f>IF(archive!CJ516="","",archive!CJ516)</f>
        <v/>
      </c>
      <c r="I516" s="51" t="str">
        <f>IF(archive!CK516="","",archive!CK516)</f>
        <v/>
      </c>
      <c r="J516" s="47" t="str">
        <f t="shared" ref="J516:J579" si="115">IF(F516="","",VLOOKUP(F516,Valeur_g,2,0))</f>
        <v/>
      </c>
      <c r="K516" s="51" t="str">
        <f t="shared" ref="K516:K579" si="116">IF(C516="","",D516+(J516*I516))</f>
        <v/>
      </c>
      <c r="L516" s="52" t="str">
        <f t="shared" ref="L516:L579" si="117">IF(C516="","",IF(K516&lt;H516,"Conforme","Non conforme"))</f>
        <v/>
      </c>
      <c r="M516" s="53" t="str">
        <f t="shared" ref="M516:M579" si="118">IF(C516="","",1)</f>
        <v/>
      </c>
      <c r="N516" s="53" t="str">
        <f t="shared" ref="N516:N579" si="119">IF(L516="","",COUNTIF(L516,"Non conforme"))</f>
        <v/>
      </c>
      <c r="O516" s="53" t="str">
        <f t="shared" ref="O516:O579" si="120">IF($C516="","",IF($C516=0.25,$G516,"-"))</f>
        <v/>
      </c>
      <c r="P516" s="53" t="str">
        <f t="shared" ref="P516:P579" si="121">IF($C516="","",IF($C516=0.4,$G516,"-"))</f>
        <v/>
      </c>
      <c r="Q516" s="53" t="str">
        <f t="shared" ref="Q516:Q579" si="122">IF($C516="","",IF($C516=0.5,$G516,"-"))</f>
        <v/>
      </c>
      <c r="R516" s="53" t="str">
        <f t="shared" ref="R516:R579" si="123">IF($C516="","",IF($C516=0.6,$G516,"-"))</f>
        <v/>
      </c>
      <c r="S516" s="53" t="str">
        <f t="shared" ref="S516:S579" si="124">IF($C516="","",IF($C516=0.8,$G516,"-"))</f>
        <v/>
      </c>
      <c r="T516" s="53" t="str">
        <f t="shared" ref="T516:T579" si="125">IF($C516="","",IF($C516=1,$G516,"-"))</f>
        <v/>
      </c>
    </row>
    <row r="517" spans="1:20">
      <c r="A517" s="47" t="str">
        <f>IF(archive!E517="","",archive!E517)</f>
        <v/>
      </c>
      <c r="B517" s="48" t="str">
        <f t="shared" si="112"/>
        <v/>
      </c>
      <c r="C517" s="49" t="str">
        <f>IF(archive!F517="","",archive!F517)</f>
        <v/>
      </c>
      <c r="D517" s="50" t="str">
        <f t="shared" si="113"/>
        <v/>
      </c>
      <c r="E517" s="50" t="str">
        <f t="shared" si="114"/>
        <v/>
      </c>
      <c r="F517" s="47" t="str">
        <f>IF(COUNTA(archive!H517:CI517)=0,"",COUNTA(archive!H517:CI517))</f>
        <v/>
      </c>
      <c r="G517" s="47" t="str">
        <f>IF(archive!G517="","",archive!G517)</f>
        <v/>
      </c>
      <c r="H517" s="51" t="str">
        <f>IF(archive!CJ517="","",archive!CJ517)</f>
        <v/>
      </c>
      <c r="I517" s="51" t="str">
        <f>IF(archive!CK517="","",archive!CK517)</f>
        <v/>
      </c>
      <c r="J517" s="47" t="str">
        <f t="shared" si="115"/>
        <v/>
      </c>
      <c r="K517" s="51" t="str">
        <f t="shared" si="116"/>
        <v/>
      </c>
      <c r="L517" s="52" t="str">
        <f t="shared" si="117"/>
        <v/>
      </c>
      <c r="M517" s="53" t="str">
        <f t="shared" si="118"/>
        <v/>
      </c>
      <c r="N517" s="53" t="str">
        <f t="shared" si="119"/>
        <v/>
      </c>
      <c r="O517" s="53" t="str">
        <f t="shared" si="120"/>
        <v/>
      </c>
      <c r="P517" s="53" t="str">
        <f t="shared" si="121"/>
        <v/>
      </c>
      <c r="Q517" s="53" t="str">
        <f t="shared" si="122"/>
        <v/>
      </c>
      <c r="R517" s="53" t="str">
        <f t="shared" si="123"/>
        <v/>
      </c>
      <c r="S517" s="53" t="str">
        <f t="shared" si="124"/>
        <v/>
      </c>
      <c r="T517" s="53" t="str">
        <f t="shared" si="125"/>
        <v/>
      </c>
    </row>
    <row r="518" spans="1:20">
      <c r="A518" s="47" t="str">
        <f>IF(archive!E518="","",archive!E518)</f>
        <v/>
      </c>
      <c r="B518" s="48" t="str">
        <f t="shared" si="112"/>
        <v/>
      </c>
      <c r="C518" s="49" t="str">
        <f>IF(archive!F518="","",archive!F518)</f>
        <v/>
      </c>
      <c r="D518" s="50" t="str">
        <f t="shared" si="113"/>
        <v/>
      </c>
      <c r="E518" s="50" t="str">
        <f t="shared" si="114"/>
        <v/>
      </c>
      <c r="F518" s="47" t="str">
        <f>IF(COUNTA(archive!H518:CI518)=0,"",COUNTA(archive!H518:CI518))</f>
        <v/>
      </c>
      <c r="G518" s="47" t="str">
        <f>IF(archive!G518="","",archive!G518)</f>
        <v/>
      </c>
      <c r="H518" s="51" t="str">
        <f>IF(archive!CJ518="","",archive!CJ518)</f>
        <v/>
      </c>
      <c r="I518" s="51" t="str">
        <f>IF(archive!CK518="","",archive!CK518)</f>
        <v/>
      </c>
      <c r="J518" s="47" t="str">
        <f t="shared" si="115"/>
        <v/>
      </c>
      <c r="K518" s="51" t="str">
        <f t="shared" si="116"/>
        <v/>
      </c>
      <c r="L518" s="52" t="str">
        <f t="shared" si="117"/>
        <v/>
      </c>
      <c r="M518" s="53" t="str">
        <f t="shared" si="118"/>
        <v/>
      </c>
      <c r="N518" s="53" t="str">
        <f t="shared" si="119"/>
        <v/>
      </c>
      <c r="O518" s="53" t="str">
        <f t="shared" si="120"/>
        <v/>
      </c>
      <c r="P518" s="53" t="str">
        <f t="shared" si="121"/>
        <v/>
      </c>
      <c r="Q518" s="53" t="str">
        <f t="shared" si="122"/>
        <v/>
      </c>
      <c r="R518" s="53" t="str">
        <f t="shared" si="123"/>
        <v/>
      </c>
      <c r="S518" s="53" t="str">
        <f t="shared" si="124"/>
        <v/>
      </c>
      <c r="T518" s="53" t="str">
        <f t="shared" si="125"/>
        <v/>
      </c>
    </row>
    <row r="519" spans="1:20">
      <c r="A519" s="47" t="str">
        <f>IF(archive!E519="","",archive!E519)</f>
        <v/>
      </c>
      <c r="B519" s="48" t="str">
        <f t="shared" si="112"/>
        <v/>
      </c>
      <c r="C519" s="49" t="str">
        <f>IF(archive!F519="","",archive!F519)</f>
        <v/>
      </c>
      <c r="D519" s="50" t="str">
        <f t="shared" si="113"/>
        <v/>
      </c>
      <c r="E519" s="50" t="str">
        <f t="shared" si="114"/>
        <v/>
      </c>
      <c r="F519" s="47" t="str">
        <f>IF(COUNTA(archive!H519:CI519)=0,"",COUNTA(archive!H519:CI519))</f>
        <v/>
      </c>
      <c r="G519" s="47" t="str">
        <f>IF(archive!G519="","",archive!G519)</f>
        <v/>
      </c>
      <c r="H519" s="51" t="str">
        <f>IF(archive!CJ519="","",archive!CJ519)</f>
        <v/>
      </c>
      <c r="I519" s="51" t="str">
        <f>IF(archive!CK519="","",archive!CK519)</f>
        <v/>
      </c>
      <c r="J519" s="47" t="str">
        <f t="shared" si="115"/>
        <v/>
      </c>
      <c r="K519" s="51" t="str">
        <f t="shared" si="116"/>
        <v/>
      </c>
      <c r="L519" s="52" t="str">
        <f t="shared" si="117"/>
        <v/>
      </c>
      <c r="M519" s="53" t="str">
        <f t="shared" si="118"/>
        <v/>
      </c>
      <c r="N519" s="53" t="str">
        <f t="shared" si="119"/>
        <v/>
      </c>
      <c r="O519" s="53" t="str">
        <f t="shared" si="120"/>
        <v/>
      </c>
      <c r="P519" s="53" t="str">
        <f t="shared" si="121"/>
        <v/>
      </c>
      <c r="Q519" s="53" t="str">
        <f t="shared" si="122"/>
        <v/>
      </c>
      <c r="R519" s="53" t="str">
        <f t="shared" si="123"/>
        <v/>
      </c>
      <c r="S519" s="53" t="str">
        <f t="shared" si="124"/>
        <v/>
      </c>
      <c r="T519" s="53" t="str">
        <f t="shared" si="125"/>
        <v/>
      </c>
    </row>
    <row r="520" spans="1:20">
      <c r="A520" s="47" t="str">
        <f>IF(archive!E520="","",archive!E520)</f>
        <v/>
      </c>
      <c r="B520" s="48" t="str">
        <f t="shared" si="112"/>
        <v/>
      </c>
      <c r="C520" s="49" t="str">
        <f>IF(archive!F520="","",archive!F520)</f>
        <v/>
      </c>
      <c r="D520" s="50" t="str">
        <f t="shared" si="113"/>
        <v/>
      </c>
      <c r="E520" s="50" t="str">
        <f t="shared" si="114"/>
        <v/>
      </c>
      <c r="F520" s="47" t="str">
        <f>IF(COUNTA(archive!H520:CI520)=0,"",COUNTA(archive!H520:CI520))</f>
        <v/>
      </c>
      <c r="G520" s="47" t="str">
        <f>IF(archive!G520="","",archive!G520)</f>
        <v/>
      </c>
      <c r="H520" s="51" t="str">
        <f>IF(archive!CJ520="","",archive!CJ520)</f>
        <v/>
      </c>
      <c r="I520" s="51" t="str">
        <f>IF(archive!CK520="","",archive!CK520)</f>
        <v/>
      </c>
      <c r="J520" s="47" t="str">
        <f t="shared" si="115"/>
        <v/>
      </c>
      <c r="K520" s="51" t="str">
        <f t="shared" si="116"/>
        <v/>
      </c>
      <c r="L520" s="52" t="str">
        <f t="shared" si="117"/>
        <v/>
      </c>
      <c r="M520" s="53" t="str">
        <f t="shared" si="118"/>
        <v/>
      </c>
      <c r="N520" s="53" t="str">
        <f t="shared" si="119"/>
        <v/>
      </c>
      <c r="O520" s="53" t="str">
        <f t="shared" si="120"/>
        <v/>
      </c>
      <c r="P520" s="53" t="str">
        <f t="shared" si="121"/>
        <v/>
      </c>
      <c r="Q520" s="53" t="str">
        <f t="shared" si="122"/>
        <v/>
      </c>
      <c r="R520" s="53" t="str">
        <f t="shared" si="123"/>
        <v/>
      </c>
      <c r="S520" s="53" t="str">
        <f t="shared" si="124"/>
        <v/>
      </c>
      <c r="T520" s="53" t="str">
        <f t="shared" si="125"/>
        <v/>
      </c>
    </row>
    <row r="521" spans="1:20">
      <c r="A521" s="47" t="str">
        <f>IF(archive!E521="","",archive!E521)</f>
        <v/>
      </c>
      <c r="B521" s="48" t="str">
        <f t="shared" si="112"/>
        <v/>
      </c>
      <c r="C521" s="49" t="str">
        <f>IF(archive!F521="","",archive!F521)</f>
        <v/>
      </c>
      <c r="D521" s="50" t="str">
        <f t="shared" si="113"/>
        <v/>
      </c>
      <c r="E521" s="50" t="str">
        <f t="shared" si="114"/>
        <v/>
      </c>
      <c r="F521" s="47" t="str">
        <f>IF(COUNTA(archive!H521:CI521)=0,"",COUNTA(archive!H521:CI521))</f>
        <v/>
      </c>
      <c r="G521" s="47" t="str">
        <f>IF(archive!G521="","",archive!G521)</f>
        <v/>
      </c>
      <c r="H521" s="51" t="str">
        <f>IF(archive!CJ521="","",archive!CJ521)</f>
        <v/>
      </c>
      <c r="I521" s="51" t="str">
        <f>IF(archive!CK521="","",archive!CK521)</f>
        <v/>
      </c>
      <c r="J521" s="47" t="str">
        <f t="shared" si="115"/>
        <v/>
      </c>
      <c r="K521" s="51" t="str">
        <f t="shared" si="116"/>
        <v/>
      </c>
      <c r="L521" s="52" t="str">
        <f t="shared" si="117"/>
        <v/>
      </c>
      <c r="M521" s="53" t="str">
        <f t="shared" si="118"/>
        <v/>
      </c>
      <c r="N521" s="53" t="str">
        <f t="shared" si="119"/>
        <v/>
      </c>
      <c r="O521" s="53" t="str">
        <f t="shared" si="120"/>
        <v/>
      </c>
      <c r="P521" s="53" t="str">
        <f t="shared" si="121"/>
        <v/>
      </c>
      <c r="Q521" s="53" t="str">
        <f t="shared" si="122"/>
        <v/>
      </c>
      <c r="R521" s="53" t="str">
        <f t="shared" si="123"/>
        <v/>
      </c>
      <c r="S521" s="53" t="str">
        <f t="shared" si="124"/>
        <v/>
      </c>
      <c r="T521" s="53" t="str">
        <f t="shared" si="125"/>
        <v/>
      </c>
    </row>
    <row r="522" spans="1:20">
      <c r="A522" s="47" t="str">
        <f>IF(archive!E522="","",archive!E522)</f>
        <v/>
      </c>
      <c r="B522" s="48" t="str">
        <f t="shared" si="112"/>
        <v/>
      </c>
      <c r="C522" s="49" t="str">
        <f>IF(archive!F522="","",archive!F522)</f>
        <v/>
      </c>
      <c r="D522" s="50" t="str">
        <f t="shared" si="113"/>
        <v/>
      </c>
      <c r="E522" s="50" t="str">
        <f t="shared" si="114"/>
        <v/>
      </c>
      <c r="F522" s="47" t="str">
        <f>IF(COUNTA(archive!H522:CI522)=0,"",COUNTA(archive!H522:CI522))</f>
        <v/>
      </c>
      <c r="G522" s="47" t="str">
        <f>IF(archive!G522="","",archive!G522)</f>
        <v/>
      </c>
      <c r="H522" s="51" t="str">
        <f>IF(archive!CJ522="","",archive!CJ522)</f>
        <v/>
      </c>
      <c r="I522" s="51" t="str">
        <f>IF(archive!CK522="","",archive!CK522)</f>
        <v/>
      </c>
      <c r="J522" s="47" t="str">
        <f t="shared" si="115"/>
        <v/>
      </c>
      <c r="K522" s="51" t="str">
        <f t="shared" si="116"/>
        <v/>
      </c>
      <c r="L522" s="52" t="str">
        <f t="shared" si="117"/>
        <v/>
      </c>
      <c r="M522" s="53" t="str">
        <f t="shared" si="118"/>
        <v/>
      </c>
      <c r="N522" s="53" t="str">
        <f t="shared" si="119"/>
        <v/>
      </c>
      <c r="O522" s="53" t="str">
        <f t="shared" si="120"/>
        <v/>
      </c>
      <c r="P522" s="53" t="str">
        <f t="shared" si="121"/>
        <v/>
      </c>
      <c r="Q522" s="53" t="str">
        <f t="shared" si="122"/>
        <v/>
      </c>
      <c r="R522" s="53" t="str">
        <f t="shared" si="123"/>
        <v/>
      </c>
      <c r="S522" s="53" t="str">
        <f t="shared" si="124"/>
        <v/>
      </c>
      <c r="T522" s="53" t="str">
        <f t="shared" si="125"/>
        <v/>
      </c>
    </row>
    <row r="523" spans="1:20">
      <c r="A523" s="47" t="str">
        <f>IF(archive!E523="","",archive!E523)</f>
        <v/>
      </c>
      <c r="B523" s="48" t="str">
        <f t="shared" si="112"/>
        <v/>
      </c>
      <c r="C523" s="49" t="str">
        <f>IF(archive!F523="","",archive!F523)</f>
        <v/>
      </c>
      <c r="D523" s="50" t="str">
        <f t="shared" si="113"/>
        <v/>
      </c>
      <c r="E523" s="50" t="str">
        <f t="shared" si="114"/>
        <v/>
      </c>
      <c r="F523" s="47" t="str">
        <f>IF(COUNTA(archive!H523:CI523)=0,"",COUNTA(archive!H523:CI523))</f>
        <v/>
      </c>
      <c r="G523" s="47" t="str">
        <f>IF(archive!G523="","",archive!G523)</f>
        <v/>
      </c>
      <c r="H523" s="51" t="str">
        <f>IF(archive!CJ523="","",archive!CJ523)</f>
        <v/>
      </c>
      <c r="I523" s="51" t="str">
        <f>IF(archive!CK523="","",archive!CK523)</f>
        <v/>
      </c>
      <c r="J523" s="47" t="str">
        <f t="shared" si="115"/>
        <v/>
      </c>
      <c r="K523" s="51" t="str">
        <f t="shared" si="116"/>
        <v/>
      </c>
      <c r="L523" s="52" t="str">
        <f t="shared" si="117"/>
        <v/>
      </c>
      <c r="M523" s="53" t="str">
        <f t="shared" si="118"/>
        <v/>
      </c>
      <c r="N523" s="53" t="str">
        <f t="shared" si="119"/>
        <v/>
      </c>
      <c r="O523" s="53" t="str">
        <f t="shared" si="120"/>
        <v/>
      </c>
      <c r="P523" s="53" t="str">
        <f t="shared" si="121"/>
        <v/>
      </c>
      <c r="Q523" s="53" t="str">
        <f t="shared" si="122"/>
        <v/>
      </c>
      <c r="R523" s="53" t="str">
        <f t="shared" si="123"/>
        <v/>
      </c>
      <c r="S523" s="53" t="str">
        <f t="shared" si="124"/>
        <v/>
      </c>
      <c r="T523" s="53" t="str">
        <f t="shared" si="125"/>
        <v/>
      </c>
    </row>
    <row r="524" spans="1:20">
      <c r="A524" s="47" t="str">
        <f>IF(archive!E524="","",archive!E524)</f>
        <v/>
      </c>
      <c r="B524" s="48" t="str">
        <f t="shared" si="112"/>
        <v/>
      </c>
      <c r="C524" s="49" t="str">
        <f>IF(archive!F524="","",archive!F524)</f>
        <v/>
      </c>
      <c r="D524" s="50" t="str">
        <f t="shared" si="113"/>
        <v/>
      </c>
      <c r="E524" s="50" t="str">
        <f t="shared" si="114"/>
        <v/>
      </c>
      <c r="F524" s="47" t="str">
        <f>IF(COUNTA(archive!H524:CI524)=0,"",COUNTA(archive!H524:CI524))</f>
        <v/>
      </c>
      <c r="G524" s="47" t="str">
        <f>IF(archive!G524="","",archive!G524)</f>
        <v/>
      </c>
      <c r="H524" s="51" t="str">
        <f>IF(archive!CJ524="","",archive!CJ524)</f>
        <v/>
      </c>
      <c r="I524" s="51" t="str">
        <f>IF(archive!CK524="","",archive!CK524)</f>
        <v/>
      </c>
      <c r="J524" s="47" t="str">
        <f t="shared" si="115"/>
        <v/>
      </c>
      <c r="K524" s="51" t="str">
        <f t="shared" si="116"/>
        <v/>
      </c>
      <c r="L524" s="52" t="str">
        <f t="shared" si="117"/>
        <v/>
      </c>
      <c r="M524" s="53" t="str">
        <f t="shared" si="118"/>
        <v/>
      </c>
      <c r="N524" s="53" t="str">
        <f t="shared" si="119"/>
        <v/>
      </c>
      <c r="O524" s="53" t="str">
        <f t="shared" si="120"/>
        <v/>
      </c>
      <c r="P524" s="53" t="str">
        <f t="shared" si="121"/>
        <v/>
      </c>
      <c r="Q524" s="53" t="str">
        <f t="shared" si="122"/>
        <v/>
      </c>
      <c r="R524" s="53" t="str">
        <f t="shared" si="123"/>
        <v/>
      </c>
      <c r="S524" s="53" t="str">
        <f t="shared" si="124"/>
        <v/>
      </c>
      <c r="T524" s="53" t="str">
        <f t="shared" si="125"/>
        <v/>
      </c>
    </row>
    <row r="525" spans="1:20">
      <c r="A525" s="47" t="str">
        <f>IF(archive!E525="","",archive!E525)</f>
        <v/>
      </c>
      <c r="B525" s="48" t="str">
        <f t="shared" si="112"/>
        <v/>
      </c>
      <c r="C525" s="49" t="str">
        <f>IF(archive!F525="","",archive!F525)</f>
        <v/>
      </c>
      <c r="D525" s="50" t="str">
        <f t="shared" si="113"/>
        <v/>
      </c>
      <c r="E525" s="50" t="str">
        <f t="shared" si="114"/>
        <v/>
      </c>
      <c r="F525" s="47" t="str">
        <f>IF(COUNTA(archive!H525:CI525)=0,"",COUNTA(archive!H525:CI525))</f>
        <v/>
      </c>
      <c r="G525" s="47" t="str">
        <f>IF(archive!G525="","",archive!G525)</f>
        <v/>
      </c>
      <c r="H525" s="51" t="str">
        <f>IF(archive!CJ525="","",archive!CJ525)</f>
        <v/>
      </c>
      <c r="I525" s="51" t="str">
        <f>IF(archive!CK525="","",archive!CK525)</f>
        <v/>
      </c>
      <c r="J525" s="47" t="str">
        <f t="shared" si="115"/>
        <v/>
      </c>
      <c r="K525" s="51" t="str">
        <f t="shared" si="116"/>
        <v/>
      </c>
      <c r="L525" s="52" t="str">
        <f t="shared" si="117"/>
        <v/>
      </c>
      <c r="M525" s="53" t="str">
        <f t="shared" si="118"/>
        <v/>
      </c>
      <c r="N525" s="53" t="str">
        <f t="shared" si="119"/>
        <v/>
      </c>
      <c r="O525" s="53" t="str">
        <f t="shared" si="120"/>
        <v/>
      </c>
      <c r="P525" s="53" t="str">
        <f t="shared" si="121"/>
        <v/>
      </c>
      <c r="Q525" s="53" t="str">
        <f t="shared" si="122"/>
        <v/>
      </c>
      <c r="R525" s="53" t="str">
        <f t="shared" si="123"/>
        <v/>
      </c>
      <c r="S525" s="53" t="str">
        <f t="shared" si="124"/>
        <v/>
      </c>
      <c r="T525" s="53" t="str">
        <f t="shared" si="125"/>
        <v/>
      </c>
    </row>
    <row r="526" spans="1:20">
      <c r="A526" s="47" t="str">
        <f>IF(archive!E526="","",archive!E526)</f>
        <v/>
      </c>
      <c r="B526" s="48" t="str">
        <f t="shared" si="112"/>
        <v/>
      </c>
      <c r="C526" s="49" t="str">
        <f>IF(archive!F526="","",archive!F526)</f>
        <v/>
      </c>
      <c r="D526" s="50" t="str">
        <f t="shared" si="113"/>
        <v/>
      </c>
      <c r="E526" s="50" t="str">
        <f t="shared" si="114"/>
        <v/>
      </c>
      <c r="F526" s="47" t="str">
        <f>IF(COUNTA(archive!H526:CI526)=0,"",COUNTA(archive!H526:CI526))</f>
        <v/>
      </c>
      <c r="G526" s="47" t="str">
        <f>IF(archive!G526="","",archive!G526)</f>
        <v/>
      </c>
      <c r="H526" s="51" t="str">
        <f>IF(archive!CJ526="","",archive!CJ526)</f>
        <v/>
      </c>
      <c r="I526" s="51" t="str">
        <f>IF(archive!CK526="","",archive!CK526)</f>
        <v/>
      </c>
      <c r="J526" s="47" t="str">
        <f t="shared" si="115"/>
        <v/>
      </c>
      <c r="K526" s="51" t="str">
        <f t="shared" si="116"/>
        <v/>
      </c>
      <c r="L526" s="52" t="str">
        <f t="shared" si="117"/>
        <v/>
      </c>
      <c r="M526" s="53" t="str">
        <f t="shared" si="118"/>
        <v/>
      </c>
      <c r="N526" s="53" t="str">
        <f t="shared" si="119"/>
        <v/>
      </c>
      <c r="O526" s="53" t="str">
        <f t="shared" si="120"/>
        <v/>
      </c>
      <c r="P526" s="53" t="str">
        <f t="shared" si="121"/>
        <v/>
      </c>
      <c r="Q526" s="53" t="str">
        <f t="shared" si="122"/>
        <v/>
      </c>
      <c r="R526" s="53" t="str">
        <f t="shared" si="123"/>
        <v/>
      </c>
      <c r="S526" s="53" t="str">
        <f t="shared" si="124"/>
        <v/>
      </c>
      <c r="T526" s="53" t="str">
        <f t="shared" si="125"/>
        <v/>
      </c>
    </row>
    <row r="527" spans="1:20">
      <c r="A527" s="47" t="str">
        <f>IF(archive!E527="","",archive!E527)</f>
        <v/>
      </c>
      <c r="B527" s="48" t="str">
        <f t="shared" si="112"/>
        <v/>
      </c>
      <c r="C527" s="49" t="str">
        <f>IF(archive!F527="","",archive!F527)</f>
        <v/>
      </c>
      <c r="D527" s="50" t="str">
        <f t="shared" si="113"/>
        <v/>
      </c>
      <c r="E527" s="50" t="str">
        <f t="shared" si="114"/>
        <v/>
      </c>
      <c r="F527" s="47" t="str">
        <f>IF(COUNTA(archive!H527:CI527)=0,"",COUNTA(archive!H527:CI527))</f>
        <v/>
      </c>
      <c r="G527" s="47" t="str">
        <f>IF(archive!G527="","",archive!G527)</f>
        <v/>
      </c>
      <c r="H527" s="51" t="str">
        <f>IF(archive!CJ527="","",archive!CJ527)</f>
        <v/>
      </c>
      <c r="I527" s="51" t="str">
        <f>IF(archive!CK527="","",archive!CK527)</f>
        <v/>
      </c>
      <c r="J527" s="47" t="str">
        <f t="shared" si="115"/>
        <v/>
      </c>
      <c r="K527" s="51" t="str">
        <f t="shared" si="116"/>
        <v/>
      </c>
      <c r="L527" s="52" t="str">
        <f t="shared" si="117"/>
        <v/>
      </c>
      <c r="M527" s="53" t="str">
        <f t="shared" si="118"/>
        <v/>
      </c>
      <c r="N527" s="53" t="str">
        <f t="shared" si="119"/>
        <v/>
      </c>
      <c r="O527" s="53" t="str">
        <f t="shared" si="120"/>
        <v/>
      </c>
      <c r="P527" s="53" t="str">
        <f t="shared" si="121"/>
        <v/>
      </c>
      <c r="Q527" s="53" t="str">
        <f t="shared" si="122"/>
        <v/>
      </c>
      <c r="R527" s="53" t="str">
        <f t="shared" si="123"/>
        <v/>
      </c>
      <c r="S527" s="53" t="str">
        <f t="shared" si="124"/>
        <v/>
      </c>
      <c r="T527" s="53" t="str">
        <f t="shared" si="125"/>
        <v/>
      </c>
    </row>
    <row r="528" spans="1:20">
      <c r="A528" s="47" t="str">
        <f>IF(archive!E528="","",archive!E528)</f>
        <v/>
      </c>
      <c r="B528" s="48" t="str">
        <f t="shared" si="112"/>
        <v/>
      </c>
      <c r="C528" s="49" t="str">
        <f>IF(archive!F528="","",archive!F528)</f>
        <v/>
      </c>
      <c r="D528" s="50" t="str">
        <f t="shared" si="113"/>
        <v/>
      </c>
      <c r="E528" s="50" t="str">
        <f t="shared" si="114"/>
        <v/>
      </c>
      <c r="F528" s="47" t="str">
        <f>IF(COUNTA(archive!H528:CI528)=0,"",COUNTA(archive!H528:CI528))</f>
        <v/>
      </c>
      <c r="G528" s="47" t="str">
        <f>IF(archive!G528="","",archive!G528)</f>
        <v/>
      </c>
      <c r="H528" s="51" t="str">
        <f>IF(archive!CJ528="","",archive!CJ528)</f>
        <v/>
      </c>
      <c r="I528" s="51" t="str">
        <f>IF(archive!CK528="","",archive!CK528)</f>
        <v/>
      </c>
      <c r="J528" s="47" t="str">
        <f t="shared" si="115"/>
        <v/>
      </c>
      <c r="K528" s="51" t="str">
        <f t="shared" si="116"/>
        <v/>
      </c>
      <c r="L528" s="52" t="str">
        <f t="shared" si="117"/>
        <v/>
      </c>
      <c r="M528" s="53" t="str">
        <f t="shared" si="118"/>
        <v/>
      </c>
      <c r="N528" s="53" t="str">
        <f t="shared" si="119"/>
        <v/>
      </c>
      <c r="O528" s="53" t="str">
        <f t="shared" si="120"/>
        <v/>
      </c>
      <c r="P528" s="53" t="str">
        <f t="shared" si="121"/>
        <v/>
      </c>
      <c r="Q528" s="53" t="str">
        <f t="shared" si="122"/>
        <v/>
      </c>
      <c r="R528" s="53" t="str">
        <f t="shared" si="123"/>
        <v/>
      </c>
      <c r="S528" s="53" t="str">
        <f t="shared" si="124"/>
        <v/>
      </c>
      <c r="T528" s="53" t="str">
        <f t="shared" si="125"/>
        <v/>
      </c>
    </row>
    <row r="529" spans="1:20">
      <c r="A529" s="47" t="str">
        <f>IF(archive!E529="","",archive!E529)</f>
        <v/>
      </c>
      <c r="B529" s="48" t="str">
        <f t="shared" si="112"/>
        <v/>
      </c>
      <c r="C529" s="49" t="str">
        <f>IF(archive!F529="","",archive!F529)</f>
        <v/>
      </c>
      <c r="D529" s="50" t="str">
        <f t="shared" si="113"/>
        <v/>
      </c>
      <c r="E529" s="50" t="str">
        <f t="shared" si="114"/>
        <v/>
      </c>
      <c r="F529" s="47" t="str">
        <f>IF(COUNTA(archive!H529:CI529)=0,"",COUNTA(archive!H529:CI529))</f>
        <v/>
      </c>
      <c r="G529" s="47" t="str">
        <f>IF(archive!G529="","",archive!G529)</f>
        <v/>
      </c>
      <c r="H529" s="51" t="str">
        <f>IF(archive!CJ529="","",archive!CJ529)</f>
        <v/>
      </c>
      <c r="I529" s="51" t="str">
        <f>IF(archive!CK529="","",archive!CK529)</f>
        <v/>
      </c>
      <c r="J529" s="47" t="str">
        <f t="shared" si="115"/>
        <v/>
      </c>
      <c r="K529" s="51" t="str">
        <f t="shared" si="116"/>
        <v/>
      </c>
      <c r="L529" s="52" t="str">
        <f t="shared" si="117"/>
        <v/>
      </c>
      <c r="M529" s="53" t="str">
        <f t="shared" si="118"/>
        <v/>
      </c>
      <c r="N529" s="53" t="str">
        <f t="shared" si="119"/>
        <v/>
      </c>
      <c r="O529" s="53" t="str">
        <f t="shared" si="120"/>
        <v/>
      </c>
      <c r="P529" s="53" t="str">
        <f t="shared" si="121"/>
        <v/>
      </c>
      <c r="Q529" s="53" t="str">
        <f t="shared" si="122"/>
        <v/>
      </c>
      <c r="R529" s="53" t="str">
        <f t="shared" si="123"/>
        <v/>
      </c>
      <c r="S529" s="53" t="str">
        <f t="shared" si="124"/>
        <v/>
      </c>
      <c r="T529" s="53" t="str">
        <f t="shared" si="125"/>
        <v/>
      </c>
    </row>
    <row r="530" spans="1:20">
      <c r="A530" s="47" t="str">
        <f>IF(archive!E530="","",archive!E530)</f>
        <v/>
      </c>
      <c r="B530" s="48" t="str">
        <f t="shared" si="112"/>
        <v/>
      </c>
      <c r="C530" s="49" t="str">
        <f>IF(archive!F530="","",archive!F530)</f>
        <v/>
      </c>
      <c r="D530" s="50" t="str">
        <f t="shared" si="113"/>
        <v/>
      </c>
      <c r="E530" s="50" t="str">
        <f t="shared" si="114"/>
        <v/>
      </c>
      <c r="F530" s="47" t="str">
        <f>IF(COUNTA(archive!H530:CI530)=0,"",COUNTA(archive!H530:CI530))</f>
        <v/>
      </c>
      <c r="G530" s="47" t="str">
        <f>IF(archive!G530="","",archive!G530)</f>
        <v/>
      </c>
      <c r="H530" s="51" t="str">
        <f>IF(archive!CJ530="","",archive!CJ530)</f>
        <v/>
      </c>
      <c r="I530" s="51" t="str">
        <f>IF(archive!CK530="","",archive!CK530)</f>
        <v/>
      </c>
      <c r="J530" s="47" t="str">
        <f t="shared" si="115"/>
        <v/>
      </c>
      <c r="K530" s="51" t="str">
        <f t="shared" si="116"/>
        <v/>
      </c>
      <c r="L530" s="52" t="str">
        <f t="shared" si="117"/>
        <v/>
      </c>
      <c r="M530" s="53" t="str">
        <f t="shared" si="118"/>
        <v/>
      </c>
      <c r="N530" s="53" t="str">
        <f t="shared" si="119"/>
        <v/>
      </c>
      <c r="O530" s="53" t="str">
        <f t="shared" si="120"/>
        <v/>
      </c>
      <c r="P530" s="53" t="str">
        <f t="shared" si="121"/>
        <v/>
      </c>
      <c r="Q530" s="53" t="str">
        <f t="shared" si="122"/>
        <v/>
      </c>
      <c r="R530" s="53" t="str">
        <f t="shared" si="123"/>
        <v/>
      </c>
      <c r="S530" s="53" t="str">
        <f t="shared" si="124"/>
        <v/>
      </c>
      <c r="T530" s="53" t="str">
        <f t="shared" si="125"/>
        <v/>
      </c>
    </row>
    <row r="531" spans="1:20">
      <c r="A531" s="47" t="str">
        <f>IF(archive!E531="","",archive!E531)</f>
        <v/>
      </c>
      <c r="B531" s="48" t="str">
        <f t="shared" si="112"/>
        <v/>
      </c>
      <c r="C531" s="49" t="str">
        <f>IF(archive!F531="","",archive!F531)</f>
        <v/>
      </c>
      <c r="D531" s="50" t="str">
        <f t="shared" si="113"/>
        <v/>
      </c>
      <c r="E531" s="50" t="str">
        <f t="shared" si="114"/>
        <v/>
      </c>
      <c r="F531" s="47" t="str">
        <f>IF(COUNTA(archive!H531:CI531)=0,"",COUNTA(archive!H531:CI531))</f>
        <v/>
      </c>
      <c r="G531" s="47" t="str">
        <f>IF(archive!G531="","",archive!G531)</f>
        <v/>
      </c>
      <c r="H531" s="51" t="str">
        <f>IF(archive!CJ531="","",archive!CJ531)</f>
        <v/>
      </c>
      <c r="I531" s="51" t="str">
        <f>IF(archive!CK531="","",archive!CK531)</f>
        <v/>
      </c>
      <c r="J531" s="47" t="str">
        <f t="shared" si="115"/>
        <v/>
      </c>
      <c r="K531" s="51" t="str">
        <f t="shared" si="116"/>
        <v/>
      </c>
      <c r="L531" s="52" t="str">
        <f t="shared" si="117"/>
        <v/>
      </c>
      <c r="M531" s="53" t="str">
        <f t="shared" si="118"/>
        <v/>
      </c>
      <c r="N531" s="53" t="str">
        <f t="shared" si="119"/>
        <v/>
      </c>
      <c r="O531" s="53" t="str">
        <f t="shared" si="120"/>
        <v/>
      </c>
      <c r="P531" s="53" t="str">
        <f t="shared" si="121"/>
        <v/>
      </c>
      <c r="Q531" s="53" t="str">
        <f t="shared" si="122"/>
        <v/>
      </c>
      <c r="R531" s="53" t="str">
        <f t="shared" si="123"/>
        <v/>
      </c>
      <c r="S531" s="53" t="str">
        <f t="shared" si="124"/>
        <v/>
      </c>
      <c r="T531" s="53" t="str">
        <f t="shared" si="125"/>
        <v/>
      </c>
    </row>
    <row r="532" spans="1:20">
      <c r="A532" s="47" t="str">
        <f>IF(archive!E532="","",archive!E532)</f>
        <v/>
      </c>
      <c r="B532" s="48" t="str">
        <f t="shared" si="112"/>
        <v/>
      </c>
      <c r="C532" s="49" t="str">
        <f>IF(archive!F532="","",archive!F532)</f>
        <v/>
      </c>
      <c r="D532" s="50" t="str">
        <f t="shared" si="113"/>
        <v/>
      </c>
      <c r="E532" s="50" t="str">
        <f t="shared" si="114"/>
        <v/>
      </c>
      <c r="F532" s="47" t="str">
        <f>IF(COUNTA(archive!H532:CI532)=0,"",COUNTA(archive!H532:CI532))</f>
        <v/>
      </c>
      <c r="G532" s="47" t="str">
        <f>IF(archive!G532="","",archive!G532)</f>
        <v/>
      </c>
      <c r="H532" s="51" t="str">
        <f>IF(archive!CJ532="","",archive!CJ532)</f>
        <v/>
      </c>
      <c r="I532" s="51" t="str">
        <f>IF(archive!CK532="","",archive!CK532)</f>
        <v/>
      </c>
      <c r="J532" s="47" t="str">
        <f t="shared" si="115"/>
        <v/>
      </c>
      <c r="K532" s="51" t="str">
        <f t="shared" si="116"/>
        <v/>
      </c>
      <c r="L532" s="52" t="str">
        <f t="shared" si="117"/>
        <v/>
      </c>
      <c r="M532" s="53" t="str">
        <f t="shared" si="118"/>
        <v/>
      </c>
      <c r="N532" s="53" t="str">
        <f t="shared" si="119"/>
        <v/>
      </c>
      <c r="O532" s="53" t="str">
        <f t="shared" si="120"/>
        <v/>
      </c>
      <c r="P532" s="53" t="str">
        <f t="shared" si="121"/>
        <v/>
      </c>
      <c r="Q532" s="53" t="str">
        <f t="shared" si="122"/>
        <v/>
      </c>
      <c r="R532" s="53" t="str">
        <f t="shared" si="123"/>
        <v/>
      </c>
      <c r="S532" s="53" t="str">
        <f t="shared" si="124"/>
        <v/>
      </c>
      <c r="T532" s="53" t="str">
        <f t="shared" si="125"/>
        <v/>
      </c>
    </row>
    <row r="533" spans="1:20">
      <c r="A533" s="47" t="str">
        <f>IF(archive!E533="","",archive!E533)</f>
        <v/>
      </c>
      <c r="B533" s="48" t="str">
        <f t="shared" si="112"/>
        <v/>
      </c>
      <c r="C533" s="49" t="str">
        <f>IF(archive!F533="","",archive!F533)</f>
        <v/>
      </c>
      <c r="D533" s="50" t="str">
        <f t="shared" si="113"/>
        <v/>
      </c>
      <c r="E533" s="50" t="str">
        <f t="shared" si="114"/>
        <v/>
      </c>
      <c r="F533" s="47" t="str">
        <f>IF(COUNTA(archive!H533:CI533)=0,"",COUNTA(archive!H533:CI533))</f>
        <v/>
      </c>
      <c r="G533" s="47" t="str">
        <f>IF(archive!G533="","",archive!G533)</f>
        <v/>
      </c>
      <c r="H533" s="51" t="str">
        <f>IF(archive!CJ533="","",archive!CJ533)</f>
        <v/>
      </c>
      <c r="I533" s="51" t="str">
        <f>IF(archive!CK533="","",archive!CK533)</f>
        <v/>
      </c>
      <c r="J533" s="47" t="str">
        <f t="shared" si="115"/>
        <v/>
      </c>
      <c r="K533" s="51" t="str">
        <f t="shared" si="116"/>
        <v/>
      </c>
      <c r="L533" s="52" t="str">
        <f t="shared" si="117"/>
        <v/>
      </c>
      <c r="M533" s="53" t="str">
        <f t="shared" si="118"/>
        <v/>
      </c>
      <c r="N533" s="53" t="str">
        <f t="shared" si="119"/>
        <v/>
      </c>
      <c r="O533" s="53" t="str">
        <f t="shared" si="120"/>
        <v/>
      </c>
      <c r="P533" s="53" t="str">
        <f t="shared" si="121"/>
        <v/>
      </c>
      <c r="Q533" s="53" t="str">
        <f t="shared" si="122"/>
        <v/>
      </c>
      <c r="R533" s="53" t="str">
        <f t="shared" si="123"/>
        <v/>
      </c>
      <c r="S533" s="53" t="str">
        <f t="shared" si="124"/>
        <v/>
      </c>
      <c r="T533" s="53" t="str">
        <f t="shared" si="125"/>
        <v/>
      </c>
    </row>
    <row r="534" spans="1:20">
      <c r="A534" s="47" t="str">
        <f>IF(archive!E534="","",archive!E534)</f>
        <v/>
      </c>
      <c r="B534" s="48" t="str">
        <f t="shared" si="112"/>
        <v/>
      </c>
      <c r="C534" s="49" t="str">
        <f>IF(archive!F534="","",archive!F534)</f>
        <v/>
      </c>
      <c r="D534" s="50" t="str">
        <f t="shared" si="113"/>
        <v/>
      </c>
      <c r="E534" s="50" t="str">
        <f t="shared" si="114"/>
        <v/>
      </c>
      <c r="F534" s="47" t="str">
        <f>IF(COUNTA(archive!H534:CI534)=0,"",COUNTA(archive!H534:CI534))</f>
        <v/>
      </c>
      <c r="G534" s="47" t="str">
        <f>IF(archive!G534="","",archive!G534)</f>
        <v/>
      </c>
      <c r="H534" s="51" t="str">
        <f>IF(archive!CJ534="","",archive!CJ534)</f>
        <v/>
      </c>
      <c r="I534" s="51" t="str">
        <f>IF(archive!CK534="","",archive!CK534)</f>
        <v/>
      </c>
      <c r="J534" s="47" t="str">
        <f t="shared" si="115"/>
        <v/>
      </c>
      <c r="K534" s="51" t="str">
        <f t="shared" si="116"/>
        <v/>
      </c>
      <c r="L534" s="52" t="str">
        <f t="shared" si="117"/>
        <v/>
      </c>
      <c r="M534" s="53" t="str">
        <f t="shared" si="118"/>
        <v/>
      </c>
      <c r="N534" s="53" t="str">
        <f t="shared" si="119"/>
        <v/>
      </c>
      <c r="O534" s="53" t="str">
        <f t="shared" si="120"/>
        <v/>
      </c>
      <c r="P534" s="53" t="str">
        <f t="shared" si="121"/>
        <v/>
      </c>
      <c r="Q534" s="53" t="str">
        <f t="shared" si="122"/>
        <v/>
      </c>
      <c r="R534" s="53" t="str">
        <f t="shared" si="123"/>
        <v/>
      </c>
      <c r="S534" s="53" t="str">
        <f t="shared" si="124"/>
        <v/>
      </c>
      <c r="T534" s="53" t="str">
        <f t="shared" si="125"/>
        <v/>
      </c>
    </row>
    <row r="535" spans="1:20">
      <c r="A535" s="47" t="str">
        <f>IF(archive!E535="","",archive!E535)</f>
        <v/>
      </c>
      <c r="B535" s="48" t="str">
        <f t="shared" si="112"/>
        <v/>
      </c>
      <c r="C535" s="49" t="str">
        <f>IF(archive!F535="","",archive!F535)</f>
        <v/>
      </c>
      <c r="D535" s="50" t="str">
        <f t="shared" si="113"/>
        <v/>
      </c>
      <c r="E535" s="50" t="str">
        <f t="shared" si="114"/>
        <v/>
      </c>
      <c r="F535" s="47" t="str">
        <f>IF(COUNTA(archive!H535:CI535)=0,"",COUNTA(archive!H535:CI535))</f>
        <v/>
      </c>
      <c r="G535" s="47" t="str">
        <f>IF(archive!G535="","",archive!G535)</f>
        <v/>
      </c>
      <c r="H535" s="51" t="str">
        <f>IF(archive!CJ535="","",archive!CJ535)</f>
        <v/>
      </c>
      <c r="I535" s="51" t="str">
        <f>IF(archive!CK535="","",archive!CK535)</f>
        <v/>
      </c>
      <c r="J535" s="47" t="str">
        <f t="shared" si="115"/>
        <v/>
      </c>
      <c r="K535" s="51" t="str">
        <f t="shared" si="116"/>
        <v/>
      </c>
      <c r="L535" s="52" t="str">
        <f t="shared" si="117"/>
        <v/>
      </c>
      <c r="M535" s="53" t="str">
        <f t="shared" si="118"/>
        <v/>
      </c>
      <c r="N535" s="53" t="str">
        <f t="shared" si="119"/>
        <v/>
      </c>
      <c r="O535" s="53" t="str">
        <f t="shared" si="120"/>
        <v/>
      </c>
      <c r="P535" s="53" t="str">
        <f t="shared" si="121"/>
        <v/>
      </c>
      <c r="Q535" s="53" t="str">
        <f t="shared" si="122"/>
        <v/>
      </c>
      <c r="R535" s="53" t="str">
        <f t="shared" si="123"/>
        <v/>
      </c>
      <c r="S535" s="53" t="str">
        <f t="shared" si="124"/>
        <v/>
      </c>
      <c r="T535" s="53" t="str">
        <f t="shared" si="125"/>
        <v/>
      </c>
    </row>
    <row r="536" spans="1:20">
      <c r="A536" s="47" t="str">
        <f>IF(archive!E536="","",archive!E536)</f>
        <v/>
      </c>
      <c r="B536" s="48" t="str">
        <f t="shared" si="112"/>
        <v/>
      </c>
      <c r="C536" s="49" t="str">
        <f>IF(archive!F536="","",archive!F536)</f>
        <v/>
      </c>
      <c r="D536" s="50" t="str">
        <f t="shared" si="113"/>
        <v/>
      </c>
      <c r="E536" s="50" t="str">
        <f t="shared" si="114"/>
        <v/>
      </c>
      <c r="F536" s="47" t="str">
        <f>IF(COUNTA(archive!H536:CI536)=0,"",COUNTA(archive!H536:CI536))</f>
        <v/>
      </c>
      <c r="G536" s="47" t="str">
        <f>IF(archive!G536="","",archive!G536)</f>
        <v/>
      </c>
      <c r="H536" s="51" t="str">
        <f>IF(archive!CJ536="","",archive!CJ536)</f>
        <v/>
      </c>
      <c r="I536" s="51" t="str">
        <f>IF(archive!CK536="","",archive!CK536)</f>
        <v/>
      </c>
      <c r="J536" s="47" t="str">
        <f t="shared" si="115"/>
        <v/>
      </c>
      <c r="K536" s="51" t="str">
        <f t="shared" si="116"/>
        <v/>
      </c>
      <c r="L536" s="52" t="str">
        <f t="shared" si="117"/>
        <v/>
      </c>
      <c r="M536" s="53" t="str">
        <f t="shared" si="118"/>
        <v/>
      </c>
      <c r="N536" s="53" t="str">
        <f t="shared" si="119"/>
        <v/>
      </c>
      <c r="O536" s="53" t="str">
        <f t="shared" si="120"/>
        <v/>
      </c>
      <c r="P536" s="53" t="str">
        <f t="shared" si="121"/>
        <v/>
      </c>
      <c r="Q536" s="53" t="str">
        <f t="shared" si="122"/>
        <v/>
      </c>
      <c r="R536" s="53" t="str">
        <f t="shared" si="123"/>
        <v/>
      </c>
      <c r="S536" s="53" t="str">
        <f t="shared" si="124"/>
        <v/>
      </c>
      <c r="T536" s="53" t="str">
        <f t="shared" si="125"/>
        <v/>
      </c>
    </row>
    <row r="537" spans="1:20">
      <c r="A537" s="47" t="str">
        <f>IF(archive!E537="","",archive!E537)</f>
        <v/>
      </c>
      <c r="B537" s="48" t="str">
        <f t="shared" si="112"/>
        <v/>
      </c>
      <c r="C537" s="49" t="str">
        <f>IF(archive!F537="","",archive!F537)</f>
        <v/>
      </c>
      <c r="D537" s="50" t="str">
        <f t="shared" si="113"/>
        <v/>
      </c>
      <c r="E537" s="50" t="str">
        <f t="shared" si="114"/>
        <v/>
      </c>
      <c r="F537" s="47" t="str">
        <f>IF(COUNTA(archive!H537:CI537)=0,"",COUNTA(archive!H537:CI537))</f>
        <v/>
      </c>
      <c r="G537" s="47" t="str">
        <f>IF(archive!G537="","",archive!G537)</f>
        <v/>
      </c>
      <c r="H537" s="51" t="str">
        <f>IF(archive!CJ537="","",archive!CJ537)</f>
        <v/>
      </c>
      <c r="I537" s="51" t="str">
        <f>IF(archive!CK537="","",archive!CK537)</f>
        <v/>
      </c>
      <c r="J537" s="47" t="str">
        <f t="shared" si="115"/>
        <v/>
      </c>
      <c r="K537" s="51" t="str">
        <f t="shared" si="116"/>
        <v/>
      </c>
      <c r="L537" s="52" t="str">
        <f t="shared" si="117"/>
        <v/>
      </c>
      <c r="M537" s="53" t="str">
        <f t="shared" si="118"/>
        <v/>
      </c>
      <c r="N537" s="53" t="str">
        <f t="shared" si="119"/>
        <v/>
      </c>
      <c r="O537" s="53" t="str">
        <f t="shared" si="120"/>
        <v/>
      </c>
      <c r="P537" s="53" t="str">
        <f t="shared" si="121"/>
        <v/>
      </c>
      <c r="Q537" s="53" t="str">
        <f t="shared" si="122"/>
        <v/>
      </c>
      <c r="R537" s="53" t="str">
        <f t="shared" si="123"/>
        <v/>
      </c>
      <c r="S537" s="53" t="str">
        <f t="shared" si="124"/>
        <v/>
      </c>
      <c r="T537" s="53" t="str">
        <f t="shared" si="125"/>
        <v/>
      </c>
    </row>
    <row r="538" spans="1:20">
      <c r="A538" s="47" t="str">
        <f>IF(archive!E538="","",archive!E538)</f>
        <v/>
      </c>
      <c r="B538" s="48" t="str">
        <f t="shared" si="112"/>
        <v/>
      </c>
      <c r="C538" s="49" t="str">
        <f>IF(archive!F538="","",archive!F538)</f>
        <v/>
      </c>
      <c r="D538" s="50" t="str">
        <f t="shared" si="113"/>
        <v/>
      </c>
      <c r="E538" s="50" t="str">
        <f t="shared" si="114"/>
        <v/>
      </c>
      <c r="F538" s="47" t="str">
        <f>IF(COUNTA(archive!H538:CI538)=0,"",COUNTA(archive!H538:CI538))</f>
        <v/>
      </c>
      <c r="G538" s="47" t="str">
        <f>IF(archive!G538="","",archive!G538)</f>
        <v/>
      </c>
      <c r="H538" s="51" t="str">
        <f>IF(archive!CJ538="","",archive!CJ538)</f>
        <v/>
      </c>
      <c r="I538" s="51" t="str">
        <f>IF(archive!CK538="","",archive!CK538)</f>
        <v/>
      </c>
      <c r="J538" s="47" t="str">
        <f t="shared" si="115"/>
        <v/>
      </c>
      <c r="K538" s="51" t="str">
        <f t="shared" si="116"/>
        <v/>
      </c>
      <c r="L538" s="52" t="str">
        <f t="shared" si="117"/>
        <v/>
      </c>
      <c r="M538" s="53" t="str">
        <f t="shared" si="118"/>
        <v/>
      </c>
      <c r="N538" s="53" t="str">
        <f t="shared" si="119"/>
        <v/>
      </c>
      <c r="O538" s="53" t="str">
        <f t="shared" si="120"/>
        <v/>
      </c>
      <c r="P538" s="53" t="str">
        <f t="shared" si="121"/>
        <v/>
      </c>
      <c r="Q538" s="53" t="str">
        <f t="shared" si="122"/>
        <v/>
      </c>
      <c r="R538" s="53" t="str">
        <f t="shared" si="123"/>
        <v/>
      </c>
      <c r="S538" s="53" t="str">
        <f t="shared" si="124"/>
        <v/>
      </c>
      <c r="T538" s="53" t="str">
        <f t="shared" si="125"/>
        <v/>
      </c>
    </row>
    <row r="539" spans="1:20">
      <c r="A539" s="47" t="str">
        <f>IF(archive!E539="","",archive!E539)</f>
        <v/>
      </c>
      <c r="B539" s="48" t="str">
        <f t="shared" si="112"/>
        <v/>
      </c>
      <c r="C539" s="49" t="str">
        <f>IF(archive!F539="","",archive!F539)</f>
        <v/>
      </c>
      <c r="D539" s="50" t="str">
        <f t="shared" si="113"/>
        <v/>
      </c>
      <c r="E539" s="50" t="str">
        <f t="shared" si="114"/>
        <v/>
      </c>
      <c r="F539" s="47" t="str">
        <f>IF(COUNTA(archive!H539:CI539)=0,"",COUNTA(archive!H539:CI539))</f>
        <v/>
      </c>
      <c r="G539" s="47" t="str">
        <f>IF(archive!G539="","",archive!G539)</f>
        <v/>
      </c>
      <c r="H539" s="51" t="str">
        <f>IF(archive!CJ539="","",archive!CJ539)</f>
        <v/>
      </c>
      <c r="I539" s="51" t="str">
        <f>IF(archive!CK539="","",archive!CK539)</f>
        <v/>
      </c>
      <c r="J539" s="47" t="str">
        <f t="shared" si="115"/>
        <v/>
      </c>
      <c r="K539" s="51" t="str">
        <f t="shared" si="116"/>
        <v/>
      </c>
      <c r="L539" s="52" t="str">
        <f t="shared" si="117"/>
        <v/>
      </c>
      <c r="M539" s="53" t="str">
        <f t="shared" si="118"/>
        <v/>
      </c>
      <c r="N539" s="53" t="str">
        <f t="shared" si="119"/>
        <v/>
      </c>
      <c r="O539" s="53" t="str">
        <f t="shared" si="120"/>
        <v/>
      </c>
      <c r="P539" s="53" t="str">
        <f t="shared" si="121"/>
        <v/>
      </c>
      <c r="Q539" s="53" t="str">
        <f t="shared" si="122"/>
        <v/>
      </c>
      <c r="R539" s="53" t="str">
        <f t="shared" si="123"/>
        <v/>
      </c>
      <c r="S539" s="53" t="str">
        <f t="shared" si="124"/>
        <v/>
      </c>
      <c r="T539" s="53" t="str">
        <f t="shared" si="125"/>
        <v/>
      </c>
    </row>
    <row r="540" spans="1:20">
      <c r="A540" s="47" t="str">
        <f>IF(archive!E540="","",archive!E540)</f>
        <v/>
      </c>
      <c r="B540" s="48" t="str">
        <f t="shared" si="112"/>
        <v/>
      </c>
      <c r="C540" s="49" t="str">
        <f>IF(archive!F540="","",archive!F540)</f>
        <v/>
      </c>
      <c r="D540" s="50" t="str">
        <f t="shared" si="113"/>
        <v/>
      </c>
      <c r="E540" s="50" t="str">
        <f t="shared" si="114"/>
        <v/>
      </c>
      <c r="F540" s="47" t="str">
        <f>IF(COUNTA(archive!H540:CI540)=0,"",COUNTA(archive!H540:CI540))</f>
        <v/>
      </c>
      <c r="G540" s="47" t="str">
        <f>IF(archive!G540="","",archive!G540)</f>
        <v/>
      </c>
      <c r="H540" s="51" t="str">
        <f>IF(archive!CJ540="","",archive!CJ540)</f>
        <v/>
      </c>
      <c r="I540" s="51" t="str">
        <f>IF(archive!CK540="","",archive!CK540)</f>
        <v/>
      </c>
      <c r="J540" s="47" t="str">
        <f t="shared" si="115"/>
        <v/>
      </c>
      <c r="K540" s="51" t="str">
        <f t="shared" si="116"/>
        <v/>
      </c>
      <c r="L540" s="52" t="str">
        <f t="shared" si="117"/>
        <v/>
      </c>
      <c r="M540" s="53" t="str">
        <f t="shared" si="118"/>
        <v/>
      </c>
      <c r="N540" s="53" t="str">
        <f t="shared" si="119"/>
        <v/>
      </c>
      <c r="O540" s="53" t="str">
        <f t="shared" si="120"/>
        <v/>
      </c>
      <c r="P540" s="53" t="str">
        <f t="shared" si="121"/>
        <v/>
      </c>
      <c r="Q540" s="53" t="str">
        <f t="shared" si="122"/>
        <v/>
      </c>
      <c r="R540" s="53" t="str">
        <f t="shared" si="123"/>
        <v/>
      </c>
      <c r="S540" s="53" t="str">
        <f t="shared" si="124"/>
        <v/>
      </c>
      <c r="T540" s="53" t="str">
        <f t="shared" si="125"/>
        <v/>
      </c>
    </row>
    <row r="541" spans="1:20">
      <c r="A541" s="47" t="str">
        <f>IF(archive!E541="","",archive!E541)</f>
        <v/>
      </c>
      <c r="B541" s="48" t="str">
        <f t="shared" si="112"/>
        <v/>
      </c>
      <c r="C541" s="49" t="str">
        <f>IF(archive!F541="","",archive!F541)</f>
        <v/>
      </c>
      <c r="D541" s="50" t="str">
        <f t="shared" si="113"/>
        <v/>
      </c>
      <c r="E541" s="50" t="str">
        <f t="shared" si="114"/>
        <v/>
      </c>
      <c r="F541" s="47" t="str">
        <f>IF(COUNTA(archive!H541:CI541)=0,"",COUNTA(archive!H541:CI541))</f>
        <v/>
      </c>
      <c r="G541" s="47" t="str">
        <f>IF(archive!G541="","",archive!G541)</f>
        <v/>
      </c>
      <c r="H541" s="51" t="str">
        <f>IF(archive!CJ541="","",archive!CJ541)</f>
        <v/>
      </c>
      <c r="I541" s="51" t="str">
        <f>IF(archive!CK541="","",archive!CK541)</f>
        <v/>
      </c>
      <c r="J541" s="47" t="str">
        <f t="shared" si="115"/>
        <v/>
      </c>
      <c r="K541" s="51" t="str">
        <f t="shared" si="116"/>
        <v/>
      </c>
      <c r="L541" s="52" t="str">
        <f t="shared" si="117"/>
        <v/>
      </c>
      <c r="M541" s="53" t="str">
        <f t="shared" si="118"/>
        <v/>
      </c>
      <c r="N541" s="53" t="str">
        <f t="shared" si="119"/>
        <v/>
      </c>
      <c r="O541" s="53" t="str">
        <f t="shared" si="120"/>
        <v/>
      </c>
      <c r="P541" s="53" t="str">
        <f t="shared" si="121"/>
        <v/>
      </c>
      <c r="Q541" s="53" t="str">
        <f t="shared" si="122"/>
        <v/>
      </c>
      <c r="R541" s="53" t="str">
        <f t="shared" si="123"/>
        <v/>
      </c>
      <c r="S541" s="53" t="str">
        <f t="shared" si="124"/>
        <v/>
      </c>
      <c r="T541" s="53" t="str">
        <f t="shared" si="125"/>
        <v/>
      </c>
    </row>
    <row r="542" spans="1:20">
      <c r="A542" s="47" t="str">
        <f>IF(archive!E542="","",archive!E542)</f>
        <v/>
      </c>
      <c r="B542" s="48" t="str">
        <f t="shared" si="112"/>
        <v/>
      </c>
      <c r="C542" s="49" t="str">
        <f>IF(archive!F542="","",archive!F542)</f>
        <v/>
      </c>
      <c r="D542" s="50" t="str">
        <f t="shared" si="113"/>
        <v/>
      </c>
      <c r="E542" s="50" t="str">
        <f t="shared" si="114"/>
        <v/>
      </c>
      <c r="F542" s="47" t="str">
        <f>IF(COUNTA(archive!H542:CI542)=0,"",COUNTA(archive!H542:CI542))</f>
        <v/>
      </c>
      <c r="G542" s="47" t="str">
        <f>IF(archive!G542="","",archive!G542)</f>
        <v/>
      </c>
      <c r="H542" s="51" t="str">
        <f>IF(archive!CJ542="","",archive!CJ542)</f>
        <v/>
      </c>
      <c r="I542" s="51" t="str">
        <f>IF(archive!CK542="","",archive!CK542)</f>
        <v/>
      </c>
      <c r="J542" s="47" t="str">
        <f t="shared" si="115"/>
        <v/>
      </c>
      <c r="K542" s="51" t="str">
        <f t="shared" si="116"/>
        <v/>
      </c>
      <c r="L542" s="52" t="str">
        <f t="shared" si="117"/>
        <v/>
      </c>
      <c r="M542" s="53" t="str">
        <f t="shared" si="118"/>
        <v/>
      </c>
      <c r="N542" s="53" t="str">
        <f t="shared" si="119"/>
        <v/>
      </c>
      <c r="O542" s="53" t="str">
        <f t="shared" si="120"/>
        <v/>
      </c>
      <c r="P542" s="53" t="str">
        <f t="shared" si="121"/>
        <v/>
      </c>
      <c r="Q542" s="53" t="str">
        <f t="shared" si="122"/>
        <v/>
      </c>
      <c r="R542" s="53" t="str">
        <f t="shared" si="123"/>
        <v/>
      </c>
      <c r="S542" s="53" t="str">
        <f t="shared" si="124"/>
        <v/>
      </c>
      <c r="T542" s="53" t="str">
        <f t="shared" si="125"/>
        <v/>
      </c>
    </row>
    <row r="543" spans="1:20">
      <c r="A543" s="47" t="str">
        <f>IF(archive!E543="","",archive!E543)</f>
        <v/>
      </c>
      <c r="B543" s="48" t="str">
        <f t="shared" si="112"/>
        <v/>
      </c>
      <c r="C543" s="49" t="str">
        <f>IF(archive!F543="","",archive!F543)</f>
        <v/>
      </c>
      <c r="D543" s="50" t="str">
        <f t="shared" si="113"/>
        <v/>
      </c>
      <c r="E543" s="50" t="str">
        <f t="shared" si="114"/>
        <v/>
      </c>
      <c r="F543" s="47" t="str">
        <f>IF(COUNTA(archive!H543:CI543)=0,"",COUNTA(archive!H543:CI543))</f>
        <v/>
      </c>
      <c r="G543" s="47" t="str">
        <f>IF(archive!G543="","",archive!G543)</f>
        <v/>
      </c>
      <c r="H543" s="51" t="str">
        <f>IF(archive!CJ543="","",archive!CJ543)</f>
        <v/>
      </c>
      <c r="I543" s="51" t="str">
        <f>IF(archive!CK543="","",archive!CK543)</f>
        <v/>
      </c>
      <c r="J543" s="47" t="str">
        <f t="shared" si="115"/>
        <v/>
      </c>
      <c r="K543" s="51" t="str">
        <f t="shared" si="116"/>
        <v/>
      </c>
      <c r="L543" s="52" t="str">
        <f t="shared" si="117"/>
        <v/>
      </c>
      <c r="M543" s="53" t="str">
        <f t="shared" si="118"/>
        <v/>
      </c>
      <c r="N543" s="53" t="str">
        <f t="shared" si="119"/>
        <v/>
      </c>
      <c r="O543" s="53" t="str">
        <f t="shared" si="120"/>
        <v/>
      </c>
      <c r="P543" s="53" t="str">
        <f t="shared" si="121"/>
        <v/>
      </c>
      <c r="Q543" s="53" t="str">
        <f t="shared" si="122"/>
        <v/>
      </c>
      <c r="R543" s="53" t="str">
        <f t="shared" si="123"/>
        <v/>
      </c>
      <c r="S543" s="53" t="str">
        <f t="shared" si="124"/>
        <v/>
      </c>
      <c r="T543" s="53" t="str">
        <f t="shared" si="125"/>
        <v/>
      </c>
    </row>
    <row r="544" spans="1:20">
      <c r="A544" s="47" t="str">
        <f>IF(archive!E544="","",archive!E544)</f>
        <v/>
      </c>
      <c r="B544" s="48" t="str">
        <f t="shared" si="112"/>
        <v/>
      </c>
      <c r="C544" s="49" t="str">
        <f>IF(archive!F544="","",archive!F544)</f>
        <v/>
      </c>
      <c r="D544" s="50" t="str">
        <f t="shared" si="113"/>
        <v/>
      </c>
      <c r="E544" s="50" t="str">
        <f t="shared" si="114"/>
        <v/>
      </c>
      <c r="F544" s="47" t="str">
        <f>IF(COUNTA(archive!H544:CI544)=0,"",COUNTA(archive!H544:CI544))</f>
        <v/>
      </c>
      <c r="G544" s="47" t="str">
        <f>IF(archive!G544="","",archive!G544)</f>
        <v/>
      </c>
      <c r="H544" s="51" t="str">
        <f>IF(archive!CJ544="","",archive!CJ544)</f>
        <v/>
      </c>
      <c r="I544" s="51" t="str">
        <f>IF(archive!CK544="","",archive!CK544)</f>
        <v/>
      </c>
      <c r="J544" s="47" t="str">
        <f t="shared" si="115"/>
        <v/>
      </c>
      <c r="K544" s="51" t="str">
        <f t="shared" si="116"/>
        <v/>
      </c>
      <c r="L544" s="52" t="str">
        <f t="shared" si="117"/>
        <v/>
      </c>
      <c r="M544" s="53" t="str">
        <f t="shared" si="118"/>
        <v/>
      </c>
      <c r="N544" s="53" t="str">
        <f t="shared" si="119"/>
        <v/>
      </c>
      <c r="O544" s="53" t="str">
        <f t="shared" si="120"/>
        <v/>
      </c>
      <c r="P544" s="53" t="str">
        <f t="shared" si="121"/>
        <v/>
      </c>
      <c r="Q544" s="53" t="str">
        <f t="shared" si="122"/>
        <v/>
      </c>
      <c r="R544" s="53" t="str">
        <f t="shared" si="123"/>
        <v/>
      </c>
      <c r="S544" s="53" t="str">
        <f t="shared" si="124"/>
        <v/>
      </c>
      <c r="T544" s="53" t="str">
        <f t="shared" si="125"/>
        <v/>
      </c>
    </row>
    <row r="545" spans="1:20">
      <c r="A545" s="47" t="str">
        <f>IF(archive!E545="","",archive!E545)</f>
        <v/>
      </c>
      <c r="B545" s="48" t="str">
        <f t="shared" si="112"/>
        <v/>
      </c>
      <c r="C545" s="49" t="str">
        <f>IF(archive!F545="","",archive!F545)</f>
        <v/>
      </c>
      <c r="D545" s="50" t="str">
        <f t="shared" si="113"/>
        <v/>
      </c>
      <c r="E545" s="50" t="str">
        <f t="shared" si="114"/>
        <v/>
      </c>
      <c r="F545" s="47" t="str">
        <f>IF(COUNTA(archive!H545:CI545)=0,"",COUNTA(archive!H545:CI545))</f>
        <v/>
      </c>
      <c r="G545" s="47" t="str">
        <f>IF(archive!G545="","",archive!G545)</f>
        <v/>
      </c>
      <c r="H545" s="51" t="str">
        <f>IF(archive!CJ545="","",archive!CJ545)</f>
        <v/>
      </c>
      <c r="I545" s="51" t="str">
        <f>IF(archive!CK545="","",archive!CK545)</f>
        <v/>
      </c>
      <c r="J545" s="47" t="str">
        <f t="shared" si="115"/>
        <v/>
      </c>
      <c r="K545" s="51" t="str">
        <f t="shared" si="116"/>
        <v/>
      </c>
      <c r="L545" s="52" t="str">
        <f t="shared" si="117"/>
        <v/>
      </c>
      <c r="M545" s="53" t="str">
        <f t="shared" si="118"/>
        <v/>
      </c>
      <c r="N545" s="53" t="str">
        <f t="shared" si="119"/>
        <v/>
      </c>
      <c r="O545" s="53" t="str">
        <f t="shared" si="120"/>
        <v/>
      </c>
      <c r="P545" s="53" t="str">
        <f t="shared" si="121"/>
        <v/>
      </c>
      <c r="Q545" s="53" t="str">
        <f t="shared" si="122"/>
        <v/>
      </c>
      <c r="R545" s="53" t="str">
        <f t="shared" si="123"/>
        <v/>
      </c>
      <c r="S545" s="53" t="str">
        <f t="shared" si="124"/>
        <v/>
      </c>
      <c r="T545" s="53" t="str">
        <f t="shared" si="125"/>
        <v/>
      </c>
    </row>
    <row r="546" spans="1:20">
      <c r="A546" s="47" t="str">
        <f>IF(archive!E546="","",archive!E546)</f>
        <v/>
      </c>
      <c r="B546" s="48" t="str">
        <f t="shared" si="112"/>
        <v/>
      </c>
      <c r="C546" s="49" t="str">
        <f>IF(archive!F546="","",archive!F546)</f>
        <v/>
      </c>
      <c r="D546" s="50" t="str">
        <f t="shared" si="113"/>
        <v/>
      </c>
      <c r="E546" s="50" t="str">
        <f t="shared" si="114"/>
        <v/>
      </c>
      <c r="F546" s="47" t="str">
        <f>IF(COUNTA(archive!H546:CI546)=0,"",COUNTA(archive!H546:CI546))</f>
        <v/>
      </c>
      <c r="G546" s="47" t="str">
        <f>IF(archive!G546="","",archive!G546)</f>
        <v/>
      </c>
      <c r="H546" s="51" t="str">
        <f>IF(archive!CJ546="","",archive!CJ546)</f>
        <v/>
      </c>
      <c r="I546" s="51" t="str">
        <f>IF(archive!CK546="","",archive!CK546)</f>
        <v/>
      </c>
      <c r="J546" s="47" t="str">
        <f t="shared" si="115"/>
        <v/>
      </c>
      <c r="K546" s="51" t="str">
        <f t="shared" si="116"/>
        <v/>
      </c>
      <c r="L546" s="52" t="str">
        <f t="shared" si="117"/>
        <v/>
      </c>
      <c r="M546" s="53" t="str">
        <f t="shared" si="118"/>
        <v/>
      </c>
      <c r="N546" s="53" t="str">
        <f t="shared" si="119"/>
        <v/>
      </c>
      <c r="O546" s="53" t="str">
        <f t="shared" si="120"/>
        <v/>
      </c>
      <c r="P546" s="53" t="str">
        <f t="shared" si="121"/>
        <v/>
      </c>
      <c r="Q546" s="53" t="str">
        <f t="shared" si="122"/>
        <v/>
      </c>
      <c r="R546" s="53" t="str">
        <f t="shared" si="123"/>
        <v/>
      </c>
      <c r="S546" s="53" t="str">
        <f t="shared" si="124"/>
        <v/>
      </c>
      <c r="T546" s="53" t="str">
        <f t="shared" si="125"/>
        <v/>
      </c>
    </row>
    <row r="547" spans="1:20">
      <c r="A547" s="47" t="str">
        <f>IF(archive!E547="","",archive!E547)</f>
        <v/>
      </c>
      <c r="B547" s="48" t="str">
        <f t="shared" si="112"/>
        <v/>
      </c>
      <c r="C547" s="49" t="str">
        <f>IF(archive!F547="","",archive!F547)</f>
        <v/>
      </c>
      <c r="D547" s="50" t="str">
        <f t="shared" si="113"/>
        <v/>
      </c>
      <c r="E547" s="50" t="str">
        <f t="shared" si="114"/>
        <v/>
      </c>
      <c r="F547" s="47" t="str">
        <f>IF(COUNTA(archive!H547:CI547)=0,"",COUNTA(archive!H547:CI547))</f>
        <v/>
      </c>
      <c r="G547" s="47" t="str">
        <f>IF(archive!G547="","",archive!G547)</f>
        <v/>
      </c>
      <c r="H547" s="51" t="str">
        <f>IF(archive!CJ547="","",archive!CJ547)</f>
        <v/>
      </c>
      <c r="I547" s="51" t="str">
        <f>IF(archive!CK547="","",archive!CK547)</f>
        <v/>
      </c>
      <c r="J547" s="47" t="str">
        <f t="shared" si="115"/>
        <v/>
      </c>
      <c r="K547" s="51" t="str">
        <f t="shared" si="116"/>
        <v/>
      </c>
      <c r="L547" s="52" t="str">
        <f t="shared" si="117"/>
        <v/>
      </c>
      <c r="M547" s="53" t="str">
        <f t="shared" si="118"/>
        <v/>
      </c>
      <c r="N547" s="53" t="str">
        <f t="shared" si="119"/>
        <v/>
      </c>
      <c r="O547" s="53" t="str">
        <f t="shared" si="120"/>
        <v/>
      </c>
      <c r="P547" s="53" t="str">
        <f t="shared" si="121"/>
        <v/>
      </c>
      <c r="Q547" s="53" t="str">
        <f t="shared" si="122"/>
        <v/>
      </c>
      <c r="R547" s="53" t="str">
        <f t="shared" si="123"/>
        <v/>
      </c>
      <c r="S547" s="53" t="str">
        <f t="shared" si="124"/>
        <v/>
      </c>
      <c r="T547" s="53" t="str">
        <f t="shared" si="125"/>
        <v/>
      </c>
    </row>
    <row r="548" spans="1:20">
      <c r="A548" s="47" t="str">
        <f>IF(archive!E548="","",archive!E548)</f>
        <v/>
      </c>
      <c r="B548" s="48" t="str">
        <f t="shared" si="112"/>
        <v/>
      </c>
      <c r="C548" s="49" t="str">
        <f>IF(archive!F548="","",archive!F548)</f>
        <v/>
      </c>
      <c r="D548" s="50" t="str">
        <f t="shared" si="113"/>
        <v/>
      </c>
      <c r="E548" s="50" t="str">
        <f t="shared" si="114"/>
        <v/>
      </c>
      <c r="F548" s="47" t="str">
        <f>IF(COUNTA(archive!H548:CI548)=0,"",COUNTA(archive!H548:CI548))</f>
        <v/>
      </c>
      <c r="G548" s="47" t="str">
        <f>IF(archive!G548="","",archive!G548)</f>
        <v/>
      </c>
      <c r="H548" s="51" t="str">
        <f>IF(archive!CJ548="","",archive!CJ548)</f>
        <v/>
      </c>
      <c r="I548" s="51" t="str">
        <f>IF(archive!CK548="","",archive!CK548)</f>
        <v/>
      </c>
      <c r="J548" s="47" t="str">
        <f t="shared" si="115"/>
        <v/>
      </c>
      <c r="K548" s="51" t="str">
        <f t="shared" si="116"/>
        <v/>
      </c>
      <c r="L548" s="52" t="str">
        <f t="shared" si="117"/>
        <v/>
      </c>
      <c r="M548" s="53" t="str">
        <f t="shared" si="118"/>
        <v/>
      </c>
      <c r="N548" s="53" t="str">
        <f t="shared" si="119"/>
        <v/>
      </c>
      <c r="O548" s="53" t="str">
        <f t="shared" si="120"/>
        <v/>
      </c>
      <c r="P548" s="53" t="str">
        <f t="shared" si="121"/>
        <v/>
      </c>
      <c r="Q548" s="53" t="str">
        <f t="shared" si="122"/>
        <v/>
      </c>
      <c r="R548" s="53" t="str">
        <f t="shared" si="123"/>
        <v/>
      </c>
      <c r="S548" s="53" t="str">
        <f t="shared" si="124"/>
        <v/>
      </c>
      <c r="T548" s="53" t="str">
        <f t="shared" si="125"/>
        <v/>
      </c>
    </row>
    <row r="549" spans="1:20">
      <c r="A549" s="47" t="str">
        <f>IF(archive!E549="","",archive!E549)</f>
        <v/>
      </c>
      <c r="B549" s="48" t="str">
        <f t="shared" si="112"/>
        <v/>
      </c>
      <c r="C549" s="49" t="str">
        <f>IF(archive!F549="","",archive!F549)</f>
        <v/>
      </c>
      <c r="D549" s="50" t="str">
        <f t="shared" si="113"/>
        <v/>
      </c>
      <c r="E549" s="50" t="str">
        <f t="shared" si="114"/>
        <v/>
      </c>
      <c r="F549" s="47" t="str">
        <f>IF(COUNTA(archive!H549:CI549)=0,"",COUNTA(archive!H549:CI549))</f>
        <v/>
      </c>
      <c r="G549" s="47" t="str">
        <f>IF(archive!G549="","",archive!G549)</f>
        <v/>
      </c>
      <c r="H549" s="51" t="str">
        <f>IF(archive!CJ549="","",archive!CJ549)</f>
        <v/>
      </c>
      <c r="I549" s="51" t="str">
        <f>IF(archive!CK549="","",archive!CK549)</f>
        <v/>
      </c>
      <c r="J549" s="47" t="str">
        <f t="shared" si="115"/>
        <v/>
      </c>
      <c r="K549" s="51" t="str">
        <f t="shared" si="116"/>
        <v/>
      </c>
      <c r="L549" s="52" t="str">
        <f t="shared" si="117"/>
        <v/>
      </c>
      <c r="M549" s="53" t="str">
        <f t="shared" si="118"/>
        <v/>
      </c>
      <c r="N549" s="53" t="str">
        <f t="shared" si="119"/>
        <v/>
      </c>
      <c r="O549" s="53" t="str">
        <f t="shared" si="120"/>
        <v/>
      </c>
      <c r="P549" s="53" t="str">
        <f t="shared" si="121"/>
        <v/>
      </c>
      <c r="Q549" s="53" t="str">
        <f t="shared" si="122"/>
        <v/>
      </c>
      <c r="R549" s="53" t="str">
        <f t="shared" si="123"/>
        <v/>
      </c>
      <c r="S549" s="53" t="str">
        <f t="shared" si="124"/>
        <v/>
      </c>
      <c r="T549" s="53" t="str">
        <f t="shared" si="125"/>
        <v/>
      </c>
    </row>
    <row r="550" spans="1:20">
      <c r="A550" s="47" t="str">
        <f>IF(archive!E550="","",archive!E550)</f>
        <v/>
      </c>
      <c r="B550" s="48" t="str">
        <f t="shared" si="112"/>
        <v/>
      </c>
      <c r="C550" s="49" t="str">
        <f>IF(archive!F550="","",archive!F550)</f>
        <v/>
      </c>
      <c r="D550" s="50" t="str">
        <f t="shared" si="113"/>
        <v/>
      </c>
      <c r="E550" s="50" t="str">
        <f t="shared" si="114"/>
        <v/>
      </c>
      <c r="F550" s="47" t="str">
        <f>IF(COUNTA(archive!H550:CI550)=0,"",COUNTA(archive!H550:CI550))</f>
        <v/>
      </c>
      <c r="G550" s="47" t="str">
        <f>IF(archive!G550="","",archive!G550)</f>
        <v/>
      </c>
      <c r="H550" s="51" t="str">
        <f>IF(archive!CJ550="","",archive!CJ550)</f>
        <v/>
      </c>
      <c r="I550" s="51" t="str">
        <f>IF(archive!CK550="","",archive!CK550)</f>
        <v/>
      </c>
      <c r="J550" s="47" t="str">
        <f t="shared" si="115"/>
        <v/>
      </c>
      <c r="K550" s="51" t="str">
        <f t="shared" si="116"/>
        <v/>
      </c>
      <c r="L550" s="52" t="str">
        <f t="shared" si="117"/>
        <v/>
      </c>
      <c r="M550" s="53" t="str">
        <f t="shared" si="118"/>
        <v/>
      </c>
      <c r="N550" s="53" t="str">
        <f t="shared" si="119"/>
        <v/>
      </c>
      <c r="O550" s="53" t="str">
        <f t="shared" si="120"/>
        <v/>
      </c>
      <c r="P550" s="53" t="str">
        <f t="shared" si="121"/>
        <v/>
      </c>
      <c r="Q550" s="53" t="str">
        <f t="shared" si="122"/>
        <v/>
      </c>
      <c r="R550" s="53" t="str">
        <f t="shared" si="123"/>
        <v/>
      </c>
      <c r="S550" s="53" t="str">
        <f t="shared" si="124"/>
        <v/>
      </c>
      <c r="T550" s="53" t="str">
        <f t="shared" si="125"/>
        <v/>
      </c>
    </row>
    <row r="551" spans="1:20">
      <c r="A551" s="47" t="str">
        <f>IF(archive!E551="","",archive!E551)</f>
        <v/>
      </c>
      <c r="B551" s="48" t="str">
        <f t="shared" si="112"/>
        <v/>
      </c>
      <c r="C551" s="49" t="str">
        <f>IF(archive!F551="","",archive!F551)</f>
        <v/>
      </c>
      <c r="D551" s="50" t="str">
        <f t="shared" si="113"/>
        <v/>
      </c>
      <c r="E551" s="50" t="str">
        <f t="shared" si="114"/>
        <v/>
      </c>
      <c r="F551" s="47" t="str">
        <f>IF(COUNTA(archive!H551:CI551)=0,"",COUNTA(archive!H551:CI551))</f>
        <v/>
      </c>
      <c r="G551" s="47" t="str">
        <f>IF(archive!G551="","",archive!G551)</f>
        <v/>
      </c>
      <c r="H551" s="51" t="str">
        <f>IF(archive!CJ551="","",archive!CJ551)</f>
        <v/>
      </c>
      <c r="I551" s="51" t="str">
        <f>IF(archive!CK551="","",archive!CK551)</f>
        <v/>
      </c>
      <c r="J551" s="47" t="str">
        <f t="shared" si="115"/>
        <v/>
      </c>
      <c r="K551" s="51" t="str">
        <f t="shared" si="116"/>
        <v/>
      </c>
      <c r="L551" s="52" t="str">
        <f t="shared" si="117"/>
        <v/>
      </c>
      <c r="M551" s="53" t="str">
        <f t="shared" si="118"/>
        <v/>
      </c>
      <c r="N551" s="53" t="str">
        <f t="shared" si="119"/>
        <v/>
      </c>
      <c r="O551" s="53" t="str">
        <f t="shared" si="120"/>
        <v/>
      </c>
      <c r="P551" s="53" t="str">
        <f t="shared" si="121"/>
        <v/>
      </c>
      <c r="Q551" s="53" t="str">
        <f t="shared" si="122"/>
        <v/>
      </c>
      <c r="R551" s="53" t="str">
        <f t="shared" si="123"/>
        <v/>
      </c>
      <c r="S551" s="53" t="str">
        <f t="shared" si="124"/>
        <v/>
      </c>
      <c r="T551" s="53" t="str">
        <f t="shared" si="125"/>
        <v/>
      </c>
    </row>
    <row r="552" spans="1:20">
      <c r="A552" s="47" t="str">
        <f>IF(archive!E552="","",archive!E552)</f>
        <v/>
      </c>
      <c r="B552" s="48" t="str">
        <f t="shared" si="112"/>
        <v/>
      </c>
      <c r="C552" s="49" t="str">
        <f>IF(archive!F552="","",archive!F552)</f>
        <v/>
      </c>
      <c r="D552" s="50" t="str">
        <f t="shared" si="113"/>
        <v/>
      </c>
      <c r="E552" s="50" t="str">
        <f t="shared" si="114"/>
        <v/>
      </c>
      <c r="F552" s="47" t="str">
        <f>IF(COUNTA(archive!H552:CI552)=0,"",COUNTA(archive!H552:CI552))</f>
        <v/>
      </c>
      <c r="G552" s="47" t="str">
        <f>IF(archive!G552="","",archive!G552)</f>
        <v/>
      </c>
      <c r="H552" s="51" t="str">
        <f>IF(archive!CJ552="","",archive!CJ552)</f>
        <v/>
      </c>
      <c r="I552" s="51" t="str">
        <f>IF(archive!CK552="","",archive!CK552)</f>
        <v/>
      </c>
      <c r="J552" s="47" t="str">
        <f t="shared" si="115"/>
        <v/>
      </c>
      <c r="K552" s="51" t="str">
        <f t="shared" si="116"/>
        <v/>
      </c>
      <c r="L552" s="52" t="str">
        <f t="shared" si="117"/>
        <v/>
      </c>
      <c r="M552" s="53" t="str">
        <f t="shared" si="118"/>
        <v/>
      </c>
      <c r="N552" s="53" t="str">
        <f t="shared" si="119"/>
        <v/>
      </c>
      <c r="O552" s="53" t="str">
        <f t="shared" si="120"/>
        <v/>
      </c>
      <c r="P552" s="53" t="str">
        <f t="shared" si="121"/>
        <v/>
      </c>
      <c r="Q552" s="53" t="str">
        <f t="shared" si="122"/>
        <v/>
      </c>
      <c r="R552" s="53" t="str">
        <f t="shared" si="123"/>
        <v/>
      </c>
      <c r="S552" s="53" t="str">
        <f t="shared" si="124"/>
        <v/>
      </c>
      <c r="T552" s="53" t="str">
        <f t="shared" si="125"/>
        <v/>
      </c>
    </row>
    <row r="553" spans="1:20">
      <c r="A553" s="47" t="str">
        <f>IF(archive!E553="","",archive!E553)</f>
        <v/>
      </c>
      <c r="B553" s="48" t="str">
        <f t="shared" si="112"/>
        <v/>
      </c>
      <c r="C553" s="49" t="str">
        <f>IF(archive!F553="","",archive!F553)</f>
        <v/>
      </c>
      <c r="D553" s="50" t="str">
        <f t="shared" si="113"/>
        <v/>
      </c>
      <c r="E553" s="50" t="str">
        <f t="shared" si="114"/>
        <v/>
      </c>
      <c r="F553" s="47" t="str">
        <f>IF(COUNTA(archive!H553:CI553)=0,"",COUNTA(archive!H553:CI553))</f>
        <v/>
      </c>
      <c r="G553" s="47" t="str">
        <f>IF(archive!G553="","",archive!G553)</f>
        <v/>
      </c>
      <c r="H553" s="51" t="str">
        <f>IF(archive!CJ553="","",archive!CJ553)</f>
        <v/>
      </c>
      <c r="I553" s="51" t="str">
        <f>IF(archive!CK553="","",archive!CK553)</f>
        <v/>
      </c>
      <c r="J553" s="47" t="str">
        <f t="shared" si="115"/>
        <v/>
      </c>
      <c r="K553" s="51" t="str">
        <f t="shared" si="116"/>
        <v/>
      </c>
      <c r="L553" s="52" t="str">
        <f t="shared" si="117"/>
        <v/>
      </c>
      <c r="M553" s="53" t="str">
        <f t="shared" si="118"/>
        <v/>
      </c>
      <c r="N553" s="53" t="str">
        <f t="shared" si="119"/>
        <v/>
      </c>
      <c r="O553" s="53" t="str">
        <f t="shared" si="120"/>
        <v/>
      </c>
      <c r="P553" s="53" t="str">
        <f t="shared" si="121"/>
        <v/>
      </c>
      <c r="Q553" s="53" t="str">
        <f t="shared" si="122"/>
        <v/>
      </c>
      <c r="R553" s="53" t="str">
        <f t="shared" si="123"/>
        <v/>
      </c>
      <c r="S553" s="53" t="str">
        <f t="shared" si="124"/>
        <v/>
      </c>
      <c r="T553" s="53" t="str">
        <f t="shared" si="125"/>
        <v/>
      </c>
    </row>
    <row r="554" spans="1:20">
      <c r="A554" s="47" t="str">
        <f>IF(archive!E554="","",archive!E554)</f>
        <v/>
      </c>
      <c r="B554" s="48" t="str">
        <f t="shared" si="112"/>
        <v/>
      </c>
      <c r="C554" s="49" t="str">
        <f>IF(archive!F554="","",archive!F554)</f>
        <v/>
      </c>
      <c r="D554" s="50" t="str">
        <f t="shared" si="113"/>
        <v/>
      </c>
      <c r="E554" s="50" t="str">
        <f t="shared" si="114"/>
        <v/>
      </c>
      <c r="F554" s="47" t="str">
        <f>IF(COUNTA(archive!H554:CI554)=0,"",COUNTA(archive!H554:CI554))</f>
        <v/>
      </c>
      <c r="G554" s="47" t="str">
        <f>IF(archive!G554="","",archive!G554)</f>
        <v/>
      </c>
      <c r="H554" s="51" t="str">
        <f>IF(archive!CJ554="","",archive!CJ554)</f>
        <v/>
      </c>
      <c r="I554" s="51" t="str">
        <f>IF(archive!CK554="","",archive!CK554)</f>
        <v/>
      </c>
      <c r="J554" s="47" t="str">
        <f t="shared" si="115"/>
        <v/>
      </c>
      <c r="K554" s="51" t="str">
        <f t="shared" si="116"/>
        <v/>
      </c>
      <c r="L554" s="52" t="str">
        <f t="shared" si="117"/>
        <v/>
      </c>
      <c r="M554" s="53" t="str">
        <f t="shared" si="118"/>
        <v/>
      </c>
      <c r="N554" s="53" t="str">
        <f t="shared" si="119"/>
        <v/>
      </c>
      <c r="O554" s="53" t="str">
        <f t="shared" si="120"/>
        <v/>
      </c>
      <c r="P554" s="53" t="str">
        <f t="shared" si="121"/>
        <v/>
      </c>
      <c r="Q554" s="53" t="str">
        <f t="shared" si="122"/>
        <v/>
      </c>
      <c r="R554" s="53" t="str">
        <f t="shared" si="123"/>
        <v/>
      </c>
      <c r="S554" s="53" t="str">
        <f t="shared" si="124"/>
        <v/>
      </c>
      <c r="T554" s="53" t="str">
        <f t="shared" si="125"/>
        <v/>
      </c>
    </row>
    <row r="555" spans="1:20">
      <c r="A555" s="47" t="str">
        <f>IF(archive!E555="","",archive!E555)</f>
        <v/>
      </c>
      <c r="B555" s="48" t="str">
        <f t="shared" si="112"/>
        <v/>
      </c>
      <c r="C555" s="49" t="str">
        <f>IF(archive!F555="","",archive!F555)</f>
        <v/>
      </c>
      <c r="D555" s="50" t="str">
        <f t="shared" si="113"/>
        <v/>
      </c>
      <c r="E555" s="50" t="str">
        <f t="shared" si="114"/>
        <v/>
      </c>
      <c r="F555" s="47" t="str">
        <f>IF(COUNTA(archive!H555:CI555)=0,"",COUNTA(archive!H555:CI555))</f>
        <v/>
      </c>
      <c r="G555" s="47" t="str">
        <f>IF(archive!G555="","",archive!G555)</f>
        <v/>
      </c>
      <c r="H555" s="51" t="str">
        <f>IF(archive!CJ555="","",archive!CJ555)</f>
        <v/>
      </c>
      <c r="I555" s="51" t="str">
        <f>IF(archive!CK555="","",archive!CK555)</f>
        <v/>
      </c>
      <c r="J555" s="47" t="str">
        <f t="shared" si="115"/>
        <v/>
      </c>
      <c r="K555" s="51" t="str">
        <f t="shared" si="116"/>
        <v/>
      </c>
      <c r="L555" s="52" t="str">
        <f t="shared" si="117"/>
        <v/>
      </c>
      <c r="M555" s="53" t="str">
        <f t="shared" si="118"/>
        <v/>
      </c>
      <c r="N555" s="53" t="str">
        <f t="shared" si="119"/>
        <v/>
      </c>
      <c r="O555" s="53" t="str">
        <f t="shared" si="120"/>
        <v/>
      </c>
      <c r="P555" s="53" t="str">
        <f t="shared" si="121"/>
        <v/>
      </c>
      <c r="Q555" s="53" t="str">
        <f t="shared" si="122"/>
        <v/>
      </c>
      <c r="R555" s="53" t="str">
        <f t="shared" si="123"/>
        <v/>
      </c>
      <c r="S555" s="53" t="str">
        <f t="shared" si="124"/>
        <v/>
      </c>
      <c r="T555" s="53" t="str">
        <f t="shared" si="125"/>
        <v/>
      </c>
    </row>
    <row r="556" spans="1:20">
      <c r="A556" s="47" t="str">
        <f>IF(archive!E556="","",archive!E556)</f>
        <v/>
      </c>
      <c r="B556" s="48" t="str">
        <f t="shared" si="112"/>
        <v/>
      </c>
      <c r="C556" s="49" t="str">
        <f>IF(archive!F556="","",archive!F556)</f>
        <v/>
      </c>
      <c r="D556" s="50" t="str">
        <f t="shared" si="113"/>
        <v/>
      </c>
      <c r="E556" s="50" t="str">
        <f t="shared" si="114"/>
        <v/>
      </c>
      <c r="F556" s="47" t="str">
        <f>IF(COUNTA(archive!H556:CI556)=0,"",COUNTA(archive!H556:CI556))</f>
        <v/>
      </c>
      <c r="G556" s="47" t="str">
        <f>IF(archive!G556="","",archive!G556)</f>
        <v/>
      </c>
      <c r="H556" s="51" t="str">
        <f>IF(archive!CJ556="","",archive!CJ556)</f>
        <v/>
      </c>
      <c r="I556" s="51" t="str">
        <f>IF(archive!CK556="","",archive!CK556)</f>
        <v/>
      </c>
      <c r="J556" s="47" t="str">
        <f t="shared" si="115"/>
        <v/>
      </c>
      <c r="K556" s="51" t="str">
        <f t="shared" si="116"/>
        <v/>
      </c>
      <c r="L556" s="52" t="str">
        <f t="shared" si="117"/>
        <v/>
      </c>
      <c r="M556" s="53" t="str">
        <f t="shared" si="118"/>
        <v/>
      </c>
      <c r="N556" s="53" t="str">
        <f t="shared" si="119"/>
        <v/>
      </c>
      <c r="O556" s="53" t="str">
        <f t="shared" si="120"/>
        <v/>
      </c>
      <c r="P556" s="53" t="str">
        <f t="shared" si="121"/>
        <v/>
      </c>
      <c r="Q556" s="53" t="str">
        <f t="shared" si="122"/>
        <v/>
      </c>
      <c r="R556" s="53" t="str">
        <f t="shared" si="123"/>
        <v/>
      </c>
      <c r="S556" s="53" t="str">
        <f t="shared" si="124"/>
        <v/>
      </c>
      <c r="T556" s="53" t="str">
        <f t="shared" si="125"/>
        <v/>
      </c>
    </row>
    <row r="557" spans="1:20">
      <c r="A557" s="47" t="str">
        <f>IF(archive!E557="","",archive!E557)</f>
        <v/>
      </c>
      <c r="B557" s="48" t="str">
        <f t="shared" si="112"/>
        <v/>
      </c>
      <c r="C557" s="49" t="str">
        <f>IF(archive!F557="","",archive!F557)</f>
        <v/>
      </c>
      <c r="D557" s="50" t="str">
        <f t="shared" si="113"/>
        <v/>
      </c>
      <c r="E557" s="50" t="str">
        <f t="shared" si="114"/>
        <v/>
      </c>
      <c r="F557" s="47" t="str">
        <f>IF(COUNTA(archive!H557:CI557)=0,"",COUNTA(archive!H557:CI557))</f>
        <v/>
      </c>
      <c r="G557" s="47" t="str">
        <f>IF(archive!G557="","",archive!G557)</f>
        <v/>
      </c>
      <c r="H557" s="51" t="str">
        <f>IF(archive!CJ557="","",archive!CJ557)</f>
        <v/>
      </c>
      <c r="I557" s="51" t="str">
        <f>IF(archive!CK557="","",archive!CK557)</f>
        <v/>
      </c>
      <c r="J557" s="47" t="str">
        <f t="shared" si="115"/>
        <v/>
      </c>
      <c r="K557" s="51" t="str">
        <f t="shared" si="116"/>
        <v/>
      </c>
      <c r="L557" s="52" t="str">
        <f t="shared" si="117"/>
        <v/>
      </c>
      <c r="M557" s="53" t="str">
        <f t="shared" si="118"/>
        <v/>
      </c>
      <c r="N557" s="53" t="str">
        <f t="shared" si="119"/>
        <v/>
      </c>
      <c r="O557" s="53" t="str">
        <f t="shared" si="120"/>
        <v/>
      </c>
      <c r="P557" s="53" t="str">
        <f t="shared" si="121"/>
        <v/>
      </c>
      <c r="Q557" s="53" t="str">
        <f t="shared" si="122"/>
        <v/>
      </c>
      <c r="R557" s="53" t="str">
        <f t="shared" si="123"/>
        <v/>
      </c>
      <c r="S557" s="53" t="str">
        <f t="shared" si="124"/>
        <v/>
      </c>
      <c r="T557" s="53" t="str">
        <f t="shared" si="125"/>
        <v/>
      </c>
    </row>
    <row r="558" spans="1:20">
      <c r="A558" s="47" t="str">
        <f>IF(archive!E558="","",archive!E558)</f>
        <v/>
      </c>
      <c r="B558" s="48" t="str">
        <f t="shared" si="112"/>
        <v/>
      </c>
      <c r="C558" s="49" t="str">
        <f>IF(archive!F558="","",archive!F558)</f>
        <v/>
      </c>
      <c r="D558" s="50" t="str">
        <f t="shared" si="113"/>
        <v/>
      </c>
      <c r="E558" s="50" t="str">
        <f t="shared" si="114"/>
        <v/>
      </c>
      <c r="F558" s="47" t="str">
        <f>IF(COUNTA(archive!H558:CI558)=0,"",COUNTA(archive!H558:CI558))</f>
        <v/>
      </c>
      <c r="G558" s="47" t="str">
        <f>IF(archive!G558="","",archive!G558)</f>
        <v/>
      </c>
      <c r="H558" s="51" t="str">
        <f>IF(archive!CJ558="","",archive!CJ558)</f>
        <v/>
      </c>
      <c r="I558" s="51" t="str">
        <f>IF(archive!CK558="","",archive!CK558)</f>
        <v/>
      </c>
      <c r="J558" s="47" t="str">
        <f t="shared" si="115"/>
        <v/>
      </c>
      <c r="K558" s="51" t="str">
        <f t="shared" si="116"/>
        <v/>
      </c>
      <c r="L558" s="52" t="str">
        <f t="shared" si="117"/>
        <v/>
      </c>
      <c r="M558" s="53" t="str">
        <f t="shared" si="118"/>
        <v/>
      </c>
      <c r="N558" s="53" t="str">
        <f t="shared" si="119"/>
        <v/>
      </c>
      <c r="O558" s="53" t="str">
        <f t="shared" si="120"/>
        <v/>
      </c>
      <c r="P558" s="53" t="str">
        <f t="shared" si="121"/>
        <v/>
      </c>
      <c r="Q558" s="53" t="str">
        <f t="shared" si="122"/>
        <v/>
      </c>
      <c r="R558" s="53" t="str">
        <f t="shared" si="123"/>
        <v/>
      </c>
      <c r="S558" s="53" t="str">
        <f t="shared" si="124"/>
        <v/>
      </c>
      <c r="T558" s="53" t="str">
        <f t="shared" si="125"/>
        <v/>
      </c>
    </row>
    <row r="559" spans="1:20">
      <c r="A559" s="47" t="str">
        <f>IF(archive!E559="","",archive!E559)</f>
        <v/>
      </c>
      <c r="B559" s="48" t="str">
        <f t="shared" si="112"/>
        <v/>
      </c>
      <c r="C559" s="49" t="str">
        <f>IF(archive!F559="","",archive!F559)</f>
        <v/>
      </c>
      <c r="D559" s="50" t="str">
        <f t="shared" si="113"/>
        <v/>
      </c>
      <c r="E559" s="50" t="str">
        <f t="shared" si="114"/>
        <v/>
      </c>
      <c r="F559" s="47" t="str">
        <f>IF(COUNTA(archive!H559:CI559)=0,"",COUNTA(archive!H559:CI559))</f>
        <v/>
      </c>
      <c r="G559" s="47" t="str">
        <f>IF(archive!G559="","",archive!G559)</f>
        <v/>
      </c>
      <c r="H559" s="51" t="str">
        <f>IF(archive!CJ559="","",archive!CJ559)</f>
        <v/>
      </c>
      <c r="I559" s="51" t="str">
        <f>IF(archive!CK559="","",archive!CK559)</f>
        <v/>
      </c>
      <c r="J559" s="47" t="str">
        <f t="shared" si="115"/>
        <v/>
      </c>
      <c r="K559" s="51" t="str">
        <f t="shared" si="116"/>
        <v/>
      </c>
      <c r="L559" s="52" t="str">
        <f t="shared" si="117"/>
        <v/>
      </c>
      <c r="M559" s="53" t="str">
        <f t="shared" si="118"/>
        <v/>
      </c>
      <c r="N559" s="53" t="str">
        <f t="shared" si="119"/>
        <v/>
      </c>
      <c r="O559" s="53" t="str">
        <f t="shared" si="120"/>
        <v/>
      </c>
      <c r="P559" s="53" t="str">
        <f t="shared" si="121"/>
        <v/>
      </c>
      <c r="Q559" s="53" t="str">
        <f t="shared" si="122"/>
        <v/>
      </c>
      <c r="R559" s="53" t="str">
        <f t="shared" si="123"/>
        <v/>
      </c>
      <c r="S559" s="53" t="str">
        <f t="shared" si="124"/>
        <v/>
      </c>
      <c r="T559" s="53" t="str">
        <f t="shared" si="125"/>
        <v/>
      </c>
    </row>
    <row r="560" spans="1:20">
      <c r="A560" s="47" t="str">
        <f>IF(archive!E560="","",archive!E560)</f>
        <v/>
      </c>
      <c r="B560" s="48" t="str">
        <f t="shared" si="112"/>
        <v/>
      </c>
      <c r="C560" s="49" t="str">
        <f>IF(archive!F560="","",archive!F560)</f>
        <v/>
      </c>
      <c r="D560" s="50" t="str">
        <f t="shared" si="113"/>
        <v/>
      </c>
      <c r="E560" s="50" t="str">
        <f t="shared" si="114"/>
        <v/>
      </c>
      <c r="F560" s="47" t="str">
        <f>IF(COUNTA(archive!H560:CI560)=0,"",COUNTA(archive!H560:CI560))</f>
        <v/>
      </c>
      <c r="G560" s="47" t="str">
        <f>IF(archive!G560="","",archive!G560)</f>
        <v/>
      </c>
      <c r="H560" s="51" t="str">
        <f>IF(archive!CJ560="","",archive!CJ560)</f>
        <v/>
      </c>
      <c r="I560" s="51" t="str">
        <f>IF(archive!CK560="","",archive!CK560)</f>
        <v/>
      </c>
      <c r="J560" s="47" t="str">
        <f t="shared" si="115"/>
        <v/>
      </c>
      <c r="K560" s="51" t="str">
        <f t="shared" si="116"/>
        <v/>
      </c>
      <c r="L560" s="52" t="str">
        <f t="shared" si="117"/>
        <v/>
      </c>
      <c r="M560" s="53" t="str">
        <f t="shared" si="118"/>
        <v/>
      </c>
      <c r="N560" s="53" t="str">
        <f t="shared" si="119"/>
        <v/>
      </c>
      <c r="O560" s="53" t="str">
        <f t="shared" si="120"/>
        <v/>
      </c>
      <c r="P560" s="53" t="str">
        <f t="shared" si="121"/>
        <v/>
      </c>
      <c r="Q560" s="53" t="str">
        <f t="shared" si="122"/>
        <v/>
      </c>
      <c r="R560" s="53" t="str">
        <f t="shared" si="123"/>
        <v/>
      </c>
      <c r="S560" s="53" t="str">
        <f t="shared" si="124"/>
        <v/>
      </c>
      <c r="T560" s="53" t="str">
        <f t="shared" si="125"/>
        <v/>
      </c>
    </row>
    <row r="561" spans="1:20">
      <c r="A561" s="47" t="str">
        <f>IF(archive!E561="","",archive!E561)</f>
        <v/>
      </c>
      <c r="B561" s="48" t="str">
        <f t="shared" si="112"/>
        <v/>
      </c>
      <c r="C561" s="49" t="str">
        <f>IF(archive!F561="","",archive!F561)</f>
        <v/>
      </c>
      <c r="D561" s="50" t="str">
        <f t="shared" si="113"/>
        <v/>
      </c>
      <c r="E561" s="50" t="str">
        <f t="shared" si="114"/>
        <v/>
      </c>
      <c r="F561" s="47" t="str">
        <f>IF(COUNTA(archive!H561:CI561)=0,"",COUNTA(archive!H561:CI561))</f>
        <v/>
      </c>
      <c r="G561" s="47" t="str">
        <f>IF(archive!G561="","",archive!G561)</f>
        <v/>
      </c>
      <c r="H561" s="51" t="str">
        <f>IF(archive!CJ561="","",archive!CJ561)</f>
        <v/>
      </c>
      <c r="I561" s="51" t="str">
        <f>IF(archive!CK561="","",archive!CK561)</f>
        <v/>
      </c>
      <c r="J561" s="47" t="str">
        <f t="shared" si="115"/>
        <v/>
      </c>
      <c r="K561" s="51" t="str">
        <f t="shared" si="116"/>
        <v/>
      </c>
      <c r="L561" s="52" t="str">
        <f t="shared" si="117"/>
        <v/>
      </c>
      <c r="M561" s="53" t="str">
        <f t="shared" si="118"/>
        <v/>
      </c>
      <c r="N561" s="53" t="str">
        <f t="shared" si="119"/>
        <v/>
      </c>
      <c r="O561" s="53" t="str">
        <f t="shared" si="120"/>
        <v/>
      </c>
      <c r="P561" s="53" t="str">
        <f t="shared" si="121"/>
        <v/>
      </c>
      <c r="Q561" s="53" t="str">
        <f t="shared" si="122"/>
        <v/>
      </c>
      <c r="R561" s="53" t="str">
        <f t="shared" si="123"/>
        <v/>
      </c>
      <c r="S561" s="53" t="str">
        <f t="shared" si="124"/>
        <v/>
      </c>
      <c r="T561" s="53" t="str">
        <f t="shared" si="125"/>
        <v/>
      </c>
    </row>
    <row r="562" spans="1:20">
      <c r="A562" s="47" t="str">
        <f>IF(archive!E562="","",archive!E562)</f>
        <v/>
      </c>
      <c r="B562" s="48" t="str">
        <f t="shared" si="112"/>
        <v/>
      </c>
      <c r="C562" s="49" t="str">
        <f>IF(archive!F562="","",archive!F562)</f>
        <v/>
      </c>
      <c r="D562" s="50" t="str">
        <f t="shared" si="113"/>
        <v/>
      </c>
      <c r="E562" s="50" t="str">
        <f t="shared" si="114"/>
        <v/>
      </c>
      <c r="F562" s="47" t="str">
        <f>IF(COUNTA(archive!H562:CI562)=0,"",COUNTA(archive!H562:CI562))</f>
        <v/>
      </c>
      <c r="G562" s="47" t="str">
        <f>IF(archive!G562="","",archive!G562)</f>
        <v/>
      </c>
      <c r="H562" s="51" t="str">
        <f>IF(archive!CJ562="","",archive!CJ562)</f>
        <v/>
      </c>
      <c r="I562" s="51" t="str">
        <f>IF(archive!CK562="","",archive!CK562)</f>
        <v/>
      </c>
      <c r="J562" s="47" t="str">
        <f t="shared" si="115"/>
        <v/>
      </c>
      <c r="K562" s="51" t="str">
        <f t="shared" si="116"/>
        <v/>
      </c>
      <c r="L562" s="52" t="str">
        <f t="shared" si="117"/>
        <v/>
      </c>
      <c r="M562" s="53" t="str">
        <f t="shared" si="118"/>
        <v/>
      </c>
      <c r="N562" s="53" t="str">
        <f t="shared" si="119"/>
        <v/>
      </c>
      <c r="O562" s="53" t="str">
        <f t="shared" si="120"/>
        <v/>
      </c>
      <c r="P562" s="53" t="str">
        <f t="shared" si="121"/>
        <v/>
      </c>
      <c r="Q562" s="53" t="str">
        <f t="shared" si="122"/>
        <v/>
      </c>
      <c r="R562" s="53" t="str">
        <f t="shared" si="123"/>
        <v/>
      </c>
      <c r="S562" s="53" t="str">
        <f t="shared" si="124"/>
        <v/>
      </c>
      <c r="T562" s="53" t="str">
        <f t="shared" si="125"/>
        <v/>
      </c>
    </row>
    <row r="563" spans="1:20">
      <c r="A563" s="47" t="str">
        <f>IF(archive!E563="","",archive!E563)</f>
        <v/>
      </c>
      <c r="B563" s="48" t="str">
        <f t="shared" si="112"/>
        <v/>
      </c>
      <c r="C563" s="49" t="str">
        <f>IF(archive!F563="","",archive!F563)</f>
        <v/>
      </c>
      <c r="D563" s="50" t="str">
        <f t="shared" si="113"/>
        <v/>
      </c>
      <c r="E563" s="50" t="str">
        <f t="shared" si="114"/>
        <v/>
      </c>
      <c r="F563" s="47" t="str">
        <f>IF(COUNTA(archive!H563:CI563)=0,"",COUNTA(archive!H563:CI563))</f>
        <v/>
      </c>
      <c r="G563" s="47" t="str">
        <f>IF(archive!G563="","",archive!G563)</f>
        <v/>
      </c>
      <c r="H563" s="51" t="str">
        <f>IF(archive!CJ563="","",archive!CJ563)</f>
        <v/>
      </c>
      <c r="I563" s="51" t="str">
        <f>IF(archive!CK563="","",archive!CK563)</f>
        <v/>
      </c>
      <c r="J563" s="47" t="str">
        <f t="shared" si="115"/>
        <v/>
      </c>
      <c r="K563" s="51" t="str">
        <f t="shared" si="116"/>
        <v/>
      </c>
      <c r="L563" s="52" t="str">
        <f t="shared" si="117"/>
        <v/>
      </c>
      <c r="M563" s="53" t="str">
        <f t="shared" si="118"/>
        <v/>
      </c>
      <c r="N563" s="53" t="str">
        <f t="shared" si="119"/>
        <v/>
      </c>
      <c r="O563" s="53" t="str">
        <f t="shared" si="120"/>
        <v/>
      </c>
      <c r="P563" s="53" t="str">
        <f t="shared" si="121"/>
        <v/>
      </c>
      <c r="Q563" s="53" t="str">
        <f t="shared" si="122"/>
        <v/>
      </c>
      <c r="R563" s="53" t="str">
        <f t="shared" si="123"/>
        <v/>
      </c>
      <c r="S563" s="53" t="str">
        <f t="shared" si="124"/>
        <v/>
      </c>
      <c r="T563" s="53" t="str">
        <f t="shared" si="125"/>
        <v/>
      </c>
    </row>
    <row r="564" spans="1:20">
      <c r="A564" s="47" t="str">
        <f>IF(archive!E564="","",archive!E564)</f>
        <v/>
      </c>
      <c r="B564" s="48" t="str">
        <f t="shared" si="112"/>
        <v/>
      </c>
      <c r="C564" s="49" t="str">
        <f>IF(archive!F564="","",archive!F564)</f>
        <v/>
      </c>
      <c r="D564" s="50" t="str">
        <f t="shared" si="113"/>
        <v/>
      </c>
      <c r="E564" s="50" t="str">
        <f t="shared" si="114"/>
        <v/>
      </c>
      <c r="F564" s="47" t="str">
        <f>IF(COUNTA(archive!H564:CI564)=0,"",COUNTA(archive!H564:CI564))</f>
        <v/>
      </c>
      <c r="G564" s="47" t="str">
        <f>IF(archive!G564="","",archive!G564)</f>
        <v/>
      </c>
      <c r="H564" s="51" t="str">
        <f>IF(archive!CJ564="","",archive!CJ564)</f>
        <v/>
      </c>
      <c r="I564" s="51" t="str">
        <f>IF(archive!CK564="","",archive!CK564)</f>
        <v/>
      </c>
      <c r="J564" s="47" t="str">
        <f t="shared" si="115"/>
        <v/>
      </c>
      <c r="K564" s="51" t="str">
        <f t="shared" si="116"/>
        <v/>
      </c>
      <c r="L564" s="52" t="str">
        <f t="shared" si="117"/>
        <v/>
      </c>
      <c r="M564" s="53" t="str">
        <f t="shared" si="118"/>
        <v/>
      </c>
      <c r="N564" s="53" t="str">
        <f t="shared" si="119"/>
        <v/>
      </c>
      <c r="O564" s="53" t="str">
        <f t="shared" si="120"/>
        <v/>
      </c>
      <c r="P564" s="53" t="str">
        <f t="shared" si="121"/>
        <v/>
      </c>
      <c r="Q564" s="53" t="str">
        <f t="shared" si="122"/>
        <v/>
      </c>
      <c r="R564" s="53" t="str">
        <f t="shared" si="123"/>
        <v/>
      </c>
      <c r="S564" s="53" t="str">
        <f t="shared" si="124"/>
        <v/>
      </c>
      <c r="T564" s="53" t="str">
        <f t="shared" si="125"/>
        <v/>
      </c>
    </row>
    <row r="565" spans="1:20">
      <c r="A565" s="47" t="str">
        <f>IF(archive!E565="","",archive!E565)</f>
        <v/>
      </c>
      <c r="B565" s="48" t="str">
        <f t="shared" si="112"/>
        <v/>
      </c>
      <c r="C565" s="49" t="str">
        <f>IF(archive!F565="","",archive!F565)</f>
        <v/>
      </c>
      <c r="D565" s="50" t="str">
        <f t="shared" si="113"/>
        <v/>
      </c>
      <c r="E565" s="50" t="str">
        <f t="shared" si="114"/>
        <v/>
      </c>
      <c r="F565" s="47" t="str">
        <f>IF(COUNTA(archive!H565:CI565)=0,"",COUNTA(archive!H565:CI565))</f>
        <v/>
      </c>
      <c r="G565" s="47" t="str">
        <f>IF(archive!G565="","",archive!G565)</f>
        <v/>
      </c>
      <c r="H565" s="51" t="str">
        <f>IF(archive!CJ565="","",archive!CJ565)</f>
        <v/>
      </c>
      <c r="I565" s="51" t="str">
        <f>IF(archive!CK565="","",archive!CK565)</f>
        <v/>
      </c>
      <c r="J565" s="47" t="str">
        <f t="shared" si="115"/>
        <v/>
      </c>
      <c r="K565" s="51" t="str">
        <f t="shared" si="116"/>
        <v/>
      </c>
      <c r="L565" s="52" t="str">
        <f t="shared" si="117"/>
        <v/>
      </c>
      <c r="M565" s="53" t="str">
        <f t="shared" si="118"/>
        <v/>
      </c>
      <c r="N565" s="53" t="str">
        <f t="shared" si="119"/>
        <v/>
      </c>
      <c r="O565" s="53" t="str">
        <f t="shared" si="120"/>
        <v/>
      </c>
      <c r="P565" s="53" t="str">
        <f t="shared" si="121"/>
        <v/>
      </c>
      <c r="Q565" s="53" t="str">
        <f t="shared" si="122"/>
        <v/>
      </c>
      <c r="R565" s="53" t="str">
        <f t="shared" si="123"/>
        <v/>
      </c>
      <c r="S565" s="53" t="str">
        <f t="shared" si="124"/>
        <v/>
      </c>
      <c r="T565" s="53" t="str">
        <f t="shared" si="125"/>
        <v/>
      </c>
    </row>
    <row r="566" spans="1:20">
      <c r="A566" s="47" t="str">
        <f>IF(archive!E566="","",archive!E566)</f>
        <v/>
      </c>
      <c r="B566" s="48" t="str">
        <f t="shared" si="112"/>
        <v/>
      </c>
      <c r="C566" s="49" t="str">
        <f>IF(archive!F566="","",archive!F566)</f>
        <v/>
      </c>
      <c r="D566" s="50" t="str">
        <f t="shared" si="113"/>
        <v/>
      </c>
      <c r="E566" s="50" t="str">
        <f t="shared" si="114"/>
        <v/>
      </c>
      <c r="F566" s="47" t="str">
        <f>IF(COUNTA(archive!H566:CI566)=0,"",COUNTA(archive!H566:CI566))</f>
        <v/>
      </c>
      <c r="G566" s="47" t="str">
        <f>IF(archive!G566="","",archive!G566)</f>
        <v/>
      </c>
      <c r="H566" s="51" t="str">
        <f>IF(archive!CJ566="","",archive!CJ566)</f>
        <v/>
      </c>
      <c r="I566" s="51" t="str">
        <f>IF(archive!CK566="","",archive!CK566)</f>
        <v/>
      </c>
      <c r="J566" s="47" t="str">
        <f t="shared" si="115"/>
        <v/>
      </c>
      <c r="K566" s="51" t="str">
        <f t="shared" si="116"/>
        <v/>
      </c>
      <c r="L566" s="52" t="str">
        <f t="shared" si="117"/>
        <v/>
      </c>
      <c r="M566" s="53" t="str">
        <f t="shared" si="118"/>
        <v/>
      </c>
      <c r="N566" s="53" t="str">
        <f t="shared" si="119"/>
        <v/>
      </c>
      <c r="O566" s="53" t="str">
        <f t="shared" si="120"/>
        <v/>
      </c>
      <c r="P566" s="53" t="str">
        <f t="shared" si="121"/>
        <v/>
      </c>
      <c r="Q566" s="53" t="str">
        <f t="shared" si="122"/>
        <v/>
      </c>
      <c r="R566" s="53" t="str">
        <f t="shared" si="123"/>
        <v/>
      </c>
      <c r="S566" s="53" t="str">
        <f t="shared" si="124"/>
        <v/>
      </c>
      <c r="T566" s="53" t="str">
        <f t="shared" si="125"/>
        <v/>
      </c>
    </row>
    <row r="567" spans="1:20">
      <c r="A567" s="47" t="str">
        <f>IF(archive!E567="","",archive!E567)</f>
        <v/>
      </c>
      <c r="B567" s="48" t="str">
        <f t="shared" si="112"/>
        <v/>
      </c>
      <c r="C567" s="49" t="str">
        <f>IF(archive!F567="","",archive!F567)</f>
        <v/>
      </c>
      <c r="D567" s="50" t="str">
        <f t="shared" si="113"/>
        <v/>
      </c>
      <c r="E567" s="50" t="str">
        <f t="shared" si="114"/>
        <v/>
      </c>
      <c r="F567" s="47" t="str">
        <f>IF(COUNTA(archive!H567:CI567)=0,"",COUNTA(archive!H567:CI567))</f>
        <v/>
      </c>
      <c r="G567" s="47" t="str">
        <f>IF(archive!G567="","",archive!G567)</f>
        <v/>
      </c>
      <c r="H567" s="51" t="str">
        <f>IF(archive!CJ567="","",archive!CJ567)</f>
        <v/>
      </c>
      <c r="I567" s="51" t="str">
        <f>IF(archive!CK567="","",archive!CK567)</f>
        <v/>
      </c>
      <c r="J567" s="47" t="str">
        <f t="shared" si="115"/>
        <v/>
      </c>
      <c r="K567" s="51" t="str">
        <f t="shared" si="116"/>
        <v/>
      </c>
      <c r="L567" s="52" t="str">
        <f t="shared" si="117"/>
        <v/>
      </c>
      <c r="M567" s="53" t="str">
        <f t="shared" si="118"/>
        <v/>
      </c>
      <c r="N567" s="53" t="str">
        <f t="shared" si="119"/>
        <v/>
      </c>
      <c r="O567" s="53" t="str">
        <f t="shared" si="120"/>
        <v/>
      </c>
      <c r="P567" s="53" t="str">
        <f t="shared" si="121"/>
        <v/>
      </c>
      <c r="Q567" s="53" t="str">
        <f t="shared" si="122"/>
        <v/>
      </c>
      <c r="R567" s="53" t="str">
        <f t="shared" si="123"/>
        <v/>
      </c>
      <c r="S567" s="53" t="str">
        <f t="shared" si="124"/>
        <v/>
      </c>
      <c r="T567" s="53" t="str">
        <f t="shared" si="125"/>
        <v/>
      </c>
    </row>
    <row r="568" spans="1:20">
      <c r="A568" s="47" t="str">
        <f>IF(archive!E568="","",archive!E568)</f>
        <v/>
      </c>
      <c r="B568" s="48" t="str">
        <f t="shared" si="112"/>
        <v/>
      </c>
      <c r="C568" s="49" t="str">
        <f>IF(archive!F568="","",archive!F568)</f>
        <v/>
      </c>
      <c r="D568" s="50" t="str">
        <f t="shared" si="113"/>
        <v/>
      </c>
      <c r="E568" s="50" t="str">
        <f t="shared" si="114"/>
        <v/>
      </c>
      <c r="F568" s="47" t="str">
        <f>IF(COUNTA(archive!H568:CI568)=0,"",COUNTA(archive!H568:CI568))</f>
        <v/>
      </c>
      <c r="G568" s="47" t="str">
        <f>IF(archive!G568="","",archive!G568)</f>
        <v/>
      </c>
      <c r="H568" s="51" t="str">
        <f>IF(archive!CJ568="","",archive!CJ568)</f>
        <v/>
      </c>
      <c r="I568" s="51" t="str">
        <f>IF(archive!CK568="","",archive!CK568)</f>
        <v/>
      </c>
      <c r="J568" s="47" t="str">
        <f t="shared" si="115"/>
        <v/>
      </c>
      <c r="K568" s="51" t="str">
        <f t="shared" si="116"/>
        <v/>
      </c>
      <c r="L568" s="52" t="str">
        <f t="shared" si="117"/>
        <v/>
      </c>
      <c r="M568" s="53" t="str">
        <f t="shared" si="118"/>
        <v/>
      </c>
      <c r="N568" s="53" t="str">
        <f t="shared" si="119"/>
        <v/>
      </c>
      <c r="O568" s="53" t="str">
        <f t="shared" si="120"/>
        <v/>
      </c>
      <c r="P568" s="53" t="str">
        <f t="shared" si="121"/>
        <v/>
      </c>
      <c r="Q568" s="53" t="str">
        <f t="shared" si="122"/>
        <v/>
      </c>
      <c r="R568" s="53" t="str">
        <f t="shared" si="123"/>
        <v/>
      </c>
      <c r="S568" s="53" t="str">
        <f t="shared" si="124"/>
        <v/>
      </c>
      <c r="T568" s="53" t="str">
        <f t="shared" si="125"/>
        <v/>
      </c>
    </row>
    <row r="569" spans="1:20">
      <c r="A569" s="47" t="str">
        <f>IF(archive!E569="","",archive!E569)</f>
        <v/>
      </c>
      <c r="B569" s="48" t="str">
        <f t="shared" si="112"/>
        <v/>
      </c>
      <c r="C569" s="49" t="str">
        <f>IF(archive!F569="","",archive!F569)</f>
        <v/>
      </c>
      <c r="D569" s="50" t="str">
        <f t="shared" si="113"/>
        <v/>
      </c>
      <c r="E569" s="50" t="str">
        <f t="shared" si="114"/>
        <v/>
      </c>
      <c r="F569" s="47" t="str">
        <f>IF(COUNTA(archive!H569:CI569)=0,"",COUNTA(archive!H569:CI569))</f>
        <v/>
      </c>
      <c r="G569" s="47" t="str">
        <f>IF(archive!G569="","",archive!G569)</f>
        <v/>
      </c>
      <c r="H569" s="51" t="str">
        <f>IF(archive!CJ569="","",archive!CJ569)</f>
        <v/>
      </c>
      <c r="I569" s="51" t="str">
        <f>IF(archive!CK569="","",archive!CK569)</f>
        <v/>
      </c>
      <c r="J569" s="47" t="str">
        <f t="shared" si="115"/>
        <v/>
      </c>
      <c r="K569" s="51" t="str">
        <f t="shared" si="116"/>
        <v/>
      </c>
      <c r="L569" s="52" t="str">
        <f t="shared" si="117"/>
        <v/>
      </c>
      <c r="M569" s="53" t="str">
        <f t="shared" si="118"/>
        <v/>
      </c>
      <c r="N569" s="53" t="str">
        <f t="shared" si="119"/>
        <v/>
      </c>
      <c r="O569" s="53" t="str">
        <f t="shared" si="120"/>
        <v/>
      </c>
      <c r="P569" s="53" t="str">
        <f t="shared" si="121"/>
        <v/>
      </c>
      <c r="Q569" s="53" t="str">
        <f t="shared" si="122"/>
        <v/>
      </c>
      <c r="R569" s="53" t="str">
        <f t="shared" si="123"/>
        <v/>
      </c>
      <c r="S569" s="53" t="str">
        <f t="shared" si="124"/>
        <v/>
      </c>
      <c r="T569" s="53" t="str">
        <f t="shared" si="125"/>
        <v/>
      </c>
    </row>
    <row r="570" spans="1:20">
      <c r="A570" s="47" t="str">
        <f>IF(archive!E570="","",archive!E570)</f>
        <v/>
      </c>
      <c r="B570" s="48" t="str">
        <f t="shared" si="112"/>
        <v/>
      </c>
      <c r="C570" s="49" t="str">
        <f>IF(archive!F570="","",archive!F570)</f>
        <v/>
      </c>
      <c r="D570" s="50" t="str">
        <f t="shared" si="113"/>
        <v/>
      </c>
      <c r="E570" s="50" t="str">
        <f t="shared" si="114"/>
        <v/>
      </c>
      <c r="F570" s="47" t="str">
        <f>IF(COUNTA(archive!H570:CI570)=0,"",COUNTA(archive!H570:CI570))</f>
        <v/>
      </c>
      <c r="G570" s="47" t="str">
        <f>IF(archive!G570="","",archive!G570)</f>
        <v/>
      </c>
      <c r="H570" s="51" t="str">
        <f>IF(archive!CJ570="","",archive!CJ570)</f>
        <v/>
      </c>
      <c r="I570" s="51" t="str">
        <f>IF(archive!CK570="","",archive!CK570)</f>
        <v/>
      </c>
      <c r="J570" s="47" t="str">
        <f t="shared" si="115"/>
        <v/>
      </c>
      <c r="K570" s="51" t="str">
        <f t="shared" si="116"/>
        <v/>
      </c>
      <c r="L570" s="52" t="str">
        <f t="shared" si="117"/>
        <v/>
      </c>
      <c r="M570" s="53" t="str">
        <f t="shared" si="118"/>
        <v/>
      </c>
      <c r="N570" s="53" t="str">
        <f t="shared" si="119"/>
        <v/>
      </c>
      <c r="O570" s="53" t="str">
        <f t="shared" si="120"/>
        <v/>
      </c>
      <c r="P570" s="53" t="str">
        <f t="shared" si="121"/>
        <v/>
      </c>
      <c r="Q570" s="53" t="str">
        <f t="shared" si="122"/>
        <v/>
      </c>
      <c r="R570" s="53" t="str">
        <f t="shared" si="123"/>
        <v/>
      </c>
      <c r="S570" s="53" t="str">
        <f t="shared" si="124"/>
        <v/>
      </c>
      <c r="T570" s="53" t="str">
        <f t="shared" si="125"/>
        <v/>
      </c>
    </row>
    <row r="571" spans="1:20">
      <c r="A571" s="47" t="str">
        <f>IF(archive!E571="","",archive!E571)</f>
        <v/>
      </c>
      <c r="B571" s="48" t="str">
        <f t="shared" si="112"/>
        <v/>
      </c>
      <c r="C571" s="49" t="str">
        <f>IF(archive!F571="","",archive!F571)</f>
        <v/>
      </c>
      <c r="D571" s="50" t="str">
        <f t="shared" si="113"/>
        <v/>
      </c>
      <c r="E571" s="50" t="str">
        <f t="shared" si="114"/>
        <v/>
      </c>
      <c r="F571" s="47" t="str">
        <f>IF(COUNTA(archive!H571:CI571)=0,"",COUNTA(archive!H571:CI571))</f>
        <v/>
      </c>
      <c r="G571" s="47" t="str">
        <f>IF(archive!G571="","",archive!G571)</f>
        <v/>
      </c>
      <c r="H571" s="51" t="str">
        <f>IF(archive!CJ571="","",archive!CJ571)</f>
        <v/>
      </c>
      <c r="I571" s="51" t="str">
        <f>IF(archive!CK571="","",archive!CK571)</f>
        <v/>
      </c>
      <c r="J571" s="47" t="str">
        <f t="shared" si="115"/>
        <v/>
      </c>
      <c r="K571" s="51" t="str">
        <f t="shared" si="116"/>
        <v/>
      </c>
      <c r="L571" s="52" t="str">
        <f t="shared" si="117"/>
        <v/>
      </c>
      <c r="M571" s="53" t="str">
        <f t="shared" si="118"/>
        <v/>
      </c>
      <c r="N571" s="53" t="str">
        <f t="shared" si="119"/>
        <v/>
      </c>
      <c r="O571" s="53" t="str">
        <f t="shared" si="120"/>
        <v/>
      </c>
      <c r="P571" s="53" t="str">
        <f t="shared" si="121"/>
        <v/>
      </c>
      <c r="Q571" s="53" t="str">
        <f t="shared" si="122"/>
        <v/>
      </c>
      <c r="R571" s="53" t="str">
        <f t="shared" si="123"/>
        <v/>
      </c>
      <c r="S571" s="53" t="str">
        <f t="shared" si="124"/>
        <v/>
      </c>
      <c r="T571" s="53" t="str">
        <f t="shared" si="125"/>
        <v/>
      </c>
    </row>
    <row r="572" spans="1:20">
      <c r="A572" s="47" t="str">
        <f>IF(archive!E572="","",archive!E572)</f>
        <v/>
      </c>
      <c r="B572" s="48" t="str">
        <f t="shared" si="112"/>
        <v/>
      </c>
      <c r="C572" s="49" t="str">
        <f>IF(archive!F572="","",archive!F572)</f>
        <v/>
      </c>
      <c r="D572" s="50" t="str">
        <f t="shared" si="113"/>
        <v/>
      </c>
      <c r="E572" s="50" t="str">
        <f t="shared" si="114"/>
        <v/>
      </c>
      <c r="F572" s="47" t="str">
        <f>IF(COUNTA(archive!H572:CI572)=0,"",COUNTA(archive!H572:CI572))</f>
        <v/>
      </c>
      <c r="G572" s="47" t="str">
        <f>IF(archive!G572="","",archive!G572)</f>
        <v/>
      </c>
      <c r="H572" s="51" t="str">
        <f>IF(archive!CJ572="","",archive!CJ572)</f>
        <v/>
      </c>
      <c r="I572" s="51" t="str">
        <f>IF(archive!CK572="","",archive!CK572)</f>
        <v/>
      </c>
      <c r="J572" s="47" t="str">
        <f t="shared" si="115"/>
        <v/>
      </c>
      <c r="K572" s="51" t="str">
        <f t="shared" si="116"/>
        <v/>
      </c>
      <c r="L572" s="52" t="str">
        <f t="shared" si="117"/>
        <v/>
      </c>
      <c r="M572" s="53" t="str">
        <f t="shared" si="118"/>
        <v/>
      </c>
      <c r="N572" s="53" t="str">
        <f t="shared" si="119"/>
        <v/>
      </c>
      <c r="O572" s="53" t="str">
        <f t="shared" si="120"/>
        <v/>
      </c>
      <c r="P572" s="53" t="str">
        <f t="shared" si="121"/>
        <v/>
      </c>
      <c r="Q572" s="53" t="str">
        <f t="shared" si="122"/>
        <v/>
      </c>
      <c r="R572" s="53" t="str">
        <f t="shared" si="123"/>
        <v/>
      </c>
      <c r="S572" s="53" t="str">
        <f t="shared" si="124"/>
        <v/>
      </c>
      <c r="T572" s="53" t="str">
        <f t="shared" si="125"/>
        <v/>
      </c>
    </row>
    <row r="573" spans="1:20">
      <c r="A573" s="47" t="str">
        <f>IF(archive!E573="","",archive!E573)</f>
        <v/>
      </c>
      <c r="B573" s="48" t="str">
        <f t="shared" si="112"/>
        <v/>
      </c>
      <c r="C573" s="49" t="str">
        <f>IF(archive!F573="","",archive!F573)</f>
        <v/>
      </c>
      <c r="D573" s="50" t="str">
        <f t="shared" si="113"/>
        <v/>
      </c>
      <c r="E573" s="50" t="str">
        <f t="shared" si="114"/>
        <v/>
      </c>
      <c r="F573" s="47" t="str">
        <f>IF(COUNTA(archive!H573:CI573)=0,"",COUNTA(archive!H573:CI573))</f>
        <v/>
      </c>
      <c r="G573" s="47" t="str">
        <f>IF(archive!G573="","",archive!G573)</f>
        <v/>
      </c>
      <c r="H573" s="51" t="str">
        <f>IF(archive!CJ573="","",archive!CJ573)</f>
        <v/>
      </c>
      <c r="I573" s="51" t="str">
        <f>IF(archive!CK573="","",archive!CK573)</f>
        <v/>
      </c>
      <c r="J573" s="47" t="str">
        <f t="shared" si="115"/>
        <v/>
      </c>
      <c r="K573" s="51" t="str">
        <f t="shared" si="116"/>
        <v/>
      </c>
      <c r="L573" s="52" t="str">
        <f t="shared" si="117"/>
        <v/>
      </c>
      <c r="M573" s="53" t="str">
        <f t="shared" si="118"/>
        <v/>
      </c>
      <c r="N573" s="53" t="str">
        <f t="shared" si="119"/>
        <v/>
      </c>
      <c r="O573" s="53" t="str">
        <f t="shared" si="120"/>
        <v/>
      </c>
      <c r="P573" s="53" t="str">
        <f t="shared" si="121"/>
        <v/>
      </c>
      <c r="Q573" s="53" t="str">
        <f t="shared" si="122"/>
        <v/>
      </c>
      <c r="R573" s="53" t="str">
        <f t="shared" si="123"/>
        <v/>
      </c>
      <c r="S573" s="53" t="str">
        <f t="shared" si="124"/>
        <v/>
      </c>
      <c r="T573" s="53" t="str">
        <f t="shared" si="125"/>
        <v/>
      </c>
    </row>
    <row r="574" spans="1:20">
      <c r="A574" s="47" t="str">
        <f>IF(archive!E574="","",archive!E574)</f>
        <v/>
      </c>
      <c r="B574" s="48" t="str">
        <f t="shared" si="112"/>
        <v/>
      </c>
      <c r="C574" s="49" t="str">
        <f>IF(archive!F574="","",archive!F574)</f>
        <v/>
      </c>
      <c r="D574" s="50" t="str">
        <f t="shared" si="113"/>
        <v/>
      </c>
      <c r="E574" s="50" t="str">
        <f t="shared" si="114"/>
        <v/>
      </c>
      <c r="F574" s="47" t="str">
        <f>IF(COUNTA(archive!H574:CI574)=0,"",COUNTA(archive!H574:CI574))</f>
        <v/>
      </c>
      <c r="G574" s="47" t="str">
        <f>IF(archive!G574="","",archive!G574)</f>
        <v/>
      </c>
      <c r="H574" s="51" t="str">
        <f>IF(archive!CJ574="","",archive!CJ574)</f>
        <v/>
      </c>
      <c r="I574" s="51" t="str">
        <f>IF(archive!CK574="","",archive!CK574)</f>
        <v/>
      </c>
      <c r="J574" s="47" t="str">
        <f t="shared" si="115"/>
        <v/>
      </c>
      <c r="K574" s="51" t="str">
        <f t="shared" si="116"/>
        <v/>
      </c>
      <c r="L574" s="52" t="str">
        <f t="shared" si="117"/>
        <v/>
      </c>
      <c r="M574" s="53" t="str">
        <f t="shared" si="118"/>
        <v/>
      </c>
      <c r="N574" s="53" t="str">
        <f t="shared" si="119"/>
        <v/>
      </c>
      <c r="O574" s="53" t="str">
        <f t="shared" si="120"/>
        <v/>
      </c>
      <c r="P574" s="53" t="str">
        <f t="shared" si="121"/>
        <v/>
      </c>
      <c r="Q574" s="53" t="str">
        <f t="shared" si="122"/>
        <v/>
      </c>
      <c r="R574" s="53" t="str">
        <f t="shared" si="123"/>
        <v/>
      </c>
      <c r="S574" s="53" t="str">
        <f t="shared" si="124"/>
        <v/>
      </c>
      <c r="T574" s="53" t="str">
        <f t="shared" si="125"/>
        <v/>
      </c>
    </row>
    <row r="575" spans="1:20">
      <c r="A575" s="47" t="str">
        <f>IF(archive!E575="","",archive!E575)</f>
        <v/>
      </c>
      <c r="B575" s="48" t="str">
        <f t="shared" si="112"/>
        <v/>
      </c>
      <c r="C575" s="49" t="str">
        <f>IF(archive!F575="","",archive!F575)</f>
        <v/>
      </c>
      <c r="D575" s="50" t="str">
        <f t="shared" si="113"/>
        <v/>
      </c>
      <c r="E575" s="50" t="str">
        <f t="shared" si="114"/>
        <v/>
      </c>
      <c r="F575" s="47" t="str">
        <f>IF(COUNTA(archive!H575:CI575)=0,"",COUNTA(archive!H575:CI575))</f>
        <v/>
      </c>
      <c r="G575" s="47" t="str">
        <f>IF(archive!G575="","",archive!G575)</f>
        <v/>
      </c>
      <c r="H575" s="51" t="str">
        <f>IF(archive!CJ575="","",archive!CJ575)</f>
        <v/>
      </c>
      <c r="I575" s="51" t="str">
        <f>IF(archive!CK575="","",archive!CK575)</f>
        <v/>
      </c>
      <c r="J575" s="47" t="str">
        <f t="shared" si="115"/>
        <v/>
      </c>
      <c r="K575" s="51" t="str">
        <f t="shared" si="116"/>
        <v/>
      </c>
      <c r="L575" s="52" t="str">
        <f t="shared" si="117"/>
        <v/>
      </c>
      <c r="M575" s="53" t="str">
        <f t="shared" si="118"/>
        <v/>
      </c>
      <c r="N575" s="53" t="str">
        <f t="shared" si="119"/>
        <v/>
      </c>
      <c r="O575" s="53" t="str">
        <f t="shared" si="120"/>
        <v/>
      </c>
      <c r="P575" s="53" t="str">
        <f t="shared" si="121"/>
        <v/>
      </c>
      <c r="Q575" s="53" t="str">
        <f t="shared" si="122"/>
        <v/>
      </c>
      <c r="R575" s="53" t="str">
        <f t="shared" si="123"/>
        <v/>
      </c>
      <c r="S575" s="53" t="str">
        <f t="shared" si="124"/>
        <v/>
      </c>
      <c r="T575" s="53" t="str">
        <f t="shared" si="125"/>
        <v/>
      </c>
    </row>
    <row r="576" spans="1:20">
      <c r="A576" s="47" t="str">
        <f>IF(archive!E576="","",archive!E576)</f>
        <v/>
      </c>
      <c r="B576" s="48" t="str">
        <f t="shared" si="112"/>
        <v/>
      </c>
      <c r="C576" s="49" t="str">
        <f>IF(archive!F576="","",archive!F576)</f>
        <v/>
      </c>
      <c r="D576" s="50" t="str">
        <f t="shared" si="113"/>
        <v/>
      </c>
      <c r="E576" s="50" t="str">
        <f t="shared" si="114"/>
        <v/>
      </c>
      <c r="F576" s="47" t="str">
        <f>IF(COUNTA(archive!H576:CI576)=0,"",COUNTA(archive!H576:CI576))</f>
        <v/>
      </c>
      <c r="G576" s="47" t="str">
        <f>IF(archive!G576="","",archive!G576)</f>
        <v/>
      </c>
      <c r="H576" s="51" t="str">
        <f>IF(archive!CJ576="","",archive!CJ576)</f>
        <v/>
      </c>
      <c r="I576" s="51" t="str">
        <f>IF(archive!CK576="","",archive!CK576)</f>
        <v/>
      </c>
      <c r="J576" s="47" t="str">
        <f t="shared" si="115"/>
        <v/>
      </c>
      <c r="K576" s="51" t="str">
        <f t="shared" si="116"/>
        <v/>
      </c>
      <c r="L576" s="52" t="str">
        <f t="shared" si="117"/>
        <v/>
      </c>
      <c r="M576" s="53" t="str">
        <f t="shared" si="118"/>
        <v/>
      </c>
      <c r="N576" s="53" t="str">
        <f t="shared" si="119"/>
        <v/>
      </c>
      <c r="O576" s="53" t="str">
        <f t="shared" si="120"/>
        <v/>
      </c>
      <c r="P576" s="53" t="str">
        <f t="shared" si="121"/>
        <v/>
      </c>
      <c r="Q576" s="53" t="str">
        <f t="shared" si="122"/>
        <v/>
      </c>
      <c r="R576" s="53" t="str">
        <f t="shared" si="123"/>
        <v/>
      </c>
      <c r="S576" s="53" t="str">
        <f t="shared" si="124"/>
        <v/>
      </c>
      <c r="T576" s="53" t="str">
        <f t="shared" si="125"/>
        <v/>
      </c>
    </row>
    <row r="577" spans="1:20">
      <c r="A577" s="47" t="str">
        <f>IF(archive!E577="","",archive!E577)</f>
        <v/>
      </c>
      <c r="B577" s="48" t="str">
        <f t="shared" si="112"/>
        <v/>
      </c>
      <c r="C577" s="49" t="str">
        <f>IF(archive!F577="","",archive!F577)</f>
        <v/>
      </c>
      <c r="D577" s="50" t="str">
        <f t="shared" si="113"/>
        <v/>
      </c>
      <c r="E577" s="50" t="str">
        <f t="shared" si="114"/>
        <v/>
      </c>
      <c r="F577" s="47" t="str">
        <f>IF(COUNTA(archive!H577:CI577)=0,"",COUNTA(archive!H577:CI577))</f>
        <v/>
      </c>
      <c r="G577" s="47" t="str">
        <f>IF(archive!G577="","",archive!G577)</f>
        <v/>
      </c>
      <c r="H577" s="51" t="str">
        <f>IF(archive!CJ577="","",archive!CJ577)</f>
        <v/>
      </c>
      <c r="I577" s="51" t="str">
        <f>IF(archive!CK577="","",archive!CK577)</f>
        <v/>
      </c>
      <c r="J577" s="47" t="str">
        <f t="shared" si="115"/>
        <v/>
      </c>
      <c r="K577" s="51" t="str">
        <f t="shared" si="116"/>
        <v/>
      </c>
      <c r="L577" s="52" t="str">
        <f t="shared" si="117"/>
        <v/>
      </c>
      <c r="M577" s="53" t="str">
        <f t="shared" si="118"/>
        <v/>
      </c>
      <c r="N577" s="53" t="str">
        <f t="shared" si="119"/>
        <v/>
      </c>
      <c r="O577" s="53" t="str">
        <f t="shared" si="120"/>
        <v/>
      </c>
      <c r="P577" s="53" t="str">
        <f t="shared" si="121"/>
        <v/>
      </c>
      <c r="Q577" s="53" t="str">
        <f t="shared" si="122"/>
        <v/>
      </c>
      <c r="R577" s="53" t="str">
        <f t="shared" si="123"/>
        <v/>
      </c>
      <c r="S577" s="53" t="str">
        <f t="shared" si="124"/>
        <v/>
      </c>
      <c r="T577" s="53" t="str">
        <f t="shared" si="125"/>
        <v/>
      </c>
    </row>
    <row r="578" spans="1:20">
      <c r="A578" s="47" t="str">
        <f>IF(archive!E578="","",archive!E578)</f>
        <v/>
      </c>
      <c r="B578" s="48" t="str">
        <f t="shared" si="112"/>
        <v/>
      </c>
      <c r="C578" s="49" t="str">
        <f>IF(archive!F578="","",archive!F578)</f>
        <v/>
      </c>
      <c r="D578" s="50" t="str">
        <f t="shared" si="113"/>
        <v/>
      </c>
      <c r="E578" s="50" t="str">
        <f t="shared" si="114"/>
        <v/>
      </c>
      <c r="F578" s="47" t="str">
        <f>IF(COUNTA(archive!H578:CI578)=0,"",COUNTA(archive!H578:CI578))</f>
        <v/>
      </c>
      <c r="G578" s="47" t="str">
        <f>IF(archive!G578="","",archive!G578)</f>
        <v/>
      </c>
      <c r="H578" s="51" t="str">
        <f>IF(archive!CJ578="","",archive!CJ578)</f>
        <v/>
      </c>
      <c r="I578" s="51" t="str">
        <f>IF(archive!CK578="","",archive!CK578)</f>
        <v/>
      </c>
      <c r="J578" s="47" t="str">
        <f t="shared" si="115"/>
        <v/>
      </c>
      <c r="K578" s="51" t="str">
        <f t="shared" si="116"/>
        <v/>
      </c>
      <c r="L578" s="52" t="str">
        <f t="shared" si="117"/>
        <v/>
      </c>
      <c r="M578" s="53" t="str">
        <f t="shared" si="118"/>
        <v/>
      </c>
      <c r="N578" s="53" t="str">
        <f t="shared" si="119"/>
        <v/>
      </c>
      <c r="O578" s="53" t="str">
        <f t="shared" si="120"/>
        <v/>
      </c>
      <c r="P578" s="53" t="str">
        <f t="shared" si="121"/>
        <v/>
      </c>
      <c r="Q578" s="53" t="str">
        <f t="shared" si="122"/>
        <v/>
      </c>
      <c r="R578" s="53" t="str">
        <f t="shared" si="123"/>
        <v/>
      </c>
      <c r="S578" s="53" t="str">
        <f t="shared" si="124"/>
        <v/>
      </c>
      <c r="T578" s="53" t="str">
        <f t="shared" si="125"/>
        <v/>
      </c>
    </row>
    <row r="579" spans="1:20">
      <c r="A579" s="47" t="str">
        <f>IF(archive!E579="","",archive!E579)</f>
        <v/>
      </c>
      <c r="B579" s="48" t="str">
        <f t="shared" si="112"/>
        <v/>
      </c>
      <c r="C579" s="49" t="str">
        <f>IF(archive!F579="","",archive!F579)</f>
        <v/>
      </c>
      <c r="D579" s="50" t="str">
        <f t="shared" si="113"/>
        <v/>
      </c>
      <c r="E579" s="50" t="str">
        <f t="shared" si="114"/>
        <v/>
      </c>
      <c r="F579" s="47" t="str">
        <f>IF(COUNTA(archive!H579:CI579)=0,"",COUNTA(archive!H579:CI579))</f>
        <v/>
      </c>
      <c r="G579" s="47" t="str">
        <f>IF(archive!G579="","",archive!G579)</f>
        <v/>
      </c>
      <c r="H579" s="51" t="str">
        <f>IF(archive!CJ579="","",archive!CJ579)</f>
        <v/>
      </c>
      <c r="I579" s="51" t="str">
        <f>IF(archive!CK579="","",archive!CK579)</f>
        <v/>
      </c>
      <c r="J579" s="47" t="str">
        <f t="shared" si="115"/>
        <v/>
      </c>
      <c r="K579" s="51" t="str">
        <f t="shared" si="116"/>
        <v/>
      </c>
      <c r="L579" s="52" t="str">
        <f t="shared" si="117"/>
        <v/>
      </c>
      <c r="M579" s="53" t="str">
        <f t="shared" si="118"/>
        <v/>
      </c>
      <c r="N579" s="53" t="str">
        <f t="shared" si="119"/>
        <v/>
      </c>
      <c r="O579" s="53" t="str">
        <f t="shared" si="120"/>
        <v/>
      </c>
      <c r="P579" s="53" t="str">
        <f t="shared" si="121"/>
        <v/>
      </c>
      <c r="Q579" s="53" t="str">
        <f t="shared" si="122"/>
        <v/>
      </c>
      <c r="R579" s="53" t="str">
        <f t="shared" si="123"/>
        <v/>
      </c>
      <c r="S579" s="53" t="str">
        <f t="shared" si="124"/>
        <v/>
      </c>
      <c r="T579" s="53" t="str">
        <f t="shared" si="125"/>
        <v/>
      </c>
    </row>
    <row r="580" spans="1:20">
      <c r="A580" s="47" t="str">
        <f>IF(archive!E580="","",archive!E580)</f>
        <v/>
      </c>
      <c r="B580" s="48" t="str">
        <f t="shared" ref="B580:B643" si="126">IF(C580="","",VLOOKUP($C580,Tare,2,0))</f>
        <v/>
      </c>
      <c r="C580" s="49" t="str">
        <f>IF(archive!F580="","",archive!F580)</f>
        <v/>
      </c>
      <c r="D580" s="50" t="str">
        <f t="shared" ref="D580:D643" si="127">IF(C580="","",C580+B580)</f>
        <v/>
      </c>
      <c r="E580" s="50" t="str">
        <f t="shared" ref="E580:E643" si="128">IF(C580="","",(C580*0.025)+D580)</f>
        <v/>
      </c>
      <c r="F580" s="47" t="str">
        <f>IF(COUNTA(archive!H580:CI580)=0,"",COUNTA(archive!H580:CI580))</f>
        <v/>
      </c>
      <c r="G580" s="47" t="str">
        <f>IF(archive!G580="","",archive!G580)</f>
        <v/>
      </c>
      <c r="H580" s="51" t="str">
        <f>IF(archive!CJ580="","",archive!CJ580)</f>
        <v/>
      </c>
      <c r="I580" s="51" t="str">
        <f>IF(archive!CK580="","",archive!CK580)</f>
        <v/>
      </c>
      <c r="J580" s="47" t="str">
        <f t="shared" ref="J580:J643" si="129">IF(F580="","",VLOOKUP(F580,Valeur_g,2,0))</f>
        <v/>
      </c>
      <c r="K580" s="51" t="str">
        <f t="shared" ref="K580:K643" si="130">IF(C580="","",D580+(J580*I580))</f>
        <v/>
      </c>
      <c r="L580" s="52" t="str">
        <f t="shared" ref="L580:L643" si="131">IF(C580="","",IF(K580&lt;H580,"Conforme","Non conforme"))</f>
        <v/>
      </c>
      <c r="M580" s="53" t="str">
        <f t="shared" ref="M580:M643" si="132">IF(C580="","",1)</f>
        <v/>
      </c>
      <c r="N580" s="53" t="str">
        <f t="shared" ref="N580:N643" si="133">IF(L580="","",COUNTIF(L580,"Non conforme"))</f>
        <v/>
      </c>
      <c r="O580" s="53" t="str">
        <f t="shared" ref="O580:O643" si="134">IF($C580="","",IF($C580=0.25,$G580,"-"))</f>
        <v/>
      </c>
      <c r="P580" s="53" t="str">
        <f t="shared" ref="P580:P643" si="135">IF($C580="","",IF($C580=0.4,$G580,"-"))</f>
        <v/>
      </c>
      <c r="Q580" s="53" t="str">
        <f t="shared" ref="Q580:Q643" si="136">IF($C580="","",IF($C580=0.5,$G580,"-"))</f>
        <v/>
      </c>
      <c r="R580" s="53" t="str">
        <f t="shared" ref="R580:R643" si="137">IF($C580="","",IF($C580=0.6,$G580,"-"))</f>
        <v/>
      </c>
      <c r="S580" s="53" t="str">
        <f t="shared" ref="S580:S643" si="138">IF($C580="","",IF($C580=0.8,$G580,"-"))</f>
        <v/>
      </c>
      <c r="T580" s="53" t="str">
        <f t="shared" ref="T580:T643" si="139">IF($C580="","",IF($C580=1,$G580,"-"))</f>
        <v/>
      </c>
    </row>
    <row r="581" spans="1:20">
      <c r="A581" s="47" t="str">
        <f>IF(archive!E581="","",archive!E581)</f>
        <v/>
      </c>
      <c r="B581" s="48" t="str">
        <f t="shared" si="126"/>
        <v/>
      </c>
      <c r="C581" s="49" t="str">
        <f>IF(archive!F581="","",archive!F581)</f>
        <v/>
      </c>
      <c r="D581" s="50" t="str">
        <f t="shared" si="127"/>
        <v/>
      </c>
      <c r="E581" s="50" t="str">
        <f t="shared" si="128"/>
        <v/>
      </c>
      <c r="F581" s="47" t="str">
        <f>IF(COUNTA(archive!H581:CI581)=0,"",COUNTA(archive!H581:CI581))</f>
        <v/>
      </c>
      <c r="G581" s="47" t="str">
        <f>IF(archive!G581="","",archive!G581)</f>
        <v/>
      </c>
      <c r="H581" s="51" t="str">
        <f>IF(archive!CJ581="","",archive!CJ581)</f>
        <v/>
      </c>
      <c r="I581" s="51" t="str">
        <f>IF(archive!CK581="","",archive!CK581)</f>
        <v/>
      </c>
      <c r="J581" s="47" t="str">
        <f t="shared" si="129"/>
        <v/>
      </c>
      <c r="K581" s="51" t="str">
        <f t="shared" si="130"/>
        <v/>
      </c>
      <c r="L581" s="52" t="str">
        <f t="shared" si="131"/>
        <v/>
      </c>
      <c r="M581" s="53" t="str">
        <f t="shared" si="132"/>
        <v/>
      </c>
      <c r="N581" s="53" t="str">
        <f t="shared" si="133"/>
        <v/>
      </c>
      <c r="O581" s="53" t="str">
        <f t="shared" si="134"/>
        <v/>
      </c>
      <c r="P581" s="53" t="str">
        <f t="shared" si="135"/>
        <v/>
      </c>
      <c r="Q581" s="53" t="str">
        <f t="shared" si="136"/>
        <v/>
      </c>
      <c r="R581" s="53" t="str">
        <f t="shared" si="137"/>
        <v/>
      </c>
      <c r="S581" s="53" t="str">
        <f t="shared" si="138"/>
        <v/>
      </c>
      <c r="T581" s="53" t="str">
        <f t="shared" si="139"/>
        <v/>
      </c>
    </row>
    <row r="582" spans="1:20">
      <c r="A582" s="47" t="str">
        <f>IF(archive!E582="","",archive!E582)</f>
        <v/>
      </c>
      <c r="B582" s="48" t="str">
        <f t="shared" si="126"/>
        <v/>
      </c>
      <c r="C582" s="49" t="str">
        <f>IF(archive!F582="","",archive!F582)</f>
        <v/>
      </c>
      <c r="D582" s="50" t="str">
        <f t="shared" si="127"/>
        <v/>
      </c>
      <c r="E582" s="50" t="str">
        <f t="shared" si="128"/>
        <v/>
      </c>
      <c r="F582" s="47" t="str">
        <f>IF(COUNTA(archive!H582:CI582)=0,"",COUNTA(archive!H582:CI582))</f>
        <v/>
      </c>
      <c r="G582" s="47" t="str">
        <f>IF(archive!G582="","",archive!G582)</f>
        <v/>
      </c>
      <c r="H582" s="51" t="str">
        <f>IF(archive!CJ582="","",archive!CJ582)</f>
        <v/>
      </c>
      <c r="I582" s="51" t="str">
        <f>IF(archive!CK582="","",archive!CK582)</f>
        <v/>
      </c>
      <c r="J582" s="47" t="str">
        <f t="shared" si="129"/>
        <v/>
      </c>
      <c r="K582" s="51" t="str">
        <f t="shared" si="130"/>
        <v/>
      </c>
      <c r="L582" s="52" t="str">
        <f t="shared" si="131"/>
        <v/>
      </c>
      <c r="M582" s="53" t="str">
        <f t="shared" si="132"/>
        <v/>
      </c>
      <c r="N582" s="53" t="str">
        <f t="shared" si="133"/>
        <v/>
      </c>
      <c r="O582" s="53" t="str">
        <f t="shared" si="134"/>
        <v/>
      </c>
      <c r="P582" s="53" t="str">
        <f t="shared" si="135"/>
        <v/>
      </c>
      <c r="Q582" s="53" t="str">
        <f t="shared" si="136"/>
        <v/>
      </c>
      <c r="R582" s="53" t="str">
        <f t="shared" si="137"/>
        <v/>
      </c>
      <c r="S582" s="53" t="str">
        <f t="shared" si="138"/>
        <v/>
      </c>
      <c r="T582" s="53" t="str">
        <f t="shared" si="139"/>
        <v/>
      </c>
    </row>
    <row r="583" spans="1:20">
      <c r="A583" s="47" t="str">
        <f>IF(archive!E583="","",archive!E583)</f>
        <v/>
      </c>
      <c r="B583" s="48" t="str">
        <f t="shared" si="126"/>
        <v/>
      </c>
      <c r="C583" s="49" t="str">
        <f>IF(archive!F583="","",archive!F583)</f>
        <v/>
      </c>
      <c r="D583" s="50" t="str">
        <f t="shared" si="127"/>
        <v/>
      </c>
      <c r="E583" s="50" t="str">
        <f t="shared" si="128"/>
        <v/>
      </c>
      <c r="F583" s="47" t="str">
        <f>IF(COUNTA(archive!H583:CI583)=0,"",COUNTA(archive!H583:CI583))</f>
        <v/>
      </c>
      <c r="G583" s="47" t="str">
        <f>IF(archive!G583="","",archive!G583)</f>
        <v/>
      </c>
      <c r="H583" s="51" t="str">
        <f>IF(archive!CJ583="","",archive!CJ583)</f>
        <v/>
      </c>
      <c r="I583" s="51" t="str">
        <f>IF(archive!CK583="","",archive!CK583)</f>
        <v/>
      </c>
      <c r="J583" s="47" t="str">
        <f t="shared" si="129"/>
        <v/>
      </c>
      <c r="K583" s="51" t="str">
        <f t="shared" si="130"/>
        <v/>
      </c>
      <c r="L583" s="52" t="str">
        <f t="shared" si="131"/>
        <v/>
      </c>
      <c r="M583" s="53" t="str">
        <f t="shared" si="132"/>
        <v/>
      </c>
      <c r="N583" s="53" t="str">
        <f t="shared" si="133"/>
        <v/>
      </c>
      <c r="O583" s="53" t="str">
        <f t="shared" si="134"/>
        <v/>
      </c>
      <c r="P583" s="53" t="str">
        <f t="shared" si="135"/>
        <v/>
      </c>
      <c r="Q583" s="53" t="str">
        <f t="shared" si="136"/>
        <v/>
      </c>
      <c r="R583" s="53" t="str">
        <f t="shared" si="137"/>
        <v/>
      </c>
      <c r="S583" s="53" t="str">
        <f t="shared" si="138"/>
        <v/>
      </c>
      <c r="T583" s="53" t="str">
        <f t="shared" si="139"/>
        <v/>
      </c>
    </row>
    <row r="584" spans="1:20">
      <c r="A584" s="47" t="str">
        <f>IF(archive!E584="","",archive!E584)</f>
        <v/>
      </c>
      <c r="B584" s="48" t="str">
        <f t="shared" si="126"/>
        <v/>
      </c>
      <c r="C584" s="49" t="str">
        <f>IF(archive!F584="","",archive!F584)</f>
        <v/>
      </c>
      <c r="D584" s="50" t="str">
        <f t="shared" si="127"/>
        <v/>
      </c>
      <c r="E584" s="50" t="str">
        <f t="shared" si="128"/>
        <v/>
      </c>
      <c r="F584" s="47" t="str">
        <f>IF(COUNTA(archive!H584:CI584)=0,"",COUNTA(archive!H584:CI584))</f>
        <v/>
      </c>
      <c r="G584" s="47" t="str">
        <f>IF(archive!G584="","",archive!G584)</f>
        <v/>
      </c>
      <c r="H584" s="51" t="str">
        <f>IF(archive!CJ584="","",archive!CJ584)</f>
        <v/>
      </c>
      <c r="I584" s="51" t="str">
        <f>IF(archive!CK584="","",archive!CK584)</f>
        <v/>
      </c>
      <c r="J584" s="47" t="str">
        <f t="shared" si="129"/>
        <v/>
      </c>
      <c r="K584" s="51" t="str">
        <f t="shared" si="130"/>
        <v/>
      </c>
      <c r="L584" s="52" t="str">
        <f t="shared" si="131"/>
        <v/>
      </c>
      <c r="M584" s="53" t="str">
        <f t="shared" si="132"/>
        <v/>
      </c>
      <c r="N584" s="53" t="str">
        <f t="shared" si="133"/>
        <v/>
      </c>
      <c r="O584" s="53" t="str">
        <f t="shared" si="134"/>
        <v/>
      </c>
      <c r="P584" s="53" t="str">
        <f t="shared" si="135"/>
        <v/>
      </c>
      <c r="Q584" s="53" t="str">
        <f t="shared" si="136"/>
        <v/>
      </c>
      <c r="R584" s="53" t="str">
        <f t="shared" si="137"/>
        <v/>
      </c>
      <c r="S584" s="53" t="str">
        <f t="shared" si="138"/>
        <v/>
      </c>
      <c r="T584" s="53" t="str">
        <f t="shared" si="139"/>
        <v/>
      </c>
    </row>
    <row r="585" spans="1:20">
      <c r="A585" s="47" t="str">
        <f>IF(archive!E585="","",archive!E585)</f>
        <v/>
      </c>
      <c r="B585" s="48" t="str">
        <f t="shared" si="126"/>
        <v/>
      </c>
      <c r="C585" s="49" t="str">
        <f>IF(archive!F585="","",archive!F585)</f>
        <v/>
      </c>
      <c r="D585" s="50" t="str">
        <f t="shared" si="127"/>
        <v/>
      </c>
      <c r="E585" s="50" t="str">
        <f t="shared" si="128"/>
        <v/>
      </c>
      <c r="F585" s="47" t="str">
        <f>IF(COUNTA(archive!H585:CI585)=0,"",COUNTA(archive!H585:CI585))</f>
        <v/>
      </c>
      <c r="G585" s="47" t="str">
        <f>IF(archive!G585="","",archive!G585)</f>
        <v/>
      </c>
      <c r="H585" s="51" t="str">
        <f>IF(archive!CJ585="","",archive!CJ585)</f>
        <v/>
      </c>
      <c r="I585" s="51" t="str">
        <f>IF(archive!CK585="","",archive!CK585)</f>
        <v/>
      </c>
      <c r="J585" s="47" t="str">
        <f t="shared" si="129"/>
        <v/>
      </c>
      <c r="K585" s="51" t="str">
        <f t="shared" si="130"/>
        <v/>
      </c>
      <c r="L585" s="52" t="str">
        <f t="shared" si="131"/>
        <v/>
      </c>
      <c r="M585" s="53" t="str">
        <f t="shared" si="132"/>
        <v/>
      </c>
      <c r="N585" s="53" t="str">
        <f t="shared" si="133"/>
        <v/>
      </c>
      <c r="O585" s="53" t="str">
        <f t="shared" si="134"/>
        <v/>
      </c>
      <c r="P585" s="53" t="str">
        <f t="shared" si="135"/>
        <v/>
      </c>
      <c r="Q585" s="53" t="str">
        <f t="shared" si="136"/>
        <v/>
      </c>
      <c r="R585" s="53" t="str">
        <f t="shared" si="137"/>
        <v/>
      </c>
      <c r="S585" s="53" t="str">
        <f t="shared" si="138"/>
        <v/>
      </c>
      <c r="T585" s="53" t="str">
        <f t="shared" si="139"/>
        <v/>
      </c>
    </row>
    <row r="586" spans="1:20">
      <c r="A586" s="47" t="str">
        <f>IF(archive!E586="","",archive!E586)</f>
        <v/>
      </c>
      <c r="B586" s="48" t="str">
        <f t="shared" si="126"/>
        <v/>
      </c>
      <c r="C586" s="49" t="str">
        <f>IF(archive!F586="","",archive!F586)</f>
        <v/>
      </c>
      <c r="D586" s="50" t="str">
        <f t="shared" si="127"/>
        <v/>
      </c>
      <c r="E586" s="50" t="str">
        <f t="shared" si="128"/>
        <v/>
      </c>
      <c r="F586" s="47" t="str">
        <f>IF(COUNTA(archive!H586:CI586)=0,"",COUNTA(archive!H586:CI586))</f>
        <v/>
      </c>
      <c r="G586" s="47" t="str">
        <f>IF(archive!G586="","",archive!G586)</f>
        <v/>
      </c>
      <c r="H586" s="51" t="str">
        <f>IF(archive!CJ586="","",archive!CJ586)</f>
        <v/>
      </c>
      <c r="I586" s="51" t="str">
        <f>IF(archive!CK586="","",archive!CK586)</f>
        <v/>
      </c>
      <c r="J586" s="47" t="str">
        <f t="shared" si="129"/>
        <v/>
      </c>
      <c r="K586" s="51" t="str">
        <f t="shared" si="130"/>
        <v/>
      </c>
      <c r="L586" s="52" t="str">
        <f t="shared" si="131"/>
        <v/>
      </c>
      <c r="M586" s="53" t="str">
        <f t="shared" si="132"/>
        <v/>
      </c>
      <c r="N586" s="53" t="str">
        <f t="shared" si="133"/>
        <v/>
      </c>
      <c r="O586" s="53" t="str">
        <f t="shared" si="134"/>
        <v/>
      </c>
      <c r="P586" s="53" t="str">
        <f t="shared" si="135"/>
        <v/>
      </c>
      <c r="Q586" s="53" t="str">
        <f t="shared" si="136"/>
        <v/>
      </c>
      <c r="R586" s="53" t="str">
        <f t="shared" si="137"/>
        <v/>
      </c>
      <c r="S586" s="53" t="str">
        <f t="shared" si="138"/>
        <v/>
      </c>
      <c r="T586" s="53" t="str">
        <f t="shared" si="139"/>
        <v/>
      </c>
    </row>
    <row r="587" spans="1:20">
      <c r="A587" s="47" t="str">
        <f>IF(archive!E587="","",archive!E587)</f>
        <v/>
      </c>
      <c r="B587" s="48" t="str">
        <f t="shared" si="126"/>
        <v/>
      </c>
      <c r="C587" s="49" t="str">
        <f>IF(archive!F587="","",archive!F587)</f>
        <v/>
      </c>
      <c r="D587" s="50" t="str">
        <f t="shared" si="127"/>
        <v/>
      </c>
      <c r="E587" s="50" t="str">
        <f t="shared" si="128"/>
        <v/>
      </c>
      <c r="F587" s="47" t="str">
        <f>IF(COUNTA(archive!H587:CI587)=0,"",COUNTA(archive!H587:CI587))</f>
        <v/>
      </c>
      <c r="G587" s="47" t="str">
        <f>IF(archive!G587="","",archive!G587)</f>
        <v/>
      </c>
      <c r="H587" s="51" t="str">
        <f>IF(archive!CJ587="","",archive!CJ587)</f>
        <v/>
      </c>
      <c r="I587" s="51" t="str">
        <f>IF(archive!CK587="","",archive!CK587)</f>
        <v/>
      </c>
      <c r="J587" s="47" t="str">
        <f t="shared" si="129"/>
        <v/>
      </c>
      <c r="K587" s="51" t="str">
        <f t="shared" si="130"/>
        <v/>
      </c>
      <c r="L587" s="52" t="str">
        <f t="shared" si="131"/>
        <v/>
      </c>
      <c r="M587" s="53" t="str">
        <f t="shared" si="132"/>
        <v/>
      </c>
      <c r="N587" s="53" t="str">
        <f t="shared" si="133"/>
        <v/>
      </c>
      <c r="O587" s="53" t="str">
        <f t="shared" si="134"/>
        <v/>
      </c>
      <c r="P587" s="53" t="str">
        <f t="shared" si="135"/>
        <v/>
      </c>
      <c r="Q587" s="53" t="str">
        <f t="shared" si="136"/>
        <v/>
      </c>
      <c r="R587" s="53" t="str">
        <f t="shared" si="137"/>
        <v/>
      </c>
      <c r="S587" s="53" t="str">
        <f t="shared" si="138"/>
        <v/>
      </c>
      <c r="T587" s="53" t="str">
        <f t="shared" si="139"/>
        <v/>
      </c>
    </row>
    <row r="588" spans="1:20">
      <c r="A588" s="47" t="str">
        <f>IF(archive!E588="","",archive!E588)</f>
        <v/>
      </c>
      <c r="B588" s="48" t="str">
        <f t="shared" si="126"/>
        <v/>
      </c>
      <c r="C588" s="49" t="str">
        <f>IF(archive!F588="","",archive!F588)</f>
        <v/>
      </c>
      <c r="D588" s="50" t="str">
        <f t="shared" si="127"/>
        <v/>
      </c>
      <c r="E588" s="50" t="str">
        <f t="shared" si="128"/>
        <v/>
      </c>
      <c r="F588" s="47" t="str">
        <f>IF(COUNTA(archive!H588:CI588)=0,"",COUNTA(archive!H588:CI588))</f>
        <v/>
      </c>
      <c r="G588" s="47" t="str">
        <f>IF(archive!G588="","",archive!G588)</f>
        <v/>
      </c>
      <c r="H588" s="51" t="str">
        <f>IF(archive!CJ588="","",archive!CJ588)</f>
        <v/>
      </c>
      <c r="I588" s="51" t="str">
        <f>IF(archive!CK588="","",archive!CK588)</f>
        <v/>
      </c>
      <c r="J588" s="47" t="str">
        <f t="shared" si="129"/>
        <v/>
      </c>
      <c r="K588" s="51" t="str">
        <f t="shared" si="130"/>
        <v/>
      </c>
      <c r="L588" s="52" t="str">
        <f t="shared" si="131"/>
        <v/>
      </c>
      <c r="M588" s="53" t="str">
        <f t="shared" si="132"/>
        <v/>
      </c>
      <c r="N588" s="53" t="str">
        <f t="shared" si="133"/>
        <v/>
      </c>
      <c r="O588" s="53" t="str">
        <f t="shared" si="134"/>
        <v/>
      </c>
      <c r="P588" s="53" t="str">
        <f t="shared" si="135"/>
        <v/>
      </c>
      <c r="Q588" s="53" t="str">
        <f t="shared" si="136"/>
        <v/>
      </c>
      <c r="R588" s="53" t="str">
        <f t="shared" si="137"/>
        <v/>
      </c>
      <c r="S588" s="53" t="str">
        <f t="shared" si="138"/>
        <v/>
      </c>
      <c r="T588" s="53" t="str">
        <f t="shared" si="139"/>
        <v/>
      </c>
    </row>
    <row r="589" spans="1:20">
      <c r="A589" s="47" t="str">
        <f>IF(archive!E589="","",archive!E589)</f>
        <v/>
      </c>
      <c r="B589" s="48" t="str">
        <f t="shared" si="126"/>
        <v/>
      </c>
      <c r="C589" s="49" t="str">
        <f>IF(archive!F589="","",archive!F589)</f>
        <v/>
      </c>
      <c r="D589" s="50" t="str">
        <f t="shared" si="127"/>
        <v/>
      </c>
      <c r="E589" s="50" t="str">
        <f t="shared" si="128"/>
        <v/>
      </c>
      <c r="F589" s="47" t="str">
        <f>IF(COUNTA(archive!H589:CI589)=0,"",COUNTA(archive!H589:CI589))</f>
        <v/>
      </c>
      <c r="G589" s="47" t="str">
        <f>IF(archive!G589="","",archive!G589)</f>
        <v/>
      </c>
      <c r="H589" s="51" t="str">
        <f>IF(archive!CJ589="","",archive!CJ589)</f>
        <v/>
      </c>
      <c r="I589" s="51" t="str">
        <f>IF(archive!CK589="","",archive!CK589)</f>
        <v/>
      </c>
      <c r="J589" s="47" t="str">
        <f t="shared" si="129"/>
        <v/>
      </c>
      <c r="K589" s="51" t="str">
        <f t="shared" si="130"/>
        <v/>
      </c>
      <c r="L589" s="52" t="str">
        <f t="shared" si="131"/>
        <v/>
      </c>
      <c r="M589" s="53" t="str">
        <f t="shared" si="132"/>
        <v/>
      </c>
      <c r="N589" s="53" t="str">
        <f t="shared" si="133"/>
        <v/>
      </c>
      <c r="O589" s="53" t="str">
        <f t="shared" si="134"/>
        <v/>
      </c>
      <c r="P589" s="53" t="str">
        <f t="shared" si="135"/>
        <v/>
      </c>
      <c r="Q589" s="53" t="str">
        <f t="shared" si="136"/>
        <v/>
      </c>
      <c r="R589" s="53" t="str">
        <f t="shared" si="137"/>
        <v/>
      </c>
      <c r="S589" s="53" t="str">
        <f t="shared" si="138"/>
        <v/>
      </c>
      <c r="T589" s="53" t="str">
        <f t="shared" si="139"/>
        <v/>
      </c>
    </row>
    <row r="590" spans="1:20">
      <c r="A590" s="47" t="str">
        <f>IF(archive!E590="","",archive!E590)</f>
        <v/>
      </c>
      <c r="B590" s="48" t="str">
        <f t="shared" si="126"/>
        <v/>
      </c>
      <c r="C590" s="49" t="str">
        <f>IF(archive!F590="","",archive!F590)</f>
        <v/>
      </c>
      <c r="D590" s="50" t="str">
        <f t="shared" si="127"/>
        <v/>
      </c>
      <c r="E590" s="50" t="str">
        <f t="shared" si="128"/>
        <v/>
      </c>
      <c r="F590" s="47" t="str">
        <f>IF(COUNTA(archive!H590:CI590)=0,"",COUNTA(archive!H590:CI590))</f>
        <v/>
      </c>
      <c r="G590" s="47" t="str">
        <f>IF(archive!G590="","",archive!G590)</f>
        <v/>
      </c>
      <c r="H590" s="51" t="str">
        <f>IF(archive!CJ590="","",archive!CJ590)</f>
        <v/>
      </c>
      <c r="I590" s="51" t="str">
        <f>IF(archive!CK590="","",archive!CK590)</f>
        <v/>
      </c>
      <c r="J590" s="47" t="str">
        <f t="shared" si="129"/>
        <v/>
      </c>
      <c r="K590" s="51" t="str">
        <f t="shared" si="130"/>
        <v/>
      </c>
      <c r="L590" s="52" t="str">
        <f t="shared" si="131"/>
        <v/>
      </c>
      <c r="M590" s="53" t="str">
        <f t="shared" si="132"/>
        <v/>
      </c>
      <c r="N590" s="53" t="str">
        <f t="shared" si="133"/>
        <v/>
      </c>
      <c r="O590" s="53" t="str">
        <f t="shared" si="134"/>
        <v/>
      </c>
      <c r="P590" s="53" t="str">
        <f t="shared" si="135"/>
        <v/>
      </c>
      <c r="Q590" s="53" t="str">
        <f t="shared" si="136"/>
        <v/>
      </c>
      <c r="R590" s="53" t="str">
        <f t="shared" si="137"/>
        <v/>
      </c>
      <c r="S590" s="53" t="str">
        <f t="shared" si="138"/>
        <v/>
      </c>
      <c r="T590" s="53" t="str">
        <f t="shared" si="139"/>
        <v/>
      </c>
    </row>
    <row r="591" spans="1:20">
      <c r="A591" s="47" t="str">
        <f>IF(archive!E591="","",archive!E591)</f>
        <v/>
      </c>
      <c r="B591" s="48" t="str">
        <f t="shared" si="126"/>
        <v/>
      </c>
      <c r="C591" s="49" t="str">
        <f>IF(archive!F591="","",archive!F591)</f>
        <v/>
      </c>
      <c r="D591" s="50" t="str">
        <f t="shared" si="127"/>
        <v/>
      </c>
      <c r="E591" s="50" t="str">
        <f t="shared" si="128"/>
        <v/>
      </c>
      <c r="F591" s="47" t="str">
        <f>IF(COUNTA(archive!H591:CI591)=0,"",COUNTA(archive!H591:CI591))</f>
        <v/>
      </c>
      <c r="G591" s="47" t="str">
        <f>IF(archive!G591="","",archive!G591)</f>
        <v/>
      </c>
      <c r="H591" s="51" t="str">
        <f>IF(archive!CJ591="","",archive!CJ591)</f>
        <v/>
      </c>
      <c r="I591" s="51" t="str">
        <f>IF(archive!CK591="","",archive!CK591)</f>
        <v/>
      </c>
      <c r="J591" s="47" t="str">
        <f t="shared" si="129"/>
        <v/>
      </c>
      <c r="K591" s="51" t="str">
        <f t="shared" si="130"/>
        <v/>
      </c>
      <c r="L591" s="52" t="str">
        <f t="shared" si="131"/>
        <v/>
      </c>
      <c r="M591" s="53" t="str">
        <f t="shared" si="132"/>
        <v/>
      </c>
      <c r="N591" s="53" t="str">
        <f t="shared" si="133"/>
        <v/>
      </c>
      <c r="O591" s="53" t="str">
        <f t="shared" si="134"/>
        <v/>
      </c>
      <c r="P591" s="53" t="str">
        <f t="shared" si="135"/>
        <v/>
      </c>
      <c r="Q591" s="53" t="str">
        <f t="shared" si="136"/>
        <v/>
      </c>
      <c r="R591" s="53" t="str">
        <f t="shared" si="137"/>
        <v/>
      </c>
      <c r="S591" s="53" t="str">
        <f t="shared" si="138"/>
        <v/>
      </c>
      <c r="T591" s="53" t="str">
        <f t="shared" si="139"/>
        <v/>
      </c>
    </row>
    <row r="592" spans="1:20">
      <c r="A592" s="47" t="str">
        <f>IF(archive!E592="","",archive!E592)</f>
        <v/>
      </c>
      <c r="B592" s="48" t="str">
        <f t="shared" si="126"/>
        <v/>
      </c>
      <c r="C592" s="49" t="str">
        <f>IF(archive!F592="","",archive!F592)</f>
        <v/>
      </c>
      <c r="D592" s="50" t="str">
        <f t="shared" si="127"/>
        <v/>
      </c>
      <c r="E592" s="50" t="str">
        <f t="shared" si="128"/>
        <v/>
      </c>
      <c r="F592" s="47" t="str">
        <f>IF(COUNTA(archive!H592:CI592)=0,"",COUNTA(archive!H592:CI592))</f>
        <v/>
      </c>
      <c r="G592" s="47" t="str">
        <f>IF(archive!G592="","",archive!G592)</f>
        <v/>
      </c>
      <c r="H592" s="51" t="str">
        <f>IF(archive!CJ592="","",archive!CJ592)</f>
        <v/>
      </c>
      <c r="I592" s="51" t="str">
        <f>IF(archive!CK592="","",archive!CK592)</f>
        <v/>
      </c>
      <c r="J592" s="47" t="str">
        <f t="shared" si="129"/>
        <v/>
      </c>
      <c r="K592" s="51" t="str">
        <f t="shared" si="130"/>
        <v/>
      </c>
      <c r="L592" s="52" t="str">
        <f t="shared" si="131"/>
        <v/>
      </c>
      <c r="M592" s="53" t="str">
        <f t="shared" si="132"/>
        <v/>
      </c>
      <c r="N592" s="53" t="str">
        <f t="shared" si="133"/>
        <v/>
      </c>
      <c r="O592" s="53" t="str">
        <f t="shared" si="134"/>
        <v/>
      </c>
      <c r="P592" s="53" t="str">
        <f t="shared" si="135"/>
        <v/>
      </c>
      <c r="Q592" s="53" t="str">
        <f t="shared" si="136"/>
        <v/>
      </c>
      <c r="R592" s="53" t="str">
        <f t="shared" si="137"/>
        <v/>
      </c>
      <c r="S592" s="53" t="str">
        <f t="shared" si="138"/>
        <v/>
      </c>
      <c r="T592" s="53" t="str">
        <f t="shared" si="139"/>
        <v/>
      </c>
    </row>
    <row r="593" spans="1:20">
      <c r="A593" s="47" t="str">
        <f>IF(archive!E593="","",archive!E593)</f>
        <v/>
      </c>
      <c r="B593" s="48" t="str">
        <f t="shared" si="126"/>
        <v/>
      </c>
      <c r="C593" s="49" t="str">
        <f>IF(archive!F593="","",archive!F593)</f>
        <v/>
      </c>
      <c r="D593" s="50" t="str">
        <f t="shared" si="127"/>
        <v/>
      </c>
      <c r="E593" s="50" t="str">
        <f t="shared" si="128"/>
        <v/>
      </c>
      <c r="F593" s="47" t="str">
        <f>IF(COUNTA(archive!H593:CI593)=0,"",COUNTA(archive!H593:CI593))</f>
        <v/>
      </c>
      <c r="G593" s="47" t="str">
        <f>IF(archive!G593="","",archive!G593)</f>
        <v/>
      </c>
      <c r="H593" s="51" t="str">
        <f>IF(archive!CJ593="","",archive!CJ593)</f>
        <v/>
      </c>
      <c r="I593" s="51" t="str">
        <f>IF(archive!CK593="","",archive!CK593)</f>
        <v/>
      </c>
      <c r="J593" s="47" t="str">
        <f t="shared" si="129"/>
        <v/>
      </c>
      <c r="K593" s="51" t="str">
        <f t="shared" si="130"/>
        <v/>
      </c>
      <c r="L593" s="52" t="str">
        <f t="shared" si="131"/>
        <v/>
      </c>
      <c r="M593" s="53" t="str">
        <f t="shared" si="132"/>
        <v/>
      </c>
      <c r="N593" s="53" t="str">
        <f t="shared" si="133"/>
        <v/>
      </c>
      <c r="O593" s="53" t="str">
        <f t="shared" si="134"/>
        <v/>
      </c>
      <c r="P593" s="53" t="str">
        <f t="shared" si="135"/>
        <v/>
      </c>
      <c r="Q593" s="53" t="str">
        <f t="shared" si="136"/>
        <v/>
      </c>
      <c r="R593" s="53" t="str">
        <f t="shared" si="137"/>
        <v/>
      </c>
      <c r="S593" s="53" t="str">
        <f t="shared" si="138"/>
        <v/>
      </c>
      <c r="T593" s="53" t="str">
        <f t="shared" si="139"/>
        <v/>
      </c>
    </row>
    <row r="594" spans="1:20">
      <c r="A594" s="47" t="str">
        <f>IF(archive!E594="","",archive!E594)</f>
        <v/>
      </c>
      <c r="B594" s="48" t="str">
        <f t="shared" si="126"/>
        <v/>
      </c>
      <c r="C594" s="49" t="str">
        <f>IF(archive!F594="","",archive!F594)</f>
        <v/>
      </c>
      <c r="D594" s="50" t="str">
        <f t="shared" si="127"/>
        <v/>
      </c>
      <c r="E594" s="50" t="str">
        <f t="shared" si="128"/>
        <v/>
      </c>
      <c r="F594" s="47" t="str">
        <f>IF(COUNTA(archive!H594:CI594)=0,"",COUNTA(archive!H594:CI594))</f>
        <v/>
      </c>
      <c r="G594" s="47" t="str">
        <f>IF(archive!G594="","",archive!G594)</f>
        <v/>
      </c>
      <c r="H594" s="51" t="str">
        <f>IF(archive!CJ594="","",archive!CJ594)</f>
        <v/>
      </c>
      <c r="I594" s="51" t="str">
        <f>IF(archive!CK594="","",archive!CK594)</f>
        <v/>
      </c>
      <c r="J594" s="47" t="str">
        <f t="shared" si="129"/>
        <v/>
      </c>
      <c r="K594" s="51" t="str">
        <f t="shared" si="130"/>
        <v/>
      </c>
      <c r="L594" s="52" t="str">
        <f t="shared" si="131"/>
        <v/>
      </c>
      <c r="M594" s="53" t="str">
        <f t="shared" si="132"/>
        <v/>
      </c>
      <c r="N594" s="53" t="str">
        <f t="shared" si="133"/>
        <v/>
      </c>
      <c r="O594" s="53" t="str">
        <f t="shared" si="134"/>
        <v/>
      </c>
      <c r="P594" s="53" t="str">
        <f t="shared" si="135"/>
        <v/>
      </c>
      <c r="Q594" s="53" t="str">
        <f t="shared" si="136"/>
        <v/>
      </c>
      <c r="R594" s="53" t="str">
        <f t="shared" si="137"/>
        <v/>
      </c>
      <c r="S594" s="53" t="str">
        <f t="shared" si="138"/>
        <v/>
      </c>
      <c r="T594" s="53" t="str">
        <f t="shared" si="139"/>
        <v/>
      </c>
    </row>
    <row r="595" spans="1:20">
      <c r="A595" s="47" t="str">
        <f>IF(archive!E595="","",archive!E595)</f>
        <v/>
      </c>
      <c r="B595" s="48" t="str">
        <f t="shared" si="126"/>
        <v/>
      </c>
      <c r="C595" s="49" t="str">
        <f>IF(archive!F595="","",archive!F595)</f>
        <v/>
      </c>
      <c r="D595" s="50" t="str">
        <f t="shared" si="127"/>
        <v/>
      </c>
      <c r="E595" s="50" t="str">
        <f t="shared" si="128"/>
        <v/>
      </c>
      <c r="F595" s="47" t="str">
        <f>IF(COUNTA(archive!H595:CI595)=0,"",COUNTA(archive!H595:CI595))</f>
        <v/>
      </c>
      <c r="G595" s="47" t="str">
        <f>IF(archive!G595="","",archive!G595)</f>
        <v/>
      </c>
      <c r="H595" s="51" t="str">
        <f>IF(archive!CJ595="","",archive!CJ595)</f>
        <v/>
      </c>
      <c r="I595" s="51" t="str">
        <f>IF(archive!CK595="","",archive!CK595)</f>
        <v/>
      </c>
      <c r="J595" s="47" t="str">
        <f t="shared" si="129"/>
        <v/>
      </c>
      <c r="K595" s="51" t="str">
        <f t="shared" si="130"/>
        <v/>
      </c>
      <c r="L595" s="52" t="str">
        <f t="shared" si="131"/>
        <v/>
      </c>
      <c r="M595" s="53" t="str">
        <f t="shared" si="132"/>
        <v/>
      </c>
      <c r="N595" s="53" t="str">
        <f t="shared" si="133"/>
        <v/>
      </c>
      <c r="O595" s="53" t="str">
        <f t="shared" si="134"/>
        <v/>
      </c>
      <c r="P595" s="53" t="str">
        <f t="shared" si="135"/>
        <v/>
      </c>
      <c r="Q595" s="53" t="str">
        <f t="shared" si="136"/>
        <v/>
      </c>
      <c r="R595" s="53" t="str">
        <f t="shared" si="137"/>
        <v/>
      </c>
      <c r="S595" s="53" t="str">
        <f t="shared" si="138"/>
        <v/>
      </c>
      <c r="T595" s="53" t="str">
        <f t="shared" si="139"/>
        <v/>
      </c>
    </row>
    <row r="596" spans="1:20">
      <c r="A596" s="47" t="str">
        <f>IF(archive!E596="","",archive!E596)</f>
        <v/>
      </c>
      <c r="B596" s="48" t="str">
        <f t="shared" si="126"/>
        <v/>
      </c>
      <c r="C596" s="49" t="str">
        <f>IF(archive!F596="","",archive!F596)</f>
        <v/>
      </c>
      <c r="D596" s="50" t="str">
        <f t="shared" si="127"/>
        <v/>
      </c>
      <c r="E596" s="50" t="str">
        <f t="shared" si="128"/>
        <v/>
      </c>
      <c r="F596" s="47" t="str">
        <f>IF(COUNTA(archive!H596:CI596)=0,"",COUNTA(archive!H596:CI596))</f>
        <v/>
      </c>
      <c r="G596" s="47" t="str">
        <f>IF(archive!G596="","",archive!G596)</f>
        <v/>
      </c>
      <c r="H596" s="51" t="str">
        <f>IF(archive!CJ596="","",archive!CJ596)</f>
        <v/>
      </c>
      <c r="I596" s="51" t="str">
        <f>IF(archive!CK596="","",archive!CK596)</f>
        <v/>
      </c>
      <c r="J596" s="47" t="str">
        <f t="shared" si="129"/>
        <v/>
      </c>
      <c r="K596" s="51" t="str">
        <f t="shared" si="130"/>
        <v/>
      </c>
      <c r="L596" s="52" t="str">
        <f t="shared" si="131"/>
        <v/>
      </c>
      <c r="M596" s="53" t="str">
        <f t="shared" si="132"/>
        <v/>
      </c>
      <c r="N596" s="53" t="str">
        <f t="shared" si="133"/>
        <v/>
      </c>
      <c r="O596" s="53" t="str">
        <f t="shared" si="134"/>
        <v/>
      </c>
      <c r="P596" s="53" t="str">
        <f t="shared" si="135"/>
        <v/>
      </c>
      <c r="Q596" s="53" t="str">
        <f t="shared" si="136"/>
        <v/>
      </c>
      <c r="R596" s="53" t="str">
        <f t="shared" si="137"/>
        <v/>
      </c>
      <c r="S596" s="53" t="str">
        <f t="shared" si="138"/>
        <v/>
      </c>
      <c r="T596" s="53" t="str">
        <f t="shared" si="139"/>
        <v/>
      </c>
    </row>
    <row r="597" spans="1:20">
      <c r="A597" s="47" t="str">
        <f>IF(archive!E597="","",archive!E597)</f>
        <v/>
      </c>
      <c r="B597" s="48" t="str">
        <f t="shared" si="126"/>
        <v/>
      </c>
      <c r="C597" s="49" t="str">
        <f>IF(archive!F597="","",archive!F597)</f>
        <v/>
      </c>
      <c r="D597" s="50" t="str">
        <f t="shared" si="127"/>
        <v/>
      </c>
      <c r="E597" s="50" t="str">
        <f t="shared" si="128"/>
        <v/>
      </c>
      <c r="F597" s="47" t="str">
        <f>IF(COUNTA(archive!H597:CI597)=0,"",COUNTA(archive!H597:CI597))</f>
        <v/>
      </c>
      <c r="G597" s="47" t="str">
        <f>IF(archive!G597="","",archive!G597)</f>
        <v/>
      </c>
      <c r="H597" s="51" t="str">
        <f>IF(archive!CJ597="","",archive!CJ597)</f>
        <v/>
      </c>
      <c r="I597" s="51" t="str">
        <f>IF(archive!CK597="","",archive!CK597)</f>
        <v/>
      </c>
      <c r="J597" s="47" t="str">
        <f t="shared" si="129"/>
        <v/>
      </c>
      <c r="K597" s="51" t="str">
        <f t="shared" si="130"/>
        <v/>
      </c>
      <c r="L597" s="52" t="str">
        <f t="shared" si="131"/>
        <v/>
      </c>
      <c r="M597" s="53" t="str">
        <f t="shared" si="132"/>
        <v/>
      </c>
      <c r="N597" s="53" t="str">
        <f t="shared" si="133"/>
        <v/>
      </c>
      <c r="O597" s="53" t="str">
        <f t="shared" si="134"/>
        <v/>
      </c>
      <c r="P597" s="53" t="str">
        <f t="shared" si="135"/>
        <v/>
      </c>
      <c r="Q597" s="53" t="str">
        <f t="shared" si="136"/>
        <v/>
      </c>
      <c r="R597" s="53" t="str">
        <f t="shared" si="137"/>
        <v/>
      </c>
      <c r="S597" s="53" t="str">
        <f t="shared" si="138"/>
        <v/>
      </c>
      <c r="T597" s="53" t="str">
        <f t="shared" si="139"/>
        <v/>
      </c>
    </row>
    <row r="598" spans="1:20">
      <c r="A598" s="47" t="str">
        <f>IF(archive!E598="","",archive!E598)</f>
        <v/>
      </c>
      <c r="B598" s="48" t="str">
        <f t="shared" si="126"/>
        <v/>
      </c>
      <c r="C598" s="49" t="str">
        <f>IF(archive!F598="","",archive!F598)</f>
        <v/>
      </c>
      <c r="D598" s="50" t="str">
        <f t="shared" si="127"/>
        <v/>
      </c>
      <c r="E598" s="50" t="str">
        <f t="shared" si="128"/>
        <v/>
      </c>
      <c r="F598" s="47" t="str">
        <f>IF(COUNTA(archive!H598:CI598)=0,"",COUNTA(archive!H598:CI598))</f>
        <v/>
      </c>
      <c r="G598" s="47" t="str">
        <f>IF(archive!G598="","",archive!G598)</f>
        <v/>
      </c>
      <c r="H598" s="51" t="str">
        <f>IF(archive!CJ598="","",archive!CJ598)</f>
        <v/>
      </c>
      <c r="I598" s="51" t="str">
        <f>IF(archive!CK598="","",archive!CK598)</f>
        <v/>
      </c>
      <c r="J598" s="47" t="str">
        <f t="shared" si="129"/>
        <v/>
      </c>
      <c r="K598" s="51" t="str">
        <f t="shared" si="130"/>
        <v/>
      </c>
      <c r="L598" s="52" t="str">
        <f t="shared" si="131"/>
        <v/>
      </c>
      <c r="M598" s="53" t="str">
        <f t="shared" si="132"/>
        <v/>
      </c>
      <c r="N598" s="53" t="str">
        <f t="shared" si="133"/>
        <v/>
      </c>
      <c r="O598" s="53" t="str">
        <f t="shared" si="134"/>
        <v/>
      </c>
      <c r="P598" s="53" t="str">
        <f t="shared" si="135"/>
        <v/>
      </c>
      <c r="Q598" s="53" t="str">
        <f t="shared" si="136"/>
        <v/>
      </c>
      <c r="R598" s="53" t="str">
        <f t="shared" si="137"/>
        <v/>
      </c>
      <c r="S598" s="53" t="str">
        <f t="shared" si="138"/>
        <v/>
      </c>
      <c r="T598" s="53" t="str">
        <f t="shared" si="139"/>
        <v/>
      </c>
    </row>
    <row r="599" spans="1:20">
      <c r="A599" s="47" t="str">
        <f>IF(archive!E599="","",archive!E599)</f>
        <v/>
      </c>
      <c r="B599" s="48" t="str">
        <f t="shared" si="126"/>
        <v/>
      </c>
      <c r="C599" s="49" t="str">
        <f>IF(archive!F599="","",archive!F599)</f>
        <v/>
      </c>
      <c r="D599" s="50" t="str">
        <f t="shared" si="127"/>
        <v/>
      </c>
      <c r="E599" s="50" t="str">
        <f t="shared" si="128"/>
        <v/>
      </c>
      <c r="F599" s="47" t="str">
        <f>IF(COUNTA(archive!H599:CI599)=0,"",COUNTA(archive!H599:CI599))</f>
        <v/>
      </c>
      <c r="G599" s="47" t="str">
        <f>IF(archive!G599="","",archive!G599)</f>
        <v/>
      </c>
      <c r="H599" s="51" t="str">
        <f>IF(archive!CJ599="","",archive!CJ599)</f>
        <v/>
      </c>
      <c r="I599" s="51" t="str">
        <f>IF(archive!CK599="","",archive!CK599)</f>
        <v/>
      </c>
      <c r="J599" s="47" t="str">
        <f t="shared" si="129"/>
        <v/>
      </c>
      <c r="K599" s="51" t="str">
        <f t="shared" si="130"/>
        <v/>
      </c>
      <c r="L599" s="52" t="str">
        <f t="shared" si="131"/>
        <v/>
      </c>
      <c r="M599" s="53" t="str">
        <f t="shared" si="132"/>
        <v/>
      </c>
      <c r="N599" s="53" t="str">
        <f t="shared" si="133"/>
        <v/>
      </c>
      <c r="O599" s="53" t="str">
        <f t="shared" si="134"/>
        <v/>
      </c>
      <c r="P599" s="53" t="str">
        <f t="shared" si="135"/>
        <v/>
      </c>
      <c r="Q599" s="53" t="str">
        <f t="shared" si="136"/>
        <v/>
      </c>
      <c r="R599" s="53" t="str">
        <f t="shared" si="137"/>
        <v/>
      </c>
      <c r="S599" s="53" t="str">
        <f t="shared" si="138"/>
        <v/>
      </c>
      <c r="T599" s="53" t="str">
        <f t="shared" si="139"/>
        <v/>
      </c>
    </row>
    <row r="600" spans="1:20">
      <c r="A600" s="47" t="str">
        <f>IF(archive!E600="","",archive!E600)</f>
        <v/>
      </c>
      <c r="B600" s="48" t="str">
        <f t="shared" si="126"/>
        <v/>
      </c>
      <c r="C600" s="49" t="str">
        <f>IF(archive!F600="","",archive!F600)</f>
        <v/>
      </c>
      <c r="D600" s="50" t="str">
        <f t="shared" si="127"/>
        <v/>
      </c>
      <c r="E600" s="50" t="str">
        <f t="shared" si="128"/>
        <v/>
      </c>
      <c r="F600" s="47" t="str">
        <f>IF(COUNTA(archive!H600:CI600)=0,"",COUNTA(archive!H600:CI600))</f>
        <v/>
      </c>
      <c r="G600" s="47" t="str">
        <f>IF(archive!G600="","",archive!G600)</f>
        <v/>
      </c>
      <c r="H600" s="51" t="str">
        <f>IF(archive!CJ600="","",archive!CJ600)</f>
        <v/>
      </c>
      <c r="I600" s="51" t="str">
        <f>IF(archive!CK600="","",archive!CK600)</f>
        <v/>
      </c>
      <c r="J600" s="47" t="str">
        <f t="shared" si="129"/>
        <v/>
      </c>
      <c r="K600" s="51" t="str">
        <f t="shared" si="130"/>
        <v/>
      </c>
      <c r="L600" s="52" t="str">
        <f t="shared" si="131"/>
        <v/>
      </c>
      <c r="M600" s="53" t="str">
        <f t="shared" si="132"/>
        <v/>
      </c>
      <c r="N600" s="53" t="str">
        <f t="shared" si="133"/>
        <v/>
      </c>
      <c r="O600" s="53" t="str">
        <f t="shared" si="134"/>
        <v/>
      </c>
      <c r="P600" s="53" t="str">
        <f t="shared" si="135"/>
        <v/>
      </c>
      <c r="Q600" s="53" t="str">
        <f t="shared" si="136"/>
        <v/>
      </c>
      <c r="R600" s="53" t="str">
        <f t="shared" si="137"/>
        <v/>
      </c>
      <c r="S600" s="53" t="str">
        <f t="shared" si="138"/>
        <v/>
      </c>
      <c r="T600" s="53" t="str">
        <f t="shared" si="139"/>
        <v/>
      </c>
    </row>
    <row r="601" spans="1:20">
      <c r="A601" s="47" t="str">
        <f>IF(archive!E601="","",archive!E601)</f>
        <v/>
      </c>
      <c r="B601" s="48" t="str">
        <f t="shared" si="126"/>
        <v/>
      </c>
      <c r="C601" s="49" t="str">
        <f>IF(archive!F601="","",archive!F601)</f>
        <v/>
      </c>
      <c r="D601" s="50" t="str">
        <f t="shared" si="127"/>
        <v/>
      </c>
      <c r="E601" s="50" t="str">
        <f t="shared" si="128"/>
        <v/>
      </c>
      <c r="F601" s="47" t="str">
        <f>IF(COUNTA(archive!H601:CI601)=0,"",COUNTA(archive!H601:CI601))</f>
        <v/>
      </c>
      <c r="G601" s="47" t="str">
        <f>IF(archive!G601="","",archive!G601)</f>
        <v/>
      </c>
      <c r="H601" s="51" t="str">
        <f>IF(archive!CJ601="","",archive!CJ601)</f>
        <v/>
      </c>
      <c r="I601" s="51" t="str">
        <f>IF(archive!CK601="","",archive!CK601)</f>
        <v/>
      </c>
      <c r="J601" s="47" t="str">
        <f t="shared" si="129"/>
        <v/>
      </c>
      <c r="K601" s="51" t="str">
        <f t="shared" si="130"/>
        <v/>
      </c>
      <c r="L601" s="52" t="str">
        <f t="shared" si="131"/>
        <v/>
      </c>
      <c r="M601" s="53" t="str">
        <f t="shared" si="132"/>
        <v/>
      </c>
      <c r="N601" s="53" t="str">
        <f t="shared" si="133"/>
        <v/>
      </c>
      <c r="O601" s="53" t="str">
        <f t="shared" si="134"/>
        <v/>
      </c>
      <c r="P601" s="53" t="str">
        <f t="shared" si="135"/>
        <v/>
      </c>
      <c r="Q601" s="53" t="str">
        <f t="shared" si="136"/>
        <v/>
      </c>
      <c r="R601" s="53" t="str">
        <f t="shared" si="137"/>
        <v/>
      </c>
      <c r="S601" s="53" t="str">
        <f t="shared" si="138"/>
        <v/>
      </c>
      <c r="T601" s="53" t="str">
        <f t="shared" si="139"/>
        <v/>
      </c>
    </row>
    <row r="602" spans="1:20">
      <c r="A602" s="47" t="str">
        <f>IF(archive!E602="","",archive!E602)</f>
        <v/>
      </c>
      <c r="B602" s="48" t="str">
        <f t="shared" si="126"/>
        <v/>
      </c>
      <c r="C602" s="49" t="str">
        <f>IF(archive!F602="","",archive!F602)</f>
        <v/>
      </c>
      <c r="D602" s="50" t="str">
        <f t="shared" si="127"/>
        <v/>
      </c>
      <c r="E602" s="50" t="str">
        <f t="shared" si="128"/>
        <v/>
      </c>
      <c r="F602" s="47" t="str">
        <f>IF(COUNTA(archive!H602:CI602)=0,"",COUNTA(archive!H602:CI602))</f>
        <v/>
      </c>
      <c r="G602" s="47" t="str">
        <f>IF(archive!G602="","",archive!G602)</f>
        <v/>
      </c>
      <c r="H602" s="51" t="str">
        <f>IF(archive!CJ602="","",archive!CJ602)</f>
        <v/>
      </c>
      <c r="I602" s="51" t="str">
        <f>IF(archive!CK602="","",archive!CK602)</f>
        <v/>
      </c>
      <c r="J602" s="47" t="str">
        <f t="shared" si="129"/>
        <v/>
      </c>
      <c r="K602" s="51" t="str">
        <f t="shared" si="130"/>
        <v/>
      </c>
      <c r="L602" s="52" t="str">
        <f t="shared" si="131"/>
        <v/>
      </c>
      <c r="M602" s="53" t="str">
        <f t="shared" si="132"/>
        <v/>
      </c>
      <c r="N602" s="53" t="str">
        <f t="shared" si="133"/>
        <v/>
      </c>
      <c r="O602" s="53" t="str">
        <f t="shared" si="134"/>
        <v/>
      </c>
      <c r="P602" s="53" t="str">
        <f t="shared" si="135"/>
        <v/>
      </c>
      <c r="Q602" s="53" t="str">
        <f t="shared" si="136"/>
        <v/>
      </c>
      <c r="R602" s="53" t="str">
        <f t="shared" si="137"/>
        <v/>
      </c>
      <c r="S602" s="53" t="str">
        <f t="shared" si="138"/>
        <v/>
      </c>
      <c r="T602" s="53" t="str">
        <f t="shared" si="139"/>
        <v/>
      </c>
    </row>
    <row r="603" spans="1:20">
      <c r="A603" s="47" t="str">
        <f>IF(archive!E603="","",archive!E603)</f>
        <v/>
      </c>
      <c r="B603" s="48" t="str">
        <f t="shared" si="126"/>
        <v/>
      </c>
      <c r="C603" s="49" t="str">
        <f>IF(archive!F603="","",archive!F603)</f>
        <v/>
      </c>
      <c r="D603" s="50" t="str">
        <f t="shared" si="127"/>
        <v/>
      </c>
      <c r="E603" s="50" t="str">
        <f t="shared" si="128"/>
        <v/>
      </c>
      <c r="F603" s="47" t="str">
        <f>IF(COUNTA(archive!H603:CI603)=0,"",COUNTA(archive!H603:CI603))</f>
        <v/>
      </c>
      <c r="G603" s="47" t="str">
        <f>IF(archive!G603="","",archive!G603)</f>
        <v/>
      </c>
      <c r="H603" s="51" t="str">
        <f>IF(archive!CJ603="","",archive!CJ603)</f>
        <v/>
      </c>
      <c r="I603" s="51" t="str">
        <f>IF(archive!CK603="","",archive!CK603)</f>
        <v/>
      </c>
      <c r="J603" s="47" t="str">
        <f t="shared" si="129"/>
        <v/>
      </c>
      <c r="K603" s="51" t="str">
        <f t="shared" si="130"/>
        <v/>
      </c>
      <c r="L603" s="52" t="str">
        <f t="shared" si="131"/>
        <v/>
      </c>
      <c r="M603" s="53" t="str">
        <f t="shared" si="132"/>
        <v/>
      </c>
      <c r="N603" s="53" t="str">
        <f t="shared" si="133"/>
        <v/>
      </c>
      <c r="O603" s="53" t="str">
        <f t="shared" si="134"/>
        <v/>
      </c>
      <c r="P603" s="53" t="str">
        <f t="shared" si="135"/>
        <v/>
      </c>
      <c r="Q603" s="53" t="str">
        <f t="shared" si="136"/>
        <v/>
      </c>
      <c r="R603" s="53" t="str">
        <f t="shared" si="137"/>
        <v/>
      </c>
      <c r="S603" s="53" t="str">
        <f t="shared" si="138"/>
        <v/>
      </c>
      <c r="T603" s="53" t="str">
        <f t="shared" si="139"/>
        <v/>
      </c>
    </row>
    <row r="604" spans="1:20">
      <c r="A604" s="47" t="str">
        <f>IF(archive!E604="","",archive!E604)</f>
        <v/>
      </c>
      <c r="B604" s="48" t="str">
        <f t="shared" si="126"/>
        <v/>
      </c>
      <c r="C604" s="49" t="str">
        <f>IF(archive!F604="","",archive!F604)</f>
        <v/>
      </c>
      <c r="D604" s="50" t="str">
        <f t="shared" si="127"/>
        <v/>
      </c>
      <c r="E604" s="50" t="str">
        <f t="shared" si="128"/>
        <v/>
      </c>
      <c r="F604" s="47" t="str">
        <f>IF(COUNTA(archive!H604:CI604)=0,"",COUNTA(archive!H604:CI604))</f>
        <v/>
      </c>
      <c r="G604" s="47" t="str">
        <f>IF(archive!G604="","",archive!G604)</f>
        <v/>
      </c>
      <c r="H604" s="51" t="str">
        <f>IF(archive!CJ604="","",archive!CJ604)</f>
        <v/>
      </c>
      <c r="I604" s="51" t="str">
        <f>IF(archive!CK604="","",archive!CK604)</f>
        <v/>
      </c>
      <c r="J604" s="47" t="str">
        <f t="shared" si="129"/>
        <v/>
      </c>
      <c r="K604" s="51" t="str">
        <f t="shared" si="130"/>
        <v/>
      </c>
      <c r="L604" s="52" t="str">
        <f t="shared" si="131"/>
        <v/>
      </c>
      <c r="M604" s="53" t="str">
        <f t="shared" si="132"/>
        <v/>
      </c>
      <c r="N604" s="53" t="str">
        <f t="shared" si="133"/>
        <v/>
      </c>
      <c r="O604" s="53" t="str">
        <f t="shared" si="134"/>
        <v/>
      </c>
      <c r="P604" s="53" t="str">
        <f t="shared" si="135"/>
        <v/>
      </c>
      <c r="Q604" s="53" t="str">
        <f t="shared" si="136"/>
        <v/>
      </c>
      <c r="R604" s="53" t="str">
        <f t="shared" si="137"/>
        <v/>
      </c>
      <c r="S604" s="53" t="str">
        <f t="shared" si="138"/>
        <v/>
      </c>
      <c r="T604" s="53" t="str">
        <f t="shared" si="139"/>
        <v/>
      </c>
    </row>
    <row r="605" spans="1:20">
      <c r="A605" s="47" t="str">
        <f>IF(archive!E605="","",archive!E605)</f>
        <v/>
      </c>
      <c r="B605" s="48" t="str">
        <f t="shared" si="126"/>
        <v/>
      </c>
      <c r="C605" s="49" t="str">
        <f>IF(archive!F605="","",archive!F605)</f>
        <v/>
      </c>
      <c r="D605" s="50" t="str">
        <f t="shared" si="127"/>
        <v/>
      </c>
      <c r="E605" s="50" t="str">
        <f t="shared" si="128"/>
        <v/>
      </c>
      <c r="F605" s="47" t="str">
        <f>IF(COUNTA(archive!H605:CI605)=0,"",COUNTA(archive!H605:CI605))</f>
        <v/>
      </c>
      <c r="G605" s="47" t="str">
        <f>IF(archive!G605="","",archive!G605)</f>
        <v/>
      </c>
      <c r="H605" s="51" t="str">
        <f>IF(archive!CJ605="","",archive!CJ605)</f>
        <v/>
      </c>
      <c r="I605" s="51" t="str">
        <f>IF(archive!CK605="","",archive!CK605)</f>
        <v/>
      </c>
      <c r="J605" s="47" t="str">
        <f t="shared" si="129"/>
        <v/>
      </c>
      <c r="K605" s="51" t="str">
        <f t="shared" si="130"/>
        <v/>
      </c>
      <c r="L605" s="52" t="str">
        <f t="shared" si="131"/>
        <v/>
      </c>
      <c r="M605" s="53" t="str">
        <f t="shared" si="132"/>
        <v/>
      </c>
      <c r="N605" s="53" t="str">
        <f t="shared" si="133"/>
        <v/>
      </c>
      <c r="O605" s="53" t="str">
        <f t="shared" si="134"/>
        <v/>
      </c>
      <c r="P605" s="53" t="str">
        <f t="shared" si="135"/>
        <v/>
      </c>
      <c r="Q605" s="53" t="str">
        <f t="shared" si="136"/>
        <v/>
      </c>
      <c r="R605" s="53" t="str">
        <f t="shared" si="137"/>
        <v/>
      </c>
      <c r="S605" s="53" t="str">
        <f t="shared" si="138"/>
        <v/>
      </c>
      <c r="T605" s="53" t="str">
        <f t="shared" si="139"/>
        <v/>
      </c>
    </row>
    <row r="606" spans="1:20">
      <c r="A606" s="47" t="str">
        <f>IF(archive!E606="","",archive!E606)</f>
        <v/>
      </c>
      <c r="B606" s="48" t="str">
        <f t="shared" si="126"/>
        <v/>
      </c>
      <c r="C606" s="49" t="str">
        <f>IF(archive!F606="","",archive!F606)</f>
        <v/>
      </c>
      <c r="D606" s="50" t="str">
        <f t="shared" si="127"/>
        <v/>
      </c>
      <c r="E606" s="50" t="str">
        <f t="shared" si="128"/>
        <v/>
      </c>
      <c r="F606" s="47" t="str">
        <f>IF(COUNTA(archive!H606:CI606)=0,"",COUNTA(archive!H606:CI606))</f>
        <v/>
      </c>
      <c r="G606" s="47" t="str">
        <f>IF(archive!G606="","",archive!G606)</f>
        <v/>
      </c>
      <c r="H606" s="51" t="str">
        <f>IF(archive!CJ606="","",archive!CJ606)</f>
        <v/>
      </c>
      <c r="I606" s="51" t="str">
        <f>IF(archive!CK606="","",archive!CK606)</f>
        <v/>
      </c>
      <c r="J606" s="47" t="str">
        <f t="shared" si="129"/>
        <v/>
      </c>
      <c r="K606" s="51" t="str">
        <f t="shared" si="130"/>
        <v/>
      </c>
      <c r="L606" s="52" t="str">
        <f t="shared" si="131"/>
        <v/>
      </c>
      <c r="M606" s="53" t="str">
        <f t="shared" si="132"/>
        <v/>
      </c>
      <c r="N606" s="53" t="str">
        <f t="shared" si="133"/>
        <v/>
      </c>
      <c r="O606" s="53" t="str">
        <f t="shared" si="134"/>
        <v/>
      </c>
      <c r="P606" s="53" t="str">
        <f t="shared" si="135"/>
        <v/>
      </c>
      <c r="Q606" s="53" t="str">
        <f t="shared" si="136"/>
        <v/>
      </c>
      <c r="R606" s="53" t="str">
        <f t="shared" si="137"/>
        <v/>
      </c>
      <c r="S606" s="53" t="str">
        <f t="shared" si="138"/>
        <v/>
      </c>
      <c r="T606" s="53" t="str">
        <f t="shared" si="139"/>
        <v/>
      </c>
    </row>
    <row r="607" spans="1:20">
      <c r="A607" s="47" t="str">
        <f>IF(archive!E607="","",archive!E607)</f>
        <v/>
      </c>
      <c r="B607" s="48" t="str">
        <f t="shared" si="126"/>
        <v/>
      </c>
      <c r="C607" s="49" t="str">
        <f>IF(archive!F607="","",archive!F607)</f>
        <v/>
      </c>
      <c r="D607" s="50" t="str">
        <f t="shared" si="127"/>
        <v/>
      </c>
      <c r="E607" s="50" t="str">
        <f t="shared" si="128"/>
        <v/>
      </c>
      <c r="F607" s="47" t="str">
        <f>IF(COUNTA(archive!H607:CI607)=0,"",COUNTA(archive!H607:CI607))</f>
        <v/>
      </c>
      <c r="G607" s="47" t="str">
        <f>IF(archive!G607="","",archive!G607)</f>
        <v/>
      </c>
      <c r="H607" s="51" t="str">
        <f>IF(archive!CJ607="","",archive!CJ607)</f>
        <v/>
      </c>
      <c r="I607" s="51" t="str">
        <f>IF(archive!CK607="","",archive!CK607)</f>
        <v/>
      </c>
      <c r="J607" s="47" t="str">
        <f t="shared" si="129"/>
        <v/>
      </c>
      <c r="K607" s="51" t="str">
        <f t="shared" si="130"/>
        <v/>
      </c>
      <c r="L607" s="52" t="str">
        <f t="shared" si="131"/>
        <v/>
      </c>
      <c r="M607" s="53" t="str">
        <f t="shared" si="132"/>
        <v/>
      </c>
      <c r="N607" s="53" t="str">
        <f t="shared" si="133"/>
        <v/>
      </c>
      <c r="O607" s="53" t="str">
        <f t="shared" si="134"/>
        <v/>
      </c>
      <c r="P607" s="53" t="str">
        <f t="shared" si="135"/>
        <v/>
      </c>
      <c r="Q607" s="53" t="str">
        <f t="shared" si="136"/>
        <v/>
      </c>
      <c r="R607" s="53" t="str">
        <f t="shared" si="137"/>
        <v/>
      </c>
      <c r="S607" s="53" t="str">
        <f t="shared" si="138"/>
        <v/>
      </c>
      <c r="T607" s="53" t="str">
        <f t="shared" si="139"/>
        <v/>
      </c>
    </row>
    <row r="608" spans="1:20">
      <c r="A608" s="47" t="str">
        <f>IF(archive!E608="","",archive!E608)</f>
        <v/>
      </c>
      <c r="B608" s="48" t="str">
        <f t="shared" si="126"/>
        <v/>
      </c>
      <c r="C608" s="49" t="str">
        <f>IF(archive!F608="","",archive!F608)</f>
        <v/>
      </c>
      <c r="D608" s="50" t="str">
        <f t="shared" si="127"/>
        <v/>
      </c>
      <c r="E608" s="50" t="str">
        <f t="shared" si="128"/>
        <v/>
      </c>
      <c r="F608" s="47" t="str">
        <f>IF(COUNTA(archive!H608:CI608)=0,"",COUNTA(archive!H608:CI608))</f>
        <v/>
      </c>
      <c r="G608" s="47" t="str">
        <f>IF(archive!G608="","",archive!G608)</f>
        <v/>
      </c>
      <c r="H608" s="51" t="str">
        <f>IF(archive!CJ608="","",archive!CJ608)</f>
        <v/>
      </c>
      <c r="I608" s="51" t="str">
        <f>IF(archive!CK608="","",archive!CK608)</f>
        <v/>
      </c>
      <c r="J608" s="47" t="str">
        <f t="shared" si="129"/>
        <v/>
      </c>
      <c r="K608" s="51" t="str">
        <f t="shared" si="130"/>
        <v/>
      </c>
      <c r="L608" s="52" t="str">
        <f t="shared" si="131"/>
        <v/>
      </c>
      <c r="M608" s="53" t="str">
        <f t="shared" si="132"/>
        <v/>
      </c>
      <c r="N608" s="53" t="str">
        <f t="shared" si="133"/>
        <v/>
      </c>
      <c r="O608" s="53" t="str">
        <f t="shared" si="134"/>
        <v/>
      </c>
      <c r="P608" s="53" t="str">
        <f t="shared" si="135"/>
        <v/>
      </c>
      <c r="Q608" s="53" t="str">
        <f t="shared" si="136"/>
        <v/>
      </c>
      <c r="R608" s="53" t="str">
        <f t="shared" si="137"/>
        <v/>
      </c>
      <c r="S608" s="53" t="str">
        <f t="shared" si="138"/>
        <v/>
      </c>
      <c r="T608" s="53" t="str">
        <f t="shared" si="139"/>
        <v/>
      </c>
    </row>
    <row r="609" spans="1:20">
      <c r="A609" s="47" t="str">
        <f>IF(archive!E609="","",archive!E609)</f>
        <v/>
      </c>
      <c r="B609" s="48" t="str">
        <f t="shared" si="126"/>
        <v/>
      </c>
      <c r="C609" s="49" t="str">
        <f>IF(archive!F609="","",archive!F609)</f>
        <v/>
      </c>
      <c r="D609" s="50" t="str">
        <f t="shared" si="127"/>
        <v/>
      </c>
      <c r="E609" s="50" t="str">
        <f t="shared" si="128"/>
        <v/>
      </c>
      <c r="F609" s="47" t="str">
        <f>IF(COUNTA(archive!H609:CI609)=0,"",COUNTA(archive!H609:CI609))</f>
        <v/>
      </c>
      <c r="G609" s="47" t="str">
        <f>IF(archive!G609="","",archive!G609)</f>
        <v/>
      </c>
      <c r="H609" s="51" t="str">
        <f>IF(archive!CJ609="","",archive!CJ609)</f>
        <v/>
      </c>
      <c r="I609" s="51" t="str">
        <f>IF(archive!CK609="","",archive!CK609)</f>
        <v/>
      </c>
      <c r="J609" s="47" t="str">
        <f t="shared" si="129"/>
        <v/>
      </c>
      <c r="K609" s="51" t="str">
        <f t="shared" si="130"/>
        <v/>
      </c>
      <c r="L609" s="52" t="str">
        <f t="shared" si="131"/>
        <v/>
      </c>
      <c r="M609" s="53" t="str">
        <f t="shared" si="132"/>
        <v/>
      </c>
      <c r="N609" s="53" t="str">
        <f t="shared" si="133"/>
        <v/>
      </c>
      <c r="O609" s="53" t="str">
        <f t="shared" si="134"/>
        <v/>
      </c>
      <c r="P609" s="53" t="str">
        <f t="shared" si="135"/>
        <v/>
      </c>
      <c r="Q609" s="53" t="str">
        <f t="shared" si="136"/>
        <v/>
      </c>
      <c r="R609" s="53" t="str">
        <f t="shared" si="137"/>
        <v/>
      </c>
      <c r="S609" s="53" t="str">
        <f t="shared" si="138"/>
        <v/>
      </c>
      <c r="T609" s="53" t="str">
        <f t="shared" si="139"/>
        <v/>
      </c>
    </row>
    <row r="610" spans="1:20">
      <c r="A610" s="47" t="str">
        <f>IF(archive!E610="","",archive!E610)</f>
        <v/>
      </c>
      <c r="B610" s="48" t="str">
        <f t="shared" si="126"/>
        <v/>
      </c>
      <c r="C610" s="49" t="str">
        <f>IF(archive!F610="","",archive!F610)</f>
        <v/>
      </c>
      <c r="D610" s="50" t="str">
        <f t="shared" si="127"/>
        <v/>
      </c>
      <c r="E610" s="50" t="str">
        <f t="shared" si="128"/>
        <v/>
      </c>
      <c r="F610" s="47" t="str">
        <f>IF(COUNTA(archive!H610:CI610)=0,"",COUNTA(archive!H610:CI610))</f>
        <v/>
      </c>
      <c r="G610" s="47" t="str">
        <f>IF(archive!G610="","",archive!G610)</f>
        <v/>
      </c>
      <c r="H610" s="51" t="str">
        <f>IF(archive!CJ610="","",archive!CJ610)</f>
        <v/>
      </c>
      <c r="I610" s="51" t="str">
        <f>IF(archive!CK610="","",archive!CK610)</f>
        <v/>
      </c>
      <c r="J610" s="47" t="str">
        <f t="shared" si="129"/>
        <v/>
      </c>
      <c r="K610" s="51" t="str">
        <f t="shared" si="130"/>
        <v/>
      </c>
      <c r="L610" s="52" t="str">
        <f t="shared" si="131"/>
        <v/>
      </c>
      <c r="M610" s="53" t="str">
        <f t="shared" si="132"/>
        <v/>
      </c>
      <c r="N610" s="53" t="str">
        <f t="shared" si="133"/>
        <v/>
      </c>
      <c r="O610" s="53" t="str">
        <f t="shared" si="134"/>
        <v/>
      </c>
      <c r="P610" s="53" t="str">
        <f t="shared" si="135"/>
        <v/>
      </c>
      <c r="Q610" s="53" t="str">
        <f t="shared" si="136"/>
        <v/>
      </c>
      <c r="R610" s="53" t="str">
        <f t="shared" si="137"/>
        <v/>
      </c>
      <c r="S610" s="53" t="str">
        <f t="shared" si="138"/>
        <v/>
      </c>
      <c r="T610" s="53" t="str">
        <f t="shared" si="139"/>
        <v/>
      </c>
    </row>
    <row r="611" spans="1:20">
      <c r="A611" s="47" t="str">
        <f>IF(archive!E611="","",archive!E611)</f>
        <v/>
      </c>
      <c r="B611" s="48" t="str">
        <f t="shared" si="126"/>
        <v/>
      </c>
      <c r="C611" s="49" t="str">
        <f>IF(archive!F611="","",archive!F611)</f>
        <v/>
      </c>
      <c r="D611" s="50" t="str">
        <f t="shared" si="127"/>
        <v/>
      </c>
      <c r="E611" s="50" t="str">
        <f t="shared" si="128"/>
        <v/>
      </c>
      <c r="F611" s="47" t="str">
        <f>IF(COUNTA(archive!H611:CI611)=0,"",COUNTA(archive!H611:CI611))</f>
        <v/>
      </c>
      <c r="G611" s="47" t="str">
        <f>IF(archive!G611="","",archive!G611)</f>
        <v/>
      </c>
      <c r="H611" s="51" t="str">
        <f>IF(archive!CJ611="","",archive!CJ611)</f>
        <v/>
      </c>
      <c r="I611" s="51" t="str">
        <f>IF(archive!CK611="","",archive!CK611)</f>
        <v/>
      </c>
      <c r="J611" s="47" t="str">
        <f t="shared" si="129"/>
        <v/>
      </c>
      <c r="K611" s="51" t="str">
        <f t="shared" si="130"/>
        <v/>
      </c>
      <c r="L611" s="52" t="str">
        <f t="shared" si="131"/>
        <v/>
      </c>
      <c r="M611" s="53" t="str">
        <f t="shared" si="132"/>
        <v/>
      </c>
      <c r="N611" s="53" t="str">
        <f t="shared" si="133"/>
        <v/>
      </c>
      <c r="O611" s="53" t="str">
        <f t="shared" si="134"/>
        <v/>
      </c>
      <c r="P611" s="53" t="str">
        <f t="shared" si="135"/>
        <v/>
      </c>
      <c r="Q611" s="53" t="str">
        <f t="shared" si="136"/>
        <v/>
      </c>
      <c r="R611" s="53" t="str">
        <f t="shared" si="137"/>
        <v/>
      </c>
      <c r="S611" s="53" t="str">
        <f t="shared" si="138"/>
        <v/>
      </c>
      <c r="T611" s="53" t="str">
        <f t="shared" si="139"/>
        <v/>
      </c>
    </row>
    <row r="612" spans="1:20">
      <c r="A612" s="47" t="str">
        <f>IF(archive!E612="","",archive!E612)</f>
        <v/>
      </c>
      <c r="B612" s="48" t="str">
        <f t="shared" si="126"/>
        <v/>
      </c>
      <c r="C612" s="49" t="str">
        <f>IF(archive!F612="","",archive!F612)</f>
        <v/>
      </c>
      <c r="D612" s="50" t="str">
        <f t="shared" si="127"/>
        <v/>
      </c>
      <c r="E612" s="50" t="str">
        <f t="shared" si="128"/>
        <v/>
      </c>
      <c r="F612" s="47" t="str">
        <f>IF(COUNTA(archive!H612:CI612)=0,"",COUNTA(archive!H612:CI612))</f>
        <v/>
      </c>
      <c r="G612" s="47" t="str">
        <f>IF(archive!G612="","",archive!G612)</f>
        <v/>
      </c>
      <c r="H612" s="51" t="str">
        <f>IF(archive!CJ612="","",archive!CJ612)</f>
        <v/>
      </c>
      <c r="I612" s="51" t="str">
        <f>IF(archive!CK612="","",archive!CK612)</f>
        <v/>
      </c>
      <c r="J612" s="47" t="str">
        <f t="shared" si="129"/>
        <v/>
      </c>
      <c r="K612" s="51" t="str">
        <f t="shared" si="130"/>
        <v/>
      </c>
      <c r="L612" s="52" t="str">
        <f t="shared" si="131"/>
        <v/>
      </c>
      <c r="M612" s="53" t="str">
        <f t="shared" si="132"/>
        <v/>
      </c>
      <c r="N612" s="53" t="str">
        <f t="shared" si="133"/>
        <v/>
      </c>
      <c r="O612" s="53" t="str">
        <f t="shared" si="134"/>
        <v/>
      </c>
      <c r="P612" s="53" t="str">
        <f t="shared" si="135"/>
        <v/>
      </c>
      <c r="Q612" s="53" t="str">
        <f t="shared" si="136"/>
        <v/>
      </c>
      <c r="R612" s="53" t="str">
        <f t="shared" si="137"/>
        <v/>
      </c>
      <c r="S612" s="53" t="str">
        <f t="shared" si="138"/>
        <v/>
      </c>
      <c r="T612" s="53" t="str">
        <f t="shared" si="139"/>
        <v/>
      </c>
    </row>
    <row r="613" spans="1:20">
      <c r="A613" s="47" t="str">
        <f>IF(archive!E613="","",archive!E613)</f>
        <v/>
      </c>
      <c r="B613" s="48" t="str">
        <f t="shared" si="126"/>
        <v/>
      </c>
      <c r="C613" s="49" t="str">
        <f>IF(archive!F613="","",archive!F613)</f>
        <v/>
      </c>
      <c r="D613" s="50" t="str">
        <f t="shared" si="127"/>
        <v/>
      </c>
      <c r="E613" s="50" t="str">
        <f t="shared" si="128"/>
        <v/>
      </c>
      <c r="F613" s="47" t="str">
        <f>IF(COUNTA(archive!H613:CI613)=0,"",COUNTA(archive!H613:CI613))</f>
        <v/>
      </c>
      <c r="G613" s="47" t="str">
        <f>IF(archive!G613="","",archive!G613)</f>
        <v/>
      </c>
      <c r="H613" s="51" t="str">
        <f>IF(archive!CJ613="","",archive!CJ613)</f>
        <v/>
      </c>
      <c r="I613" s="51" t="str">
        <f>IF(archive!CK613="","",archive!CK613)</f>
        <v/>
      </c>
      <c r="J613" s="47" t="str">
        <f t="shared" si="129"/>
        <v/>
      </c>
      <c r="K613" s="51" t="str">
        <f t="shared" si="130"/>
        <v/>
      </c>
      <c r="L613" s="52" t="str">
        <f t="shared" si="131"/>
        <v/>
      </c>
      <c r="M613" s="53" t="str">
        <f t="shared" si="132"/>
        <v/>
      </c>
      <c r="N613" s="53" t="str">
        <f t="shared" si="133"/>
        <v/>
      </c>
      <c r="O613" s="53" t="str">
        <f t="shared" si="134"/>
        <v/>
      </c>
      <c r="P613" s="53" t="str">
        <f t="shared" si="135"/>
        <v/>
      </c>
      <c r="Q613" s="53" t="str">
        <f t="shared" si="136"/>
        <v/>
      </c>
      <c r="R613" s="53" t="str">
        <f t="shared" si="137"/>
        <v/>
      </c>
      <c r="S613" s="53" t="str">
        <f t="shared" si="138"/>
        <v/>
      </c>
      <c r="T613" s="53" t="str">
        <f t="shared" si="139"/>
        <v/>
      </c>
    </row>
    <row r="614" spans="1:20">
      <c r="A614" s="47" t="str">
        <f>IF(archive!E614="","",archive!E614)</f>
        <v/>
      </c>
      <c r="B614" s="48" t="str">
        <f t="shared" si="126"/>
        <v/>
      </c>
      <c r="C614" s="49" t="str">
        <f>IF(archive!F614="","",archive!F614)</f>
        <v/>
      </c>
      <c r="D614" s="50" t="str">
        <f t="shared" si="127"/>
        <v/>
      </c>
      <c r="E614" s="50" t="str">
        <f t="shared" si="128"/>
        <v/>
      </c>
      <c r="F614" s="47" t="str">
        <f>IF(COUNTA(archive!H614:CI614)=0,"",COUNTA(archive!H614:CI614))</f>
        <v/>
      </c>
      <c r="G614" s="47" t="str">
        <f>IF(archive!G614="","",archive!G614)</f>
        <v/>
      </c>
      <c r="H614" s="51" t="str">
        <f>IF(archive!CJ614="","",archive!CJ614)</f>
        <v/>
      </c>
      <c r="I614" s="51" t="str">
        <f>IF(archive!CK614="","",archive!CK614)</f>
        <v/>
      </c>
      <c r="J614" s="47" t="str">
        <f t="shared" si="129"/>
        <v/>
      </c>
      <c r="K614" s="51" t="str">
        <f t="shared" si="130"/>
        <v/>
      </c>
      <c r="L614" s="52" t="str">
        <f t="shared" si="131"/>
        <v/>
      </c>
      <c r="M614" s="53" t="str">
        <f t="shared" si="132"/>
        <v/>
      </c>
      <c r="N614" s="53" t="str">
        <f t="shared" si="133"/>
        <v/>
      </c>
      <c r="O614" s="53" t="str">
        <f t="shared" si="134"/>
        <v/>
      </c>
      <c r="P614" s="53" t="str">
        <f t="shared" si="135"/>
        <v/>
      </c>
      <c r="Q614" s="53" t="str">
        <f t="shared" si="136"/>
        <v/>
      </c>
      <c r="R614" s="53" t="str">
        <f t="shared" si="137"/>
        <v/>
      </c>
      <c r="S614" s="53" t="str">
        <f t="shared" si="138"/>
        <v/>
      </c>
      <c r="T614" s="53" t="str">
        <f t="shared" si="139"/>
        <v/>
      </c>
    </row>
    <row r="615" spans="1:20">
      <c r="A615" s="47" t="str">
        <f>IF(archive!E615="","",archive!E615)</f>
        <v/>
      </c>
      <c r="B615" s="48" t="str">
        <f t="shared" si="126"/>
        <v/>
      </c>
      <c r="C615" s="49" t="str">
        <f>IF(archive!F615="","",archive!F615)</f>
        <v/>
      </c>
      <c r="D615" s="50" t="str">
        <f t="shared" si="127"/>
        <v/>
      </c>
      <c r="E615" s="50" t="str">
        <f t="shared" si="128"/>
        <v/>
      </c>
      <c r="F615" s="47" t="str">
        <f>IF(COUNTA(archive!H615:CI615)=0,"",COUNTA(archive!H615:CI615))</f>
        <v/>
      </c>
      <c r="G615" s="47" t="str">
        <f>IF(archive!G615="","",archive!G615)</f>
        <v/>
      </c>
      <c r="H615" s="51" t="str">
        <f>IF(archive!CJ615="","",archive!CJ615)</f>
        <v/>
      </c>
      <c r="I615" s="51" t="str">
        <f>IF(archive!CK615="","",archive!CK615)</f>
        <v/>
      </c>
      <c r="J615" s="47" t="str">
        <f t="shared" si="129"/>
        <v/>
      </c>
      <c r="K615" s="51" t="str">
        <f t="shared" si="130"/>
        <v/>
      </c>
      <c r="L615" s="52" t="str">
        <f t="shared" si="131"/>
        <v/>
      </c>
      <c r="M615" s="53" t="str">
        <f t="shared" si="132"/>
        <v/>
      </c>
      <c r="N615" s="53" t="str">
        <f t="shared" si="133"/>
        <v/>
      </c>
      <c r="O615" s="53" t="str">
        <f t="shared" si="134"/>
        <v/>
      </c>
      <c r="P615" s="53" t="str">
        <f t="shared" si="135"/>
        <v/>
      </c>
      <c r="Q615" s="53" t="str">
        <f t="shared" si="136"/>
        <v/>
      </c>
      <c r="R615" s="53" t="str">
        <f t="shared" si="137"/>
        <v/>
      </c>
      <c r="S615" s="53" t="str">
        <f t="shared" si="138"/>
        <v/>
      </c>
      <c r="T615" s="53" t="str">
        <f t="shared" si="139"/>
        <v/>
      </c>
    </row>
    <row r="616" spans="1:20">
      <c r="A616" s="47" t="str">
        <f>IF(archive!E616="","",archive!E616)</f>
        <v/>
      </c>
      <c r="B616" s="48" t="str">
        <f t="shared" si="126"/>
        <v/>
      </c>
      <c r="C616" s="49" t="str">
        <f>IF(archive!F616="","",archive!F616)</f>
        <v/>
      </c>
      <c r="D616" s="50" t="str">
        <f t="shared" si="127"/>
        <v/>
      </c>
      <c r="E616" s="50" t="str">
        <f t="shared" si="128"/>
        <v/>
      </c>
      <c r="F616" s="47" t="str">
        <f>IF(COUNTA(archive!H616:CI616)=0,"",COUNTA(archive!H616:CI616))</f>
        <v/>
      </c>
      <c r="G616" s="47" t="str">
        <f>IF(archive!G616="","",archive!G616)</f>
        <v/>
      </c>
      <c r="H616" s="51" t="str">
        <f>IF(archive!CJ616="","",archive!CJ616)</f>
        <v/>
      </c>
      <c r="I616" s="51" t="str">
        <f>IF(archive!CK616="","",archive!CK616)</f>
        <v/>
      </c>
      <c r="J616" s="47" t="str">
        <f t="shared" si="129"/>
        <v/>
      </c>
      <c r="K616" s="51" t="str">
        <f t="shared" si="130"/>
        <v/>
      </c>
      <c r="L616" s="52" t="str">
        <f t="shared" si="131"/>
        <v/>
      </c>
      <c r="M616" s="53" t="str">
        <f t="shared" si="132"/>
        <v/>
      </c>
      <c r="N616" s="53" t="str">
        <f t="shared" si="133"/>
        <v/>
      </c>
      <c r="O616" s="53" t="str">
        <f t="shared" si="134"/>
        <v/>
      </c>
      <c r="P616" s="53" t="str">
        <f t="shared" si="135"/>
        <v/>
      </c>
      <c r="Q616" s="53" t="str">
        <f t="shared" si="136"/>
        <v/>
      </c>
      <c r="R616" s="53" t="str">
        <f t="shared" si="137"/>
        <v/>
      </c>
      <c r="S616" s="53" t="str">
        <f t="shared" si="138"/>
        <v/>
      </c>
      <c r="T616" s="53" t="str">
        <f t="shared" si="139"/>
        <v/>
      </c>
    </row>
    <row r="617" spans="1:20">
      <c r="A617" s="47" t="str">
        <f>IF(archive!E617="","",archive!E617)</f>
        <v/>
      </c>
      <c r="B617" s="48" t="str">
        <f t="shared" si="126"/>
        <v/>
      </c>
      <c r="C617" s="49" t="str">
        <f>IF(archive!F617="","",archive!F617)</f>
        <v/>
      </c>
      <c r="D617" s="50" t="str">
        <f t="shared" si="127"/>
        <v/>
      </c>
      <c r="E617" s="50" t="str">
        <f t="shared" si="128"/>
        <v/>
      </c>
      <c r="F617" s="47" t="str">
        <f>IF(COUNTA(archive!H617:CI617)=0,"",COUNTA(archive!H617:CI617))</f>
        <v/>
      </c>
      <c r="G617" s="47" t="str">
        <f>IF(archive!G617="","",archive!G617)</f>
        <v/>
      </c>
      <c r="H617" s="51" t="str">
        <f>IF(archive!CJ617="","",archive!CJ617)</f>
        <v/>
      </c>
      <c r="I617" s="51" t="str">
        <f>IF(archive!CK617="","",archive!CK617)</f>
        <v/>
      </c>
      <c r="J617" s="47" t="str">
        <f t="shared" si="129"/>
        <v/>
      </c>
      <c r="K617" s="51" t="str">
        <f t="shared" si="130"/>
        <v/>
      </c>
      <c r="L617" s="52" t="str">
        <f t="shared" si="131"/>
        <v/>
      </c>
      <c r="M617" s="53" t="str">
        <f t="shared" si="132"/>
        <v/>
      </c>
      <c r="N617" s="53" t="str">
        <f t="shared" si="133"/>
        <v/>
      </c>
      <c r="O617" s="53" t="str">
        <f t="shared" si="134"/>
        <v/>
      </c>
      <c r="P617" s="53" t="str">
        <f t="shared" si="135"/>
        <v/>
      </c>
      <c r="Q617" s="53" t="str">
        <f t="shared" si="136"/>
        <v/>
      </c>
      <c r="R617" s="53" t="str">
        <f t="shared" si="137"/>
        <v/>
      </c>
      <c r="S617" s="53" t="str">
        <f t="shared" si="138"/>
        <v/>
      </c>
      <c r="T617" s="53" t="str">
        <f t="shared" si="139"/>
        <v/>
      </c>
    </row>
    <row r="618" spans="1:20">
      <c r="A618" s="47" t="str">
        <f>IF(archive!E618="","",archive!E618)</f>
        <v/>
      </c>
      <c r="B618" s="48" t="str">
        <f t="shared" si="126"/>
        <v/>
      </c>
      <c r="C618" s="49" t="str">
        <f>IF(archive!F618="","",archive!F618)</f>
        <v/>
      </c>
      <c r="D618" s="50" t="str">
        <f t="shared" si="127"/>
        <v/>
      </c>
      <c r="E618" s="50" t="str">
        <f t="shared" si="128"/>
        <v/>
      </c>
      <c r="F618" s="47" t="str">
        <f>IF(COUNTA(archive!H618:CI618)=0,"",COUNTA(archive!H618:CI618))</f>
        <v/>
      </c>
      <c r="G618" s="47" t="str">
        <f>IF(archive!G618="","",archive!G618)</f>
        <v/>
      </c>
      <c r="H618" s="51" t="str">
        <f>IF(archive!CJ618="","",archive!CJ618)</f>
        <v/>
      </c>
      <c r="I618" s="51" t="str">
        <f>IF(archive!CK618="","",archive!CK618)</f>
        <v/>
      </c>
      <c r="J618" s="47" t="str">
        <f t="shared" si="129"/>
        <v/>
      </c>
      <c r="K618" s="51" t="str">
        <f t="shared" si="130"/>
        <v/>
      </c>
      <c r="L618" s="52" t="str">
        <f t="shared" si="131"/>
        <v/>
      </c>
      <c r="M618" s="53" t="str">
        <f t="shared" si="132"/>
        <v/>
      </c>
      <c r="N618" s="53" t="str">
        <f t="shared" si="133"/>
        <v/>
      </c>
      <c r="O618" s="53" t="str">
        <f t="shared" si="134"/>
        <v/>
      </c>
      <c r="P618" s="53" t="str">
        <f t="shared" si="135"/>
        <v/>
      </c>
      <c r="Q618" s="53" t="str">
        <f t="shared" si="136"/>
        <v/>
      </c>
      <c r="R618" s="53" t="str">
        <f t="shared" si="137"/>
        <v/>
      </c>
      <c r="S618" s="53" t="str">
        <f t="shared" si="138"/>
        <v/>
      </c>
      <c r="T618" s="53" t="str">
        <f t="shared" si="139"/>
        <v/>
      </c>
    </row>
    <row r="619" spans="1:20">
      <c r="A619" s="47" t="str">
        <f>IF(archive!E619="","",archive!E619)</f>
        <v/>
      </c>
      <c r="B619" s="48" t="str">
        <f t="shared" si="126"/>
        <v/>
      </c>
      <c r="C619" s="49" t="str">
        <f>IF(archive!F619="","",archive!F619)</f>
        <v/>
      </c>
      <c r="D619" s="50" t="str">
        <f t="shared" si="127"/>
        <v/>
      </c>
      <c r="E619" s="50" t="str">
        <f t="shared" si="128"/>
        <v/>
      </c>
      <c r="F619" s="47" t="str">
        <f>IF(COUNTA(archive!H619:CI619)=0,"",COUNTA(archive!H619:CI619))</f>
        <v/>
      </c>
      <c r="G619" s="47" t="str">
        <f>IF(archive!G619="","",archive!G619)</f>
        <v/>
      </c>
      <c r="H619" s="51" t="str">
        <f>IF(archive!CJ619="","",archive!CJ619)</f>
        <v/>
      </c>
      <c r="I619" s="51" t="str">
        <f>IF(archive!CK619="","",archive!CK619)</f>
        <v/>
      </c>
      <c r="J619" s="47" t="str">
        <f t="shared" si="129"/>
        <v/>
      </c>
      <c r="K619" s="51" t="str">
        <f t="shared" si="130"/>
        <v/>
      </c>
      <c r="L619" s="52" t="str">
        <f t="shared" si="131"/>
        <v/>
      </c>
      <c r="M619" s="53" t="str">
        <f t="shared" si="132"/>
        <v/>
      </c>
      <c r="N619" s="53" t="str">
        <f t="shared" si="133"/>
        <v/>
      </c>
      <c r="O619" s="53" t="str">
        <f t="shared" si="134"/>
        <v/>
      </c>
      <c r="P619" s="53" t="str">
        <f t="shared" si="135"/>
        <v/>
      </c>
      <c r="Q619" s="53" t="str">
        <f t="shared" si="136"/>
        <v/>
      </c>
      <c r="R619" s="53" t="str">
        <f t="shared" si="137"/>
        <v/>
      </c>
      <c r="S619" s="53" t="str">
        <f t="shared" si="138"/>
        <v/>
      </c>
      <c r="T619" s="53" t="str">
        <f t="shared" si="139"/>
        <v/>
      </c>
    </row>
    <row r="620" spans="1:20">
      <c r="A620" s="47" t="str">
        <f>IF(archive!E620="","",archive!E620)</f>
        <v/>
      </c>
      <c r="B620" s="48" t="str">
        <f t="shared" si="126"/>
        <v/>
      </c>
      <c r="C620" s="49" t="str">
        <f>IF(archive!F620="","",archive!F620)</f>
        <v/>
      </c>
      <c r="D620" s="50" t="str">
        <f t="shared" si="127"/>
        <v/>
      </c>
      <c r="E620" s="50" t="str">
        <f t="shared" si="128"/>
        <v/>
      </c>
      <c r="F620" s="47" t="str">
        <f>IF(COUNTA(archive!H620:CI620)=0,"",COUNTA(archive!H620:CI620))</f>
        <v/>
      </c>
      <c r="G620" s="47" t="str">
        <f>IF(archive!G620="","",archive!G620)</f>
        <v/>
      </c>
      <c r="H620" s="51" t="str">
        <f>IF(archive!CJ620="","",archive!CJ620)</f>
        <v/>
      </c>
      <c r="I620" s="51" t="str">
        <f>IF(archive!CK620="","",archive!CK620)</f>
        <v/>
      </c>
      <c r="J620" s="47" t="str">
        <f t="shared" si="129"/>
        <v/>
      </c>
      <c r="K620" s="51" t="str">
        <f t="shared" si="130"/>
        <v/>
      </c>
      <c r="L620" s="52" t="str">
        <f t="shared" si="131"/>
        <v/>
      </c>
      <c r="M620" s="53" t="str">
        <f t="shared" si="132"/>
        <v/>
      </c>
      <c r="N620" s="53" t="str">
        <f t="shared" si="133"/>
        <v/>
      </c>
      <c r="O620" s="53" t="str">
        <f t="shared" si="134"/>
        <v/>
      </c>
      <c r="P620" s="53" t="str">
        <f t="shared" si="135"/>
        <v/>
      </c>
      <c r="Q620" s="53" t="str">
        <f t="shared" si="136"/>
        <v/>
      </c>
      <c r="R620" s="53" t="str">
        <f t="shared" si="137"/>
        <v/>
      </c>
      <c r="S620" s="53" t="str">
        <f t="shared" si="138"/>
        <v/>
      </c>
      <c r="T620" s="53" t="str">
        <f t="shared" si="139"/>
        <v/>
      </c>
    </row>
    <row r="621" spans="1:20">
      <c r="A621" s="47" t="str">
        <f>IF(archive!E621="","",archive!E621)</f>
        <v/>
      </c>
      <c r="B621" s="48" t="str">
        <f t="shared" si="126"/>
        <v/>
      </c>
      <c r="C621" s="49" t="str">
        <f>IF(archive!F621="","",archive!F621)</f>
        <v/>
      </c>
      <c r="D621" s="50" t="str">
        <f t="shared" si="127"/>
        <v/>
      </c>
      <c r="E621" s="50" t="str">
        <f t="shared" si="128"/>
        <v/>
      </c>
      <c r="F621" s="47" t="str">
        <f>IF(COUNTA(archive!H621:CI621)=0,"",COUNTA(archive!H621:CI621))</f>
        <v/>
      </c>
      <c r="G621" s="47" t="str">
        <f>IF(archive!G621="","",archive!G621)</f>
        <v/>
      </c>
      <c r="H621" s="51" t="str">
        <f>IF(archive!CJ621="","",archive!CJ621)</f>
        <v/>
      </c>
      <c r="I621" s="51" t="str">
        <f>IF(archive!CK621="","",archive!CK621)</f>
        <v/>
      </c>
      <c r="J621" s="47" t="str">
        <f t="shared" si="129"/>
        <v/>
      </c>
      <c r="K621" s="51" t="str">
        <f t="shared" si="130"/>
        <v/>
      </c>
      <c r="L621" s="52" t="str">
        <f t="shared" si="131"/>
        <v/>
      </c>
      <c r="M621" s="53" t="str">
        <f t="shared" si="132"/>
        <v/>
      </c>
      <c r="N621" s="53" t="str">
        <f t="shared" si="133"/>
        <v/>
      </c>
      <c r="O621" s="53" t="str">
        <f t="shared" si="134"/>
        <v/>
      </c>
      <c r="P621" s="53" t="str">
        <f t="shared" si="135"/>
        <v/>
      </c>
      <c r="Q621" s="53" t="str">
        <f t="shared" si="136"/>
        <v/>
      </c>
      <c r="R621" s="53" t="str">
        <f t="shared" si="137"/>
        <v/>
      </c>
      <c r="S621" s="53" t="str">
        <f t="shared" si="138"/>
        <v/>
      </c>
      <c r="T621" s="53" t="str">
        <f t="shared" si="139"/>
        <v/>
      </c>
    </row>
    <row r="622" spans="1:20">
      <c r="A622" s="47" t="str">
        <f>IF(archive!E622="","",archive!E622)</f>
        <v/>
      </c>
      <c r="B622" s="48" t="str">
        <f t="shared" si="126"/>
        <v/>
      </c>
      <c r="C622" s="49" t="str">
        <f>IF(archive!F622="","",archive!F622)</f>
        <v/>
      </c>
      <c r="D622" s="50" t="str">
        <f t="shared" si="127"/>
        <v/>
      </c>
      <c r="E622" s="50" t="str">
        <f t="shared" si="128"/>
        <v/>
      </c>
      <c r="F622" s="47" t="str">
        <f>IF(COUNTA(archive!H622:CI622)=0,"",COUNTA(archive!H622:CI622))</f>
        <v/>
      </c>
      <c r="G622" s="47" t="str">
        <f>IF(archive!G622="","",archive!G622)</f>
        <v/>
      </c>
      <c r="H622" s="51" t="str">
        <f>IF(archive!CJ622="","",archive!CJ622)</f>
        <v/>
      </c>
      <c r="I622" s="51" t="str">
        <f>IF(archive!CK622="","",archive!CK622)</f>
        <v/>
      </c>
      <c r="J622" s="47" t="str">
        <f t="shared" si="129"/>
        <v/>
      </c>
      <c r="K622" s="51" t="str">
        <f t="shared" si="130"/>
        <v/>
      </c>
      <c r="L622" s="52" t="str">
        <f t="shared" si="131"/>
        <v/>
      </c>
      <c r="M622" s="53" t="str">
        <f t="shared" si="132"/>
        <v/>
      </c>
      <c r="N622" s="53" t="str">
        <f t="shared" si="133"/>
        <v/>
      </c>
      <c r="O622" s="53" t="str">
        <f t="shared" si="134"/>
        <v/>
      </c>
      <c r="P622" s="53" t="str">
        <f t="shared" si="135"/>
        <v/>
      </c>
      <c r="Q622" s="53" t="str">
        <f t="shared" si="136"/>
        <v/>
      </c>
      <c r="R622" s="53" t="str">
        <f t="shared" si="137"/>
        <v/>
      </c>
      <c r="S622" s="53" t="str">
        <f t="shared" si="138"/>
        <v/>
      </c>
      <c r="T622" s="53" t="str">
        <f t="shared" si="139"/>
        <v/>
      </c>
    </row>
    <row r="623" spans="1:20">
      <c r="A623" s="47" t="str">
        <f>IF(archive!E623="","",archive!E623)</f>
        <v/>
      </c>
      <c r="B623" s="48" t="str">
        <f t="shared" si="126"/>
        <v/>
      </c>
      <c r="C623" s="49" t="str">
        <f>IF(archive!F623="","",archive!F623)</f>
        <v/>
      </c>
      <c r="D623" s="50" t="str">
        <f t="shared" si="127"/>
        <v/>
      </c>
      <c r="E623" s="50" t="str">
        <f t="shared" si="128"/>
        <v/>
      </c>
      <c r="F623" s="47" t="str">
        <f>IF(COUNTA(archive!H623:CI623)=0,"",COUNTA(archive!H623:CI623))</f>
        <v/>
      </c>
      <c r="G623" s="47" t="str">
        <f>IF(archive!G623="","",archive!G623)</f>
        <v/>
      </c>
      <c r="H623" s="51" t="str">
        <f>IF(archive!CJ623="","",archive!CJ623)</f>
        <v/>
      </c>
      <c r="I623" s="51" t="str">
        <f>IF(archive!CK623="","",archive!CK623)</f>
        <v/>
      </c>
      <c r="J623" s="47" t="str">
        <f t="shared" si="129"/>
        <v/>
      </c>
      <c r="K623" s="51" t="str">
        <f t="shared" si="130"/>
        <v/>
      </c>
      <c r="L623" s="52" t="str">
        <f t="shared" si="131"/>
        <v/>
      </c>
      <c r="M623" s="53" t="str">
        <f t="shared" si="132"/>
        <v/>
      </c>
      <c r="N623" s="53" t="str">
        <f t="shared" si="133"/>
        <v/>
      </c>
      <c r="O623" s="53" t="str">
        <f t="shared" si="134"/>
        <v/>
      </c>
      <c r="P623" s="53" t="str">
        <f t="shared" si="135"/>
        <v/>
      </c>
      <c r="Q623" s="53" t="str">
        <f t="shared" si="136"/>
        <v/>
      </c>
      <c r="R623" s="53" t="str">
        <f t="shared" si="137"/>
        <v/>
      </c>
      <c r="S623" s="53" t="str">
        <f t="shared" si="138"/>
        <v/>
      </c>
      <c r="T623" s="53" t="str">
        <f t="shared" si="139"/>
        <v/>
      </c>
    </row>
    <row r="624" spans="1:20">
      <c r="A624" s="47" t="str">
        <f>IF(archive!E624="","",archive!E624)</f>
        <v/>
      </c>
      <c r="B624" s="48" t="str">
        <f t="shared" si="126"/>
        <v/>
      </c>
      <c r="C624" s="49" t="str">
        <f>IF(archive!F624="","",archive!F624)</f>
        <v/>
      </c>
      <c r="D624" s="50" t="str">
        <f t="shared" si="127"/>
        <v/>
      </c>
      <c r="E624" s="50" t="str">
        <f t="shared" si="128"/>
        <v/>
      </c>
      <c r="F624" s="47" t="str">
        <f>IF(COUNTA(archive!H624:CI624)=0,"",COUNTA(archive!H624:CI624))</f>
        <v/>
      </c>
      <c r="G624" s="47" t="str">
        <f>IF(archive!G624="","",archive!G624)</f>
        <v/>
      </c>
      <c r="H624" s="51" t="str">
        <f>IF(archive!CJ624="","",archive!CJ624)</f>
        <v/>
      </c>
      <c r="I624" s="51" t="str">
        <f>IF(archive!CK624="","",archive!CK624)</f>
        <v/>
      </c>
      <c r="J624" s="47" t="str">
        <f t="shared" si="129"/>
        <v/>
      </c>
      <c r="K624" s="51" t="str">
        <f t="shared" si="130"/>
        <v/>
      </c>
      <c r="L624" s="52" t="str">
        <f t="shared" si="131"/>
        <v/>
      </c>
      <c r="M624" s="53" t="str">
        <f t="shared" si="132"/>
        <v/>
      </c>
      <c r="N624" s="53" t="str">
        <f t="shared" si="133"/>
        <v/>
      </c>
      <c r="O624" s="53" t="str">
        <f t="shared" si="134"/>
        <v/>
      </c>
      <c r="P624" s="53" t="str">
        <f t="shared" si="135"/>
        <v/>
      </c>
      <c r="Q624" s="53" t="str">
        <f t="shared" si="136"/>
        <v/>
      </c>
      <c r="R624" s="53" t="str">
        <f t="shared" si="137"/>
        <v/>
      </c>
      <c r="S624" s="53" t="str">
        <f t="shared" si="138"/>
        <v/>
      </c>
      <c r="T624" s="53" t="str">
        <f t="shared" si="139"/>
        <v/>
      </c>
    </row>
    <row r="625" spans="1:20">
      <c r="A625" s="47" t="str">
        <f>IF(archive!E625="","",archive!E625)</f>
        <v/>
      </c>
      <c r="B625" s="48" t="str">
        <f t="shared" si="126"/>
        <v/>
      </c>
      <c r="C625" s="49" t="str">
        <f>IF(archive!F625="","",archive!F625)</f>
        <v/>
      </c>
      <c r="D625" s="50" t="str">
        <f t="shared" si="127"/>
        <v/>
      </c>
      <c r="E625" s="50" t="str">
        <f t="shared" si="128"/>
        <v/>
      </c>
      <c r="F625" s="47" t="str">
        <f>IF(COUNTA(archive!H625:CI625)=0,"",COUNTA(archive!H625:CI625))</f>
        <v/>
      </c>
      <c r="G625" s="47" t="str">
        <f>IF(archive!G625="","",archive!G625)</f>
        <v/>
      </c>
      <c r="H625" s="51" t="str">
        <f>IF(archive!CJ625="","",archive!CJ625)</f>
        <v/>
      </c>
      <c r="I625" s="51" t="str">
        <f>IF(archive!CK625="","",archive!CK625)</f>
        <v/>
      </c>
      <c r="J625" s="47" t="str">
        <f t="shared" si="129"/>
        <v/>
      </c>
      <c r="K625" s="51" t="str">
        <f t="shared" si="130"/>
        <v/>
      </c>
      <c r="L625" s="52" t="str">
        <f t="shared" si="131"/>
        <v/>
      </c>
      <c r="M625" s="53" t="str">
        <f t="shared" si="132"/>
        <v/>
      </c>
      <c r="N625" s="53" t="str">
        <f t="shared" si="133"/>
        <v/>
      </c>
      <c r="O625" s="53" t="str">
        <f t="shared" si="134"/>
        <v/>
      </c>
      <c r="P625" s="53" t="str">
        <f t="shared" si="135"/>
        <v/>
      </c>
      <c r="Q625" s="53" t="str">
        <f t="shared" si="136"/>
        <v/>
      </c>
      <c r="R625" s="53" t="str">
        <f t="shared" si="137"/>
        <v/>
      </c>
      <c r="S625" s="53" t="str">
        <f t="shared" si="138"/>
        <v/>
      </c>
      <c r="T625" s="53" t="str">
        <f t="shared" si="139"/>
        <v/>
      </c>
    </row>
    <row r="626" spans="1:20">
      <c r="A626" s="47" t="str">
        <f>IF(archive!E626="","",archive!E626)</f>
        <v/>
      </c>
      <c r="B626" s="48" t="str">
        <f t="shared" si="126"/>
        <v/>
      </c>
      <c r="C626" s="49" t="str">
        <f>IF(archive!F626="","",archive!F626)</f>
        <v/>
      </c>
      <c r="D626" s="50" t="str">
        <f t="shared" si="127"/>
        <v/>
      </c>
      <c r="E626" s="50" t="str">
        <f t="shared" si="128"/>
        <v/>
      </c>
      <c r="F626" s="47" t="str">
        <f>IF(COUNTA(archive!H626:CI626)=0,"",COUNTA(archive!H626:CI626))</f>
        <v/>
      </c>
      <c r="G626" s="47" t="str">
        <f>IF(archive!G626="","",archive!G626)</f>
        <v/>
      </c>
      <c r="H626" s="51" t="str">
        <f>IF(archive!CJ626="","",archive!CJ626)</f>
        <v/>
      </c>
      <c r="I626" s="51" t="str">
        <f>IF(archive!CK626="","",archive!CK626)</f>
        <v/>
      </c>
      <c r="J626" s="47" t="str">
        <f t="shared" si="129"/>
        <v/>
      </c>
      <c r="K626" s="51" t="str">
        <f t="shared" si="130"/>
        <v/>
      </c>
      <c r="L626" s="52" t="str">
        <f t="shared" si="131"/>
        <v/>
      </c>
      <c r="M626" s="53" t="str">
        <f t="shared" si="132"/>
        <v/>
      </c>
      <c r="N626" s="53" t="str">
        <f t="shared" si="133"/>
        <v/>
      </c>
      <c r="O626" s="53" t="str">
        <f t="shared" si="134"/>
        <v/>
      </c>
      <c r="P626" s="53" t="str">
        <f t="shared" si="135"/>
        <v/>
      </c>
      <c r="Q626" s="53" t="str">
        <f t="shared" si="136"/>
        <v/>
      </c>
      <c r="R626" s="53" t="str">
        <f t="shared" si="137"/>
        <v/>
      </c>
      <c r="S626" s="53" t="str">
        <f t="shared" si="138"/>
        <v/>
      </c>
      <c r="T626" s="53" t="str">
        <f t="shared" si="139"/>
        <v/>
      </c>
    </row>
    <row r="627" spans="1:20">
      <c r="A627" s="47" t="str">
        <f>IF(archive!E627="","",archive!E627)</f>
        <v/>
      </c>
      <c r="B627" s="48" t="str">
        <f t="shared" si="126"/>
        <v/>
      </c>
      <c r="C627" s="49" t="str">
        <f>IF(archive!F627="","",archive!F627)</f>
        <v/>
      </c>
      <c r="D627" s="50" t="str">
        <f t="shared" si="127"/>
        <v/>
      </c>
      <c r="E627" s="50" t="str">
        <f t="shared" si="128"/>
        <v/>
      </c>
      <c r="F627" s="47" t="str">
        <f>IF(COUNTA(archive!H627:CI627)=0,"",COUNTA(archive!H627:CI627))</f>
        <v/>
      </c>
      <c r="G627" s="47" t="str">
        <f>IF(archive!G627="","",archive!G627)</f>
        <v/>
      </c>
      <c r="H627" s="51" t="str">
        <f>IF(archive!CJ627="","",archive!CJ627)</f>
        <v/>
      </c>
      <c r="I627" s="51" t="str">
        <f>IF(archive!CK627="","",archive!CK627)</f>
        <v/>
      </c>
      <c r="J627" s="47" t="str">
        <f t="shared" si="129"/>
        <v/>
      </c>
      <c r="K627" s="51" t="str">
        <f t="shared" si="130"/>
        <v/>
      </c>
      <c r="L627" s="52" t="str">
        <f t="shared" si="131"/>
        <v/>
      </c>
      <c r="M627" s="53" t="str">
        <f t="shared" si="132"/>
        <v/>
      </c>
      <c r="N627" s="53" t="str">
        <f t="shared" si="133"/>
        <v/>
      </c>
      <c r="O627" s="53" t="str">
        <f t="shared" si="134"/>
        <v/>
      </c>
      <c r="P627" s="53" t="str">
        <f t="shared" si="135"/>
        <v/>
      </c>
      <c r="Q627" s="53" t="str">
        <f t="shared" si="136"/>
        <v/>
      </c>
      <c r="R627" s="53" t="str">
        <f t="shared" si="137"/>
        <v/>
      </c>
      <c r="S627" s="53" t="str">
        <f t="shared" si="138"/>
        <v/>
      </c>
      <c r="T627" s="53" t="str">
        <f t="shared" si="139"/>
        <v/>
      </c>
    </row>
    <row r="628" spans="1:20">
      <c r="A628" s="47" t="str">
        <f>IF(archive!E628="","",archive!E628)</f>
        <v/>
      </c>
      <c r="B628" s="48" t="str">
        <f t="shared" si="126"/>
        <v/>
      </c>
      <c r="C628" s="49" t="str">
        <f>IF(archive!F628="","",archive!F628)</f>
        <v/>
      </c>
      <c r="D628" s="50" t="str">
        <f t="shared" si="127"/>
        <v/>
      </c>
      <c r="E628" s="50" t="str">
        <f t="shared" si="128"/>
        <v/>
      </c>
      <c r="F628" s="47" t="str">
        <f>IF(COUNTA(archive!H628:CI628)=0,"",COUNTA(archive!H628:CI628))</f>
        <v/>
      </c>
      <c r="G628" s="47" t="str">
        <f>IF(archive!G628="","",archive!G628)</f>
        <v/>
      </c>
      <c r="H628" s="51" t="str">
        <f>IF(archive!CJ628="","",archive!CJ628)</f>
        <v/>
      </c>
      <c r="I628" s="51" t="str">
        <f>IF(archive!CK628="","",archive!CK628)</f>
        <v/>
      </c>
      <c r="J628" s="47" t="str">
        <f t="shared" si="129"/>
        <v/>
      </c>
      <c r="K628" s="51" t="str">
        <f t="shared" si="130"/>
        <v/>
      </c>
      <c r="L628" s="52" t="str">
        <f t="shared" si="131"/>
        <v/>
      </c>
      <c r="M628" s="53" t="str">
        <f t="shared" si="132"/>
        <v/>
      </c>
      <c r="N628" s="53" t="str">
        <f t="shared" si="133"/>
        <v/>
      </c>
      <c r="O628" s="53" t="str">
        <f t="shared" si="134"/>
        <v/>
      </c>
      <c r="P628" s="53" t="str">
        <f t="shared" si="135"/>
        <v/>
      </c>
      <c r="Q628" s="53" t="str">
        <f t="shared" si="136"/>
        <v/>
      </c>
      <c r="R628" s="53" t="str">
        <f t="shared" si="137"/>
        <v/>
      </c>
      <c r="S628" s="53" t="str">
        <f t="shared" si="138"/>
        <v/>
      </c>
      <c r="T628" s="53" t="str">
        <f t="shared" si="139"/>
        <v/>
      </c>
    </row>
    <row r="629" spans="1:20">
      <c r="A629" s="47" t="str">
        <f>IF(archive!E629="","",archive!E629)</f>
        <v/>
      </c>
      <c r="B629" s="48" t="str">
        <f t="shared" si="126"/>
        <v/>
      </c>
      <c r="C629" s="49" t="str">
        <f>IF(archive!F629="","",archive!F629)</f>
        <v/>
      </c>
      <c r="D629" s="50" t="str">
        <f t="shared" si="127"/>
        <v/>
      </c>
      <c r="E629" s="50" t="str">
        <f t="shared" si="128"/>
        <v/>
      </c>
      <c r="F629" s="47" t="str">
        <f>IF(COUNTA(archive!H629:CI629)=0,"",COUNTA(archive!H629:CI629))</f>
        <v/>
      </c>
      <c r="G629" s="47" t="str">
        <f>IF(archive!G629="","",archive!G629)</f>
        <v/>
      </c>
      <c r="H629" s="51" t="str">
        <f>IF(archive!CJ629="","",archive!CJ629)</f>
        <v/>
      </c>
      <c r="I629" s="51" t="str">
        <f>IF(archive!CK629="","",archive!CK629)</f>
        <v/>
      </c>
      <c r="J629" s="47" t="str">
        <f t="shared" si="129"/>
        <v/>
      </c>
      <c r="K629" s="51" t="str">
        <f t="shared" si="130"/>
        <v/>
      </c>
      <c r="L629" s="52" t="str">
        <f t="shared" si="131"/>
        <v/>
      </c>
      <c r="M629" s="53" t="str">
        <f t="shared" si="132"/>
        <v/>
      </c>
      <c r="N629" s="53" t="str">
        <f t="shared" si="133"/>
        <v/>
      </c>
      <c r="O629" s="53" t="str">
        <f t="shared" si="134"/>
        <v/>
      </c>
      <c r="P629" s="53" t="str">
        <f t="shared" si="135"/>
        <v/>
      </c>
      <c r="Q629" s="53" t="str">
        <f t="shared" si="136"/>
        <v/>
      </c>
      <c r="R629" s="53" t="str">
        <f t="shared" si="137"/>
        <v/>
      </c>
      <c r="S629" s="53" t="str">
        <f t="shared" si="138"/>
        <v/>
      </c>
      <c r="T629" s="53" t="str">
        <f t="shared" si="139"/>
        <v/>
      </c>
    </row>
    <row r="630" spans="1:20">
      <c r="A630" s="47" t="str">
        <f>IF(archive!E630="","",archive!E630)</f>
        <v/>
      </c>
      <c r="B630" s="48" t="str">
        <f t="shared" si="126"/>
        <v/>
      </c>
      <c r="C630" s="49" t="str">
        <f>IF(archive!F630="","",archive!F630)</f>
        <v/>
      </c>
      <c r="D630" s="50" t="str">
        <f t="shared" si="127"/>
        <v/>
      </c>
      <c r="E630" s="50" t="str">
        <f t="shared" si="128"/>
        <v/>
      </c>
      <c r="F630" s="47" t="str">
        <f>IF(COUNTA(archive!H630:CI630)=0,"",COUNTA(archive!H630:CI630))</f>
        <v/>
      </c>
      <c r="G630" s="47" t="str">
        <f>IF(archive!G630="","",archive!G630)</f>
        <v/>
      </c>
      <c r="H630" s="51" t="str">
        <f>IF(archive!CJ630="","",archive!CJ630)</f>
        <v/>
      </c>
      <c r="I630" s="51" t="str">
        <f>IF(archive!CK630="","",archive!CK630)</f>
        <v/>
      </c>
      <c r="J630" s="47" t="str">
        <f t="shared" si="129"/>
        <v/>
      </c>
      <c r="K630" s="51" t="str">
        <f t="shared" si="130"/>
        <v/>
      </c>
      <c r="L630" s="52" t="str">
        <f t="shared" si="131"/>
        <v/>
      </c>
      <c r="M630" s="53" t="str">
        <f t="shared" si="132"/>
        <v/>
      </c>
      <c r="N630" s="53" t="str">
        <f t="shared" si="133"/>
        <v/>
      </c>
      <c r="O630" s="53" t="str">
        <f t="shared" si="134"/>
        <v/>
      </c>
      <c r="P630" s="53" t="str">
        <f t="shared" si="135"/>
        <v/>
      </c>
      <c r="Q630" s="53" t="str">
        <f t="shared" si="136"/>
        <v/>
      </c>
      <c r="R630" s="53" t="str">
        <f t="shared" si="137"/>
        <v/>
      </c>
      <c r="S630" s="53" t="str">
        <f t="shared" si="138"/>
        <v/>
      </c>
      <c r="T630" s="53" t="str">
        <f t="shared" si="139"/>
        <v/>
      </c>
    </row>
    <row r="631" spans="1:20">
      <c r="A631" s="47" t="str">
        <f>IF(archive!E631="","",archive!E631)</f>
        <v/>
      </c>
      <c r="B631" s="48" t="str">
        <f t="shared" si="126"/>
        <v/>
      </c>
      <c r="C631" s="49" t="str">
        <f>IF(archive!F631="","",archive!F631)</f>
        <v/>
      </c>
      <c r="D631" s="50" t="str">
        <f t="shared" si="127"/>
        <v/>
      </c>
      <c r="E631" s="50" t="str">
        <f t="shared" si="128"/>
        <v/>
      </c>
      <c r="F631" s="47" t="str">
        <f>IF(COUNTA(archive!H631:CI631)=0,"",COUNTA(archive!H631:CI631))</f>
        <v/>
      </c>
      <c r="G631" s="47" t="str">
        <f>IF(archive!G631="","",archive!G631)</f>
        <v/>
      </c>
      <c r="H631" s="51" t="str">
        <f>IF(archive!CJ631="","",archive!CJ631)</f>
        <v/>
      </c>
      <c r="I631" s="51" t="str">
        <f>IF(archive!CK631="","",archive!CK631)</f>
        <v/>
      </c>
      <c r="J631" s="47" t="str">
        <f t="shared" si="129"/>
        <v/>
      </c>
      <c r="K631" s="51" t="str">
        <f t="shared" si="130"/>
        <v/>
      </c>
      <c r="L631" s="52" t="str">
        <f t="shared" si="131"/>
        <v/>
      </c>
      <c r="M631" s="53" t="str">
        <f t="shared" si="132"/>
        <v/>
      </c>
      <c r="N631" s="53" t="str">
        <f t="shared" si="133"/>
        <v/>
      </c>
      <c r="O631" s="53" t="str">
        <f t="shared" si="134"/>
        <v/>
      </c>
      <c r="P631" s="53" t="str">
        <f t="shared" si="135"/>
        <v/>
      </c>
      <c r="Q631" s="53" t="str">
        <f t="shared" si="136"/>
        <v/>
      </c>
      <c r="R631" s="53" t="str">
        <f t="shared" si="137"/>
        <v/>
      </c>
      <c r="S631" s="53" t="str">
        <f t="shared" si="138"/>
        <v/>
      </c>
      <c r="T631" s="53" t="str">
        <f t="shared" si="139"/>
        <v/>
      </c>
    </row>
    <row r="632" spans="1:20">
      <c r="A632" s="47" t="str">
        <f>IF(archive!E632="","",archive!E632)</f>
        <v/>
      </c>
      <c r="B632" s="48" t="str">
        <f t="shared" si="126"/>
        <v/>
      </c>
      <c r="C632" s="49" t="str">
        <f>IF(archive!F632="","",archive!F632)</f>
        <v/>
      </c>
      <c r="D632" s="50" t="str">
        <f t="shared" si="127"/>
        <v/>
      </c>
      <c r="E632" s="50" t="str">
        <f t="shared" si="128"/>
        <v/>
      </c>
      <c r="F632" s="47" t="str">
        <f>IF(COUNTA(archive!H632:CI632)=0,"",COUNTA(archive!H632:CI632))</f>
        <v/>
      </c>
      <c r="G632" s="47" t="str">
        <f>IF(archive!G632="","",archive!G632)</f>
        <v/>
      </c>
      <c r="H632" s="51" t="str">
        <f>IF(archive!CJ632="","",archive!CJ632)</f>
        <v/>
      </c>
      <c r="I632" s="51" t="str">
        <f>IF(archive!CK632="","",archive!CK632)</f>
        <v/>
      </c>
      <c r="J632" s="47" t="str">
        <f t="shared" si="129"/>
        <v/>
      </c>
      <c r="K632" s="51" t="str">
        <f t="shared" si="130"/>
        <v/>
      </c>
      <c r="L632" s="52" t="str">
        <f t="shared" si="131"/>
        <v/>
      </c>
      <c r="M632" s="53" t="str">
        <f t="shared" si="132"/>
        <v/>
      </c>
      <c r="N632" s="53" t="str">
        <f t="shared" si="133"/>
        <v/>
      </c>
      <c r="O632" s="53" t="str">
        <f t="shared" si="134"/>
        <v/>
      </c>
      <c r="P632" s="53" t="str">
        <f t="shared" si="135"/>
        <v/>
      </c>
      <c r="Q632" s="53" t="str">
        <f t="shared" si="136"/>
        <v/>
      </c>
      <c r="R632" s="53" t="str">
        <f t="shared" si="137"/>
        <v/>
      </c>
      <c r="S632" s="53" t="str">
        <f t="shared" si="138"/>
        <v/>
      </c>
      <c r="T632" s="53" t="str">
        <f t="shared" si="139"/>
        <v/>
      </c>
    </row>
    <row r="633" spans="1:20">
      <c r="A633" s="47" t="str">
        <f>IF(archive!E633="","",archive!E633)</f>
        <v/>
      </c>
      <c r="B633" s="48" t="str">
        <f t="shared" si="126"/>
        <v/>
      </c>
      <c r="C633" s="49" t="str">
        <f>IF(archive!F633="","",archive!F633)</f>
        <v/>
      </c>
      <c r="D633" s="50" t="str">
        <f t="shared" si="127"/>
        <v/>
      </c>
      <c r="E633" s="50" t="str">
        <f t="shared" si="128"/>
        <v/>
      </c>
      <c r="F633" s="47" t="str">
        <f>IF(COUNTA(archive!H633:CI633)=0,"",COUNTA(archive!H633:CI633))</f>
        <v/>
      </c>
      <c r="G633" s="47" t="str">
        <f>IF(archive!G633="","",archive!G633)</f>
        <v/>
      </c>
      <c r="H633" s="51" t="str">
        <f>IF(archive!CJ633="","",archive!CJ633)</f>
        <v/>
      </c>
      <c r="I633" s="51" t="str">
        <f>IF(archive!CK633="","",archive!CK633)</f>
        <v/>
      </c>
      <c r="J633" s="47" t="str">
        <f t="shared" si="129"/>
        <v/>
      </c>
      <c r="K633" s="51" t="str">
        <f t="shared" si="130"/>
        <v/>
      </c>
      <c r="L633" s="52" t="str">
        <f t="shared" si="131"/>
        <v/>
      </c>
      <c r="M633" s="53" t="str">
        <f t="shared" si="132"/>
        <v/>
      </c>
      <c r="N633" s="53" t="str">
        <f t="shared" si="133"/>
        <v/>
      </c>
      <c r="O633" s="53" t="str">
        <f t="shared" si="134"/>
        <v/>
      </c>
      <c r="P633" s="53" t="str">
        <f t="shared" si="135"/>
        <v/>
      </c>
      <c r="Q633" s="53" t="str">
        <f t="shared" si="136"/>
        <v/>
      </c>
      <c r="R633" s="53" t="str">
        <f t="shared" si="137"/>
        <v/>
      </c>
      <c r="S633" s="53" t="str">
        <f t="shared" si="138"/>
        <v/>
      </c>
      <c r="T633" s="53" t="str">
        <f t="shared" si="139"/>
        <v/>
      </c>
    </row>
    <row r="634" spans="1:20">
      <c r="A634" s="47" t="str">
        <f>IF(archive!E634="","",archive!E634)</f>
        <v/>
      </c>
      <c r="B634" s="48" t="str">
        <f t="shared" si="126"/>
        <v/>
      </c>
      <c r="C634" s="49" t="str">
        <f>IF(archive!F634="","",archive!F634)</f>
        <v/>
      </c>
      <c r="D634" s="50" t="str">
        <f t="shared" si="127"/>
        <v/>
      </c>
      <c r="E634" s="50" t="str">
        <f t="shared" si="128"/>
        <v/>
      </c>
      <c r="F634" s="47" t="str">
        <f>IF(COUNTA(archive!H634:CI634)=0,"",COUNTA(archive!H634:CI634))</f>
        <v/>
      </c>
      <c r="G634" s="47" t="str">
        <f>IF(archive!G634="","",archive!G634)</f>
        <v/>
      </c>
      <c r="H634" s="51" t="str">
        <f>IF(archive!CJ634="","",archive!CJ634)</f>
        <v/>
      </c>
      <c r="I634" s="51" t="str">
        <f>IF(archive!CK634="","",archive!CK634)</f>
        <v/>
      </c>
      <c r="J634" s="47" t="str">
        <f t="shared" si="129"/>
        <v/>
      </c>
      <c r="K634" s="51" t="str">
        <f t="shared" si="130"/>
        <v/>
      </c>
      <c r="L634" s="52" t="str">
        <f t="shared" si="131"/>
        <v/>
      </c>
      <c r="M634" s="53" t="str">
        <f t="shared" si="132"/>
        <v/>
      </c>
      <c r="N634" s="53" t="str">
        <f t="shared" si="133"/>
        <v/>
      </c>
      <c r="O634" s="53" t="str">
        <f t="shared" si="134"/>
        <v/>
      </c>
      <c r="P634" s="53" t="str">
        <f t="shared" si="135"/>
        <v/>
      </c>
      <c r="Q634" s="53" t="str">
        <f t="shared" si="136"/>
        <v/>
      </c>
      <c r="R634" s="53" t="str">
        <f t="shared" si="137"/>
        <v/>
      </c>
      <c r="S634" s="53" t="str">
        <f t="shared" si="138"/>
        <v/>
      </c>
      <c r="T634" s="53" t="str">
        <f t="shared" si="139"/>
        <v/>
      </c>
    </row>
    <row r="635" spans="1:20">
      <c r="A635" s="47" t="str">
        <f>IF(archive!E635="","",archive!E635)</f>
        <v/>
      </c>
      <c r="B635" s="48" t="str">
        <f t="shared" si="126"/>
        <v/>
      </c>
      <c r="C635" s="49" t="str">
        <f>IF(archive!F635="","",archive!F635)</f>
        <v/>
      </c>
      <c r="D635" s="50" t="str">
        <f t="shared" si="127"/>
        <v/>
      </c>
      <c r="E635" s="50" t="str">
        <f t="shared" si="128"/>
        <v/>
      </c>
      <c r="F635" s="47" t="str">
        <f>IF(COUNTA(archive!H635:CI635)=0,"",COUNTA(archive!H635:CI635))</f>
        <v/>
      </c>
      <c r="G635" s="47" t="str">
        <f>IF(archive!G635="","",archive!G635)</f>
        <v/>
      </c>
      <c r="H635" s="51" t="str">
        <f>IF(archive!CJ635="","",archive!CJ635)</f>
        <v/>
      </c>
      <c r="I635" s="51" t="str">
        <f>IF(archive!CK635="","",archive!CK635)</f>
        <v/>
      </c>
      <c r="J635" s="47" t="str">
        <f t="shared" si="129"/>
        <v/>
      </c>
      <c r="K635" s="51" t="str">
        <f t="shared" si="130"/>
        <v/>
      </c>
      <c r="L635" s="52" t="str">
        <f t="shared" si="131"/>
        <v/>
      </c>
      <c r="M635" s="53" t="str">
        <f t="shared" si="132"/>
        <v/>
      </c>
      <c r="N635" s="53" t="str">
        <f t="shared" si="133"/>
        <v/>
      </c>
      <c r="O635" s="53" t="str">
        <f t="shared" si="134"/>
        <v/>
      </c>
      <c r="P635" s="53" t="str">
        <f t="shared" si="135"/>
        <v/>
      </c>
      <c r="Q635" s="53" t="str">
        <f t="shared" si="136"/>
        <v/>
      </c>
      <c r="R635" s="53" t="str">
        <f t="shared" si="137"/>
        <v/>
      </c>
      <c r="S635" s="53" t="str">
        <f t="shared" si="138"/>
        <v/>
      </c>
      <c r="T635" s="53" t="str">
        <f t="shared" si="139"/>
        <v/>
      </c>
    </row>
    <row r="636" spans="1:20">
      <c r="A636" s="47" t="str">
        <f>IF(archive!E636="","",archive!E636)</f>
        <v/>
      </c>
      <c r="B636" s="48" t="str">
        <f t="shared" si="126"/>
        <v/>
      </c>
      <c r="C636" s="49" t="str">
        <f>IF(archive!F636="","",archive!F636)</f>
        <v/>
      </c>
      <c r="D636" s="50" t="str">
        <f t="shared" si="127"/>
        <v/>
      </c>
      <c r="E636" s="50" t="str">
        <f t="shared" si="128"/>
        <v/>
      </c>
      <c r="F636" s="47" t="str">
        <f>IF(COUNTA(archive!H636:CI636)=0,"",COUNTA(archive!H636:CI636))</f>
        <v/>
      </c>
      <c r="G636" s="47" t="str">
        <f>IF(archive!G636="","",archive!G636)</f>
        <v/>
      </c>
      <c r="H636" s="51" t="str">
        <f>IF(archive!CJ636="","",archive!CJ636)</f>
        <v/>
      </c>
      <c r="I636" s="51" t="str">
        <f>IF(archive!CK636="","",archive!CK636)</f>
        <v/>
      </c>
      <c r="J636" s="47" t="str">
        <f t="shared" si="129"/>
        <v/>
      </c>
      <c r="K636" s="51" t="str">
        <f t="shared" si="130"/>
        <v/>
      </c>
      <c r="L636" s="52" t="str">
        <f t="shared" si="131"/>
        <v/>
      </c>
      <c r="M636" s="53" t="str">
        <f t="shared" si="132"/>
        <v/>
      </c>
      <c r="N636" s="53" t="str">
        <f t="shared" si="133"/>
        <v/>
      </c>
      <c r="O636" s="53" t="str">
        <f t="shared" si="134"/>
        <v/>
      </c>
      <c r="P636" s="53" t="str">
        <f t="shared" si="135"/>
        <v/>
      </c>
      <c r="Q636" s="53" t="str">
        <f t="shared" si="136"/>
        <v/>
      </c>
      <c r="R636" s="53" t="str">
        <f t="shared" si="137"/>
        <v/>
      </c>
      <c r="S636" s="53" t="str">
        <f t="shared" si="138"/>
        <v/>
      </c>
      <c r="T636" s="53" t="str">
        <f t="shared" si="139"/>
        <v/>
      </c>
    </row>
    <row r="637" spans="1:20">
      <c r="A637" s="47" t="str">
        <f>IF(archive!E637="","",archive!E637)</f>
        <v/>
      </c>
      <c r="B637" s="48" t="str">
        <f t="shared" si="126"/>
        <v/>
      </c>
      <c r="C637" s="49" t="str">
        <f>IF(archive!F637="","",archive!F637)</f>
        <v/>
      </c>
      <c r="D637" s="50" t="str">
        <f t="shared" si="127"/>
        <v/>
      </c>
      <c r="E637" s="50" t="str">
        <f t="shared" si="128"/>
        <v/>
      </c>
      <c r="F637" s="47" t="str">
        <f>IF(COUNTA(archive!H637:CI637)=0,"",COUNTA(archive!H637:CI637))</f>
        <v/>
      </c>
      <c r="G637" s="47" t="str">
        <f>IF(archive!G637="","",archive!G637)</f>
        <v/>
      </c>
      <c r="H637" s="51" t="str">
        <f>IF(archive!CJ637="","",archive!CJ637)</f>
        <v/>
      </c>
      <c r="I637" s="51" t="str">
        <f>IF(archive!CK637="","",archive!CK637)</f>
        <v/>
      </c>
      <c r="J637" s="47" t="str">
        <f t="shared" si="129"/>
        <v/>
      </c>
      <c r="K637" s="51" t="str">
        <f t="shared" si="130"/>
        <v/>
      </c>
      <c r="L637" s="52" t="str">
        <f t="shared" si="131"/>
        <v/>
      </c>
      <c r="M637" s="53" t="str">
        <f t="shared" si="132"/>
        <v/>
      </c>
      <c r="N637" s="53" t="str">
        <f t="shared" si="133"/>
        <v/>
      </c>
      <c r="O637" s="53" t="str">
        <f t="shared" si="134"/>
        <v/>
      </c>
      <c r="P637" s="53" t="str">
        <f t="shared" si="135"/>
        <v/>
      </c>
      <c r="Q637" s="53" t="str">
        <f t="shared" si="136"/>
        <v/>
      </c>
      <c r="R637" s="53" t="str">
        <f t="shared" si="137"/>
        <v/>
      </c>
      <c r="S637" s="53" t="str">
        <f t="shared" si="138"/>
        <v/>
      </c>
      <c r="T637" s="53" t="str">
        <f t="shared" si="139"/>
        <v/>
      </c>
    </row>
    <row r="638" spans="1:20">
      <c r="A638" s="47" t="str">
        <f>IF(archive!E638="","",archive!E638)</f>
        <v/>
      </c>
      <c r="B638" s="48" t="str">
        <f t="shared" si="126"/>
        <v/>
      </c>
      <c r="C638" s="49" t="str">
        <f>IF(archive!F638="","",archive!F638)</f>
        <v/>
      </c>
      <c r="D638" s="50" t="str">
        <f t="shared" si="127"/>
        <v/>
      </c>
      <c r="E638" s="50" t="str">
        <f t="shared" si="128"/>
        <v/>
      </c>
      <c r="F638" s="47" t="str">
        <f>IF(COUNTA(archive!H638:CI638)=0,"",COUNTA(archive!H638:CI638))</f>
        <v/>
      </c>
      <c r="G638" s="47" t="str">
        <f>IF(archive!G638="","",archive!G638)</f>
        <v/>
      </c>
      <c r="H638" s="51" t="str">
        <f>IF(archive!CJ638="","",archive!CJ638)</f>
        <v/>
      </c>
      <c r="I638" s="51" t="str">
        <f>IF(archive!CK638="","",archive!CK638)</f>
        <v/>
      </c>
      <c r="J638" s="47" t="str">
        <f t="shared" si="129"/>
        <v/>
      </c>
      <c r="K638" s="51" t="str">
        <f t="shared" si="130"/>
        <v/>
      </c>
      <c r="L638" s="52" t="str">
        <f t="shared" si="131"/>
        <v/>
      </c>
      <c r="M638" s="53" t="str">
        <f t="shared" si="132"/>
        <v/>
      </c>
      <c r="N638" s="53" t="str">
        <f t="shared" si="133"/>
        <v/>
      </c>
      <c r="O638" s="53" t="str">
        <f t="shared" si="134"/>
        <v/>
      </c>
      <c r="P638" s="53" t="str">
        <f t="shared" si="135"/>
        <v/>
      </c>
      <c r="Q638" s="53" t="str">
        <f t="shared" si="136"/>
        <v/>
      </c>
      <c r="R638" s="53" t="str">
        <f t="shared" si="137"/>
        <v/>
      </c>
      <c r="S638" s="53" t="str">
        <f t="shared" si="138"/>
        <v/>
      </c>
      <c r="T638" s="53" t="str">
        <f t="shared" si="139"/>
        <v/>
      </c>
    </row>
    <row r="639" spans="1:20">
      <c r="A639" s="47" t="str">
        <f>IF(archive!E639="","",archive!E639)</f>
        <v/>
      </c>
      <c r="B639" s="48" t="str">
        <f t="shared" si="126"/>
        <v/>
      </c>
      <c r="C639" s="49" t="str">
        <f>IF(archive!F639="","",archive!F639)</f>
        <v/>
      </c>
      <c r="D639" s="50" t="str">
        <f t="shared" si="127"/>
        <v/>
      </c>
      <c r="E639" s="50" t="str">
        <f t="shared" si="128"/>
        <v/>
      </c>
      <c r="F639" s="47" t="str">
        <f>IF(COUNTA(archive!H639:CI639)=0,"",COUNTA(archive!H639:CI639))</f>
        <v/>
      </c>
      <c r="G639" s="47" t="str">
        <f>IF(archive!G639="","",archive!G639)</f>
        <v/>
      </c>
      <c r="H639" s="51" t="str">
        <f>IF(archive!CJ639="","",archive!CJ639)</f>
        <v/>
      </c>
      <c r="I639" s="51" t="str">
        <f>IF(archive!CK639="","",archive!CK639)</f>
        <v/>
      </c>
      <c r="J639" s="47" t="str">
        <f t="shared" si="129"/>
        <v/>
      </c>
      <c r="K639" s="51" t="str">
        <f t="shared" si="130"/>
        <v/>
      </c>
      <c r="L639" s="52" t="str">
        <f t="shared" si="131"/>
        <v/>
      </c>
      <c r="M639" s="53" t="str">
        <f t="shared" si="132"/>
        <v/>
      </c>
      <c r="N639" s="53" t="str">
        <f t="shared" si="133"/>
        <v/>
      </c>
      <c r="O639" s="53" t="str">
        <f t="shared" si="134"/>
        <v/>
      </c>
      <c r="P639" s="53" t="str">
        <f t="shared" si="135"/>
        <v/>
      </c>
      <c r="Q639" s="53" t="str">
        <f t="shared" si="136"/>
        <v/>
      </c>
      <c r="R639" s="53" t="str">
        <f t="shared" si="137"/>
        <v/>
      </c>
      <c r="S639" s="53" t="str">
        <f t="shared" si="138"/>
        <v/>
      </c>
      <c r="T639" s="53" t="str">
        <f t="shared" si="139"/>
        <v/>
      </c>
    </row>
    <row r="640" spans="1:20">
      <c r="A640" s="47" t="str">
        <f>IF(archive!E640="","",archive!E640)</f>
        <v/>
      </c>
      <c r="B640" s="48" t="str">
        <f t="shared" si="126"/>
        <v/>
      </c>
      <c r="C640" s="49" t="str">
        <f>IF(archive!F640="","",archive!F640)</f>
        <v/>
      </c>
      <c r="D640" s="50" t="str">
        <f t="shared" si="127"/>
        <v/>
      </c>
      <c r="E640" s="50" t="str">
        <f t="shared" si="128"/>
        <v/>
      </c>
      <c r="F640" s="47" t="str">
        <f>IF(COUNTA(archive!H640:CI640)=0,"",COUNTA(archive!H640:CI640))</f>
        <v/>
      </c>
      <c r="G640" s="47" t="str">
        <f>IF(archive!G640="","",archive!G640)</f>
        <v/>
      </c>
      <c r="H640" s="51" t="str">
        <f>IF(archive!CJ640="","",archive!CJ640)</f>
        <v/>
      </c>
      <c r="I640" s="51" t="str">
        <f>IF(archive!CK640="","",archive!CK640)</f>
        <v/>
      </c>
      <c r="J640" s="47" t="str">
        <f t="shared" si="129"/>
        <v/>
      </c>
      <c r="K640" s="51" t="str">
        <f t="shared" si="130"/>
        <v/>
      </c>
      <c r="L640" s="52" t="str">
        <f t="shared" si="131"/>
        <v/>
      </c>
      <c r="M640" s="53" t="str">
        <f t="shared" si="132"/>
        <v/>
      </c>
      <c r="N640" s="53" t="str">
        <f t="shared" si="133"/>
        <v/>
      </c>
      <c r="O640" s="53" t="str">
        <f t="shared" si="134"/>
        <v/>
      </c>
      <c r="P640" s="53" t="str">
        <f t="shared" si="135"/>
        <v/>
      </c>
      <c r="Q640" s="53" t="str">
        <f t="shared" si="136"/>
        <v/>
      </c>
      <c r="R640" s="53" t="str">
        <f t="shared" si="137"/>
        <v/>
      </c>
      <c r="S640" s="53" t="str">
        <f t="shared" si="138"/>
        <v/>
      </c>
      <c r="T640" s="53" t="str">
        <f t="shared" si="139"/>
        <v/>
      </c>
    </row>
    <row r="641" spans="1:20">
      <c r="A641" s="47" t="str">
        <f>IF(archive!E641="","",archive!E641)</f>
        <v/>
      </c>
      <c r="B641" s="48" t="str">
        <f t="shared" si="126"/>
        <v/>
      </c>
      <c r="C641" s="49" t="str">
        <f>IF(archive!F641="","",archive!F641)</f>
        <v/>
      </c>
      <c r="D641" s="50" t="str">
        <f t="shared" si="127"/>
        <v/>
      </c>
      <c r="E641" s="50" t="str">
        <f t="shared" si="128"/>
        <v/>
      </c>
      <c r="F641" s="47" t="str">
        <f>IF(COUNTA(archive!H641:CI641)=0,"",COUNTA(archive!H641:CI641))</f>
        <v/>
      </c>
      <c r="G641" s="47" t="str">
        <f>IF(archive!G641="","",archive!G641)</f>
        <v/>
      </c>
      <c r="H641" s="51" t="str">
        <f>IF(archive!CJ641="","",archive!CJ641)</f>
        <v/>
      </c>
      <c r="I641" s="51" t="str">
        <f>IF(archive!CK641="","",archive!CK641)</f>
        <v/>
      </c>
      <c r="J641" s="47" t="str">
        <f t="shared" si="129"/>
        <v/>
      </c>
      <c r="K641" s="51" t="str">
        <f t="shared" si="130"/>
        <v/>
      </c>
      <c r="L641" s="52" t="str">
        <f t="shared" si="131"/>
        <v/>
      </c>
      <c r="M641" s="53" t="str">
        <f t="shared" si="132"/>
        <v/>
      </c>
      <c r="N641" s="53" t="str">
        <f t="shared" si="133"/>
        <v/>
      </c>
      <c r="O641" s="53" t="str">
        <f t="shared" si="134"/>
        <v/>
      </c>
      <c r="P641" s="53" t="str">
        <f t="shared" si="135"/>
        <v/>
      </c>
      <c r="Q641" s="53" t="str">
        <f t="shared" si="136"/>
        <v/>
      </c>
      <c r="R641" s="53" t="str">
        <f t="shared" si="137"/>
        <v/>
      </c>
      <c r="S641" s="53" t="str">
        <f t="shared" si="138"/>
        <v/>
      </c>
      <c r="T641" s="53" t="str">
        <f t="shared" si="139"/>
        <v/>
      </c>
    </row>
    <row r="642" spans="1:20">
      <c r="A642" s="47" t="str">
        <f>IF(archive!E642="","",archive!E642)</f>
        <v/>
      </c>
      <c r="B642" s="48" t="str">
        <f t="shared" si="126"/>
        <v/>
      </c>
      <c r="C642" s="49" t="str">
        <f>IF(archive!F642="","",archive!F642)</f>
        <v/>
      </c>
      <c r="D642" s="50" t="str">
        <f t="shared" si="127"/>
        <v/>
      </c>
      <c r="E642" s="50" t="str">
        <f t="shared" si="128"/>
        <v/>
      </c>
      <c r="F642" s="47" t="str">
        <f>IF(COUNTA(archive!H642:CI642)=0,"",COUNTA(archive!H642:CI642))</f>
        <v/>
      </c>
      <c r="G642" s="47" t="str">
        <f>IF(archive!G642="","",archive!G642)</f>
        <v/>
      </c>
      <c r="H642" s="51" t="str">
        <f>IF(archive!CJ642="","",archive!CJ642)</f>
        <v/>
      </c>
      <c r="I642" s="51" t="str">
        <f>IF(archive!CK642="","",archive!CK642)</f>
        <v/>
      </c>
      <c r="J642" s="47" t="str">
        <f t="shared" si="129"/>
        <v/>
      </c>
      <c r="K642" s="51" t="str">
        <f t="shared" si="130"/>
        <v/>
      </c>
      <c r="L642" s="52" t="str">
        <f t="shared" si="131"/>
        <v/>
      </c>
      <c r="M642" s="53" t="str">
        <f t="shared" si="132"/>
        <v/>
      </c>
      <c r="N642" s="53" t="str">
        <f t="shared" si="133"/>
        <v/>
      </c>
      <c r="O642" s="53" t="str">
        <f t="shared" si="134"/>
        <v/>
      </c>
      <c r="P642" s="53" t="str">
        <f t="shared" si="135"/>
        <v/>
      </c>
      <c r="Q642" s="53" t="str">
        <f t="shared" si="136"/>
        <v/>
      </c>
      <c r="R642" s="53" t="str">
        <f t="shared" si="137"/>
        <v/>
      </c>
      <c r="S642" s="53" t="str">
        <f t="shared" si="138"/>
        <v/>
      </c>
      <c r="T642" s="53" t="str">
        <f t="shared" si="139"/>
        <v/>
      </c>
    </row>
    <row r="643" spans="1:20">
      <c r="A643" s="47" t="str">
        <f>IF(archive!E643="","",archive!E643)</f>
        <v/>
      </c>
      <c r="B643" s="48" t="str">
        <f t="shared" si="126"/>
        <v/>
      </c>
      <c r="C643" s="49" t="str">
        <f>IF(archive!F643="","",archive!F643)</f>
        <v/>
      </c>
      <c r="D643" s="50" t="str">
        <f t="shared" si="127"/>
        <v/>
      </c>
      <c r="E643" s="50" t="str">
        <f t="shared" si="128"/>
        <v/>
      </c>
      <c r="F643" s="47" t="str">
        <f>IF(COUNTA(archive!H643:CI643)=0,"",COUNTA(archive!H643:CI643))</f>
        <v/>
      </c>
      <c r="G643" s="47" t="str">
        <f>IF(archive!G643="","",archive!G643)</f>
        <v/>
      </c>
      <c r="H643" s="51" t="str">
        <f>IF(archive!CJ643="","",archive!CJ643)</f>
        <v/>
      </c>
      <c r="I643" s="51" t="str">
        <f>IF(archive!CK643="","",archive!CK643)</f>
        <v/>
      </c>
      <c r="J643" s="47" t="str">
        <f t="shared" si="129"/>
        <v/>
      </c>
      <c r="K643" s="51" t="str">
        <f t="shared" si="130"/>
        <v/>
      </c>
      <c r="L643" s="52" t="str">
        <f t="shared" si="131"/>
        <v/>
      </c>
      <c r="M643" s="53" t="str">
        <f t="shared" si="132"/>
        <v/>
      </c>
      <c r="N643" s="53" t="str">
        <f t="shared" si="133"/>
        <v/>
      </c>
      <c r="O643" s="53" t="str">
        <f t="shared" si="134"/>
        <v/>
      </c>
      <c r="P643" s="53" t="str">
        <f t="shared" si="135"/>
        <v/>
      </c>
      <c r="Q643" s="53" t="str">
        <f t="shared" si="136"/>
        <v/>
      </c>
      <c r="R643" s="53" t="str">
        <f t="shared" si="137"/>
        <v/>
      </c>
      <c r="S643" s="53" t="str">
        <f t="shared" si="138"/>
        <v/>
      </c>
      <c r="T643" s="53" t="str">
        <f t="shared" si="139"/>
        <v/>
      </c>
    </row>
    <row r="644" spans="1:20">
      <c r="A644" s="47" t="str">
        <f>IF(archive!E644="","",archive!E644)</f>
        <v/>
      </c>
      <c r="B644" s="48" t="str">
        <f t="shared" ref="B644:B707" si="140">IF(C644="","",VLOOKUP($C644,Tare,2,0))</f>
        <v/>
      </c>
      <c r="C644" s="49" t="str">
        <f>IF(archive!F644="","",archive!F644)</f>
        <v/>
      </c>
      <c r="D644" s="50" t="str">
        <f t="shared" ref="D644:D707" si="141">IF(C644="","",C644+B644)</f>
        <v/>
      </c>
      <c r="E644" s="50" t="str">
        <f t="shared" ref="E644:E707" si="142">IF(C644="","",(C644*0.025)+D644)</f>
        <v/>
      </c>
      <c r="F644" s="47" t="str">
        <f>IF(COUNTA(archive!H644:CI644)=0,"",COUNTA(archive!H644:CI644))</f>
        <v/>
      </c>
      <c r="G644" s="47" t="str">
        <f>IF(archive!G644="","",archive!G644)</f>
        <v/>
      </c>
      <c r="H644" s="51" t="str">
        <f>IF(archive!CJ644="","",archive!CJ644)</f>
        <v/>
      </c>
      <c r="I644" s="51" t="str">
        <f>IF(archive!CK644="","",archive!CK644)</f>
        <v/>
      </c>
      <c r="J644" s="47" t="str">
        <f t="shared" ref="J644:J707" si="143">IF(F644="","",VLOOKUP(F644,Valeur_g,2,0))</f>
        <v/>
      </c>
      <c r="K644" s="51" t="str">
        <f t="shared" ref="K644:K707" si="144">IF(C644="","",D644+(J644*I644))</f>
        <v/>
      </c>
      <c r="L644" s="52" t="str">
        <f t="shared" ref="L644:L707" si="145">IF(C644="","",IF(K644&lt;H644,"Conforme","Non conforme"))</f>
        <v/>
      </c>
      <c r="M644" s="53" t="str">
        <f t="shared" ref="M644:M707" si="146">IF(C644="","",1)</f>
        <v/>
      </c>
      <c r="N644" s="53" t="str">
        <f t="shared" ref="N644:N707" si="147">IF(L644="","",COUNTIF(L644,"Non conforme"))</f>
        <v/>
      </c>
      <c r="O644" s="53" t="str">
        <f t="shared" ref="O644:O707" si="148">IF($C644="","",IF($C644=0.25,$G644,"-"))</f>
        <v/>
      </c>
      <c r="P644" s="53" t="str">
        <f t="shared" ref="P644:P707" si="149">IF($C644="","",IF($C644=0.4,$G644,"-"))</f>
        <v/>
      </c>
      <c r="Q644" s="53" t="str">
        <f t="shared" ref="Q644:Q707" si="150">IF($C644="","",IF($C644=0.5,$G644,"-"))</f>
        <v/>
      </c>
      <c r="R644" s="53" t="str">
        <f t="shared" ref="R644:R707" si="151">IF($C644="","",IF($C644=0.6,$G644,"-"))</f>
        <v/>
      </c>
      <c r="S644" s="53" t="str">
        <f t="shared" ref="S644:S707" si="152">IF($C644="","",IF($C644=0.8,$G644,"-"))</f>
        <v/>
      </c>
      <c r="T644" s="53" t="str">
        <f t="shared" ref="T644:T707" si="153">IF($C644="","",IF($C644=1,$G644,"-"))</f>
        <v/>
      </c>
    </row>
    <row r="645" spans="1:20">
      <c r="A645" s="47" t="str">
        <f>IF(archive!E645="","",archive!E645)</f>
        <v/>
      </c>
      <c r="B645" s="48" t="str">
        <f t="shared" si="140"/>
        <v/>
      </c>
      <c r="C645" s="49" t="str">
        <f>IF(archive!F645="","",archive!F645)</f>
        <v/>
      </c>
      <c r="D645" s="50" t="str">
        <f t="shared" si="141"/>
        <v/>
      </c>
      <c r="E645" s="50" t="str">
        <f t="shared" si="142"/>
        <v/>
      </c>
      <c r="F645" s="47" t="str">
        <f>IF(COUNTA(archive!H645:CI645)=0,"",COUNTA(archive!H645:CI645))</f>
        <v/>
      </c>
      <c r="G645" s="47" t="str">
        <f>IF(archive!G645="","",archive!G645)</f>
        <v/>
      </c>
      <c r="H645" s="51" t="str">
        <f>IF(archive!CJ645="","",archive!CJ645)</f>
        <v/>
      </c>
      <c r="I645" s="51" t="str">
        <f>IF(archive!CK645="","",archive!CK645)</f>
        <v/>
      </c>
      <c r="J645" s="47" t="str">
        <f t="shared" si="143"/>
        <v/>
      </c>
      <c r="K645" s="51" t="str">
        <f t="shared" si="144"/>
        <v/>
      </c>
      <c r="L645" s="52" t="str">
        <f t="shared" si="145"/>
        <v/>
      </c>
      <c r="M645" s="53" t="str">
        <f t="shared" si="146"/>
        <v/>
      </c>
      <c r="N645" s="53" t="str">
        <f t="shared" si="147"/>
        <v/>
      </c>
      <c r="O645" s="53" t="str">
        <f t="shared" si="148"/>
        <v/>
      </c>
      <c r="P645" s="53" t="str">
        <f t="shared" si="149"/>
        <v/>
      </c>
      <c r="Q645" s="53" t="str">
        <f t="shared" si="150"/>
        <v/>
      </c>
      <c r="R645" s="53" t="str">
        <f t="shared" si="151"/>
        <v/>
      </c>
      <c r="S645" s="53" t="str">
        <f t="shared" si="152"/>
        <v/>
      </c>
      <c r="T645" s="53" t="str">
        <f t="shared" si="153"/>
        <v/>
      </c>
    </row>
    <row r="646" spans="1:20">
      <c r="A646" s="47" t="str">
        <f>IF(archive!E646="","",archive!E646)</f>
        <v/>
      </c>
      <c r="B646" s="48" t="str">
        <f t="shared" si="140"/>
        <v/>
      </c>
      <c r="C646" s="49" t="str">
        <f>IF(archive!F646="","",archive!F646)</f>
        <v/>
      </c>
      <c r="D646" s="50" t="str">
        <f t="shared" si="141"/>
        <v/>
      </c>
      <c r="E646" s="50" t="str">
        <f t="shared" si="142"/>
        <v/>
      </c>
      <c r="F646" s="47" t="str">
        <f>IF(COUNTA(archive!H646:CI646)=0,"",COUNTA(archive!H646:CI646))</f>
        <v/>
      </c>
      <c r="G646" s="47" t="str">
        <f>IF(archive!G646="","",archive!G646)</f>
        <v/>
      </c>
      <c r="H646" s="51" t="str">
        <f>IF(archive!CJ646="","",archive!CJ646)</f>
        <v/>
      </c>
      <c r="I646" s="51" t="str">
        <f>IF(archive!CK646="","",archive!CK646)</f>
        <v/>
      </c>
      <c r="J646" s="47" t="str">
        <f t="shared" si="143"/>
        <v/>
      </c>
      <c r="K646" s="51" t="str">
        <f t="shared" si="144"/>
        <v/>
      </c>
      <c r="L646" s="52" t="str">
        <f t="shared" si="145"/>
        <v/>
      </c>
      <c r="M646" s="53" t="str">
        <f t="shared" si="146"/>
        <v/>
      </c>
      <c r="N646" s="53" t="str">
        <f t="shared" si="147"/>
        <v/>
      </c>
      <c r="O646" s="53" t="str">
        <f t="shared" si="148"/>
        <v/>
      </c>
      <c r="P646" s="53" t="str">
        <f t="shared" si="149"/>
        <v/>
      </c>
      <c r="Q646" s="53" t="str">
        <f t="shared" si="150"/>
        <v/>
      </c>
      <c r="R646" s="53" t="str">
        <f t="shared" si="151"/>
        <v/>
      </c>
      <c r="S646" s="53" t="str">
        <f t="shared" si="152"/>
        <v/>
      </c>
      <c r="T646" s="53" t="str">
        <f t="shared" si="153"/>
        <v/>
      </c>
    </row>
    <row r="647" spans="1:20">
      <c r="A647" s="47" t="str">
        <f>IF(archive!E647="","",archive!E647)</f>
        <v/>
      </c>
      <c r="B647" s="48" t="str">
        <f t="shared" si="140"/>
        <v/>
      </c>
      <c r="C647" s="49" t="str">
        <f>IF(archive!F647="","",archive!F647)</f>
        <v/>
      </c>
      <c r="D647" s="50" t="str">
        <f t="shared" si="141"/>
        <v/>
      </c>
      <c r="E647" s="50" t="str">
        <f t="shared" si="142"/>
        <v/>
      </c>
      <c r="F647" s="47" t="str">
        <f>IF(COUNTA(archive!H647:CI647)=0,"",COUNTA(archive!H647:CI647))</f>
        <v/>
      </c>
      <c r="G647" s="47" t="str">
        <f>IF(archive!G647="","",archive!G647)</f>
        <v/>
      </c>
      <c r="H647" s="51" t="str">
        <f>IF(archive!CJ647="","",archive!CJ647)</f>
        <v/>
      </c>
      <c r="I647" s="51" t="str">
        <f>IF(archive!CK647="","",archive!CK647)</f>
        <v/>
      </c>
      <c r="J647" s="47" t="str">
        <f t="shared" si="143"/>
        <v/>
      </c>
      <c r="K647" s="51" t="str">
        <f t="shared" si="144"/>
        <v/>
      </c>
      <c r="L647" s="52" t="str">
        <f t="shared" si="145"/>
        <v/>
      </c>
      <c r="M647" s="53" t="str">
        <f t="shared" si="146"/>
        <v/>
      </c>
      <c r="N647" s="53" t="str">
        <f t="shared" si="147"/>
        <v/>
      </c>
      <c r="O647" s="53" t="str">
        <f t="shared" si="148"/>
        <v/>
      </c>
      <c r="P647" s="53" t="str">
        <f t="shared" si="149"/>
        <v/>
      </c>
      <c r="Q647" s="53" t="str">
        <f t="shared" si="150"/>
        <v/>
      </c>
      <c r="R647" s="53" t="str">
        <f t="shared" si="151"/>
        <v/>
      </c>
      <c r="S647" s="53" t="str">
        <f t="shared" si="152"/>
        <v/>
      </c>
      <c r="T647" s="53" t="str">
        <f t="shared" si="153"/>
        <v/>
      </c>
    </row>
    <row r="648" spans="1:20">
      <c r="A648" s="47" t="str">
        <f>IF(archive!E648="","",archive!E648)</f>
        <v/>
      </c>
      <c r="B648" s="48" t="str">
        <f t="shared" si="140"/>
        <v/>
      </c>
      <c r="C648" s="49" t="str">
        <f>IF(archive!F648="","",archive!F648)</f>
        <v/>
      </c>
      <c r="D648" s="50" t="str">
        <f t="shared" si="141"/>
        <v/>
      </c>
      <c r="E648" s="50" t="str">
        <f t="shared" si="142"/>
        <v/>
      </c>
      <c r="F648" s="47" t="str">
        <f>IF(COUNTA(archive!H648:CI648)=0,"",COUNTA(archive!H648:CI648))</f>
        <v/>
      </c>
      <c r="G648" s="47" t="str">
        <f>IF(archive!G648="","",archive!G648)</f>
        <v/>
      </c>
      <c r="H648" s="51" t="str">
        <f>IF(archive!CJ648="","",archive!CJ648)</f>
        <v/>
      </c>
      <c r="I648" s="51" t="str">
        <f>IF(archive!CK648="","",archive!CK648)</f>
        <v/>
      </c>
      <c r="J648" s="47" t="str">
        <f t="shared" si="143"/>
        <v/>
      </c>
      <c r="K648" s="51" t="str">
        <f t="shared" si="144"/>
        <v/>
      </c>
      <c r="L648" s="52" t="str">
        <f t="shared" si="145"/>
        <v/>
      </c>
      <c r="M648" s="53" t="str">
        <f t="shared" si="146"/>
        <v/>
      </c>
      <c r="N648" s="53" t="str">
        <f t="shared" si="147"/>
        <v/>
      </c>
      <c r="O648" s="53" t="str">
        <f t="shared" si="148"/>
        <v/>
      </c>
      <c r="P648" s="53" t="str">
        <f t="shared" si="149"/>
        <v/>
      </c>
      <c r="Q648" s="53" t="str">
        <f t="shared" si="150"/>
        <v/>
      </c>
      <c r="R648" s="53" t="str">
        <f t="shared" si="151"/>
        <v/>
      </c>
      <c r="S648" s="53" t="str">
        <f t="shared" si="152"/>
        <v/>
      </c>
      <c r="T648" s="53" t="str">
        <f t="shared" si="153"/>
        <v/>
      </c>
    </row>
    <row r="649" spans="1:20">
      <c r="A649" s="47" t="str">
        <f>IF(archive!E649="","",archive!E649)</f>
        <v/>
      </c>
      <c r="B649" s="48" t="str">
        <f t="shared" si="140"/>
        <v/>
      </c>
      <c r="C649" s="49" t="str">
        <f>IF(archive!F649="","",archive!F649)</f>
        <v/>
      </c>
      <c r="D649" s="50" t="str">
        <f t="shared" si="141"/>
        <v/>
      </c>
      <c r="E649" s="50" t="str">
        <f t="shared" si="142"/>
        <v/>
      </c>
      <c r="F649" s="47" t="str">
        <f>IF(COUNTA(archive!H649:CI649)=0,"",COUNTA(archive!H649:CI649))</f>
        <v/>
      </c>
      <c r="G649" s="47" t="str">
        <f>IF(archive!G649="","",archive!G649)</f>
        <v/>
      </c>
      <c r="H649" s="51" t="str">
        <f>IF(archive!CJ649="","",archive!CJ649)</f>
        <v/>
      </c>
      <c r="I649" s="51" t="str">
        <f>IF(archive!CK649="","",archive!CK649)</f>
        <v/>
      </c>
      <c r="J649" s="47" t="str">
        <f t="shared" si="143"/>
        <v/>
      </c>
      <c r="K649" s="51" t="str">
        <f t="shared" si="144"/>
        <v/>
      </c>
      <c r="L649" s="52" t="str">
        <f t="shared" si="145"/>
        <v/>
      </c>
      <c r="M649" s="53" t="str">
        <f t="shared" si="146"/>
        <v/>
      </c>
      <c r="N649" s="53" t="str">
        <f t="shared" si="147"/>
        <v/>
      </c>
      <c r="O649" s="53" t="str">
        <f t="shared" si="148"/>
        <v/>
      </c>
      <c r="P649" s="53" t="str">
        <f t="shared" si="149"/>
        <v/>
      </c>
      <c r="Q649" s="53" t="str">
        <f t="shared" si="150"/>
        <v/>
      </c>
      <c r="R649" s="53" t="str">
        <f t="shared" si="151"/>
        <v/>
      </c>
      <c r="S649" s="53" t="str">
        <f t="shared" si="152"/>
        <v/>
      </c>
      <c r="T649" s="53" t="str">
        <f t="shared" si="153"/>
        <v/>
      </c>
    </row>
    <row r="650" spans="1:20">
      <c r="A650" s="47" t="str">
        <f>IF(archive!E650="","",archive!E650)</f>
        <v/>
      </c>
      <c r="B650" s="48" t="str">
        <f t="shared" si="140"/>
        <v/>
      </c>
      <c r="C650" s="49" t="str">
        <f>IF(archive!F650="","",archive!F650)</f>
        <v/>
      </c>
      <c r="D650" s="50" t="str">
        <f t="shared" si="141"/>
        <v/>
      </c>
      <c r="E650" s="50" t="str">
        <f t="shared" si="142"/>
        <v/>
      </c>
      <c r="F650" s="47" t="str">
        <f>IF(COUNTA(archive!H650:CI650)=0,"",COUNTA(archive!H650:CI650))</f>
        <v/>
      </c>
      <c r="G650" s="47" t="str">
        <f>IF(archive!G650="","",archive!G650)</f>
        <v/>
      </c>
      <c r="H650" s="51" t="str">
        <f>IF(archive!CJ650="","",archive!CJ650)</f>
        <v/>
      </c>
      <c r="I650" s="51" t="str">
        <f>IF(archive!CK650="","",archive!CK650)</f>
        <v/>
      </c>
      <c r="J650" s="47" t="str">
        <f t="shared" si="143"/>
        <v/>
      </c>
      <c r="K650" s="51" t="str">
        <f t="shared" si="144"/>
        <v/>
      </c>
      <c r="L650" s="52" t="str">
        <f t="shared" si="145"/>
        <v/>
      </c>
      <c r="M650" s="53" t="str">
        <f t="shared" si="146"/>
        <v/>
      </c>
      <c r="N650" s="53" t="str">
        <f t="shared" si="147"/>
        <v/>
      </c>
      <c r="O650" s="53" t="str">
        <f t="shared" si="148"/>
        <v/>
      </c>
      <c r="P650" s="53" t="str">
        <f t="shared" si="149"/>
        <v/>
      </c>
      <c r="Q650" s="53" t="str">
        <f t="shared" si="150"/>
        <v/>
      </c>
      <c r="R650" s="53" t="str">
        <f t="shared" si="151"/>
        <v/>
      </c>
      <c r="S650" s="53" t="str">
        <f t="shared" si="152"/>
        <v/>
      </c>
      <c r="T650" s="53" t="str">
        <f t="shared" si="153"/>
        <v/>
      </c>
    </row>
    <row r="651" spans="1:20">
      <c r="A651" s="47" t="str">
        <f>IF(archive!E651="","",archive!E651)</f>
        <v/>
      </c>
      <c r="B651" s="48" t="str">
        <f t="shared" si="140"/>
        <v/>
      </c>
      <c r="C651" s="49" t="str">
        <f>IF(archive!F651="","",archive!F651)</f>
        <v/>
      </c>
      <c r="D651" s="50" t="str">
        <f t="shared" si="141"/>
        <v/>
      </c>
      <c r="E651" s="50" t="str">
        <f t="shared" si="142"/>
        <v/>
      </c>
      <c r="F651" s="47" t="str">
        <f>IF(COUNTA(archive!H651:CI651)=0,"",COUNTA(archive!H651:CI651))</f>
        <v/>
      </c>
      <c r="G651" s="47" t="str">
        <f>IF(archive!G651="","",archive!G651)</f>
        <v/>
      </c>
      <c r="H651" s="51" t="str">
        <f>IF(archive!CJ651="","",archive!CJ651)</f>
        <v/>
      </c>
      <c r="I651" s="51" t="str">
        <f>IF(archive!CK651="","",archive!CK651)</f>
        <v/>
      </c>
      <c r="J651" s="47" t="str">
        <f t="shared" si="143"/>
        <v/>
      </c>
      <c r="K651" s="51" t="str">
        <f t="shared" si="144"/>
        <v/>
      </c>
      <c r="L651" s="52" t="str">
        <f t="shared" si="145"/>
        <v/>
      </c>
      <c r="M651" s="53" t="str">
        <f t="shared" si="146"/>
        <v/>
      </c>
      <c r="N651" s="53" t="str">
        <f t="shared" si="147"/>
        <v/>
      </c>
      <c r="O651" s="53" t="str">
        <f t="shared" si="148"/>
        <v/>
      </c>
      <c r="P651" s="53" t="str">
        <f t="shared" si="149"/>
        <v/>
      </c>
      <c r="Q651" s="53" t="str">
        <f t="shared" si="150"/>
        <v/>
      </c>
      <c r="R651" s="53" t="str">
        <f t="shared" si="151"/>
        <v/>
      </c>
      <c r="S651" s="53" t="str">
        <f t="shared" si="152"/>
        <v/>
      </c>
      <c r="T651" s="53" t="str">
        <f t="shared" si="153"/>
        <v/>
      </c>
    </row>
    <row r="652" spans="1:20">
      <c r="A652" s="47" t="str">
        <f>IF(archive!E652="","",archive!E652)</f>
        <v/>
      </c>
      <c r="B652" s="48" t="str">
        <f t="shared" si="140"/>
        <v/>
      </c>
      <c r="C652" s="49" t="str">
        <f>IF(archive!F652="","",archive!F652)</f>
        <v/>
      </c>
      <c r="D652" s="50" t="str">
        <f t="shared" si="141"/>
        <v/>
      </c>
      <c r="E652" s="50" t="str">
        <f t="shared" si="142"/>
        <v/>
      </c>
      <c r="F652" s="47" t="str">
        <f>IF(COUNTA(archive!H652:CI652)=0,"",COUNTA(archive!H652:CI652))</f>
        <v/>
      </c>
      <c r="G652" s="47" t="str">
        <f>IF(archive!G652="","",archive!G652)</f>
        <v/>
      </c>
      <c r="H652" s="51" t="str">
        <f>IF(archive!CJ652="","",archive!CJ652)</f>
        <v/>
      </c>
      <c r="I652" s="51" t="str">
        <f>IF(archive!CK652="","",archive!CK652)</f>
        <v/>
      </c>
      <c r="J652" s="47" t="str">
        <f t="shared" si="143"/>
        <v/>
      </c>
      <c r="K652" s="51" t="str">
        <f t="shared" si="144"/>
        <v/>
      </c>
      <c r="L652" s="52" t="str">
        <f t="shared" si="145"/>
        <v/>
      </c>
      <c r="M652" s="53" t="str">
        <f t="shared" si="146"/>
        <v/>
      </c>
      <c r="N652" s="53" t="str">
        <f t="shared" si="147"/>
        <v/>
      </c>
      <c r="O652" s="53" t="str">
        <f t="shared" si="148"/>
        <v/>
      </c>
      <c r="P652" s="53" t="str">
        <f t="shared" si="149"/>
        <v/>
      </c>
      <c r="Q652" s="53" t="str">
        <f t="shared" si="150"/>
        <v/>
      </c>
      <c r="R652" s="53" t="str">
        <f t="shared" si="151"/>
        <v/>
      </c>
      <c r="S652" s="53" t="str">
        <f t="shared" si="152"/>
        <v/>
      </c>
      <c r="T652" s="53" t="str">
        <f t="shared" si="153"/>
        <v/>
      </c>
    </row>
    <row r="653" spans="1:20">
      <c r="A653" s="47" t="str">
        <f>IF(archive!E653="","",archive!E653)</f>
        <v/>
      </c>
      <c r="B653" s="48" t="str">
        <f t="shared" si="140"/>
        <v/>
      </c>
      <c r="C653" s="49" t="str">
        <f>IF(archive!F653="","",archive!F653)</f>
        <v/>
      </c>
      <c r="D653" s="50" t="str">
        <f t="shared" si="141"/>
        <v/>
      </c>
      <c r="E653" s="50" t="str">
        <f t="shared" si="142"/>
        <v/>
      </c>
      <c r="F653" s="47" t="str">
        <f>IF(COUNTA(archive!H653:CI653)=0,"",COUNTA(archive!H653:CI653))</f>
        <v/>
      </c>
      <c r="G653" s="47" t="str">
        <f>IF(archive!G653="","",archive!G653)</f>
        <v/>
      </c>
      <c r="H653" s="51" t="str">
        <f>IF(archive!CJ653="","",archive!CJ653)</f>
        <v/>
      </c>
      <c r="I653" s="51" t="str">
        <f>IF(archive!CK653="","",archive!CK653)</f>
        <v/>
      </c>
      <c r="J653" s="47" t="str">
        <f t="shared" si="143"/>
        <v/>
      </c>
      <c r="K653" s="51" t="str">
        <f t="shared" si="144"/>
        <v/>
      </c>
      <c r="L653" s="52" t="str">
        <f t="shared" si="145"/>
        <v/>
      </c>
      <c r="M653" s="53" t="str">
        <f t="shared" si="146"/>
        <v/>
      </c>
      <c r="N653" s="53" t="str">
        <f t="shared" si="147"/>
        <v/>
      </c>
      <c r="O653" s="53" t="str">
        <f t="shared" si="148"/>
        <v/>
      </c>
      <c r="P653" s="53" t="str">
        <f t="shared" si="149"/>
        <v/>
      </c>
      <c r="Q653" s="53" t="str">
        <f t="shared" si="150"/>
        <v/>
      </c>
      <c r="R653" s="53" t="str">
        <f t="shared" si="151"/>
        <v/>
      </c>
      <c r="S653" s="53" t="str">
        <f t="shared" si="152"/>
        <v/>
      </c>
      <c r="T653" s="53" t="str">
        <f t="shared" si="153"/>
        <v/>
      </c>
    </row>
    <row r="654" spans="1:20">
      <c r="A654" s="47" t="str">
        <f>IF(archive!E654="","",archive!E654)</f>
        <v/>
      </c>
      <c r="B654" s="48" t="str">
        <f t="shared" si="140"/>
        <v/>
      </c>
      <c r="C654" s="49" t="str">
        <f>IF(archive!F654="","",archive!F654)</f>
        <v/>
      </c>
      <c r="D654" s="50" t="str">
        <f t="shared" si="141"/>
        <v/>
      </c>
      <c r="E654" s="50" t="str">
        <f t="shared" si="142"/>
        <v/>
      </c>
      <c r="F654" s="47" t="str">
        <f>IF(COUNTA(archive!H654:CI654)=0,"",COUNTA(archive!H654:CI654))</f>
        <v/>
      </c>
      <c r="G654" s="47" t="str">
        <f>IF(archive!G654="","",archive!G654)</f>
        <v/>
      </c>
      <c r="H654" s="51" t="str">
        <f>IF(archive!CJ654="","",archive!CJ654)</f>
        <v/>
      </c>
      <c r="I654" s="51" t="str">
        <f>IF(archive!CK654="","",archive!CK654)</f>
        <v/>
      </c>
      <c r="J654" s="47" t="str">
        <f t="shared" si="143"/>
        <v/>
      </c>
      <c r="K654" s="51" t="str">
        <f t="shared" si="144"/>
        <v/>
      </c>
      <c r="L654" s="52" t="str">
        <f t="shared" si="145"/>
        <v/>
      </c>
      <c r="M654" s="53" t="str">
        <f t="shared" si="146"/>
        <v/>
      </c>
      <c r="N654" s="53" t="str">
        <f t="shared" si="147"/>
        <v/>
      </c>
      <c r="O654" s="53" t="str">
        <f t="shared" si="148"/>
        <v/>
      </c>
      <c r="P654" s="53" t="str">
        <f t="shared" si="149"/>
        <v/>
      </c>
      <c r="Q654" s="53" t="str">
        <f t="shared" si="150"/>
        <v/>
      </c>
      <c r="R654" s="53" t="str">
        <f t="shared" si="151"/>
        <v/>
      </c>
      <c r="S654" s="53" t="str">
        <f t="shared" si="152"/>
        <v/>
      </c>
      <c r="T654" s="53" t="str">
        <f t="shared" si="153"/>
        <v/>
      </c>
    </row>
    <row r="655" spans="1:20">
      <c r="A655" s="47" t="str">
        <f>IF(archive!E655="","",archive!E655)</f>
        <v/>
      </c>
      <c r="B655" s="48" t="str">
        <f t="shared" si="140"/>
        <v/>
      </c>
      <c r="C655" s="49" t="str">
        <f>IF(archive!F655="","",archive!F655)</f>
        <v/>
      </c>
      <c r="D655" s="50" t="str">
        <f t="shared" si="141"/>
        <v/>
      </c>
      <c r="E655" s="50" t="str">
        <f t="shared" si="142"/>
        <v/>
      </c>
      <c r="F655" s="47" t="str">
        <f>IF(COUNTA(archive!H655:CI655)=0,"",COUNTA(archive!H655:CI655))</f>
        <v/>
      </c>
      <c r="G655" s="47" t="str">
        <f>IF(archive!G655="","",archive!G655)</f>
        <v/>
      </c>
      <c r="H655" s="51" t="str">
        <f>IF(archive!CJ655="","",archive!CJ655)</f>
        <v/>
      </c>
      <c r="I655" s="51" t="str">
        <f>IF(archive!CK655="","",archive!CK655)</f>
        <v/>
      </c>
      <c r="J655" s="47" t="str">
        <f t="shared" si="143"/>
        <v/>
      </c>
      <c r="K655" s="51" t="str">
        <f t="shared" si="144"/>
        <v/>
      </c>
      <c r="L655" s="52" t="str">
        <f t="shared" si="145"/>
        <v/>
      </c>
      <c r="M655" s="53" t="str">
        <f t="shared" si="146"/>
        <v/>
      </c>
      <c r="N655" s="53" t="str">
        <f t="shared" si="147"/>
        <v/>
      </c>
      <c r="O655" s="53" t="str">
        <f t="shared" si="148"/>
        <v/>
      </c>
      <c r="P655" s="53" t="str">
        <f t="shared" si="149"/>
        <v/>
      </c>
      <c r="Q655" s="53" t="str">
        <f t="shared" si="150"/>
        <v/>
      </c>
      <c r="R655" s="53" t="str">
        <f t="shared" si="151"/>
        <v/>
      </c>
      <c r="S655" s="53" t="str">
        <f t="shared" si="152"/>
        <v/>
      </c>
      <c r="T655" s="53" t="str">
        <f t="shared" si="153"/>
        <v/>
      </c>
    </row>
    <row r="656" spans="1:20">
      <c r="A656" s="47" t="str">
        <f>IF(archive!E656="","",archive!E656)</f>
        <v/>
      </c>
      <c r="B656" s="48" t="str">
        <f t="shared" si="140"/>
        <v/>
      </c>
      <c r="C656" s="49" t="str">
        <f>IF(archive!F656="","",archive!F656)</f>
        <v/>
      </c>
      <c r="D656" s="50" t="str">
        <f t="shared" si="141"/>
        <v/>
      </c>
      <c r="E656" s="50" t="str">
        <f t="shared" si="142"/>
        <v/>
      </c>
      <c r="F656" s="47" t="str">
        <f>IF(COUNTA(archive!H656:CI656)=0,"",COUNTA(archive!H656:CI656))</f>
        <v/>
      </c>
      <c r="G656" s="47" t="str">
        <f>IF(archive!G656="","",archive!G656)</f>
        <v/>
      </c>
      <c r="H656" s="51" t="str">
        <f>IF(archive!CJ656="","",archive!CJ656)</f>
        <v/>
      </c>
      <c r="I656" s="51" t="str">
        <f>IF(archive!CK656="","",archive!CK656)</f>
        <v/>
      </c>
      <c r="J656" s="47" t="str">
        <f t="shared" si="143"/>
        <v/>
      </c>
      <c r="K656" s="51" t="str">
        <f t="shared" si="144"/>
        <v/>
      </c>
      <c r="L656" s="52" t="str">
        <f t="shared" si="145"/>
        <v/>
      </c>
      <c r="M656" s="53" t="str">
        <f t="shared" si="146"/>
        <v/>
      </c>
      <c r="N656" s="53" t="str">
        <f t="shared" si="147"/>
        <v/>
      </c>
      <c r="O656" s="53" t="str">
        <f t="shared" si="148"/>
        <v/>
      </c>
      <c r="P656" s="53" t="str">
        <f t="shared" si="149"/>
        <v/>
      </c>
      <c r="Q656" s="53" t="str">
        <f t="shared" si="150"/>
        <v/>
      </c>
      <c r="R656" s="53" t="str">
        <f t="shared" si="151"/>
        <v/>
      </c>
      <c r="S656" s="53" t="str">
        <f t="shared" si="152"/>
        <v/>
      </c>
      <c r="T656" s="53" t="str">
        <f t="shared" si="153"/>
        <v/>
      </c>
    </row>
    <row r="657" spans="1:20">
      <c r="A657" s="47" t="str">
        <f>IF(archive!E657="","",archive!E657)</f>
        <v/>
      </c>
      <c r="B657" s="48" t="str">
        <f t="shared" si="140"/>
        <v/>
      </c>
      <c r="C657" s="49" t="str">
        <f>IF(archive!F657="","",archive!F657)</f>
        <v/>
      </c>
      <c r="D657" s="50" t="str">
        <f t="shared" si="141"/>
        <v/>
      </c>
      <c r="E657" s="50" t="str">
        <f t="shared" si="142"/>
        <v/>
      </c>
      <c r="F657" s="47" t="str">
        <f>IF(COUNTA(archive!H657:CI657)=0,"",COUNTA(archive!H657:CI657))</f>
        <v/>
      </c>
      <c r="G657" s="47" t="str">
        <f>IF(archive!G657="","",archive!G657)</f>
        <v/>
      </c>
      <c r="H657" s="51" t="str">
        <f>IF(archive!CJ657="","",archive!CJ657)</f>
        <v/>
      </c>
      <c r="I657" s="51" t="str">
        <f>IF(archive!CK657="","",archive!CK657)</f>
        <v/>
      </c>
      <c r="J657" s="47" t="str">
        <f t="shared" si="143"/>
        <v/>
      </c>
      <c r="K657" s="51" t="str">
        <f t="shared" si="144"/>
        <v/>
      </c>
      <c r="L657" s="52" t="str">
        <f t="shared" si="145"/>
        <v/>
      </c>
      <c r="M657" s="53" t="str">
        <f t="shared" si="146"/>
        <v/>
      </c>
      <c r="N657" s="53" t="str">
        <f t="shared" si="147"/>
        <v/>
      </c>
      <c r="O657" s="53" t="str">
        <f t="shared" si="148"/>
        <v/>
      </c>
      <c r="P657" s="53" t="str">
        <f t="shared" si="149"/>
        <v/>
      </c>
      <c r="Q657" s="53" t="str">
        <f t="shared" si="150"/>
        <v/>
      </c>
      <c r="R657" s="53" t="str">
        <f t="shared" si="151"/>
        <v/>
      </c>
      <c r="S657" s="53" t="str">
        <f t="shared" si="152"/>
        <v/>
      </c>
      <c r="T657" s="53" t="str">
        <f t="shared" si="153"/>
        <v/>
      </c>
    </row>
    <row r="658" spans="1:20">
      <c r="A658" s="47" t="str">
        <f>IF(archive!E658="","",archive!E658)</f>
        <v/>
      </c>
      <c r="B658" s="48" t="str">
        <f t="shared" si="140"/>
        <v/>
      </c>
      <c r="C658" s="49" t="str">
        <f>IF(archive!F658="","",archive!F658)</f>
        <v/>
      </c>
      <c r="D658" s="50" t="str">
        <f t="shared" si="141"/>
        <v/>
      </c>
      <c r="E658" s="50" t="str">
        <f t="shared" si="142"/>
        <v/>
      </c>
      <c r="F658" s="47" t="str">
        <f>IF(COUNTA(archive!H658:CI658)=0,"",COUNTA(archive!H658:CI658))</f>
        <v/>
      </c>
      <c r="G658" s="47" t="str">
        <f>IF(archive!G658="","",archive!G658)</f>
        <v/>
      </c>
      <c r="H658" s="51" t="str">
        <f>IF(archive!CJ658="","",archive!CJ658)</f>
        <v/>
      </c>
      <c r="I658" s="51" t="str">
        <f>IF(archive!CK658="","",archive!CK658)</f>
        <v/>
      </c>
      <c r="J658" s="47" t="str">
        <f t="shared" si="143"/>
        <v/>
      </c>
      <c r="K658" s="51" t="str">
        <f t="shared" si="144"/>
        <v/>
      </c>
      <c r="L658" s="52" t="str">
        <f t="shared" si="145"/>
        <v/>
      </c>
      <c r="M658" s="53" t="str">
        <f t="shared" si="146"/>
        <v/>
      </c>
      <c r="N658" s="53" t="str">
        <f t="shared" si="147"/>
        <v/>
      </c>
      <c r="O658" s="53" t="str">
        <f t="shared" si="148"/>
        <v/>
      </c>
      <c r="P658" s="53" t="str">
        <f t="shared" si="149"/>
        <v/>
      </c>
      <c r="Q658" s="53" t="str">
        <f t="shared" si="150"/>
        <v/>
      </c>
      <c r="R658" s="53" t="str">
        <f t="shared" si="151"/>
        <v/>
      </c>
      <c r="S658" s="53" t="str">
        <f t="shared" si="152"/>
        <v/>
      </c>
      <c r="T658" s="53" t="str">
        <f t="shared" si="153"/>
        <v/>
      </c>
    </row>
    <row r="659" spans="1:20">
      <c r="A659" s="47" t="str">
        <f>IF(archive!E659="","",archive!E659)</f>
        <v/>
      </c>
      <c r="B659" s="48" t="str">
        <f t="shared" si="140"/>
        <v/>
      </c>
      <c r="C659" s="49" t="str">
        <f>IF(archive!F659="","",archive!F659)</f>
        <v/>
      </c>
      <c r="D659" s="50" t="str">
        <f t="shared" si="141"/>
        <v/>
      </c>
      <c r="E659" s="50" t="str">
        <f t="shared" si="142"/>
        <v/>
      </c>
      <c r="F659" s="47" t="str">
        <f>IF(COUNTA(archive!H659:CI659)=0,"",COUNTA(archive!H659:CI659))</f>
        <v/>
      </c>
      <c r="G659" s="47" t="str">
        <f>IF(archive!G659="","",archive!G659)</f>
        <v/>
      </c>
      <c r="H659" s="51" t="str">
        <f>IF(archive!CJ659="","",archive!CJ659)</f>
        <v/>
      </c>
      <c r="I659" s="51" t="str">
        <f>IF(archive!CK659="","",archive!CK659)</f>
        <v/>
      </c>
      <c r="J659" s="47" t="str">
        <f t="shared" si="143"/>
        <v/>
      </c>
      <c r="K659" s="51" t="str">
        <f t="shared" si="144"/>
        <v/>
      </c>
      <c r="L659" s="52" t="str">
        <f t="shared" si="145"/>
        <v/>
      </c>
      <c r="M659" s="53" t="str">
        <f t="shared" si="146"/>
        <v/>
      </c>
      <c r="N659" s="53" t="str">
        <f t="shared" si="147"/>
        <v/>
      </c>
      <c r="O659" s="53" t="str">
        <f t="shared" si="148"/>
        <v/>
      </c>
      <c r="P659" s="53" t="str">
        <f t="shared" si="149"/>
        <v/>
      </c>
      <c r="Q659" s="53" t="str">
        <f t="shared" si="150"/>
        <v/>
      </c>
      <c r="R659" s="53" t="str">
        <f t="shared" si="151"/>
        <v/>
      </c>
      <c r="S659" s="53" t="str">
        <f t="shared" si="152"/>
        <v/>
      </c>
      <c r="T659" s="53" t="str">
        <f t="shared" si="153"/>
        <v/>
      </c>
    </row>
    <row r="660" spans="1:20">
      <c r="A660" s="47" t="str">
        <f>IF(archive!E660="","",archive!E660)</f>
        <v/>
      </c>
      <c r="B660" s="48" t="str">
        <f t="shared" si="140"/>
        <v/>
      </c>
      <c r="C660" s="49" t="str">
        <f>IF(archive!F660="","",archive!F660)</f>
        <v/>
      </c>
      <c r="D660" s="50" t="str">
        <f t="shared" si="141"/>
        <v/>
      </c>
      <c r="E660" s="50" t="str">
        <f t="shared" si="142"/>
        <v/>
      </c>
      <c r="F660" s="47" t="str">
        <f>IF(COUNTA(archive!H660:CI660)=0,"",COUNTA(archive!H660:CI660))</f>
        <v/>
      </c>
      <c r="G660" s="47" t="str">
        <f>IF(archive!G660="","",archive!G660)</f>
        <v/>
      </c>
      <c r="H660" s="51" t="str">
        <f>IF(archive!CJ660="","",archive!CJ660)</f>
        <v/>
      </c>
      <c r="I660" s="51" t="str">
        <f>IF(archive!CK660="","",archive!CK660)</f>
        <v/>
      </c>
      <c r="J660" s="47" t="str">
        <f t="shared" si="143"/>
        <v/>
      </c>
      <c r="K660" s="51" t="str">
        <f t="shared" si="144"/>
        <v/>
      </c>
      <c r="L660" s="52" t="str">
        <f t="shared" si="145"/>
        <v/>
      </c>
      <c r="M660" s="53" t="str">
        <f t="shared" si="146"/>
        <v/>
      </c>
      <c r="N660" s="53" t="str">
        <f t="shared" si="147"/>
        <v/>
      </c>
      <c r="O660" s="53" t="str">
        <f t="shared" si="148"/>
        <v/>
      </c>
      <c r="P660" s="53" t="str">
        <f t="shared" si="149"/>
        <v/>
      </c>
      <c r="Q660" s="53" t="str">
        <f t="shared" si="150"/>
        <v/>
      </c>
      <c r="R660" s="53" t="str">
        <f t="shared" si="151"/>
        <v/>
      </c>
      <c r="S660" s="53" t="str">
        <f t="shared" si="152"/>
        <v/>
      </c>
      <c r="T660" s="53" t="str">
        <f t="shared" si="153"/>
        <v/>
      </c>
    </row>
    <row r="661" spans="1:20">
      <c r="A661" s="47" t="str">
        <f>IF(archive!E661="","",archive!E661)</f>
        <v/>
      </c>
      <c r="B661" s="48" t="str">
        <f t="shared" si="140"/>
        <v/>
      </c>
      <c r="C661" s="49" t="str">
        <f>IF(archive!F661="","",archive!F661)</f>
        <v/>
      </c>
      <c r="D661" s="50" t="str">
        <f t="shared" si="141"/>
        <v/>
      </c>
      <c r="E661" s="50" t="str">
        <f t="shared" si="142"/>
        <v/>
      </c>
      <c r="F661" s="47" t="str">
        <f>IF(COUNTA(archive!H661:CI661)=0,"",COUNTA(archive!H661:CI661))</f>
        <v/>
      </c>
      <c r="G661" s="47" t="str">
        <f>IF(archive!G661="","",archive!G661)</f>
        <v/>
      </c>
      <c r="H661" s="51" t="str">
        <f>IF(archive!CJ661="","",archive!CJ661)</f>
        <v/>
      </c>
      <c r="I661" s="51" t="str">
        <f>IF(archive!CK661="","",archive!CK661)</f>
        <v/>
      </c>
      <c r="J661" s="47" t="str">
        <f t="shared" si="143"/>
        <v/>
      </c>
      <c r="K661" s="51" t="str">
        <f t="shared" si="144"/>
        <v/>
      </c>
      <c r="L661" s="52" t="str">
        <f t="shared" si="145"/>
        <v/>
      </c>
      <c r="M661" s="53" t="str">
        <f t="shared" si="146"/>
        <v/>
      </c>
      <c r="N661" s="53" t="str">
        <f t="shared" si="147"/>
        <v/>
      </c>
      <c r="O661" s="53" t="str">
        <f t="shared" si="148"/>
        <v/>
      </c>
      <c r="P661" s="53" t="str">
        <f t="shared" si="149"/>
        <v/>
      </c>
      <c r="Q661" s="53" t="str">
        <f t="shared" si="150"/>
        <v/>
      </c>
      <c r="R661" s="53" t="str">
        <f t="shared" si="151"/>
        <v/>
      </c>
      <c r="S661" s="53" t="str">
        <f t="shared" si="152"/>
        <v/>
      </c>
      <c r="T661" s="53" t="str">
        <f t="shared" si="153"/>
        <v/>
      </c>
    </row>
    <row r="662" spans="1:20">
      <c r="A662" s="47" t="str">
        <f>IF(archive!E662="","",archive!E662)</f>
        <v/>
      </c>
      <c r="B662" s="48" t="str">
        <f t="shared" si="140"/>
        <v/>
      </c>
      <c r="C662" s="49" t="str">
        <f>IF(archive!F662="","",archive!F662)</f>
        <v/>
      </c>
      <c r="D662" s="50" t="str">
        <f t="shared" si="141"/>
        <v/>
      </c>
      <c r="E662" s="50" t="str">
        <f t="shared" si="142"/>
        <v/>
      </c>
      <c r="F662" s="47" t="str">
        <f>IF(COUNTA(archive!H662:CI662)=0,"",COUNTA(archive!H662:CI662))</f>
        <v/>
      </c>
      <c r="G662" s="47" t="str">
        <f>IF(archive!G662="","",archive!G662)</f>
        <v/>
      </c>
      <c r="H662" s="51" t="str">
        <f>IF(archive!CJ662="","",archive!CJ662)</f>
        <v/>
      </c>
      <c r="I662" s="51" t="str">
        <f>IF(archive!CK662="","",archive!CK662)</f>
        <v/>
      </c>
      <c r="J662" s="47" t="str">
        <f t="shared" si="143"/>
        <v/>
      </c>
      <c r="K662" s="51" t="str">
        <f t="shared" si="144"/>
        <v/>
      </c>
      <c r="L662" s="52" t="str">
        <f t="shared" si="145"/>
        <v/>
      </c>
      <c r="M662" s="53" t="str">
        <f t="shared" si="146"/>
        <v/>
      </c>
      <c r="N662" s="53" t="str">
        <f t="shared" si="147"/>
        <v/>
      </c>
      <c r="O662" s="53" t="str">
        <f t="shared" si="148"/>
        <v/>
      </c>
      <c r="P662" s="53" t="str">
        <f t="shared" si="149"/>
        <v/>
      </c>
      <c r="Q662" s="53" t="str">
        <f t="shared" si="150"/>
        <v/>
      </c>
      <c r="R662" s="53" t="str">
        <f t="shared" si="151"/>
        <v/>
      </c>
      <c r="S662" s="53" t="str">
        <f t="shared" si="152"/>
        <v/>
      </c>
      <c r="T662" s="53" t="str">
        <f t="shared" si="153"/>
        <v/>
      </c>
    </row>
    <row r="663" spans="1:20">
      <c r="A663" s="47" t="str">
        <f>IF(archive!E663="","",archive!E663)</f>
        <v/>
      </c>
      <c r="B663" s="48" t="str">
        <f t="shared" si="140"/>
        <v/>
      </c>
      <c r="C663" s="49" t="str">
        <f>IF(archive!F663="","",archive!F663)</f>
        <v/>
      </c>
      <c r="D663" s="50" t="str">
        <f t="shared" si="141"/>
        <v/>
      </c>
      <c r="E663" s="50" t="str">
        <f t="shared" si="142"/>
        <v/>
      </c>
      <c r="F663" s="47" t="str">
        <f>IF(COUNTA(archive!H663:CI663)=0,"",COUNTA(archive!H663:CI663))</f>
        <v/>
      </c>
      <c r="G663" s="47" t="str">
        <f>IF(archive!G663="","",archive!G663)</f>
        <v/>
      </c>
      <c r="H663" s="51" t="str">
        <f>IF(archive!CJ663="","",archive!CJ663)</f>
        <v/>
      </c>
      <c r="I663" s="51" t="str">
        <f>IF(archive!CK663="","",archive!CK663)</f>
        <v/>
      </c>
      <c r="J663" s="47" t="str">
        <f t="shared" si="143"/>
        <v/>
      </c>
      <c r="K663" s="51" t="str">
        <f t="shared" si="144"/>
        <v/>
      </c>
      <c r="L663" s="52" t="str">
        <f t="shared" si="145"/>
        <v/>
      </c>
      <c r="M663" s="53" t="str">
        <f t="shared" si="146"/>
        <v/>
      </c>
      <c r="N663" s="53" t="str">
        <f t="shared" si="147"/>
        <v/>
      </c>
      <c r="O663" s="53" t="str">
        <f t="shared" si="148"/>
        <v/>
      </c>
      <c r="P663" s="53" t="str">
        <f t="shared" si="149"/>
        <v/>
      </c>
      <c r="Q663" s="53" t="str">
        <f t="shared" si="150"/>
        <v/>
      </c>
      <c r="R663" s="53" t="str">
        <f t="shared" si="151"/>
        <v/>
      </c>
      <c r="S663" s="53" t="str">
        <f t="shared" si="152"/>
        <v/>
      </c>
      <c r="T663" s="53" t="str">
        <f t="shared" si="153"/>
        <v/>
      </c>
    </row>
    <row r="664" spans="1:20">
      <c r="A664" s="47" t="str">
        <f>IF(archive!E664="","",archive!E664)</f>
        <v/>
      </c>
      <c r="B664" s="48" t="str">
        <f t="shared" si="140"/>
        <v/>
      </c>
      <c r="C664" s="49" t="str">
        <f>IF(archive!F664="","",archive!F664)</f>
        <v/>
      </c>
      <c r="D664" s="50" t="str">
        <f t="shared" si="141"/>
        <v/>
      </c>
      <c r="E664" s="50" t="str">
        <f t="shared" si="142"/>
        <v/>
      </c>
      <c r="F664" s="47" t="str">
        <f>IF(COUNTA(archive!H664:CI664)=0,"",COUNTA(archive!H664:CI664))</f>
        <v/>
      </c>
      <c r="G664" s="47" t="str">
        <f>IF(archive!G664="","",archive!G664)</f>
        <v/>
      </c>
      <c r="H664" s="51" t="str">
        <f>IF(archive!CJ664="","",archive!CJ664)</f>
        <v/>
      </c>
      <c r="I664" s="51" t="str">
        <f>IF(archive!CK664="","",archive!CK664)</f>
        <v/>
      </c>
      <c r="J664" s="47" t="str">
        <f t="shared" si="143"/>
        <v/>
      </c>
      <c r="K664" s="51" t="str">
        <f t="shared" si="144"/>
        <v/>
      </c>
      <c r="L664" s="52" t="str">
        <f t="shared" si="145"/>
        <v/>
      </c>
      <c r="M664" s="53" t="str">
        <f t="shared" si="146"/>
        <v/>
      </c>
      <c r="N664" s="53" t="str">
        <f t="shared" si="147"/>
        <v/>
      </c>
      <c r="O664" s="53" t="str">
        <f t="shared" si="148"/>
        <v/>
      </c>
      <c r="P664" s="53" t="str">
        <f t="shared" si="149"/>
        <v/>
      </c>
      <c r="Q664" s="53" t="str">
        <f t="shared" si="150"/>
        <v/>
      </c>
      <c r="R664" s="53" t="str">
        <f t="shared" si="151"/>
        <v/>
      </c>
      <c r="S664" s="53" t="str">
        <f t="shared" si="152"/>
        <v/>
      </c>
      <c r="T664" s="53" t="str">
        <f t="shared" si="153"/>
        <v/>
      </c>
    </row>
    <row r="665" spans="1:20">
      <c r="A665" s="47" t="str">
        <f>IF(archive!E665="","",archive!E665)</f>
        <v/>
      </c>
      <c r="B665" s="48" t="str">
        <f t="shared" si="140"/>
        <v/>
      </c>
      <c r="C665" s="49" t="str">
        <f>IF(archive!F665="","",archive!F665)</f>
        <v/>
      </c>
      <c r="D665" s="50" t="str">
        <f t="shared" si="141"/>
        <v/>
      </c>
      <c r="E665" s="50" t="str">
        <f t="shared" si="142"/>
        <v/>
      </c>
      <c r="F665" s="47" t="str">
        <f>IF(COUNTA(archive!H665:CI665)=0,"",COUNTA(archive!H665:CI665))</f>
        <v/>
      </c>
      <c r="G665" s="47" t="str">
        <f>IF(archive!G665="","",archive!G665)</f>
        <v/>
      </c>
      <c r="H665" s="51" t="str">
        <f>IF(archive!CJ665="","",archive!CJ665)</f>
        <v/>
      </c>
      <c r="I665" s="51" t="str">
        <f>IF(archive!CK665="","",archive!CK665)</f>
        <v/>
      </c>
      <c r="J665" s="47" t="str">
        <f t="shared" si="143"/>
        <v/>
      </c>
      <c r="K665" s="51" t="str">
        <f t="shared" si="144"/>
        <v/>
      </c>
      <c r="L665" s="52" t="str">
        <f t="shared" si="145"/>
        <v/>
      </c>
      <c r="M665" s="53" t="str">
        <f t="shared" si="146"/>
        <v/>
      </c>
      <c r="N665" s="53" t="str">
        <f t="shared" si="147"/>
        <v/>
      </c>
      <c r="O665" s="53" t="str">
        <f t="shared" si="148"/>
        <v/>
      </c>
      <c r="P665" s="53" t="str">
        <f t="shared" si="149"/>
        <v/>
      </c>
      <c r="Q665" s="53" t="str">
        <f t="shared" si="150"/>
        <v/>
      </c>
      <c r="R665" s="53" t="str">
        <f t="shared" si="151"/>
        <v/>
      </c>
      <c r="S665" s="53" t="str">
        <f t="shared" si="152"/>
        <v/>
      </c>
      <c r="T665" s="53" t="str">
        <f t="shared" si="153"/>
        <v/>
      </c>
    </row>
    <row r="666" spans="1:20">
      <c r="A666" s="47" t="str">
        <f>IF(archive!E666="","",archive!E666)</f>
        <v/>
      </c>
      <c r="B666" s="48" t="str">
        <f t="shared" si="140"/>
        <v/>
      </c>
      <c r="C666" s="49" t="str">
        <f>IF(archive!F666="","",archive!F666)</f>
        <v/>
      </c>
      <c r="D666" s="50" t="str">
        <f t="shared" si="141"/>
        <v/>
      </c>
      <c r="E666" s="50" t="str">
        <f t="shared" si="142"/>
        <v/>
      </c>
      <c r="F666" s="47" t="str">
        <f>IF(COUNTA(archive!H666:CI666)=0,"",COUNTA(archive!H666:CI666))</f>
        <v/>
      </c>
      <c r="G666" s="47" t="str">
        <f>IF(archive!G666="","",archive!G666)</f>
        <v/>
      </c>
      <c r="H666" s="51" t="str">
        <f>IF(archive!CJ666="","",archive!CJ666)</f>
        <v/>
      </c>
      <c r="I666" s="51" t="str">
        <f>IF(archive!CK666="","",archive!CK666)</f>
        <v/>
      </c>
      <c r="J666" s="47" t="str">
        <f t="shared" si="143"/>
        <v/>
      </c>
      <c r="K666" s="51" t="str">
        <f t="shared" si="144"/>
        <v/>
      </c>
      <c r="L666" s="52" t="str">
        <f t="shared" si="145"/>
        <v/>
      </c>
      <c r="M666" s="53" t="str">
        <f t="shared" si="146"/>
        <v/>
      </c>
      <c r="N666" s="53" t="str">
        <f t="shared" si="147"/>
        <v/>
      </c>
      <c r="O666" s="53" t="str">
        <f t="shared" si="148"/>
        <v/>
      </c>
      <c r="P666" s="53" t="str">
        <f t="shared" si="149"/>
        <v/>
      </c>
      <c r="Q666" s="53" t="str">
        <f t="shared" si="150"/>
        <v/>
      </c>
      <c r="R666" s="53" t="str">
        <f t="shared" si="151"/>
        <v/>
      </c>
      <c r="S666" s="53" t="str">
        <f t="shared" si="152"/>
        <v/>
      </c>
      <c r="T666" s="53" t="str">
        <f t="shared" si="153"/>
        <v/>
      </c>
    </row>
    <row r="667" spans="1:20">
      <c r="A667" s="47" t="str">
        <f>IF(archive!E667="","",archive!E667)</f>
        <v/>
      </c>
      <c r="B667" s="48" t="str">
        <f t="shared" si="140"/>
        <v/>
      </c>
      <c r="C667" s="49" t="str">
        <f>IF(archive!F667="","",archive!F667)</f>
        <v/>
      </c>
      <c r="D667" s="50" t="str">
        <f t="shared" si="141"/>
        <v/>
      </c>
      <c r="E667" s="50" t="str">
        <f t="shared" si="142"/>
        <v/>
      </c>
      <c r="F667" s="47" t="str">
        <f>IF(COUNTA(archive!H667:CI667)=0,"",COUNTA(archive!H667:CI667))</f>
        <v/>
      </c>
      <c r="G667" s="47" t="str">
        <f>IF(archive!G667="","",archive!G667)</f>
        <v/>
      </c>
      <c r="H667" s="51" t="str">
        <f>IF(archive!CJ667="","",archive!CJ667)</f>
        <v/>
      </c>
      <c r="I667" s="51" t="str">
        <f>IF(archive!CK667="","",archive!CK667)</f>
        <v/>
      </c>
      <c r="J667" s="47" t="str">
        <f t="shared" si="143"/>
        <v/>
      </c>
      <c r="K667" s="51" t="str">
        <f t="shared" si="144"/>
        <v/>
      </c>
      <c r="L667" s="52" t="str">
        <f t="shared" si="145"/>
        <v/>
      </c>
      <c r="M667" s="53" t="str">
        <f t="shared" si="146"/>
        <v/>
      </c>
      <c r="N667" s="53" t="str">
        <f t="shared" si="147"/>
        <v/>
      </c>
      <c r="O667" s="53" t="str">
        <f t="shared" si="148"/>
        <v/>
      </c>
      <c r="P667" s="53" t="str">
        <f t="shared" si="149"/>
        <v/>
      </c>
      <c r="Q667" s="53" t="str">
        <f t="shared" si="150"/>
        <v/>
      </c>
      <c r="R667" s="53" t="str">
        <f t="shared" si="151"/>
        <v/>
      </c>
      <c r="S667" s="53" t="str">
        <f t="shared" si="152"/>
        <v/>
      </c>
      <c r="T667" s="53" t="str">
        <f t="shared" si="153"/>
        <v/>
      </c>
    </row>
    <row r="668" spans="1:20">
      <c r="A668" s="47" t="str">
        <f>IF(archive!E668="","",archive!E668)</f>
        <v/>
      </c>
      <c r="B668" s="48" t="str">
        <f t="shared" si="140"/>
        <v/>
      </c>
      <c r="C668" s="49" t="str">
        <f>IF(archive!F668="","",archive!F668)</f>
        <v/>
      </c>
      <c r="D668" s="50" t="str">
        <f t="shared" si="141"/>
        <v/>
      </c>
      <c r="E668" s="50" t="str">
        <f t="shared" si="142"/>
        <v/>
      </c>
      <c r="F668" s="47" t="str">
        <f>IF(COUNTA(archive!H668:CI668)=0,"",COUNTA(archive!H668:CI668))</f>
        <v/>
      </c>
      <c r="G668" s="47" t="str">
        <f>IF(archive!G668="","",archive!G668)</f>
        <v/>
      </c>
      <c r="H668" s="51" t="str">
        <f>IF(archive!CJ668="","",archive!CJ668)</f>
        <v/>
      </c>
      <c r="I668" s="51" t="str">
        <f>IF(archive!CK668="","",archive!CK668)</f>
        <v/>
      </c>
      <c r="J668" s="47" t="str">
        <f t="shared" si="143"/>
        <v/>
      </c>
      <c r="K668" s="51" t="str">
        <f t="shared" si="144"/>
        <v/>
      </c>
      <c r="L668" s="52" t="str">
        <f t="shared" si="145"/>
        <v/>
      </c>
      <c r="M668" s="53" t="str">
        <f t="shared" si="146"/>
        <v/>
      </c>
      <c r="N668" s="53" t="str">
        <f t="shared" si="147"/>
        <v/>
      </c>
      <c r="O668" s="53" t="str">
        <f t="shared" si="148"/>
        <v/>
      </c>
      <c r="P668" s="53" t="str">
        <f t="shared" si="149"/>
        <v/>
      </c>
      <c r="Q668" s="53" t="str">
        <f t="shared" si="150"/>
        <v/>
      </c>
      <c r="R668" s="53" t="str">
        <f t="shared" si="151"/>
        <v/>
      </c>
      <c r="S668" s="53" t="str">
        <f t="shared" si="152"/>
        <v/>
      </c>
      <c r="T668" s="53" t="str">
        <f t="shared" si="153"/>
        <v/>
      </c>
    </row>
    <row r="669" spans="1:20">
      <c r="A669" s="47" t="str">
        <f>IF(archive!E669="","",archive!E669)</f>
        <v/>
      </c>
      <c r="B669" s="48" t="str">
        <f t="shared" si="140"/>
        <v/>
      </c>
      <c r="C669" s="49" t="str">
        <f>IF(archive!F669="","",archive!F669)</f>
        <v/>
      </c>
      <c r="D669" s="50" t="str">
        <f t="shared" si="141"/>
        <v/>
      </c>
      <c r="E669" s="50" t="str">
        <f t="shared" si="142"/>
        <v/>
      </c>
      <c r="F669" s="47" t="str">
        <f>IF(COUNTA(archive!H669:CI669)=0,"",COUNTA(archive!H669:CI669))</f>
        <v/>
      </c>
      <c r="G669" s="47" t="str">
        <f>IF(archive!G669="","",archive!G669)</f>
        <v/>
      </c>
      <c r="H669" s="51" t="str">
        <f>IF(archive!CJ669="","",archive!CJ669)</f>
        <v/>
      </c>
      <c r="I669" s="51" t="str">
        <f>IF(archive!CK669="","",archive!CK669)</f>
        <v/>
      </c>
      <c r="J669" s="47" t="str">
        <f t="shared" si="143"/>
        <v/>
      </c>
      <c r="K669" s="51" t="str">
        <f t="shared" si="144"/>
        <v/>
      </c>
      <c r="L669" s="52" t="str">
        <f t="shared" si="145"/>
        <v/>
      </c>
      <c r="M669" s="53" t="str">
        <f t="shared" si="146"/>
        <v/>
      </c>
      <c r="N669" s="53" t="str">
        <f t="shared" si="147"/>
        <v/>
      </c>
      <c r="O669" s="53" t="str">
        <f t="shared" si="148"/>
        <v/>
      </c>
      <c r="P669" s="53" t="str">
        <f t="shared" si="149"/>
        <v/>
      </c>
      <c r="Q669" s="53" t="str">
        <f t="shared" si="150"/>
        <v/>
      </c>
      <c r="R669" s="53" t="str">
        <f t="shared" si="151"/>
        <v/>
      </c>
      <c r="S669" s="53" t="str">
        <f t="shared" si="152"/>
        <v/>
      </c>
      <c r="T669" s="53" t="str">
        <f t="shared" si="153"/>
        <v/>
      </c>
    </row>
    <row r="670" spans="1:20">
      <c r="A670" s="47" t="str">
        <f>IF(archive!E670="","",archive!E670)</f>
        <v/>
      </c>
      <c r="B670" s="48" t="str">
        <f t="shared" si="140"/>
        <v/>
      </c>
      <c r="C670" s="49" t="str">
        <f>IF(archive!F670="","",archive!F670)</f>
        <v/>
      </c>
      <c r="D670" s="50" t="str">
        <f t="shared" si="141"/>
        <v/>
      </c>
      <c r="E670" s="50" t="str">
        <f t="shared" si="142"/>
        <v/>
      </c>
      <c r="F670" s="47" t="str">
        <f>IF(COUNTA(archive!H670:CI670)=0,"",COUNTA(archive!H670:CI670))</f>
        <v/>
      </c>
      <c r="G670" s="47" t="str">
        <f>IF(archive!G670="","",archive!G670)</f>
        <v/>
      </c>
      <c r="H670" s="51" t="str">
        <f>IF(archive!CJ670="","",archive!CJ670)</f>
        <v/>
      </c>
      <c r="I670" s="51" t="str">
        <f>IF(archive!CK670="","",archive!CK670)</f>
        <v/>
      </c>
      <c r="J670" s="47" t="str">
        <f t="shared" si="143"/>
        <v/>
      </c>
      <c r="K670" s="51" t="str">
        <f t="shared" si="144"/>
        <v/>
      </c>
      <c r="L670" s="52" t="str">
        <f t="shared" si="145"/>
        <v/>
      </c>
      <c r="M670" s="53" t="str">
        <f t="shared" si="146"/>
        <v/>
      </c>
      <c r="N670" s="53" t="str">
        <f t="shared" si="147"/>
        <v/>
      </c>
      <c r="O670" s="53" t="str">
        <f t="shared" si="148"/>
        <v/>
      </c>
      <c r="P670" s="53" t="str">
        <f t="shared" si="149"/>
        <v/>
      </c>
      <c r="Q670" s="53" t="str">
        <f t="shared" si="150"/>
        <v/>
      </c>
      <c r="R670" s="53" t="str">
        <f t="shared" si="151"/>
        <v/>
      </c>
      <c r="S670" s="53" t="str">
        <f t="shared" si="152"/>
        <v/>
      </c>
      <c r="T670" s="53" t="str">
        <f t="shared" si="153"/>
        <v/>
      </c>
    </row>
    <row r="671" spans="1:20">
      <c r="A671" s="47" t="str">
        <f>IF(archive!E671="","",archive!E671)</f>
        <v/>
      </c>
      <c r="B671" s="48" t="str">
        <f t="shared" si="140"/>
        <v/>
      </c>
      <c r="C671" s="49" t="str">
        <f>IF(archive!F671="","",archive!F671)</f>
        <v/>
      </c>
      <c r="D671" s="50" t="str">
        <f t="shared" si="141"/>
        <v/>
      </c>
      <c r="E671" s="50" t="str">
        <f t="shared" si="142"/>
        <v/>
      </c>
      <c r="F671" s="47" t="str">
        <f>IF(COUNTA(archive!H671:CI671)=0,"",COUNTA(archive!H671:CI671))</f>
        <v/>
      </c>
      <c r="G671" s="47" t="str">
        <f>IF(archive!G671="","",archive!G671)</f>
        <v/>
      </c>
      <c r="H671" s="51" t="str">
        <f>IF(archive!CJ671="","",archive!CJ671)</f>
        <v/>
      </c>
      <c r="I671" s="51" t="str">
        <f>IF(archive!CK671="","",archive!CK671)</f>
        <v/>
      </c>
      <c r="J671" s="47" t="str">
        <f t="shared" si="143"/>
        <v/>
      </c>
      <c r="K671" s="51" t="str">
        <f t="shared" si="144"/>
        <v/>
      </c>
      <c r="L671" s="52" t="str">
        <f t="shared" si="145"/>
        <v/>
      </c>
      <c r="M671" s="53" t="str">
        <f t="shared" si="146"/>
        <v/>
      </c>
      <c r="N671" s="53" t="str">
        <f t="shared" si="147"/>
        <v/>
      </c>
      <c r="O671" s="53" t="str">
        <f t="shared" si="148"/>
        <v/>
      </c>
      <c r="P671" s="53" t="str">
        <f t="shared" si="149"/>
        <v/>
      </c>
      <c r="Q671" s="53" t="str">
        <f t="shared" si="150"/>
        <v/>
      </c>
      <c r="R671" s="53" t="str">
        <f t="shared" si="151"/>
        <v/>
      </c>
      <c r="S671" s="53" t="str">
        <f t="shared" si="152"/>
        <v/>
      </c>
      <c r="T671" s="53" t="str">
        <f t="shared" si="153"/>
        <v/>
      </c>
    </row>
    <row r="672" spans="1:20">
      <c r="A672" s="47" t="str">
        <f>IF(archive!E672="","",archive!E672)</f>
        <v/>
      </c>
      <c r="B672" s="48" t="str">
        <f t="shared" si="140"/>
        <v/>
      </c>
      <c r="C672" s="49" t="str">
        <f>IF(archive!F672="","",archive!F672)</f>
        <v/>
      </c>
      <c r="D672" s="50" t="str">
        <f t="shared" si="141"/>
        <v/>
      </c>
      <c r="E672" s="50" t="str">
        <f t="shared" si="142"/>
        <v/>
      </c>
      <c r="F672" s="47" t="str">
        <f>IF(COUNTA(archive!H672:CI672)=0,"",COUNTA(archive!H672:CI672))</f>
        <v/>
      </c>
      <c r="G672" s="47" t="str">
        <f>IF(archive!G672="","",archive!G672)</f>
        <v/>
      </c>
      <c r="H672" s="51" t="str">
        <f>IF(archive!CJ672="","",archive!CJ672)</f>
        <v/>
      </c>
      <c r="I672" s="51" t="str">
        <f>IF(archive!CK672="","",archive!CK672)</f>
        <v/>
      </c>
      <c r="J672" s="47" t="str">
        <f t="shared" si="143"/>
        <v/>
      </c>
      <c r="K672" s="51" t="str">
        <f t="shared" si="144"/>
        <v/>
      </c>
      <c r="L672" s="52" t="str">
        <f t="shared" si="145"/>
        <v/>
      </c>
      <c r="M672" s="53" t="str">
        <f t="shared" si="146"/>
        <v/>
      </c>
      <c r="N672" s="53" t="str">
        <f t="shared" si="147"/>
        <v/>
      </c>
      <c r="O672" s="53" t="str">
        <f t="shared" si="148"/>
        <v/>
      </c>
      <c r="P672" s="53" t="str">
        <f t="shared" si="149"/>
        <v/>
      </c>
      <c r="Q672" s="53" t="str">
        <f t="shared" si="150"/>
        <v/>
      </c>
      <c r="R672" s="53" t="str">
        <f t="shared" si="151"/>
        <v/>
      </c>
      <c r="S672" s="53" t="str">
        <f t="shared" si="152"/>
        <v/>
      </c>
      <c r="T672" s="53" t="str">
        <f t="shared" si="153"/>
        <v/>
      </c>
    </row>
    <row r="673" spans="1:20">
      <c r="A673" s="47" t="str">
        <f>IF(archive!E673="","",archive!E673)</f>
        <v/>
      </c>
      <c r="B673" s="48" t="str">
        <f t="shared" si="140"/>
        <v/>
      </c>
      <c r="C673" s="49" t="str">
        <f>IF(archive!F673="","",archive!F673)</f>
        <v/>
      </c>
      <c r="D673" s="50" t="str">
        <f t="shared" si="141"/>
        <v/>
      </c>
      <c r="E673" s="50" t="str">
        <f t="shared" si="142"/>
        <v/>
      </c>
      <c r="F673" s="47" t="str">
        <f>IF(COUNTA(archive!H673:CI673)=0,"",COUNTA(archive!H673:CI673))</f>
        <v/>
      </c>
      <c r="G673" s="47" t="str">
        <f>IF(archive!G673="","",archive!G673)</f>
        <v/>
      </c>
      <c r="H673" s="51" t="str">
        <f>IF(archive!CJ673="","",archive!CJ673)</f>
        <v/>
      </c>
      <c r="I673" s="51" t="str">
        <f>IF(archive!CK673="","",archive!CK673)</f>
        <v/>
      </c>
      <c r="J673" s="47" t="str">
        <f t="shared" si="143"/>
        <v/>
      </c>
      <c r="K673" s="51" t="str">
        <f t="shared" si="144"/>
        <v/>
      </c>
      <c r="L673" s="52" t="str">
        <f t="shared" si="145"/>
        <v/>
      </c>
      <c r="M673" s="53" t="str">
        <f t="shared" si="146"/>
        <v/>
      </c>
      <c r="N673" s="53" t="str">
        <f t="shared" si="147"/>
        <v/>
      </c>
      <c r="O673" s="53" t="str">
        <f t="shared" si="148"/>
        <v/>
      </c>
      <c r="P673" s="53" t="str">
        <f t="shared" si="149"/>
        <v/>
      </c>
      <c r="Q673" s="53" t="str">
        <f t="shared" si="150"/>
        <v/>
      </c>
      <c r="R673" s="53" t="str">
        <f t="shared" si="151"/>
        <v/>
      </c>
      <c r="S673" s="53" t="str">
        <f t="shared" si="152"/>
        <v/>
      </c>
      <c r="T673" s="53" t="str">
        <f t="shared" si="153"/>
        <v/>
      </c>
    </row>
    <row r="674" spans="1:20">
      <c r="A674" s="47" t="str">
        <f>IF(archive!E674="","",archive!E674)</f>
        <v/>
      </c>
      <c r="B674" s="48" t="str">
        <f t="shared" si="140"/>
        <v/>
      </c>
      <c r="C674" s="49" t="str">
        <f>IF(archive!F674="","",archive!F674)</f>
        <v/>
      </c>
      <c r="D674" s="50" t="str">
        <f t="shared" si="141"/>
        <v/>
      </c>
      <c r="E674" s="50" t="str">
        <f t="shared" si="142"/>
        <v/>
      </c>
      <c r="F674" s="47" t="str">
        <f>IF(COUNTA(archive!H674:CI674)=0,"",COUNTA(archive!H674:CI674))</f>
        <v/>
      </c>
      <c r="G674" s="47" t="str">
        <f>IF(archive!G674="","",archive!G674)</f>
        <v/>
      </c>
      <c r="H674" s="51" t="str">
        <f>IF(archive!CJ674="","",archive!CJ674)</f>
        <v/>
      </c>
      <c r="I674" s="51" t="str">
        <f>IF(archive!CK674="","",archive!CK674)</f>
        <v/>
      </c>
      <c r="J674" s="47" t="str">
        <f t="shared" si="143"/>
        <v/>
      </c>
      <c r="K674" s="51" t="str">
        <f t="shared" si="144"/>
        <v/>
      </c>
      <c r="L674" s="52" t="str">
        <f t="shared" si="145"/>
        <v/>
      </c>
      <c r="M674" s="53" t="str">
        <f t="shared" si="146"/>
        <v/>
      </c>
      <c r="N674" s="53" t="str">
        <f t="shared" si="147"/>
        <v/>
      </c>
      <c r="O674" s="53" t="str">
        <f t="shared" si="148"/>
        <v/>
      </c>
      <c r="P674" s="53" t="str">
        <f t="shared" si="149"/>
        <v/>
      </c>
      <c r="Q674" s="53" t="str">
        <f t="shared" si="150"/>
        <v/>
      </c>
      <c r="R674" s="53" t="str">
        <f t="shared" si="151"/>
        <v/>
      </c>
      <c r="S674" s="53" t="str">
        <f t="shared" si="152"/>
        <v/>
      </c>
      <c r="T674" s="53" t="str">
        <f t="shared" si="153"/>
        <v/>
      </c>
    </row>
    <row r="675" spans="1:20">
      <c r="A675" s="47" t="str">
        <f>IF(archive!E675="","",archive!E675)</f>
        <v/>
      </c>
      <c r="B675" s="48" t="str">
        <f t="shared" si="140"/>
        <v/>
      </c>
      <c r="C675" s="49" t="str">
        <f>IF(archive!F675="","",archive!F675)</f>
        <v/>
      </c>
      <c r="D675" s="50" t="str">
        <f t="shared" si="141"/>
        <v/>
      </c>
      <c r="E675" s="50" t="str">
        <f t="shared" si="142"/>
        <v/>
      </c>
      <c r="F675" s="47" t="str">
        <f>IF(COUNTA(archive!H675:CI675)=0,"",COUNTA(archive!H675:CI675))</f>
        <v/>
      </c>
      <c r="G675" s="47" t="str">
        <f>IF(archive!G675="","",archive!G675)</f>
        <v/>
      </c>
      <c r="H675" s="51" t="str">
        <f>IF(archive!CJ675="","",archive!CJ675)</f>
        <v/>
      </c>
      <c r="I675" s="51" t="str">
        <f>IF(archive!CK675="","",archive!CK675)</f>
        <v/>
      </c>
      <c r="J675" s="47" t="str">
        <f t="shared" si="143"/>
        <v/>
      </c>
      <c r="K675" s="51" t="str">
        <f t="shared" si="144"/>
        <v/>
      </c>
      <c r="L675" s="52" t="str">
        <f t="shared" si="145"/>
        <v/>
      </c>
      <c r="M675" s="53" t="str">
        <f t="shared" si="146"/>
        <v/>
      </c>
      <c r="N675" s="53" t="str">
        <f t="shared" si="147"/>
        <v/>
      </c>
      <c r="O675" s="53" t="str">
        <f t="shared" si="148"/>
        <v/>
      </c>
      <c r="P675" s="53" t="str">
        <f t="shared" si="149"/>
        <v/>
      </c>
      <c r="Q675" s="53" t="str">
        <f t="shared" si="150"/>
        <v/>
      </c>
      <c r="R675" s="53" t="str">
        <f t="shared" si="151"/>
        <v/>
      </c>
      <c r="S675" s="53" t="str">
        <f t="shared" si="152"/>
        <v/>
      </c>
      <c r="T675" s="53" t="str">
        <f t="shared" si="153"/>
        <v/>
      </c>
    </row>
    <row r="676" spans="1:20">
      <c r="A676" s="47" t="str">
        <f>IF(archive!E676="","",archive!E676)</f>
        <v/>
      </c>
      <c r="B676" s="48" t="str">
        <f t="shared" si="140"/>
        <v/>
      </c>
      <c r="C676" s="49" t="str">
        <f>IF(archive!F676="","",archive!F676)</f>
        <v/>
      </c>
      <c r="D676" s="50" t="str">
        <f t="shared" si="141"/>
        <v/>
      </c>
      <c r="E676" s="50" t="str">
        <f t="shared" si="142"/>
        <v/>
      </c>
      <c r="F676" s="47" t="str">
        <f>IF(COUNTA(archive!H676:CI676)=0,"",COUNTA(archive!H676:CI676))</f>
        <v/>
      </c>
      <c r="G676" s="47" t="str">
        <f>IF(archive!G676="","",archive!G676)</f>
        <v/>
      </c>
      <c r="H676" s="51" t="str">
        <f>IF(archive!CJ676="","",archive!CJ676)</f>
        <v/>
      </c>
      <c r="I676" s="51" t="str">
        <f>IF(archive!CK676="","",archive!CK676)</f>
        <v/>
      </c>
      <c r="J676" s="47" t="str">
        <f t="shared" si="143"/>
        <v/>
      </c>
      <c r="K676" s="51" t="str">
        <f t="shared" si="144"/>
        <v/>
      </c>
      <c r="L676" s="52" t="str">
        <f t="shared" si="145"/>
        <v/>
      </c>
      <c r="M676" s="53" t="str">
        <f t="shared" si="146"/>
        <v/>
      </c>
      <c r="N676" s="53" t="str">
        <f t="shared" si="147"/>
        <v/>
      </c>
      <c r="O676" s="53" t="str">
        <f t="shared" si="148"/>
        <v/>
      </c>
      <c r="P676" s="53" t="str">
        <f t="shared" si="149"/>
        <v/>
      </c>
      <c r="Q676" s="53" t="str">
        <f t="shared" si="150"/>
        <v/>
      </c>
      <c r="R676" s="53" t="str">
        <f t="shared" si="151"/>
        <v/>
      </c>
      <c r="S676" s="53" t="str">
        <f t="shared" si="152"/>
        <v/>
      </c>
      <c r="T676" s="53" t="str">
        <f t="shared" si="153"/>
        <v/>
      </c>
    </row>
    <row r="677" spans="1:20">
      <c r="A677" s="47" t="str">
        <f>IF(archive!E677="","",archive!E677)</f>
        <v/>
      </c>
      <c r="B677" s="48" t="str">
        <f t="shared" si="140"/>
        <v/>
      </c>
      <c r="C677" s="49" t="str">
        <f>IF(archive!F677="","",archive!F677)</f>
        <v/>
      </c>
      <c r="D677" s="50" t="str">
        <f t="shared" si="141"/>
        <v/>
      </c>
      <c r="E677" s="50" t="str">
        <f t="shared" si="142"/>
        <v/>
      </c>
      <c r="F677" s="47" t="str">
        <f>IF(COUNTA(archive!H677:CI677)=0,"",COUNTA(archive!H677:CI677))</f>
        <v/>
      </c>
      <c r="G677" s="47" t="str">
        <f>IF(archive!G677="","",archive!G677)</f>
        <v/>
      </c>
      <c r="H677" s="51" t="str">
        <f>IF(archive!CJ677="","",archive!CJ677)</f>
        <v/>
      </c>
      <c r="I677" s="51" t="str">
        <f>IF(archive!CK677="","",archive!CK677)</f>
        <v/>
      </c>
      <c r="J677" s="47" t="str">
        <f t="shared" si="143"/>
        <v/>
      </c>
      <c r="K677" s="51" t="str">
        <f t="shared" si="144"/>
        <v/>
      </c>
      <c r="L677" s="52" t="str">
        <f t="shared" si="145"/>
        <v/>
      </c>
      <c r="M677" s="53" t="str">
        <f t="shared" si="146"/>
        <v/>
      </c>
      <c r="N677" s="53" t="str">
        <f t="shared" si="147"/>
        <v/>
      </c>
      <c r="O677" s="53" t="str">
        <f t="shared" si="148"/>
        <v/>
      </c>
      <c r="P677" s="53" t="str">
        <f t="shared" si="149"/>
        <v/>
      </c>
      <c r="Q677" s="53" t="str">
        <f t="shared" si="150"/>
        <v/>
      </c>
      <c r="R677" s="53" t="str">
        <f t="shared" si="151"/>
        <v/>
      </c>
      <c r="S677" s="53" t="str">
        <f t="shared" si="152"/>
        <v/>
      </c>
      <c r="T677" s="53" t="str">
        <f t="shared" si="153"/>
        <v/>
      </c>
    </row>
    <row r="678" spans="1:20">
      <c r="A678" s="47" t="str">
        <f>IF(archive!E678="","",archive!E678)</f>
        <v/>
      </c>
      <c r="B678" s="48" t="str">
        <f t="shared" si="140"/>
        <v/>
      </c>
      <c r="C678" s="49" t="str">
        <f>IF(archive!F678="","",archive!F678)</f>
        <v/>
      </c>
      <c r="D678" s="50" t="str">
        <f t="shared" si="141"/>
        <v/>
      </c>
      <c r="E678" s="50" t="str">
        <f t="shared" si="142"/>
        <v/>
      </c>
      <c r="F678" s="47" t="str">
        <f>IF(COUNTA(archive!H678:CI678)=0,"",COUNTA(archive!H678:CI678))</f>
        <v/>
      </c>
      <c r="G678" s="47" t="str">
        <f>IF(archive!G678="","",archive!G678)</f>
        <v/>
      </c>
      <c r="H678" s="51" t="str">
        <f>IF(archive!CJ678="","",archive!CJ678)</f>
        <v/>
      </c>
      <c r="I678" s="51" t="str">
        <f>IF(archive!CK678="","",archive!CK678)</f>
        <v/>
      </c>
      <c r="J678" s="47" t="str">
        <f t="shared" si="143"/>
        <v/>
      </c>
      <c r="K678" s="51" t="str">
        <f t="shared" si="144"/>
        <v/>
      </c>
      <c r="L678" s="52" t="str">
        <f t="shared" si="145"/>
        <v/>
      </c>
      <c r="M678" s="53" t="str">
        <f t="shared" si="146"/>
        <v/>
      </c>
      <c r="N678" s="53" t="str">
        <f t="shared" si="147"/>
        <v/>
      </c>
      <c r="O678" s="53" t="str">
        <f t="shared" si="148"/>
        <v/>
      </c>
      <c r="P678" s="53" t="str">
        <f t="shared" si="149"/>
        <v/>
      </c>
      <c r="Q678" s="53" t="str">
        <f t="shared" si="150"/>
        <v/>
      </c>
      <c r="R678" s="53" t="str">
        <f t="shared" si="151"/>
        <v/>
      </c>
      <c r="S678" s="53" t="str">
        <f t="shared" si="152"/>
        <v/>
      </c>
      <c r="T678" s="53" t="str">
        <f t="shared" si="153"/>
        <v/>
      </c>
    </row>
    <row r="679" spans="1:20">
      <c r="A679" s="47" t="str">
        <f>IF(archive!E679="","",archive!E679)</f>
        <v/>
      </c>
      <c r="B679" s="48" t="str">
        <f t="shared" si="140"/>
        <v/>
      </c>
      <c r="C679" s="49" t="str">
        <f>IF(archive!F679="","",archive!F679)</f>
        <v/>
      </c>
      <c r="D679" s="50" t="str">
        <f t="shared" si="141"/>
        <v/>
      </c>
      <c r="E679" s="50" t="str">
        <f t="shared" si="142"/>
        <v/>
      </c>
      <c r="F679" s="47" t="str">
        <f>IF(COUNTA(archive!H679:CI679)=0,"",COUNTA(archive!H679:CI679))</f>
        <v/>
      </c>
      <c r="G679" s="47" t="str">
        <f>IF(archive!G679="","",archive!G679)</f>
        <v/>
      </c>
      <c r="H679" s="51" t="str">
        <f>IF(archive!CJ679="","",archive!CJ679)</f>
        <v/>
      </c>
      <c r="I679" s="51" t="str">
        <f>IF(archive!CK679="","",archive!CK679)</f>
        <v/>
      </c>
      <c r="J679" s="47" t="str">
        <f t="shared" si="143"/>
        <v/>
      </c>
      <c r="K679" s="51" t="str">
        <f t="shared" si="144"/>
        <v/>
      </c>
      <c r="L679" s="52" t="str">
        <f t="shared" si="145"/>
        <v/>
      </c>
      <c r="M679" s="53" t="str">
        <f t="shared" si="146"/>
        <v/>
      </c>
      <c r="N679" s="53" t="str">
        <f t="shared" si="147"/>
        <v/>
      </c>
      <c r="O679" s="53" t="str">
        <f t="shared" si="148"/>
        <v/>
      </c>
      <c r="P679" s="53" t="str">
        <f t="shared" si="149"/>
        <v/>
      </c>
      <c r="Q679" s="53" t="str">
        <f t="shared" si="150"/>
        <v/>
      </c>
      <c r="R679" s="53" t="str">
        <f t="shared" si="151"/>
        <v/>
      </c>
      <c r="S679" s="53" t="str">
        <f t="shared" si="152"/>
        <v/>
      </c>
      <c r="T679" s="53" t="str">
        <f t="shared" si="153"/>
        <v/>
      </c>
    </row>
    <row r="680" spans="1:20">
      <c r="A680" s="47" t="str">
        <f>IF(archive!E680="","",archive!E680)</f>
        <v/>
      </c>
      <c r="B680" s="48" t="str">
        <f t="shared" si="140"/>
        <v/>
      </c>
      <c r="C680" s="49" t="str">
        <f>IF(archive!F680="","",archive!F680)</f>
        <v/>
      </c>
      <c r="D680" s="50" t="str">
        <f t="shared" si="141"/>
        <v/>
      </c>
      <c r="E680" s="50" t="str">
        <f t="shared" si="142"/>
        <v/>
      </c>
      <c r="F680" s="47" t="str">
        <f>IF(COUNTA(archive!H680:CI680)=0,"",COUNTA(archive!H680:CI680))</f>
        <v/>
      </c>
      <c r="G680" s="47" t="str">
        <f>IF(archive!G680="","",archive!G680)</f>
        <v/>
      </c>
      <c r="H680" s="51" t="str">
        <f>IF(archive!CJ680="","",archive!CJ680)</f>
        <v/>
      </c>
      <c r="I680" s="51" t="str">
        <f>IF(archive!CK680="","",archive!CK680)</f>
        <v/>
      </c>
      <c r="J680" s="47" t="str">
        <f t="shared" si="143"/>
        <v/>
      </c>
      <c r="K680" s="51" t="str">
        <f t="shared" si="144"/>
        <v/>
      </c>
      <c r="L680" s="52" t="str">
        <f t="shared" si="145"/>
        <v/>
      </c>
      <c r="M680" s="53" t="str">
        <f t="shared" si="146"/>
        <v/>
      </c>
      <c r="N680" s="53" t="str">
        <f t="shared" si="147"/>
        <v/>
      </c>
      <c r="O680" s="53" t="str">
        <f t="shared" si="148"/>
        <v/>
      </c>
      <c r="P680" s="53" t="str">
        <f t="shared" si="149"/>
        <v/>
      </c>
      <c r="Q680" s="53" t="str">
        <f t="shared" si="150"/>
        <v/>
      </c>
      <c r="R680" s="53" t="str">
        <f t="shared" si="151"/>
        <v/>
      </c>
      <c r="S680" s="53" t="str">
        <f t="shared" si="152"/>
        <v/>
      </c>
      <c r="T680" s="53" t="str">
        <f t="shared" si="153"/>
        <v/>
      </c>
    </row>
    <row r="681" spans="1:20">
      <c r="A681" s="47" t="str">
        <f>IF(archive!E681="","",archive!E681)</f>
        <v/>
      </c>
      <c r="B681" s="48" t="str">
        <f t="shared" si="140"/>
        <v/>
      </c>
      <c r="C681" s="49" t="str">
        <f>IF(archive!F681="","",archive!F681)</f>
        <v/>
      </c>
      <c r="D681" s="50" t="str">
        <f t="shared" si="141"/>
        <v/>
      </c>
      <c r="E681" s="50" t="str">
        <f t="shared" si="142"/>
        <v/>
      </c>
      <c r="F681" s="47" t="str">
        <f>IF(COUNTA(archive!H681:CI681)=0,"",COUNTA(archive!H681:CI681))</f>
        <v/>
      </c>
      <c r="G681" s="47" t="str">
        <f>IF(archive!G681="","",archive!G681)</f>
        <v/>
      </c>
      <c r="H681" s="51" t="str">
        <f>IF(archive!CJ681="","",archive!CJ681)</f>
        <v/>
      </c>
      <c r="I681" s="51" t="str">
        <f>IF(archive!CK681="","",archive!CK681)</f>
        <v/>
      </c>
      <c r="J681" s="47" t="str">
        <f t="shared" si="143"/>
        <v/>
      </c>
      <c r="K681" s="51" t="str">
        <f t="shared" si="144"/>
        <v/>
      </c>
      <c r="L681" s="52" t="str">
        <f t="shared" si="145"/>
        <v/>
      </c>
      <c r="M681" s="53" t="str">
        <f t="shared" si="146"/>
        <v/>
      </c>
      <c r="N681" s="53" t="str">
        <f t="shared" si="147"/>
        <v/>
      </c>
      <c r="O681" s="53" t="str">
        <f t="shared" si="148"/>
        <v/>
      </c>
      <c r="P681" s="53" t="str">
        <f t="shared" si="149"/>
        <v/>
      </c>
      <c r="Q681" s="53" t="str">
        <f t="shared" si="150"/>
        <v/>
      </c>
      <c r="R681" s="53" t="str">
        <f t="shared" si="151"/>
        <v/>
      </c>
      <c r="S681" s="53" t="str">
        <f t="shared" si="152"/>
        <v/>
      </c>
      <c r="T681" s="53" t="str">
        <f t="shared" si="153"/>
        <v/>
      </c>
    </row>
    <row r="682" spans="1:20">
      <c r="A682" s="47" t="str">
        <f>IF(archive!E682="","",archive!E682)</f>
        <v/>
      </c>
      <c r="B682" s="48" t="str">
        <f t="shared" si="140"/>
        <v/>
      </c>
      <c r="C682" s="49" t="str">
        <f>IF(archive!F682="","",archive!F682)</f>
        <v/>
      </c>
      <c r="D682" s="50" t="str">
        <f t="shared" si="141"/>
        <v/>
      </c>
      <c r="E682" s="50" t="str">
        <f t="shared" si="142"/>
        <v/>
      </c>
      <c r="F682" s="47" t="str">
        <f>IF(COUNTA(archive!H682:CI682)=0,"",COUNTA(archive!H682:CI682))</f>
        <v/>
      </c>
      <c r="G682" s="47" t="str">
        <f>IF(archive!G682="","",archive!G682)</f>
        <v/>
      </c>
      <c r="H682" s="51" t="str">
        <f>IF(archive!CJ682="","",archive!CJ682)</f>
        <v/>
      </c>
      <c r="I682" s="51" t="str">
        <f>IF(archive!CK682="","",archive!CK682)</f>
        <v/>
      </c>
      <c r="J682" s="47" t="str">
        <f t="shared" si="143"/>
        <v/>
      </c>
      <c r="K682" s="51" t="str">
        <f t="shared" si="144"/>
        <v/>
      </c>
      <c r="L682" s="52" t="str">
        <f t="shared" si="145"/>
        <v/>
      </c>
      <c r="M682" s="53" t="str">
        <f t="shared" si="146"/>
        <v/>
      </c>
      <c r="N682" s="53" t="str">
        <f t="shared" si="147"/>
        <v/>
      </c>
      <c r="O682" s="53" t="str">
        <f t="shared" si="148"/>
        <v/>
      </c>
      <c r="P682" s="53" t="str">
        <f t="shared" si="149"/>
        <v/>
      </c>
      <c r="Q682" s="53" t="str">
        <f t="shared" si="150"/>
        <v/>
      </c>
      <c r="R682" s="53" t="str">
        <f t="shared" si="151"/>
        <v/>
      </c>
      <c r="S682" s="53" t="str">
        <f t="shared" si="152"/>
        <v/>
      </c>
      <c r="T682" s="53" t="str">
        <f t="shared" si="153"/>
        <v/>
      </c>
    </row>
    <row r="683" spans="1:20">
      <c r="A683" s="47" t="str">
        <f>IF(archive!E683="","",archive!E683)</f>
        <v/>
      </c>
      <c r="B683" s="48" t="str">
        <f t="shared" si="140"/>
        <v/>
      </c>
      <c r="C683" s="49" t="str">
        <f>IF(archive!F683="","",archive!F683)</f>
        <v/>
      </c>
      <c r="D683" s="50" t="str">
        <f t="shared" si="141"/>
        <v/>
      </c>
      <c r="E683" s="50" t="str">
        <f t="shared" si="142"/>
        <v/>
      </c>
      <c r="F683" s="47" t="str">
        <f>IF(COUNTA(archive!H683:CI683)=0,"",COUNTA(archive!H683:CI683))</f>
        <v/>
      </c>
      <c r="G683" s="47" t="str">
        <f>IF(archive!G683="","",archive!G683)</f>
        <v/>
      </c>
      <c r="H683" s="51" t="str">
        <f>IF(archive!CJ683="","",archive!CJ683)</f>
        <v/>
      </c>
      <c r="I683" s="51" t="str">
        <f>IF(archive!CK683="","",archive!CK683)</f>
        <v/>
      </c>
      <c r="J683" s="47" t="str">
        <f t="shared" si="143"/>
        <v/>
      </c>
      <c r="K683" s="51" t="str">
        <f t="shared" si="144"/>
        <v/>
      </c>
      <c r="L683" s="52" t="str">
        <f t="shared" si="145"/>
        <v/>
      </c>
      <c r="M683" s="53" t="str">
        <f t="shared" si="146"/>
        <v/>
      </c>
      <c r="N683" s="53" t="str">
        <f t="shared" si="147"/>
        <v/>
      </c>
      <c r="O683" s="53" t="str">
        <f t="shared" si="148"/>
        <v/>
      </c>
      <c r="P683" s="53" t="str">
        <f t="shared" si="149"/>
        <v/>
      </c>
      <c r="Q683" s="53" t="str">
        <f t="shared" si="150"/>
        <v/>
      </c>
      <c r="R683" s="53" t="str">
        <f t="shared" si="151"/>
        <v/>
      </c>
      <c r="S683" s="53" t="str">
        <f t="shared" si="152"/>
        <v/>
      </c>
      <c r="T683" s="53" t="str">
        <f t="shared" si="153"/>
        <v/>
      </c>
    </row>
    <row r="684" spans="1:20">
      <c r="A684" s="47" t="str">
        <f>IF(archive!E684="","",archive!E684)</f>
        <v/>
      </c>
      <c r="B684" s="48" t="str">
        <f t="shared" si="140"/>
        <v/>
      </c>
      <c r="C684" s="49" t="str">
        <f>IF(archive!F684="","",archive!F684)</f>
        <v/>
      </c>
      <c r="D684" s="50" t="str">
        <f t="shared" si="141"/>
        <v/>
      </c>
      <c r="E684" s="50" t="str">
        <f t="shared" si="142"/>
        <v/>
      </c>
      <c r="F684" s="47" t="str">
        <f>IF(COUNTA(archive!H684:CI684)=0,"",COUNTA(archive!H684:CI684))</f>
        <v/>
      </c>
      <c r="G684" s="47" t="str">
        <f>IF(archive!G684="","",archive!G684)</f>
        <v/>
      </c>
      <c r="H684" s="51" t="str">
        <f>IF(archive!CJ684="","",archive!CJ684)</f>
        <v/>
      </c>
      <c r="I684" s="51" t="str">
        <f>IF(archive!CK684="","",archive!CK684)</f>
        <v/>
      </c>
      <c r="J684" s="47" t="str">
        <f t="shared" si="143"/>
        <v/>
      </c>
      <c r="K684" s="51" t="str">
        <f t="shared" si="144"/>
        <v/>
      </c>
      <c r="L684" s="52" t="str">
        <f t="shared" si="145"/>
        <v/>
      </c>
      <c r="M684" s="53" t="str">
        <f t="shared" si="146"/>
        <v/>
      </c>
      <c r="N684" s="53" t="str">
        <f t="shared" si="147"/>
        <v/>
      </c>
      <c r="O684" s="53" t="str">
        <f t="shared" si="148"/>
        <v/>
      </c>
      <c r="P684" s="53" t="str">
        <f t="shared" si="149"/>
        <v/>
      </c>
      <c r="Q684" s="53" t="str">
        <f t="shared" si="150"/>
        <v/>
      </c>
      <c r="R684" s="53" t="str">
        <f t="shared" si="151"/>
        <v/>
      </c>
      <c r="S684" s="53" t="str">
        <f t="shared" si="152"/>
        <v/>
      </c>
      <c r="T684" s="53" t="str">
        <f t="shared" si="153"/>
        <v/>
      </c>
    </row>
    <row r="685" spans="1:20">
      <c r="A685" s="47" t="str">
        <f>IF(archive!E685="","",archive!E685)</f>
        <v/>
      </c>
      <c r="B685" s="48" t="str">
        <f t="shared" si="140"/>
        <v/>
      </c>
      <c r="C685" s="49" t="str">
        <f>IF(archive!F685="","",archive!F685)</f>
        <v/>
      </c>
      <c r="D685" s="50" t="str">
        <f t="shared" si="141"/>
        <v/>
      </c>
      <c r="E685" s="50" t="str">
        <f t="shared" si="142"/>
        <v/>
      </c>
      <c r="F685" s="47" t="str">
        <f>IF(COUNTA(archive!H685:CI685)=0,"",COUNTA(archive!H685:CI685))</f>
        <v/>
      </c>
      <c r="G685" s="47" t="str">
        <f>IF(archive!G685="","",archive!G685)</f>
        <v/>
      </c>
      <c r="H685" s="51" t="str">
        <f>IF(archive!CJ685="","",archive!CJ685)</f>
        <v/>
      </c>
      <c r="I685" s="51" t="str">
        <f>IF(archive!CK685="","",archive!CK685)</f>
        <v/>
      </c>
      <c r="J685" s="47" t="str">
        <f t="shared" si="143"/>
        <v/>
      </c>
      <c r="K685" s="51" t="str">
        <f t="shared" si="144"/>
        <v/>
      </c>
      <c r="L685" s="52" t="str">
        <f t="shared" si="145"/>
        <v/>
      </c>
      <c r="M685" s="53" t="str">
        <f t="shared" si="146"/>
        <v/>
      </c>
      <c r="N685" s="53" t="str">
        <f t="shared" si="147"/>
        <v/>
      </c>
      <c r="O685" s="53" t="str">
        <f t="shared" si="148"/>
        <v/>
      </c>
      <c r="P685" s="53" t="str">
        <f t="shared" si="149"/>
        <v/>
      </c>
      <c r="Q685" s="53" t="str">
        <f t="shared" si="150"/>
        <v/>
      </c>
      <c r="R685" s="53" t="str">
        <f t="shared" si="151"/>
        <v/>
      </c>
      <c r="S685" s="53" t="str">
        <f t="shared" si="152"/>
        <v/>
      </c>
      <c r="T685" s="53" t="str">
        <f t="shared" si="153"/>
        <v/>
      </c>
    </row>
    <row r="686" spans="1:20">
      <c r="A686" s="47" t="str">
        <f>IF(archive!E686="","",archive!E686)</f>
        <v/>
      </c>
      <c r="B686" s="48" t="str">
        <f t="shared" si="140"/>
        <v/>
      </c>
      <c r="C686" s="49" t="str">
        <f>IF(archive!F686="","",archive!F686)</f>
        <v/>
      </c>
      <c r="D686" s="50" t="str">
        <f t="shared" si="141"/>
        <v/>
      </c>
      <c r="E686" s="50" t="str">
        <f t="shared" si="142"/>
        <v/>
      </c>
      <c r="F686" s="47" t="str">
        <f>IF(COUNTA(archive!H686:CI686)=0,"",COUNTA(archive!H686:CI686))</f>
        <v/>
      </c>
      <c r="G686" s="47" t="str">
        <f>IF(archive!G686="","",archive!G686)</f>
        <v/>
      </c>
      <c r="H686" s="51" t="str">
        <f>IF(archive!CJ686="","",archive!CJ686)</f>
        <v/>
      </c>
      <c r="I686" s="51" t="str">
        <f>IF(archive!CK686="","",archive!CK686)</f>
        <v/>
      </c>
      <c r="J686" s="47" t="str">
        <f t="shared" si="143"/>
        <v/>
      </c>
      <c r="K686" s="51" t="str">
        <f t="shared" si="144"/>
        <v/>
      </c>
      <c r="L686" s="52" t="str">
        <f t="shared" si="145"/>
        <v/>
      </c>
      <c r="M686" s="53" t="str">
        <f t="shared" si="146"/>
        <v/>
      </c>
      <c r="N686" s="53" t="str">
        <f t="shared" si="147"/>
        <v/>
      </c>
      <c r="O686" s="53" t="str">
        <f t="shared" si="148"/>
        <v/>
      </c>
      <c r="P686" s="53" t="str">
        <f t="shared" si="149"/>
        <v/>
      </c>
      <c r="Q686" s="53" t="str">
        <f t="shared" si="150"/>
        <v/>
      </c>
      <c r="R686" s="53" t="str">
        <f t="shared" si="151"/>
        <v/>
      </c>
      <c r="S686" s="53" t="str">
        <f t="shared" si="152"/>
        <v/>
      </c>
      <c r="T686" s="53" t="str">
        <f t="shared" si="153"/>
        <v/>
      </c>
    </row>
    <row r="687" spans="1:20">
      <c r="A687" s="47" t="str">
        <f>IF(archive!E687="","",archive!E687)</f>
        <v/>
      </c>
      <c r="B687" s="48" t="str">
        <f t="shared" si="140"/>
        <v/>
      </c>
      <c r="C687" s="49" t="str">
        <f>IF(archive!F687="","",archive!F687)</f>
        <v/>
      </c>
      <c r="D687" s="50" t="str">
        <f t="shared" si="141"/>
        <v/>
      </c>
      <c r="E687" s="50" t="str">
        <f t="shared" si="142"/>
        <v/>
      </c>
      <c r="F687" s="47" t="str">
        <f>IF(COUNTA(archive!H687:CI687)=0,"",COUNTA(archive!H687:CI687))</f>
        <v/>
      </c>
      <c r="G687" s="47" t="str">
        <f>IF(archive!G687="","",archive!G687)</f>
        <v/>
      </c>
      <c r="H687" s="51" t="str">
        <f>IF(archive!CJ687="","",archive!CJ687)</f>
        <v/>
      </c>
      <c r="I687" s="51" t="str">
        <f>IF(archive!CK687="","",archive!CK687)</f>
        <v/>
      </c>
      <c r="J687" s="47" t="str">
        <f t="shared" si="143"/>
        <v/>
      </c>
      <c r="K687" s="51" t="str">
        <f t="shared" si="144"/>
        <v/>
      </c>
      <c r="L687" s="52" t="str">
        <f t="shared" si="145"/>
        <v/>
      </c>
      <c r="M687" s="53" t="str">
        <f t="shared" si="146"/>
        <v/>
      </c>
      <c r="N687" s="53" t="str">
        <f t="shared" si="147"/>
        <v/>
      </c>
      <c r="O687" s="53" t="str">
        <f t="shared" si="148"/>
        <v/>
      </c>
      <c r="P687" s="53" t="str">
        <f t="shared" si="149"/>
        <v/>
      </c>
      <c r="Q687" s="53" t="str">
        <f t="shared" si="150"/>
        <v/>
      </c>
      <c r="R687" s="53" t="str">
        <f t="shared" si="151"/>
        <v/>
      </c>
      <c r="S687" s="53" t="str">
        <f t="shared" si="152"/>
        <v/>
      </c>
      <c r="T687" s="53" t="str">
        <f t="shared" si="153"/>
        <v/>
      </c>
    </row>
    <row r="688" spans="1:20">
      <c r="A688" s="47" t="str">
        <f>IF(archive!E688="","",archive!E688)</f>
        <v/>
      </c>
      <c r="B688" s="48" t="str">
        <f t="shared" si="140"/>
        <v/>
      </c>
      <c r="C688" s="49" t="str">
        <f>IF(archive!F688="","",archive!F688)</f>
        <v/>
      </c>
      <c r="D688" s="50" t="str">
        <f t="shared" si="141"/>
        <v/>
      </c>
      <c r="E688" s="50" t="str">
        <f t="shared" si="142"/>
        <v/>
      </c>
      <c r="F688" s="47" t="str">
        <f>IF(COUNTA(archive!H688:CI688)=0,"",COUNTA(archive!H688:CI688))</f>
        <v/>
      </c>
      <c r="G688" s="47" t="str">
        <f>IF(archive!G688="","",archive!G688)</f>
        <v/>
      </c>
      <c r="H688" s="51" t="str">
        <f>IF(archive!CJ688="","",archive!CJ688)</f>
        <v/>
      </c>
      <c r="I688" s="51" t="str">
        <f>IF(archive!CK688="","",archive!CK688)</f>
        <v/>
      </c>
      <c r="J688" s="47" t="str">
        <f t="shared" si="143"/>
        <v/>
      </c>
      <c r="K688" s="51" t="str">
        <f t="shared" si="144"/>
        <v/>
      </c>
      <c r="L688" s="52" t="str">
        <f t="shared" si="145"/>
        <v/>
      </c>
      <c r="M688" s="53" t="str">
        <f t="shared" si="146"/>
        <v/>
      </c>
      <c r="N688" s="53" t="str">
        <f t="shared" si="147"/>
        <v/>
      </c>
      <c r="O688" s="53" t="str">
        <f t="shared" si="148"/>
        <v/>
      </c>
      <c r="P688" s="53" t="str">
        <f t="shared" si="149"/>
        <v/>
      </c>
      <c r="Q688" s="53" t="str">
        <f t="shared" si="150"/>
        <v/>
      </c>
      <c r="R688" s="53" t="str">
        <f t="shared" si="151"/>
        <v/>
      </c>
      <c r="S688" s="53" t="str">
        <f t="shared" si="152"/>
        <v/>
      </c>
      <c r="T688" s="53" t="str">
        <f t="shared" si="153"/>
        <v/>
      </c>
    </row>
    <row r="689" spans="1:20">
      <c r="A689" s="47" t="str">
        <f>IF(archive!E689="","",archive!E689)</f>
        <v/>
      </c>
      <c r="B689" s="48" t="str">
        <f t="shared" si="140"/>
        <v/>
      </c>
      <c r="C689" s="49" t="str">
        <f>IF(archive!F689="","",archive!F689)</f>
        <v/>
      </c>
      <c r="D689" s="50" t="str">
        <f t="shared" si="141"/>
        <v/>
      </c>
      <c r="E689" s="50" t="str">
        <f t="shared" si="142"/>
        <v/>
      </c>
      <c r="F689" s="47" t="str">
        <f>IF(COUNTA(archive!H689:CI689)=0,"",COUNTA(archive!H689:CI689))</f>
        <v/>
      </c>
      <c r="G689" s="47" t="str">
        <f>IF(archive!G689="","",archive!G689)</f>
        <v/>
      </c>
      <c r="H689" s="51" t="str">
        <f>IF(archive!CJ689="","",archive!CJ689)</f>
        <v/>
      </c>
      <c r="I689" s="51" t="str">
        <f>IF(archive!CK689="","",archive!CK689)</f>
        <v/>
      </c>
      <c r="J689" s="47" t="str">
        <f t="shared" si="143"/>
        <v/>
      </c>
      <c r="K689" s="51" t="str">
        <f t="shared" si="144"/>
        <v/>
      </c>
      <c r="L689" s="52" t="str">
        <f t="shared" si="145"/>
        <v/>
      </c>
      <c r="M689" s="53" t="str">
        <f t="shared" si="146"/>
        <v/>
      </c>
      <c r="N689" s="53" t="str">
        <f t="shared" si="147"/>
        <v/>
      </c>
      <c r="O689" s="53" t="str">
        <f t="shared" si="148"/>
        <v/>
      </c>
      <c r="P689" s="53" t="str">
        <f t="shared" si="149"/>
        <v/>
      </c>
      <c r="Q689" s="53" t="str">
        <f t="shared" si="150"/>
        <v/>
      </c>
      <c r="R689" s="53" t="str">
        <f t="shared" si="151"/>
        <v/>
      </c>
      <c r="S689" s="53" t="str">
        <f t="shared" si="152"/>
        <v/>
      </c>
      <c r="T689" s="53" t="str">
        <f t="shared" si="153"/>
        <v/>
      </c>
    </row>
    <row r="690" spans="1:20">
      <c r="A690" s="47" t="str">
        <f>IF(archive!E690="","",archive!E690)</f>
        <v/>
      </c>
      <c r="B690" s="48" t="str">
        <f t="shared" si="140"/>
        <v/>
      </c>
      <c r="C690" s="49" t="str">
        <f>IF(archive!F690="","",archive!F690)</f>
        <v/>
      </c>
      <c r="D690" s="50" t="str">
        <f t="shared" si="141"/>
        <v/>
      </c>
      <c r="E690" s="50" t="str">
        <f t="shared" si="142"/>
        <v/>
      </c>
      <c r="F690" s="47" t="str">
        <f>IF(COUNTA(archive!H690:CI690)=0,"",COUNTA(archive!H690:CI690))</f>
        <v/>
      </c>
      <c r="G690" s="47" t="str">
        <f>IF(archive!G690="","",archive!G690)</f>
        <v/>
      </c>
      <c r="H690" s="51" t="str">
        <f>IF(archive!CJ690="","",archive!CJ690)</f>
        <v/>
      </c>
      <c r="I690" s="51" t="str">
        <f>IF(archive!CK690="","",archive!CK690)</f>
        <v/>
      </c>
      <c r="J690" s="47" t="str">
        <f t="shared" si="143"/>
        <v/>
      </c>
      <c r="K690" s="51" t="str">
        <f t="shared" si="144"/>
        <v/>
      </c>
      <c r="L690" s="52" t="str">
        <f t="shared" si="145"/>
        <v/>
      </c>
      <c r="M690" s="53" t="str">
        <f t="shared" si="146"/>
        <v/>
      </c>
      <c r="N690" s="53" t="str">
        <f t="shared" si="147"/>
        <v/>
      </c>
      <c r="O690" s="53" t="str">
        <f t="shared" si="148"/>
        <v/>
      </c>
      <c r="P690" s="53" t="str">
        <f t="shared" si="149"/>
        <v/>
      </c>
      <c r="Q690" s="53" t="str">
        <f t="shared" si="150"/>
        <v/>
      </c>
      <c r="R690" s="53" t="str">
        <f t="shared" si="151"/>
        <v/>
      </c>
      <c r="S690" s="53" t="str">
        <f t="shared" si="152"/>
        <v/>
      </c>
      <c r="T690" s="53" t="str">
        <f t="shared" si="153"/>
        <v/>
      </c>
    </row>
    <row r="691" spans="1:20">
      <c r="A691" s="47" t="str">
        <f>IF(archive!E691="","",archive!E691)</f>
        <v/>
      </c>
      <c r="B691" s="48" t="str">
        <f t="shared" si="140"/>
        <v/>
      </c>
      <c r="C691" s="49" t="str">
        <f>IF(archive!F691="","",archive!F691)</f>
        <v/>
      </c>
      <c r="D691" s="50" t="str">
        <f t="shared" si="141"/>
        <v/>
      </c>
      <c r="E691" s="50" t="str">
        <f t="shared" si="142"/>
        <v/>
      </c>
      <c r="F691" s="47" t="str">
        <f>IF(COUNTA(archive!H691:CI691)=0,"",COUNTA(archive!H691:CI691))</f>
        <v/>
      </c>
      <c r="G691" s="47" t="str">
        <f>IF(archive!G691="","",archive!G691)</f>
        <v/>
      </c>
      <c r="H691" s="51" t="str">
        <f>IF(archive!CJ691="","",archive!CJ691)</f>
        <v/>
      </c>
      <c r="I691" s="51" t="str">
        <f>IF(archive!CK691="","",archive!CK691)</f>
        <v/>
      </c>
      <c r="J691" s="47" t="str">
        <f t="shared" si="143"/>
        <v/>
      </c>
      <c r="K691" s="51" t="str">
        <f t="shared" si="144"/>
        <v/>
      </c>
      <c r="L691" s="52" t="str">
        <f t="shared" si="145"/>
        <v/>
      </c>
      <c r="M691" s="53" t="str">
        <f t="shared" si="146"/>
        <v/>
      </c>
      <c r="N691" s="53" t="str">
        <f t="shared" si="147"/>
        <v/>
      </c>
      <c r="O691" s="53" t="str">
        <f t="shared" si="148"/>
        <v/>
      </c>
      <c r="P691" s="53" t="str">
        <f t="shared" si="149"/>
        <v/>
      </c>
      <c r="Q691" s="53" t="str">
        <f t="shared" si="150"/>
        <v/>
      </c>
      <c r="R691" s="53" t="str">
        <f t="shared" si="151"/>
        <v/>
      </c>
      <c r="S691" s="53" t="str">
        <f t="shared" si="152"/>
        <v/>
      </c>
      <c r="T691" s="53" t="str">
        <f t="shared" si="153"/>
        <v/>
      </c>
    </row>
    <row r="692" spans="1:20">
      <c r="A692" s="47" t="str">
        <f>IF(archive!E692="","",archive!E692)</f>
        <v/>
      </c>
      <c r="B692" s="48" t="str">
        <f t="shared" si="140"/>
        <v/>
      </c>
      <c r="C692" s="49" t="str">
        <f>IF(archive!F692="","",archive!F692)</f>
        <v/>
      </c>
      <c r="D692" s="50" t="str">
        <f t="shared" si="141"/>
        <v/>
      </c>
      <c r="E692" s="50" t="str">
        <f t="shared" si="142"/>
        <v/>
      </c>
      <c r="F692" s="47" t="str">
        <f>IF(COUNTA(archive!H692:CI692)=0,"",COUNTA(archive!H692:CI692))</f>
        <v/>
      </c>
      <c r="G692" s="47" t="str">
        <f>IF(archive!G692="","",archive!G692)</f>
        <v/>
      </c>
      <c r="H692" s="51" t="str">
        <f>IF(archive!CJ692="","",archive!CJ692)</f>
        <v/>
      </c>
      <c r="I692" s="51" t="str">
        <f>IF(archive!CK692="","",archive!CK692)</f>
        <v/>
      </c>
      <c r="J692" s="47" t="str">
        <f t="shared" si="143"/>
        <v/>
      </c>
      <c r="K692" s="51" t="str">
        <f t="shared" si="144"/>
        <v/>
      </c>
      <c r="L692" s="52" t="str">
        <f t="shared" si="145"/>
        <v/>
      </c>
      <c r="M692" s="53" t="str">
        <f t="shared" si="146"/>
        <v/>
      </c>
      <c r="N692" s="53" t="str">
        <f t="shared" si="147"/>
        <v/>
      </c>
      <c r="O692" s="53" t="str">
        <f t="shared" si="148"/>
        <v/>
      </c>
      <c r="P692" s="53" t="str">
        <f t="shared" si="149"/>
        <v/>
      </c>
      <c r="Q692" s="53" t="str">
        <f t="shared" si="150"/>
        <v/>
      </c>
      <c r="R692" s="53" t="str">
        <f t="shared" si="151"/>
        <v/>
      </c>
      <c r="S692" s="53" t="str">
        <f t="shared" si="152"/>
        <v/>
      </c>
      <c r="T692" s="53" t="str">
        <f t="shared" si="153"/>
        <v/>
      </c>
    </row>
    <row r="693" spans="1:20">
      <c r="A693" s="47" t="str">
        <f>IF(archive!E693="","",archive!E693)</f>
        <v/>
      </c>
      <c r="B693" s="48" t="str">
        <f t="shared" si="140"/>
        <v/>
      </c>
      <c r="C693" s="49" t="str">
        <f>IF(archive!F693="","",archive!F693)</f>
        <v/>
      </c>
      <c r="D693" s="50" t="str">
        <f t="shared" si="141"/>
        <v/>
      </c>
      <c r="E693" s="50" t="str">
        <f t="shared" si="142"/>
        <v/>
      </c>
      <c r="F693" s="47" t="str">
        <f>IF(COUNTA(archive!H693:CI693)=0,"",COUNTA(archive!H693:CI693))</f>
        <v/>
      </c>
      <c r="G693" s="47" t="str">
        <f>IF(archive!G693="","",archive!G693)</f>
        <v/>
      </c>
      <c r="H693" s="51" t="str">
        <f>IF(archive!CJ693="","",archive!CJ693)</f>
        <v/>
      </c>
      <c r="I693" s="51" t="str">
        <f>IF(archive!CK693="","",archive!CK693)</f>
        <v/>
      </c>
      <c r="J693" s="47" t="str">
        <f t="shared" si="143"/>
        <v/>
      </c>
      <c r="K693" s="51" t="str">
        <f t="shared" si="144"/>
        <v/>
      </c>
      <c r="L693" s="52" t="str">
        <f t="shared" si="145"/>
        <v/>
      </c>
      <c r="M693" s="53" t="str">
        <f t="shared" si="146"/>
        <v/>
      </c>
      <c r="N693" s="53" t="str">
        <f t="shared" si="147"/>
        <v/>
      </c>
      <c r="O693" s="53" t="str">
        <f t="shared" si="148"/>
        <v/>
      </c>
      <c r="P693" s="53" t="str">
        <f t="shared" si="149"/>
        <v/>
      </c>
      <c r="Q693" s="53" t="str">
        <f t="shared" si="150"/>
        <v/>
      </c>
      <c r="R693" s="53" t="str">
        <f t="shared" si="151"/>
        <v/>
      </c>
      <c r="S693" s="53" t="str">
        <f t="shared" si="152"/>
        <v/>
      </c>
      <c r="T693" s="53" t="str">
        <f t="shared" si="153"/>
        <v/>
      </c>
    </row>
    <row r="694" spans="1:20">
      <c r="A694" s="47" t="str">
        <f>IF(archive!E694="","",archive!E694)</f>
        <v/>
      </c>
      <c r="B694" s="48" t="str">
        <f t="shared" si="140"/>
        <v/>
      </c>
      <c r="C694" s="49" t="str">
        <f>IF(archive!F694="","",archive!F694)</f>
        <v/>
      </c>
      <c r="D694" s="50" t="str">
        <f t="shared" si="141"/>
        <v/>
      </c>
      <c r="E694" s="50" t="str">
        <f t="shared" si="142"/>
        <v/>
      </c>
      <c r="F694" s="47" t="str">
        <f>IF(COUNTA(archive!H694:CI694)=0,"",COUNTA(archive!H694:CI694))</f>
        <v/>
      </c>
      <c r="G694" s="47" t="str">
        <f>IF(archive!G694="","",archive!G694)</f>
        <v/>
      </c>
      <c r="H694" s="51" t="str">
        <f>IF(archive!CJ694="","",archive!CJ694)</f>
        <v/>
      </c>
      <c r="I694" s="51" t="str">
        <f>IF(archive!CK694="","",archive!CK694)</f>
        <v/>
      </c>
      <c r="J694" s="47" t="str">
        <f t="shared" si="143"/>
        <v/>
      </c>
      <c r="K694" s="51" t="str">
        <f t="shared" si="144"/>
        <v/>
      </c>
      <c r="L694" s="52" t="str">
        <f t="shared" si="145"/>
        <v/>
      </c>
      <c r="M694" s="53" t="str">
        <f t="shared" si="146"/>
        <v/>
      </c>
      <c r="N694" s="53" t="str">
        <f t="shared" si="147"/>
        <v/>
      </c>
      <c r="O694" s="53" t="str">
        <f t="shared" si="148"/>
        <v/>
      </c>
      <c r="P694" s="53" t="str">
        <f t="shared" si="149"/>
        <v/>
      </c>
      <c r="Q694" s="53" t="str">
        <f t="shared" si="150"/>
        <v/>
      </c>
      <c r="R694" s="53" t="str">
        <f t="shared" si="151"/>
        <v/>
      </c>
      <c r="S694" s="53" t="str">
        <f t="shared" si="152"/>
        <v/>
      </c>
      <c r="T694" s="53" t="str">
        <f t="shared" si="153"/>
        <v/>
      </c>
    </row>
    <row r="695" spans="1:20">
      <c r="A695" s="47" t="str">
        <f>IF(archive!E695="","",archive!E695)</f>
        <v/>
      </c>
      <c r="B695" s="48" t="str">
        <f t="shared" si="140"/>
        <v/>
      </c>
      <c r="C695" s="49" t="str">
        <f>IF(archive!F695="","",archive!F695)</f>
        <v/>
      </c>
      <c r="D695" s="50" t="str">
        <f t="shared" si="141"/>
        <v/>
      </c>
      <c r="E695" s="50" t="str">
        <f t="shared" si="142"/>
        <v/>
      </c>
      <c r="F695" s="47" t="str">
        <f>IF(COUNTA(archive!H695:CI695)=0,"",COUNTA(archive!H695:CI695))</f>
        <v/>
      </c>
      <c r="G695" s="47" t="str">
        <f>IF(archive!G695="","",archive!G695)</f>
        <v/>
      </c>
      <c r="H695" s="51" t="str">
        <f>IF(archive!CJ695="","",archive!CJ695)</f>
        <v/>
      </c>
      <c r="I695" s="51" t="str">
        <f>IF(archive!CK695="","",archive!CK695)</f>
        <v/>
      </c>
      <c r="J695" s="47" t="str">
        <f t="shared" si="143"/>
        <v/>
      </c>
      <c r="K695" s="51" t="str">
        <f t="shared" si="144"/>
        <v/>
      </c>
      <c r="L695" s="52" t="str">
        <f t="shared" si="145"/>
        <v/>
      </c>
      <c r="M695" s="53" t="str">
        <f t="shared" si="146"/>
        <v/>
      </c>
      <c r="N695" s="53" t="str">
        <f t="shared" si="147"/>
        <v/>
      </c>
      <c r="O695" s="53" t="str">
        <f t="shared" si="148"/>
        <v/>
      </c>
      <c r="P695" s="53" t="str">
        <f t="shared" si="149"/>
        <v/>
      </c>
      <c r="Q695" s="53" t="str">
        <f t="shared" si="150"/>
        <v/>
      </c>
      <c r="R695" s="53" t="str">
        <f t="shared" si="151"/>
        <v/>
      </c>
      <c r="S695" s="53" t="str">
        <f t="shared" si="152"/>
        <v/>
      </c>
      <c r="T695" s="53" t="str">
        <f t="shared" si="153"/>
        <v/>
      </c>
    </row>
    <row r="696" spans="1:20">
      <c r="A696" s="47" t="str">
        <f>IF(archive!E696="","",archive!E696)</f>
        <v/>
      </c>
      <c r="B696" s="48" t="str">
        <f t="shared" si="140"/>
        <v/>
      </c>
      <c r="C696" s="49" t="str">
        <f>IF(archive!F696="","",archive!F696)</f>
        <v/>
      </c>
      <c r="D696" s="50" t="str">
        <f t="shared" si="141"/>
        <v/>
      </c>
      <c r="E696" s="50" t="str">
        <f t="shared" si="142"/>
        <v/>
      </c>
      <c r="F696" s="47" t="str">
        <f>IF(COUNTA(archive!H696:CI696)=0,"",COUNTA(archive!H696:CI696))</f>
        <v/>
      </c>
      <c r="G696" s="47" t="str">
        <f>IF(archive!G696="","",archive!G696)</f>
        <v/>
      </c>
      <c r="H696" s="51" t="str">
        <f>IF(archive!CJ696="","",archive!CJ696)</f>
        <v/>
      </c>
      <c r="I696" s="51" t="str">
        <f>IF(archive!CK696="","",archive!CK696)</f>
        <v/>
      </c>
      <c r="J696" s="47" t="str">
        <f t="shared" si="143"/>
        <v/>
      </c>
      <c r="K696" s="51" t="str">
        <f t="shared" si="144"/>
        <v/>
      </c>
      <c r="L696" s="52" t="str">
        <f t="shared" si="145"/>
        <v/>
      </c>
      <c r="M696" s="53" t="str">
        <f t="shared" si="146"/>
        <v/>
      </c>
      <c r="N696" s="53" t="str">
        <f t="shared" si="147"/>
        <v/>
      </c>
      <c r="O696" s="53" t="str">
        <f t="shared" si="148"/>
        <v/>
      </c>
      <c r="P696" s="53" t="str">
        <f t="shared" si="149"/>
        <v/>
      </c>
      <c r="Q696" s="53" t="str">
        <f t="shared" si="150"/>
        <v/>
      </c>
      <c r="R696" s="53" t="str">
        <f t="shared" si="151"/>
        <v/>
      </c>
      <c r="S696" s="53" t="str">
        <f t="shared" si="152"/>
        <v/>
      </c>
      <c r="T696" s="53" t="str">
        <f t="shared" si="153"/>
        <v/>
      </c>
    </row>
    <row r="697" spans="1:20">
      <c r="A697" s="47" t="str">
        <f>IF(archive!E697="","",archive!E697)</f>
        <v/>
      </c>
      <c r="B697" s="48" t="str">
        <f t="shared" si="140"/>
        <v/>
      </c>
      <c r="C697" s="49" t="str">
        <f>IF(archive!F697="","",archive!F697)</f>
        <v/>
      </c>
      <c r="D697" s="50" t="str">
        <f t="shared" si="141"/>
        <v/>
      </c>
      <c r="E697" s="50" t="str">
        <f t="shared" si="142"/>
        <v/>
      </c>
      <c r="F697" s="47" t="str">
        <f>IF(COUNTA(archive!H697:CI697)=0,"",COUNTA(archive!H697:CI697))</f>
        <v/>
      </c>
      <c r="G697" s="47" t="str">
        <f>IF(archive!G697="","",archive!G697)</f>
        <v/>
      </c>
      <c r="H697" s="51" t="str">
        <f>IF(archive!CJ697="","",archive!CJ697)</f>
        <v/>
      </c>
      <c r="I697" s="51" t="str">
        <f>IF(archive!CK697="","",archive!CK697)</f>
        <v/>
      </c>
      <c r="J697" s="47" t="str">
        <f t="shared" si="143"/>
        <v/>
      </c>
      <c r="K697" s="51" t="str">
        <f t="shared" si="144"/>
        <v/>
      </c>
      <c r="L697" s="52" t="str">
        <f t="shared" si="145"/>
        <v/>
      </c>
      <c r="M697" s="53" t="str">
        <f t="shared" si="146"/>
        <v/>
      </c>
      <c r="N697" s="53" t="str">
        <f t="shared" si="147"/>
        <v/>
      </c>
      <c r="O697" s="53" t="str">
        <f t="shared" si="148"/>
        <v/>
      </c>
      <c r="P697" s="53" t="str">
        <f t="shared" si="149"/>
        <v/>
      </c>
      <c r="Q697" s="53" t="str">
        <f t="shared" si="150"/>
        <v/>
      </c>
      <c r="R697" s="53" t="str">
        <f t="shared" si="151"/>
        <v/>
      </c>
      <c r="S697" s="53" t="str">
        <f t="shared" si="152"/>
        <v/>
      </c>
      <c r="T697" s="53" t="str">
        <f t="shared" si="153"/>
        <v/>
      </c>
    </row>
    <row r="698" spans="1:20">
      <c r="A698" s="47" t="str">
        <f>IF(archive!E698="","",archive!E698)</f>
        <v/>
      </c>
      <c r="B698" s="48" t="str">
        <f t="shared" si="140"/>
        <v/>
      </c>
      <c r="C698" s="49" t="str">
        <f>IF(archive!F698="","",archive!F698)</f>
        <v/>
      </c>
      <c r="D698" s="50" t="str">
        <f t="shared" si="141"/>
        <v/>
      </c>
      <c r="E698" s="50" t="str">
        <f t="shared" si="142"/>
        <v/>
      </c>
      <c r="F698" s="47" t="str">
        <f>IF(COUNTA(archive!H698:CI698)=0,"",COUNTA(archive!H698:CI698))</f>
        <v/>
      </c>
      <c r="G698" s="47" t="str">
        <f>IF(archive!G698="","",archive!G698)</f>
        <v/>
      </c>
      <c r="H698" s="51" t="str">
        <f>IF(archive!CJ698="","",archive!CJ698)</f>
        <v/>
      </c>
      <c r="I698" s="51" t="str">
        <f>IF(archive!CK698="","",archive!CK698)</f>
        <v/>
      </c>
      <c r="J698" s="47" t="str">
        <f t="shared" si="143"/>
        <v/>
      </c>
      <c r="K698" s="51" t="str">
        <f t="shared" si="144"/>
        <v/>
      </c>
      <c r="L698" s="52" t="str">
        <f t="shared" si="145"/>
        <v/>
      </c>
      <c r="M698" s="53" t="str">
        <f t="shared" si="146"/>
        <v/>
      </c>
      <c r="N698" s="53" t="str">
        <f t="shared" si="147"/>
        <v/>
      </c>
      <c r="O698" s="53" t="str">
        <f t="shared" si="148"/>
        <v/>
      </c>
      <c r="P698" s="53" t="str">
        <f t="shared" si="149"/>
        <v/>
      </c>
      <c r="Q698" s="53" t="str">
        <f t="shared" si="150"/>
        <v/>
      </c>
      <c r="R698" s="53" t="str">
        <f t="shared" si="151"/>
        <v/>
      </c>
      <c r="S698" s="53" t="str">
        <f t="shared" si="152"/>
        <v/>
      </c>
      <c r="T698" s="53" t="str">
        <f t="shared" si="153"/>
        <v/>
      </c>
    </row>
    <row r="699" spans="1:20">
      <c r="A699" s="47" t="str">
        <f>IF(archive!E699="","",archive!E699)</f>
        <v/>
      </c>
      <c r="B699" s="48" t="str">
        <f t="shared" si="140"/>
        <v/>
      </c>
      <c r="C699" s="49" t="str">
        <f>IF(archive!F699="","",archive!F699)</f>
        <v/>
      </c>
      <c r="D699" s="50" t="str">
        <f t="shared" si="141"/>
        <v/>
      </c>
      <c r="E699" s="50" t="str">
        <f t="shared" si="142"/>
        <v/>
      </c>
      <c r="F699" s="47" t="str">
        <f>IF(COUNTA(archive!H699:CI699)=0,"",COUNTA(archive!H699:CI699))</f>
        <v/>
      </c>
      <c r="G699" s="47" t="str">
        <f>IF(archive!G699="","",archive!G699)</f>
        <v/>
      </c>
      <c r="H699" s="51" t="str">
        <f>IF(archive!CJ699="","",archive!CJ699)</f>
        <v/>
      </c>
      <c r="I699" s="51" t="str">
        <f>IF(archive!CK699="","",archive!CK699)</f>
        <v/>
      </c>
      <c r="J699" s="47" t="str">
        <f t="shared" si="143"/>
        <v/>
      </c>
      <c r="K699" s="51" t="str">
        <f t="shared" si="144"/>
        <v/>
      </c>
      <c r="L699" s="52" t="str">
        <f t="shared" si="145"/>
        <v/>
      </c>
      <c r="M699" s="53" t="str">
        <f t="shared" si="146"/>
        <v/>
      </c>
      <c r="N699" s="53" t="str">
        <f t="shared" si="147"/>
        <v/>
      </c>
      <c r="O699" s="53" t="str">
        <f t="shared" si="148"/>
        <v/>
      </c>
      <c r="P699" s="53" t="str">
        <f t="shared" si="149"/>
        <v/>
      </c>
      <c r="Q699" s="53" t="str">
        <f t="shared" si="150"/>
        <v/>
      </c>
      <c r="R699" s="53" t="str">
        <f t="shared" si="151"/>
        <v/>
      </c>
      <c r="S699" s="53" t="str">
        <f t="shared" si="152"/>
        <v/>
      </c>
      <c r="T699" s="53" t="str">
        <f t="shared" si="153"/>
        <v/>
      </c>
    </row>
    <row r="700" spans="1:20">
      <c r="A700" s="47" t="str">
        <f>IF(archive!E700="","",archive!E700)</f>
        <v/>
      </c>
      <c r="B700" s="48" t="str">
        <f t="shared" si="140"/>
        <v/>
      </c>
      <c r="C700" s="49" t="str">
        <f>IF(archive!F700="","",archive!F700)</f>
        <v/>
      </c>
      <c r="D700" s="50" t="str">
        <f t="shared" si="141"/>
        <v/>
      </c>
      <c r="E700" s="50" t="str">
        <f t="shared" si="142"/>
        <v/>
      </c>
      <c r="F700" s="47" t="str">
        <f>IF(COUNTA(archive!H700:CI700)=0,"",COUNTA(archive!H700:CI700))</f>
        <v/>
      </c>
      <c r="G700" s="47" t="str">
        <f>IF(archive!G700="","",archive!G700)</f>
        <v/>
      </c>
      <c r="H700" s="51" t="str">
        <f>IF(archive!CJ700="","",archive!CJ700)</f>
        <v/>
      </c>
      <c r="I700" s="51" t="str">
        <f>IF(archive!CK700="","",archive!CK700)</f>
        <v/>
      </c>
      <c r="J700" s="47" t="str">
        <f t="shared" si="143"/>
        <v/>
      </c>
      <c r="K700" s="51" t="str">
        <f t="shared" si="144"/>
        <v/>
      </c>
      <c r="L700" s="52" t="str">
        <f t="shared" si="145"/>
        <v/>
      </c>
      <c r="M700" s="53" t="str">
        <f t="shared" si="146"/>
        <v/>
      </c>
      <c r="N700" s="53" t="str">
        <f t="shared" si="147"/>
        <v/>
      </c>
      <c r="O700" s="53" t="str">
        <f t="shared" si="148"/>
        <v/>
      </c>
      <c r="P700" s="53" t="str">
        <f t="shared" si="149"/>
        <v/>
      </c>
      <c r="Q700" s="53" t="str">
        <f t="shared" si="150"/>
        <v/>
      </c>
      <c r="R700" s="53" t="str">
        <f t="shared" si="151"/>
        <v/>
      </c>
      <c r="S700" s="53" t="str">
        <f t="shared" si="152"/>
        <v/>
      </c>
      <c r="T700" s="53" t="str">
        <f t="shared" si="153"/>
        <v/>
      </c>
    </row>
    <row r="701" spans="1:20">
      <c r="A701" s="47" t="str">
        <f>IF(archive!E701="","",archive!E701)</f>
        <v/>
      </c>
      <c r="B701" s="48" t="str">
        <f t="shared" si="140"/>
        <v/>
      </c>
      <c r="C701" s="49" t="str">
        <f>IF(archive!F701="","",archive!F701)</f>
        <v/>
      </c>
      <c r="D701" s="50" t="str">
        <f t="shared" si="141"/>
        <v/>
      </c>
      <c r="E701" s="50" t="str">
        <f t="shared" si="142"/>
        <v/>
      </c>
      <c r="F701" s="47" t="str">
        <f>IF(COUNTA(archive!H701:CI701)=0,"",COUNTA(archive!H701:CI701))</f>
        <v/>
      </c>
      <c r="G701" s="47" t="str">
        <f>IF(archive!G701="","",archive!G701)</f>
        <v/>
      </c>
      <c r="H701" s="51" t="str">
        <f>IF(archive!CJ701="","",archive!CJ701)</f>
        <v/>
      </c>
      <c r="I701" s="51" t="str">
        <f>IF(archive!CK701="","",archive!CK701)</f>
        <v/>
      </c>
      <c r="J701" s="47" t="str">
        <f t="shared" si="143"/>
        <v/>
      </c>
      <c r="K701" s="51" t="str">
        <f t="shared" si="144"/>
        <v/>
      </c>
      <c r="L701" s="52" t="str">
        <f t="shared" si="145"/>
        <v/>
      </c>
      <c r="M701" s="53" t="str">
        <f t="shared" si="146"/>
        <v/>
      </c>
      <c r="N701" s="53" t="str">
        <f t="shared" si="147"/>
        <v/>
      </c>
      <c r="O701" s="53" t="str">
        <f t="shared" si="148"/>
        <v/>
      </c>
      <c r="P701" s="53" t="str">
        <f t="shared" si="149"/>
        <v/>
      </c>
      <c r="Q701" s="53" t="str">
        <f t="shared" si="150"/>
        <v/>
      </c>
      <c r="R701" s="53" t="str">
        <f t="shared" si="151"/>
        <v/>
      </c>
      <c r="S701" s="53" t="str">
        <f t="shared" si="152"/>
        <v/>
      </c>
      <c r="T701" s="53" t="str">
        <f t="shared" si="153"/>
        <v/>
      </c>
    </row>
    <row r="702" spans="1:20">
      <c r="A702" s="47" t="str">
        <f>IF(archive!E702="","",archive!E702)</f>
        <v/>
      </c>
      <c r="B702" s="48" t="str">
        <f t="shared" si="140"/>
        <v/>
      </c>
      <c r="C702" s="49" t="str">
        <f>IF(archive!F702="","",archive!F702)</f>
        <v/>
      </c>
      <c r="D702" s="50" t="str">
        <f t="shared" si="141"/>
        <v/>
      </c>
      <c r="E702" s="50" t="str">
        <f t="shared" si="142"/>
        <v/>
      </c>
      <c r="F702" s="47" t="str">
        <f>IF(COUNTA(archive!H702:CI702)=0,"",COUNTA(archive!H702:CI702))</f>
        <v/>
      </c>
      <c r="G702" s="47" t="str">
        <f>IF(archive!G702="","",archive!G702)</f>
        <v/>
      </c>
      <c r="H702" s="51" t="str">
        <f>IF(archive!CJ702="","",archive!CJ702)</f>
        <v/>
      </c>
      <c r="I702" s="51" t="str">
        <f>IF(archive!CK702="","",archive!CK702)</f>
        <v/>
      </c>
      <c r="J702" s="47" t="str">
        <f t="shared" si="143"/>
        <v/>
      </c>
      <c r="K702" s="51" t="str">
        <f t="shared" si="144"/>
        <v/>
      </c>
      <c r="L702" s="52" t="str">
        <f t="shared" si="145"/>
        <v/>
      </c>
      <c r="M702" s="53" t="str">
        <f t="shared" si="146"/>
        <v/>
      </c>
      <c r="N702" s="53" t="str">
        <f t="shared" si="147"/>
        <v/>
      </c>
      <c r="O702" s="53" t="str">
        <f t="shared" si="148"/>
        <v/>
      </c>
      <c r="P702" s="53" t="str">
        <f t="shared" si="149"/>
        <v/>
      </c>
      <c r="Q702" s="53" t="str">
        <f t="shared" si="150"/>
        <v/>
      </c>
      <c r="R702" s="53" t="str">
        <f t="shared" si="151"/>
        <v/>
      </c>
      <c r="S702" s="53" t="str">
        <f t="shared" si="152"/>
        <v/>
      </c>
      <c r="T702" s="53" t="str">
        <f t="shared" si="153"/>
        <v/>
      </c>
    </row>
    <row r="703" spans="1:20">
      <c r="A703" s="47" t="str">
        <f>IF(archive!E703="","",archive!E703)</f>
        <v/>
      </c>
      <c r="B703" s="48" t="str">
        <f t="shared" si="140"/>
        <v/>
      </c>
      <c r="C703" s="49" t="str">
        <f>IF(archive!F703="","",archive!F703)</f>
        <v/>
      </c>
      <c r="D703" s="50" t="str">
        <f t="shared" si="141"/>
        <v/>
      </c>
      <c r="E703" s="50" t="str">
        <f t="shared" si="142"/>
        <v/>
      </c>
      <c r="F703" s="47" t="str">
        <f>IF(COUNTA(archive!H703:CI703)=0,"",COUNTA(archive!H703:CI703))</f>
        <v/>
      </c>
      <c r="G703" s="47" t="str">
        <f>IF(archive!G703="","",archive!G703)</f>
        <v/>
      </c>
      <c r="H703" s="51" t="str">
        <f>IF(archive!CJ703="","",archive!CJ703)</f>
        <v/>
      </c>
      <c r="I703" s="51" t="str">
        <f>IF(archive!CK703="","",archive!CK703)</f>
        <v/>
      </c>
      <c r="J703" s="47" t="str">
        <f t="shared" si="143"/>
        <v/>
      </c>
      <c r="K703" s="51" t="str">
        <f t="shared" si="144"/>
        <v/>
      </c>
      <c r="L703" s="52" t="str">
        <f t="shared" si="145"/>
        <v/>
      </c>
      <c r="M703" s="53" t="str">
        <f t="shared" si="146"/>
        <v/>
      </c>
      <c r="N703" s="53" t="str">
        <f t="shared" si="147"/>
        <v/>
      </c>
      <c r="O703" s="53" t="str">
        <f t="shared" si="148"/>
        <v/>
      </c>
      <c r="P703" s="53" t="str">
        <f t="shared" si="149"/>
        <v/>
      </c>
      <c r="Q703" s="53" t="str">
        <f t="shared" si="150"/>
        <v/>
      </c>
      <c r="R703" s="53" t="str">
        <f t="shared" si="151"/>
        <v/>
      </c>
      <c r="S703" s="53" t="str">
        <f t="shared" si="152"/>
        <v/>
      </c>
      <c r="T703" s="53" t="str">
        <f t="shared" si="153"/>
        <v/>
      </c>
    </row>
    <row r="704" spans="1:20">
      <c r="A704" s="47" t="str">
        <f>IF(archive!E704="","",archive!E704)</f>
        <v/>
      </c>
      <c r="B704" s="48" t="str">
        <f t="shared" si="140"/>
        <v/>
      </c>
      <c r="C704" s="49" t="str">
        <f>IF(archive!F704="","",archive!F704)</f>
        <v/>
      </c>
      <c r="D704" s="50" t="str">
        <f t="shared" si="141"/>
        <v/>
      </c>
      <c r="E704" s="50" t="str">
        <f t="shared" si="142"/>
        <v/>
      </c>
      <c r="F704" s="47" t="str">
        <f>IF(COUNTA(archive!H704:CI704)=0,"",COUNTA(archive!H704:CI704))</f>
        <v/>
      </c>
      <c r="G704" s="47" t="str">
        <f>IF(archive!G704="","",archive!G704)</f>
        <v/>
      </c>
      <c r="H704" s="51" t="str">
        <f>IF(archive!CJ704="","",archive!CJ704)</f>
        <v/>
      </c>
      <c r="I704" s="51" t="str">
        <f>IF(archive!CK704="","",archive!CK704)</f>
        <v/>
      </c>
      <c r="J704" s="47" t="str">
        <f t="shared" si="143"/>
        <v/>
      </c>
      <c r="K704" s="51" t="str">
        <f t="shared" si="144"/>
        <v/>
      </c>
      <c r="L704" s="52" t="str">
        <f t="shared" si="145"/>
        <v/>
      </c>
      <c r="M704" s="53" t="str">
        <f t="shared" si="146"/>
        <v/>
      </c>
      <c r="N704" s="53" t="str">
        <f t="shared" si="147"/>
        <v/>
      </c>
      <c r="O704" s="53" t="str">
        <f t="shared" si="148"/>
        <v/>
      </c>
      <c r="P704" s="53" t="str">
        <f t="shared" si="149"/>
        <v/>
      </c>
      <c r="Q704" s="53" t="str">
        <f t="shared" si="150"/>
        <v/>
      </c>
      <c r="R704" s="53" t="str">
        <f t="shared" si="151"/>
        <v/>
      </c>
      <c r="S704" s="53" t="str">
        <f t="shared" si="152"/>
        <v/>
      </c>
      <c r="T704" s="53" t="str">
        <f t="shared" si="153"/>
        <v/>
      </c>
    </row>
    <row r="705" spans="1:20">
      <c r="A705" s="47" t="str">
        <f>IF(archive!E705="","",archive!E705)</f>
        <v/>
      </c>
      <c r="B705" s="48" t="str">
        <f t="shared" si="140"/>
        <v/>
      </c>
      <c r="C705" s="49" t="str">
        <f>IF(archive!F705="","",archive!F705)</f>
        <v/>
      </c>
      <c r="D705" s="50" t="str">
        <f t="shared" si="141"/>
        <v/>
      </c>
      <c r="E705" s="50" t="str">
        <f t="shared" si="142"/>
        <v/>
      </c>
      <c r="F705" s="47" t="str">
        <f>IF(COUNTA(archive!H705:CI705)=0,"",COUNTA(archive!H705:CI705))</f>
        <v/>
      </c>
      <c r="G705" s="47" t="str">
        <f>IF(archive!G705="","",archive!G705)</f>
        <v/>
      </c>
      <c r="H705" s="51" t="str">
        <f>IF(archive!CJ705="","",archive!CJ705)</f>
        <v/>
      </c>
      <c r="I705" s="51" t="str">
        <f>IF(archive!CK705="","",archive!CK705)</f>
        <v/>
      </c>
      <c r="J705" s="47" t="str">
        <f t="shared" si="143"/>
        <v/>
      </c>
      <c r="K705" s="51" t="str">
        <f t="shared" si="144"/>
        <v/>
      </c>
      <c r="L705" s="52" t="str">
        <f t="shared" si="145"/>
        <v/>
      </c>
      <c r="M705" s="53" t="str">
        <f t="shared" si="146"/>
        <v/>
      </c>
      <c r="N705" s="53" t="str">
        <f t="shared" si="147"/>
        <v/>
      </c>
      <c r="O705" s="53" t="str">
        <f t="shared" si="148"/>
        <v/>
      </c>
      <c r="P705" s="53" t="str">
        <f t="shared" si="149"/>
        <v/>
      </c>
      <c r="Q705" s="53" t="str">
        <f t="shared" si="150"/>
        <v/>
      </c>
      <c r="R705" s="53" t="str">
        <f t="shared" si="151"/>
        <v/>
      </c>
      <c r="S705" s="53" t="str">
        <f t="shared" si="152"/>
        <v/>
      </c>
      <c r="T705" s="53" t="str">
        <f t="shared" si="153"/>
        <v/>
      </c>
    </row>
    <row r="706" spans="1:20">
      <c r="A706" s="47" t="str">
        <f>IF(archive!E706="","",archive!E706)</f>
        <v/>
      </c>
      <c r="B706" s="48" t="str">
        <f t="shared" si="140"/>
        <v/>
      </c>
      <c r="C706" s="49" t="str">
        <f>IF(archive!F706="","",archive!F706)</f>
        <v/>
      </c>
      <c r="D706" s="50" t="str">
        <f t="shared" si="141"/>
        <v/>
      </c>
      <c r="E706" s="50" t="str">
        <f t="shared" si="142"/>
        <v/>
      </c>
      <c r="F706" s="47" t="str">
        <f>IF(COUNTA(archive!H706:CI706)=0,"",COUNTA(archive!H706:CI706))</f>
        <v/>
      </c>
      <c r="G706" s="47" t="str">
        <f>IF(archive!G706="","",archive!G706)</f>
        <v/>
      </c>
      <c r="H706" s="51" t="str">
        <f>IF(archive!CJ706="","",archive!CJ706)</f>
        <v/>
      </c>
      <c r="I706" s="51" t="str">
        <f>IF(archive!CK706="","",archive!CK706)</f>
        <v/>
      </c>
      <c r="J706" s="47" t="str">
        <f t="shared" si="143"/>
        <v/>
      </c>
      <c r="K706" s="51" t="str">
        <f t="shared" si="144"/>
        <v/>
      </c>
      <c r="L706" s="52" t="str">
        <f t="shared" si="145"/>
        <v/>
      </c>
      <c r="M706" s="53" t="str">
        <f t="shared" si="146"/>
        <v/>
      </c>
      <c r="N706" s="53" t="str">
        <f t="shared" si="147"/>
        <v/>
      </c>
      <c r="O706" s="53" t="str">
        <f t="shared" si="148"/>
        <v/>
      </c>
      <c r="P706" s="53" t="str">
        <f t="shared" si="149"/>
        <v/>
      </c>
      <c r="Q706" s="53" t="str">
        <f t="shared" si="150"/>
        <v/>
      </c>
      <c r="R706" s="53" t="str">
        <f t="shared" si="151"/>
        <v/>
      </c>
      <c r="S706" s="53" t="str">
        <f t="shared" si="152"/>
        <v/>
      </c>
      <c r="T706" s="53" t="str">
        <f t="shared" si="153"/>
        <v/>
      </c>
    </row>
    <row r="707" spans="1:20">
      <c r="A707" s="47" t="str">
        <f>IF(archive!E707="","",archive!E707)</f>
        <v/>
      </c>
      <c r="B707" s="48" t="str">
        <f t="shared" si="140"/>
        <v/>
      </c>
      <c r="C707" s="49" t="str">
        <f>IF(archive!F707="","",archive!F707)</f>
        <v/>
      </c>
      <c r="D707" s="50" t="str">
        <f t="shared" si="141"/>
        <v/>
      </c>
      <c r="E707" s="50" t="str">
        <f t="shared" si="142"/>
        <v/>
      </c>
      <c r="F707" s="47" t="str">
        <f>IF(COUNTA(archive!H707:CI707)=0,"",COUNTA(archive!H707:CI707))</f>
        <v/>
      </c>
      <c r="G707" s="47" t="str">
        <f>IF(archive!G707="","",archive!G707)</f>
        <v/>
      </c>
      <c r="H707" s="51" t="str">
        <f>IF(archive!CJ707="","",archive!CJ707)</f>
        <v/>
      </c>
      <c r="I707" s="51" t="str">
        <f>IF(archive!CK707="","",archive!CK707)</f>
        <v/>
      </c>
      <c r="J707" s="47" t="str">
        <f t="shared" si="143"/>
        <v/>
      </c>
      <c r="K707" s="51" t="str">
        <f t="shared" si="144"/>
        <v/>
      </c>
      <c r="L707" s="52" t="str">
        <f t="shared" si="145"/>
        <v/>
      </c>
      <c r="M707" s="53" t="str">
        <f t="shared" si="146"/>
        <v/>
      </c>
      <c r="N707" s="53" t="str">
        <f t="shared" si="147"/>
        <v/>
      </c>
      <c r="O707" s="53" t="str">
        <f t="shared" si="148"/>
        <v/>
      </c>
      <c r="P707" s="53" t="str">
        <f t="shared" si="149"/>
        <v/>
      </c>
      <c r="Q707" s="53" t="str">
        <f t="shared" si="150"/>
        <v/>
      </c>
      <c r="R707" s="53" t="str">
        <f t="shared" si="151"/>
        <v/>
      </c>
      <c r="S707" s="53" t="str">
        <f t="shared" si="152"/>
        <v/>
      </c>
      <c r="T707" s="53" t="str">
        <f t="shared" si="153"/>
        <v/>
      </c>
    </row>
    <row r="708" spans="1:20">
      <c r="A708" s="47" t="str">
        <f>IF(archive!E708="","",archive!E708)</f>
        <v/>
      </c>
      <c r="B708" s="48" t="str">
        <f t="shared" ref="B708:B771" si="154">IF(C708="","",VLOOKUP($C708,Tare,2,0))</f>
        <v/>
      </c>
      <c r="C708" s="49" t="str">
        <f>IF(archive!F708="","",archive!F708)</f>
        <v/>
      </c>
      <c r="D708" s="50" t="str">
        <f t="shared" ref="D708:D771" si="155">IF(C708="","",C708+B708)</f>
        <v/>
      </c>
      <c r="E708" s="50" t="str">
        <f t="shared" ref="E708:E771" si="156">IF(C708="","",(C708*0.025)+D708)</f>
        <v/>
      </c>
      <c r="F708" s="47" t="str">
        <f>IF(COUNTA(archive!H708:CI708)=0,"",COUNTA(archive!H708:CI708))</f>
        <v/>
      </c>
      <c r="G708" s="47" t="str">
        <f>IF(archive!G708="","",archive!G708)</f>
        <v/>
      </c>
      <c r="H708" s="51" t="str">
        <f>IF(archive!CJ708="","",archive!CJ708)</f>
        <v/>
      </c>
      <c r="I708" s="51" t="str">
        <f>IF(archive!CK708="","",archive!CK708)</f>
        <v/>
      </c>
      <c r="J708" s="47" t="str">
        <f t="shared" ref="J708:J771" si="157">IF(F708="","",VLOOKUP(F708,Valeur_g,2,0))</f>
        <v/>
      </c>
      <c r="K708" s="51" t="str">
        <f t="shared" ref="K708:K771" si="158">IF(C708="","",D708+(J708*I708))</f>
        <v/>
      </c>
      <c r="L708" s="52" t="str">
        <f t="shared" ref="L708:L771" si="159">IF(C708="","",IF(K708&lt;H708,"Conforme","Non conforme"))</f>
        <v/>
      </c>
      <c r="M708" s="53" t="str">
        <f t="shared" ref="M708:M771" si="160">IF(C708="","",1)</f>
        <v/>
      </c>
      <c r="N708" s="53" t="str">
        <f t="shared" ref="N708:N771" si="161">IF(L708="","",COUNTIF(L708,"Non conforme"))</f>
        <v/>
      </c>
      <c r="O708" s="53" t="str">
        <f t="shared" ref="O708:O771" si="162">IF($C708="","",IF($C708=0.25,$G708,"-"))</f>
        <v/>
      </c>
      <c r="P708" s="53" t="str">
        <f t="shared" ref="P708:P771" si="163">IF($C708="","",IF($C708=0.4,$G708,"-"))</f>
        <v/>
      </c>
      <c r="Q708" s="53" t="str">
        <f t="shared" ref="Q708:Q771" si="164">IF($C708="","",IF($C708=0.5,$G708,"-"))</f>
        <v/>
      </c>
      <c r="R708" s="53" t="str">
        <f t="shared" ref="R708:R771" si="165">IF($C708="","",IF($C708=0.6,$G708,"-"))</f>
        <v/>
      </c>
      <c r="S708" s="53" t="str">
        <f t="shared" ref="S708:S771" si="166">IF($C708="","",IF($C708=0.8,$G708,"-"))</f>
        <v/>
      </c>
      <c r="T708" s="53" t="str">
        <f t="shared" ref="T708:T771" si="167">IF($C708="","",IF($C708=1,$G708,"-"))</f>
        <v/>
      </c>
    </row>
    <row r="709" spans="1:20">
      <c r="A709" s="47" t="str">
        <f>IF(archive!E709="","",archive!E709)</f>
        <v/>
      </c>
      <c r="B709" s="48" t="str">
        <f t="shared" si="154"/>
        <v/>
      </c>
      <c r="C709" s="49" t="str">
        <f>IF(archive!F709="","",archive!F709)</f>
        <v/>
      </c>
      <c r="D709" s="50" t="str">
        <f t="shared" si="155"/>
        <v/>
      </c>
      <c r="E709" s="50" t="str">
        <f t="shared" si="156"/>
        <v/>
      </c>
      <c r="F709" s="47" t="str">
        <f>IF(COUNTA(archive!H709:CI709)=0,"",COUNTA(archive!H709:CI709))</f>
        <v/>
      </c>
      <c r="G709" s="47" t="str">
        <f>IF(archive!G709="","",archive!G709)</f>
        <v/>
      </c>
      <c r="H709" s="51" t="str">
        <f>IF(archive!CJ709="","",archive!CJ709)</f>
        <v/>
      </c>
      <c r="I709" s="51" t="str">
        <f>IF(archive!CK709="","",archive!CK709)</f>
        <v/>
      </c>
      <c r="J709" s="47" t="str">
        <f t="shared" si="157"/>
        <v/>
      </c>
      <c r="K709" s="51" t="str">
        <f t="shared" si="158"/>
        <v/>
      </c>
      <c r="L709" s="52" t="str">
        <f t="shared" si="159"/>
        <v/>
      </c>
      <c r="M709" s="53" t="str">
        <f t="shared" si="160"/>
        <v/>
      </c>
      <c r="N709" s="53" t="str">
        <f t="shared" si="161"/>
        <v/>
      </c>
      <c r="O709" s="53" t="str">
        <f t="shared" si="162"/>
        <v/>
      </c>
      <c r="P709" s="53" t="str">
        <f t="shared" si="163"/>
        <v/>
      </c>
      <c r="Q709" s="53" t="str">
        <f t="shared" si="164"/>
        <v/>
      </c>
      <c r="R709" s="53" t="str">
        <f t="shared" si="165"/>
        <v/>
      </c>
      <c r="S709" s="53" t="str">
        <f t="shared" si="166"/>
        <v/>
      </c>
      <c r="T709" s="53" t="str">
        <f t="shared" si="167"/>
        <v/>
      </c>
    </row>
    <row r="710" spans="1:20">
      <c r="A710" s="47" t="str">
        <f>IF(archive!E710="","",archive!E710)</f>
        <v/>
      </c>
      <c r="B710" s="48" t="str">
        <f t="shared" si="154"/>
        <v/>
      </c>
      <c r="C710" s="49" t="str">
        <f>IF(archive!F710="","",archive!F710)</f>
        <v/>
      </c>
      <c r="D710" s="50" t="str">
        <f t="shared" si="155"/>
        <v/>
      </c>
      <c r="E710" s="50" t="str">
        <f t="shared" si="156"/>
        <v/>
      </c>
      <c r="F710" s="47" t="str">
        <f>IF(COUNTA(archive!H710:CI710)=0,"",COUNTA(archive!H710:CI710))</f>
        <v/>
      </c>
      <c r="G710" s="47" t="str">
        <f>IF(archive!G710="","",archive!G710)</f>
        <v/>
      </c>
      <c r="H710" s="51" t="str">
        <f>IF(archive!CJ710="","",archive!CJ710)</f>
        <v/>
      </c>
      <c r="I710" s="51" t="str">
        <f>IF(archive!CK710="","",archive!CK710)</f>
        <v/>
      </c>
      <c r="J710" s="47" t="str">
        <f t="shared" si="157"/>
        <v/>
      </c>
      <c r="K710" s="51" t="str">
        <f t="shared" si="158"/>
        <v/>
      </c>
      <c r="L710" s="52" t="str">
        <f t="shared" si="159"/>
        <v/>
      </c>
      <c r="M710" s="53" t="str">
        <f t="shared" si="160"/>
        <v/>
      </c>
      <c r="N710" s="53" t="str">
        <f t="shared" si="161"/>
        <v/>
      </c>
      <c r="O710" s="53" t="str">
        <f t="shared" si="162"/>
        <v/>
      </c>
      <c r="P710" s="53" t="str">
        <f t="shared" si="163"/>
        <v/>
      </c>
      <c r="Q710" s="53" t="str">
        <f t="shared" si="164"/>
        <v/>
      </c>
      <c r="R710" s="53" t="str">
        <f t="shared" si="165"/>
        <v/>
      </c>
      <c r="S710" s="53" t="str">
        <f t="shared" si="166"/>
        <v/>
      </c>
      <c r="T710" s="53" t="str">
        <f t="shared" si="167"/>
        <v/>
      </c>
    </row>
    <row r="711" spans="1:20">
      <c r="A711" s="47" t="str">
        <f>IF(archive!E711="","",archive!E711)</f>
        <v/>
      </c>
      <c r="B711" s="48" t="str">
        <f t="shared" si="154"/>
        <v/>
      </c>
      <c r="C711" s="49" t="str">
        <f>IF(archive!F711="","",archive!F711)</f>
        <v/>
      </c>
      <c r="D711" s="50" t="str">
        <f t="shared" si="155"/>
        <v/>
      </c>
      <c r="E711" s="50" t="str">
        <f t="shared" si="156"/>
        <v/>
      </c>
      <c r="F711" s="47" t="str">
        <f>IF(COUNTA(archive!H711:CI711)=0,"",COUNTA(archive!H711:CI711))</f>
        <v/>
      </c>
      <c r="G711" s="47" t="str">
        <f>IF(archive!G711="","",archive!G711)</f>
        <v/>
      </c>
      <c r="H711" s="51" t="str">
        <f>IF(archive!CJ711="","",archive!CJ711)</f>
        <v/>
      </c>
      <c r="I711" s="51" t="str">
        <f>IF(archive!CK711="","",archive!CK711)</f>
        <v/>
      </c>
      <c r="J711" s="47" t="str">
        <f t="shared" si="157"/>
        <v/>
      </c>
      <c r="K711" s="51" t="str">
        <f t="shared" si="158"/>
        <v/>
      </c>
      <c r="L711" s="52" t="str">
        <f t="shared" si="159"/>
        <v/>
      </c>
      <c r="M711" s="53" t="str">
        <f t="shared" si="160"/>
        <v/>
      </c>
      <c r="N711" s="53" t="str">
        <f t="shared" si="161"/>
        <v/>
      </c>
      <c r="O711" s="53" t="str">
        <f t="shared" si="162"/>
        <v/>
      </c>
      <c r="P711" s="53" t="str">
        <f t="shared" si="163"/>
        <v/>
      </c>
      <c r="Q711" s="53" t="str">
        <f t="shared" si="164"/>
        <v/>
      </c>
      <c r="R711" s="53" t="str">
        <f t="shared" si="165"/>
        <v/>
      </c>
      <c r="S711" s="53" t="str">
        <f t="shared" si="166"/>
        <v/>
      </c>
      <c r="T711" s="53" t="str">
        <f t="shared" si="167"/>
        <v/>
      </c>
    </row>
    <row r="712" spans="1:20">
      <c r="A712" s="47" t="str">
        <f>IF(archive!E712="","",archive!E712)</f>
        <v/>
      </c>
      <c r="B712" s="48" t="str">
        <f t="shared" si="154"/>
        <v/>
      </c>
      <c r="C712" s="49" t="str">
        <f>IF(archive!F712="","",archive!F712)</f>
        <v/>
      </c>
      <c r="D712" s="50" t="str">
        <f t="shared" si="155"/>
        <v/>
      </c>
      <c r="E712" s="50" t="str">
        <f t="shared" si="156"/>
        <v/>
      </c>
      <c r="F712" s="47" t="str">
        <f>IF(COUNTA(archive!H712:CI712)=0,"",COUNTA(archive!H712:CI712))</f>
        <v/>
      </c>
      <c r="G712" s="47" t="str">
        <f>IF(archive!G712="","",archive!G712)</f>
        <v/>
      </c>
      <c r="H712" s="51" t="str">
        <f>IF(archive!CJ712="","",archive!CJ712)</f>
        <v/>
      </c>
      <c r="I712" s="51" t="str">
        <f>IF(archive!CK712="","",archive!CK712)</f>
        <v/>
      </c>
      <c r="J712" s="47" t="str">
        <f t="shared" si="157"/>
        <v/>
      </c>
      <c r="K712" s="51" t="str">
        <f t="shared" si="158"/>
        <v/>
      </c>
      <c r="L712" s="52" t="str">
        <f t="shared" si="159"/>
        <v/>
      </c>
      <c r="M712" s="53" t="str">
        <f t="shared" si="160"/>
        <v/>
      </c>
      <c r="N712" s="53" t="str">
        <f t="shared" si="161"/>
        <v/>
      </c>
      <c r="O712" s="53" t="str">
        <f t="shared" si="162"/>
        <v/>
      </c>
      <c r="P712" s="53" t="str">
        <f t="shared" si="163"/>
        <v/>
      </c>
      <c r="Q712" s="53" t="str">
        <f t="shared" si="164"/>
        <v/>
      </c>
      <c r="R712" s="53" t="str">
        <f t="shared" si="165"/>
        <v/>
      </c>
      <c r="S712" s="53" t="str">
        <f t="shared" si="166"/>
        <v/>
      </c>
      <c r="T712" s="53" t="str">
        <f t="shared" si="167"/>
        <v/>
      </c>
    </row>
    <row r="713" spans="1:20">
      <c r="A713" s="47" t="str">
        <f>IF(archive!E713="","",archive!E713)</f>
        <v/>
      </c>
      <c r="B713" s="48" t="str">
        <f t="shared" si="154"/>
        <v/>
      </c>
      <c r="C713" s="49" t="str">
        <f>IF(archive!F713="","",archive!F713)</f>
        <v/>
      </c>
      <c r="D713" s="50" t="str">
        <f t="shared" si="155"/>
        <v/>
      </c>
      <c r="E713" s="50" t="str">
        <f t="shared" si="156"/>
        <v/>
      </c>
      <c r="F713" s="47" t="str">
        <f>IF(COUNTA(archive!H713:CI713)=0,"",COUNTA(archive!H713:CI713))</f>
        <v/>
      </c>
      <c r="G713" s="47" t="str">
        <f>IF(archive!G713="","",archive!G713)</f>
        <v/>
      </c>
      <c r="H713" s="51" t="str">
        <f>IF(archive!CJ713="","",archive!CJ713)</f>
        <v/>
      </c>
      <c r="I713" s="51" t="str">
        <f>IF(archive!CK713="","",archive!CK713)</f>
        <v/>
      </c>
      <c r="J713" s="47" t="str">
        <f t="shared" si="157"/>
        <v/>
      </c>
      <c r="K713" s="51" t="str">
        <f t="shared" si="158"/>
        <v/>
      </c>
      <c r="L713" s="52" t="str">
        <f t="shared" si="159"/>
        <v/>
      </c>
      <c r="M713" s="53" t="str">
        <f t="shared" si="160"/>
        <v/>
      </c>
      <c r="N713" s="53" t="str">
        <f t="shared" si="161"/>
        <v/>
      </c>
      <c r="O713" s="53" t="str">
        <f t="shared" si="162"/>
        <v/>
      </c>
      <c r="P713" s="53" t="str">
        <f t="shared" si="163"/>
        <v/>
      </c>
      <c r="Q713" s="53" t="str">
        <f t="shared" si="164"/>
        <v/>
      </c>
      <c r="R713" s="53" t="str">
        <f t="shared" si="165"/>
        <v/>
      </c>
      <c r="S713" s="53" t="str">
        <f t="shared" si="166"/>
        <v/>
      </c>
      <c r="T713" s="53" t="str">
        <f t="shared" si="167"/>
        <v/>
      </c>
    </row>
    <row r="714" spans="1:20">
      <c r="A714" s="47" t="str">
        <f>IF(archive!E714="","",archive!E714)</f>
        <v/>
      </c>
      <c r="B714" s="48" t="str">
        <f t="shared" si="154"/>
        <v/>
      </c>
      <c r="C714" s="49" t="str">
        <f>IF(archive!F714="","",archive!F714)</f>
        <v/>
      </c>
      <c r="D714" s="50" t="str">
        <f t="shared" si="155"/>
        <v/>
      </c>
      <c r="E714" s="50" t="str">
        <f t="shared" si="156"/>
        <v/>
      </c>
      <c r="F714" s="47" t="str">
        <f>IF(COUNTA(archive!H714:CI714)=0,"",COUNTA(archive!H714:CI714))</f>
        <v/>
      </c>
      <c r="G714" s="47" t="str">
        <f>IF(archive!G714="","",archive!G714)</f>
        <v/>
      </c>
      <c r="H714" s="51" t="str">
        <f>IF(archive!CJ714="","",archive!CJ714)</f>
        <v/>
      </c>
      <c r="I714" s="51" t="str">
        <f>IF(archive!CK714="","",archive!CK714)</f>
        <v/>
      </c>
      <c r="J714" s="47" t="str">
        <f t="shared" si="157"/>
        <v/>
      </c>
      <c r="K714" s="51" t="str">
        <f t="shared" si="158"/>
        <v/>
      </c>
      <c r="L714" s="52" t="str">
        <f t="shared" si="159"/>
        <v/>
      </c>
      <c r="M714" s="53" t="str">
        <f t="shared" si="160"/>
        <v/>
      </c>
      <c r="N714" s="53" t="str">
        <f t="shared" si="161"/>
        <v/>
      </c>
      <c r="O714" s="53" t="str">
        <f t="shared" si="162"/>
        <v/>
      </c>
      <c r="P714" s="53" t="str">
        <f t="shared" si="163"/>
        <v/>
      </c>
      <c r="Q714" s="53" t="str">
        <f t="shared" si="164"/>
        <v/>
      </c>
      <c r="R714" s="53" t="str">
        <f t="shared" si="165"/>
        <v/>
      </c>
      <c r="S714" s="53" t="str">
        <f t="shared" si="166"/>
        <v/>
      </c>
      <c r="T714" s="53" t="str">
        <f t="shared" si="167"/>
        <v/>
      </c>
    </row>
    <row r="715" spans="1:20">
      <c r="A715" s="47" t="str">
        <f>IF(archive!E715="","",archive!E715)</f>
        <v/>
      </c>
      <c r="B715" s="48" t="str">
        <f t="shared" si="154"/>
        <v/>
      </c>
      <c r="C715" s="49" t="str">
        <f>IF(archive!F715="","",archive!F715)</f>
        <v/>
      </c>
      <c r="D715" s="50" t="str">
        <f t="shared" si="155"/>
        <v/>
      </c>
      <c r="E715" s="50" t="str">
        <f t="shared" si="156"/>
        <v/>
      </c>
      <c r="F715" s="47" t="str">
        <f>IF(COUNTA(archive!H715:CI715)=0,"",COUNTA(archive!H715:CI715))</f>
        <v/>
      </c>
      <c r="G715" s="47" t="str">
        <f>IF(archive!G715="","",archive!G715)</f>
        <v/>
      </c>
      <c r="H715" s="51" t="str">
        <f>IF(archive!CJ715="","",archive!CJ715)</f>
        <v/>
      </c>
      <c r="I715" s="51" t="str">
        <f>IF(archive!CK715="","",archive!CK715)</f>
        <v/>
      </c>
      <c r="J715" s="47" t="str">
        <f t="shared" si="157"/>
        <v/>
      </c>
      <c r="K715" s="51" t="str">
        <f t="shared" si="158"/>
        <v/>
      </c>
      <c r="L715" s="52" t="str">
        <f t="shared" si="159"/>
        <v/>
      </c>
      <c r="M715" s="53" t="str">
        <f t="shared" si="160"/>
        <v/>
      </c>
      <c r="N715" s="53" t="str">
        <f t="shared" si="161"/>
        <v/>
      </c>
      <c r="O715" s="53" t="str">
        <f t="shared" si="162"/>
        <v/>
      </c>
      <c r="P715" s="53" t="str">
        <f t="shared" si="163"/>
        <v/>
      </c>
      <c r="Q715" s="53" t="str">
        <f t="shared" si="164"/>
        <v/>
      </c>
      <c r="R715" s="53" t="str">
        <f t="shared" si="165"/>
        <v/>
      </c>
      <c r="S715" s="53" t="str">
        <f t="shared" si="166"/>
        <v/>
      </c>
      <c r="T715" s="53" t="str">
        <f t="shared" si="167"/>
        <v/>
      </c>
    </row>
    <row r="716" spans="1:20">
      <c r="A716" s="47" t="str">
        <f>IF(archive!E716="","",archive!E716)</f>
        <v/>
      </c>
      <c r="B716" s="48" t="str">
        <f t="shared" si="154"/>
        <v/>
      </c>
      <c r="C716" s="49" t="str">
        <f>IF(archive!F716="","",archive!F716)</f>
        <v/>
      </c>
      <c r="D716" s="50" t="str">
        <f t="shared" si="155"/>
        <v/>
      </c>
      <c r="E716" s="50" t="str">
        <f t="shared" si="156"/>
        <v/>
      </c>
      <c r="F716" s="47" t="str">
        <f>IF(COUNTA(archive!H716:CI716)=0,"",COUNTA(archive!H716:CI716))</f>
        <v/>
      </c>
      <c r="G716" s="47" t="str">
        <f>IF(archive!G716="","",archive!G716)</f>
        <v/>
      </c>
      <c r="H716" s="51" t="str">
        <f>IF(archive!CJ716="","",archive!CJ716)</f>
        <v/>
      </c>
      <c r="I716" s="51" t="str">
        <f>IF(archive!CK716="","",archive!CK716)</f>
        <v/>
      </c>
      <c r="J716" s="47" t="str">
        <f t="shared" si="157"/>
        <v/>
      </c>
      <c r="K716" s="51" t="str">
        <f t="shared" si="158"/>
        <v/>
      </c>
      <c r="L716" s="52" t="str">
        <f t="shared" si="159"/>
        <v/>
      </c>
      <c r="M716" s="53" t="str">
        <f t="shared" si="160"/>
        <v/>
      </c>
      <c r="N716" s="53" t="str">
        <f t="shared" si="161"/>
        <v/>
      </c>
      <c r="O716" s="53" t="str">
        <f t="shared" si="162"/>
        <v/>
      </c>
      <c r="P716" s="53" t="str">
        <f t="shared" si="163"/>
        <v/>
      </c>
      <c r="Q716" s="53" t="str">
        <f t="shared" si="164"/>
        <v/>
      </c>
      <c r="R716" s="53" t="str">
        <f t="shared" si="165"/>
        <v/>
      </c>
      <c r="S716" s="53" t="str">
        <f t="shared" si="166"/>
        <v/>
      </c>
      <c r="T716" s="53" t="str">
        <f t="shared" si="167"/>
        <v/>
      </c>
    </row>
    <row r="717" spans="1:20">
      <c r="A717" s="47" t="str">
        <f>IF(archive!E717="","",archive!E717)</f>
        <v/>
      </c>
      <c r="B717" s="48" t="str">
        <f t="shared" si="154"/>
        <v/>
      </c>
      <c r="C717" s="49" t="str">
        <f>IF(archive!F717="","",archive!F717)</f>
        <v/>
      </c>
      <c r="D717" s="50" t="str">
        <f t="shared" si="155"/>
        <v/>
      </c>
      <c r="E717" s="50" t="str">
        <f t="shared" si="156"/>
        <v/>
      </c>
      <c r="F717" s="47" t="str">
        <f>IF(COUNTA(archive!H717:CI717)=0,"",COUNTA(archive!H717:CI717))</f>
        <v/>
      </c>
      <c r="G717" s="47" t="str">
        <f>IF(archive!G717="","",archive!G717)</f>
        <v/>
      </c>
      <c r="H717" s="51" t="str">
        <f>IF(archive!CJ717="","",archive!CJ717)</f>
        <v/>
      </c>
      <c r="I717" s="51" t="str">
        <f>IF(archive!CK717="","",archive!CK717)</f>
        <v/>
      </c>
      <c r="J717" s="47" t="str">
        <f t="shared" si="157"/>
        <v/>
      </c>
      <c r="K717" s="51" t="str">
        <f t="shared" si="158"/>
        <v/>
      </c>
      <c r="L717" s="52" t="str">
        <f t="shared" si="159"/>
        <v/>
      </c>
      <c r="M717" s="53" t="str">
        <f t="shared" si="160"/>
        <v/>
      </c>
      <c r="N717" s="53" t="str">
        <f t="shared" si="161"/>
        <v/>
      </c>
      <c r="O717" s="53" t="str">
        <f t="shared" si="162"/>
        <v/>
      </c>
      <c r="P717" s="53" t="str">
        <f t="shared" si="163"/>
        <v/>
      </c>
      <c r="Q717" s="53" t="str">
        <f t="shared" si="164"/>
        <v/>
      </c>
      <c r="R717" s="53" t="str">
        <f t="shared" si="165"/>
        <v/>
      </c>
      <c r="S717" s="53" t="str">
        <f t="shared" si="166"/>
        <v/>
      </c>
      <c r="T717" s="53" t="str">
        <f t="shared" si="167"/>
        <v/>
      </c>
    </row>
    <row r="718" spans="1:20">
      <c r="A718" s="47" t="str">
        <f>IF(archive!E718="","",archive!E718)</f>
        <v/>
      </c>
      <c r="B718" s="48" t="str">
        <f t="shared" si="154"/>
        <v/>
      </c>
      <c r="C718" s="49" t="str">
        <f>IF(archive!F718="","",archive!F718)</f>
        <v/>
      </c>
      <c r="D718" s="50" t="str">
        <f t="shared" si="155"/>
        <v/>
      </c>
      <c r="E718" s="50" t="str">
        <f t="shared" si="156"/>
        <v/>
      </c>
      <c r="F718" s="47" t="str">
        <f>IF(COUNTA(archive!H718:CI718)=0,"",COUNTA(archive!H718:CI718))</f>
        <v/>
      </c>
      <c r="G718" s="47" t="str">
        <f>IF(archive!G718="","",archive!G718)</f>
        <v/>
      </c>
      <c r="H718" s="51" t="str">
        <f>IF(archive!CJ718="","",archive!CJ718)</f>
        <v/>
      </c>
      <c r="I718" s="51" t="str">
        <f>IF(archive!CK718="","",archive!CK718)</f>
        <v/>
      </c>
      <c r="J718" s="47" t="str">
        <f t="shared" si="157"/>
        <v/>
      </c>
      <c r="K718" s="51" t="str">
        <f t="shared" si="158"/>
        <v/>
      </c>
      <c r="L718" s="52" t="str">
        <f t="shared" si="159"/>
        <v/>
      </c>
      <c r="M718" s="53" t="str">
        <f t="shared" si="160"/>
        <v/>
      </c>
      <c r="N718" s="53" t="str">
        <f t="shared" si="161"/>
        <v/>
      </c>
      <c r="O718" s="53" t="str">
        <f t="shared" si="162"/>
        <v/>
      </c>
      <c r="P718" s="53" t="str">
        <f t="shared" si="163"/>
        <v/>
      </c>
      <c r="Q718" s="53" t="str">
        <f t="shared" si="164"/>
        <v/>
      </c>
      <c r="R718" s="53" t="str">
        <f t="shared" si="165"/>
        <v/>
      </c>
      <c r="S718" s="53" t="str">
        <f t="shared" si="166"/>
        <v/>
      </c>
      <c r="T718" s="53" t="str">
        <f t="shared" si="167"/>
        <v/>
      </c>
    </row>
    <row r="719" spans="1:20">
      <c r="A719" s="47" t="str">
        <f>IF(archive!E719="","",archive!E719)</f>
        <v/>
      </c>
      <c r="B719" s="48" t="str">
        <f t="shared" si="154"/>
        <v/>
      </c>
      <c r="C719" s="49" t="str">
        <f>IF(archive!F719="","",archive!F719)</f>
        <v/>
      </c>
      <c r="D719" s="50" t="str">
        <f t="shared" si="155"/>
        <v/>
      </c>
      <c r="E719" s="50" t="str">
        <f t="shared" si="156"/>
        <v/>
      </c>
      <c r="F719" s="47" t="str">
        <f>IF(COUNTA(archive!H719:CI719)=0,"",COUNTA(archive!H719:CI719))</f>
        <v/>
      </c>
      <c r="G719" s="47" t="str">
        <f>IF(archive!G719="","",archive!G719)</f>
        <v/>
      </c>
      <c r="H719" s="51" t="str">
        <f>IF(archive!CJ719="","",archive!CJ719)</f>
        <v/>
      </c>
      <c r="I719" s="51" t="str">
        <f>IF(archive!CK719="","",archive!CK719)</f>
        <v/>
      </c>
      <c r="J719" s="47" t="str">
        <f t="shared" si="157"/>
        <v/>
      </c>
      <c r="K719" s="51" t="str">
        <f t="shared" si="158"/>
        <v/>
      </c>
      <c r="L719" s="52" t="str">
        <f t="shared" si="159"/>
        <v/>
      </c>
      <c r="M719" s="53" t="str">
        <f t="shared" si="160"/>
        <v/>
      </c>
      <c r="N719" s="53" t="str">
        <f t="shared" si="161"/>
        <v/>
      </c>
      <c r="O719" s="53" t="str">
        <f t="shared" si="162"/>
        <v/>
      </c>
      <c r="P719" s="53" t="str">
        <f t="shared" si="163"/>
        <v/>
      </c>
      <c r="Q719" s="53" t="str">
        <f t="shared" si="164"/>
        <v/>
      </c>
      <c r="R719" s="53" t="str">
        <f t="shared" si="165"/>
        <v/>
      </c>
      <c r="S719" s="53" t="str">
        <f t="shared" si="166"/>
        <v/>
      </c>
      <c r="T719" s="53" t="str">
        <f t="shared" si="167"/>
        <v/>
      </c>
    </row>
    <row r="720" spans="1:20">
      <c r="A720" s="47" t="str">
        <f>IF(archive!E720="","",archive!E720)</f>
        <v/>
      </c>
      <c r="B720" s="48" t="str">
        <f t="shared" si="154"/>
        <v/>
      </c>
      <c r="C720" s="49" t="str">
        <f>IF(archive!F720="","",archive!F720)</f>
        <v/>
      </c>
      <c r="D720" s="50" t="str">
        <f t="shared" si="155"/>
        <v/>
      </c>
      <c r="E720" s="50" t="str">
        <f t="shared" si="156"/>
        <v/>
      </c>
      <c r="F720" s="47" t="str">
        <f>IF(COUNTA(archive!H720:CI720)=0,"",COUNTA(archive!H720:CI720))</f>
        <v/>
      </c>
      <c r="G720" s="47" t="str">
        <f>IF(archive!G720="","",archive!G720)</f>
        <v/>
      </c>
      <c r="H720" s="51" t="str">
        <f>IF(archive!CJ720="","",archive!CJ720)</f>
        <v/>
      </c>
      <c r="I720" s="51" t="str">
        <f>IF(archive!CK720="","",archive!CK720)</f>
        <v/>
      </c>
      <c r="J720" s="47" t="str">
        <f t="shared" si="157"/>
        <v/>
      </c>
      <c r="K720" s="51" t="str">
        <f t="shared" si="158"/>
        <v/>
      </c>
      <c r="L720" s="52" t="str">
        <f t="shared" si="159"/>
        <v/>
      </c>
      <c r="M720" s="53" t="str">
        <f t="shared" si="160"/>
        <v/>
      </c>
      <c r="N720" s="53" t="str">
        <f t="shared" si="161"/>
        <v/>
      </c>
      <c r="O720" s="53" t="str">
        <f t="shared" si="162"/>
        <v/>
      </c>
      <c r="P720" s="53" t="str">
        <f t="shared" si="163"/>
        <v/>
      </c>
      <c r="Q720" s="53" t="str">
        <f t="shared" si="164"/>
        <v/>
      </c>
      <c r="R720" s="53" t="str">
        <f t="shared" si="165"/>
        <v/>
      </c>
      <c r="S720" s="53" t="str">
        <f t="shared" si="166"/>
        <v/>
      </c>
      <c r="T720" s="53" t="str">
        <f t="shared" si="167"/>
        <v/>
      </c>
    </row>
    <row r="721" spans="1:20">
      <c r="A721" s="47" t="str">
        <f>IF(archive!E721="","",archive!E721)</f>
        <v/>
      </c>
      <c r="B721" s="48" t="str">
        <f t="shared" si="154"/>
        <v/>
      </c>
      <c r="C721" s="49" t="str">
        <f>IF(archive!F721="","",archive!F721)</f>
        <v/>
      </c>
      <c r="D721" s="50" t="str">
        <f t="shared" si="155"/>
        <v/>
      </c>
      <c r="E721" s="50" t="str">
        <f t="shared" si="156"/>
        <v/>
      </c>
      <c r="F721" s="47" t="str">
        <f>IF(COUNTA(archive!H721:CI721)=0,"",COUNTA(archive!H721:CI721))</f>
        <v/>
      </c>
      <c r="G721" s="47" t="str">
        <f>IF(archive!G721="","",archive!G721)</f>
        <v/>
      </c>
      <c r="H721" s="51" t="str">
        <f>IF(archive!CJ721="","",archive!CJ721)</f>
        <v/>
      </c>
      <c r="I721" s="51" t="str">
        <f>IF(archive!CK721="","",archive!CK721)</f>
        <v/>
      </c>
      <c r="J721" s="47" t="str">
        <f t="shared" si="157"/>
        <v/>
      </c>
      <c r="K721" s="51" t="str">
        <f t="shared" si="158"/>
        <v/>
      </c>
      <c r="L721" s="52" t="str">
        <f t="shared" si="159"/>
        <v/>
      </c>
      <c r="M721" s="53" t="str">
        <f t="shared" si="160"/>
        <v/>
      </c>
      <c r="N721" s="53" t="str">
        <f t="shared" si="161"/>
        <v/>
      </c>
      <c r="O721" s="53" t="str">
        <f t="shared" si="162"/>
        <v/>
      </c>
      <c r="P721" s="53" t="str">
        <f t="shared" si="163"/>
        <v/>
      </c>
      <c r="Q721" s="53" t="str">
        <f t="shared" si="164"/>
        <v/>
      </c>
      <c r="R721" s="53" t="str">
        <f t="shared" si="165"/>
        <v/>
      </c>
      <c r="S721" s="53" t="str">
        <f t="shared" si="166"/>
        <v/>
      </c>
      <c r="T721" s="53" t="str">
        <f t="shared" si="167"/>
        <v/>
      </c>
    </row>
    <row r="722" spans="1:20">
      <c r="A722" s="47" t="str">
        <f>IF(archive!E722="","",archive!E722)</f>
        <v/>
      </c>
      <c r="B722" s="48" t="str">
        <f t="shared" si="154"/>
        <v/>
      </c>
      <c r="C722" s="49" t="str">
        <f>IF(archive!F722="","",archive!F722)</f>
        <v/>
      </c>
      <c r="D722" s="50" t="str">
        <f t="shared" si="155"/>
        <v/>
      </c>
      <c r="E722" s="50" t="str">
        <f t="shared" si="156"/>
        <v/>
      </c>
      <c r="F722" s="47" t="str">
        <f>IF(COUNTA(archive!H722:CI722)=0,"",COUNTA(archive!H722:CI722))</f>
        <v/>
      </c>
      <c r="G722" s="47" t="str">
        <f>IF(archive!G722="","",archive!G722)</f>
        <v/>
      </c>
      <c r="H722" s="51" t="str">
        <f>IF(archive!CJ722="","",archive!CJ722)</f>
        <v/>
      </c>
      <c r="I722" s="51" t="str">
        <f>IF(archive!CK722="","",archive!CK722)</f>
        <v/>
      </c>
      <c r="J722" s="47" t="str">
        <f t="shared" si="157"/>
        <v/>
      </c>
      <c r="K722" s="51" t="str">
        <f t="shared" si="158"/>
        <v/>
      </c>
      <c r="L722" s="52" t="str">
        <f t="shared" si="159"/>
        <v/>
      </c>
      <c r="M722" s="53" t="str">
        <f t="shared" si="160"/>
        <v/>
      </c>
      <c r="N722" s="53" t="str">
        <f t="shared" si="161"/>
        <v/>
      </c>
      <c r="O722" s="53" t="str">
        <f t="shared" si="162"/>
        <v/>
      </c>
      <c r="P722" s="53" t="str">
        <f t="shared" si="163"/>
        <v/>
      </c>
      <c r="Q722" s="53" t="str">
        <f t="shared" si="164"/>
        <v/>
      </c>
      <c r="R722" s="53" t="str">
        <f t="shared" si="165"/>
        <v/>
      </c>
      <c r="S722" s="53" t="str">
        <f t="shared" si="166"/>
        <v/>
      </c>
      <c r="T722" s="53" t="str">
        <f t="shared" si="167"/>
        <v/>
      </c>
    </row>
    <row r="723" spans="1:20">
      <c r="A723" s="47" t="str">
        <f>IF(archive!E723="","",archive!E723)</f>
        <v/>
      </c>
      <c r="B723" s="48" t="str">
        <f t="shared" si="154"/>
        <v/>
      </c>
      <c r="C723" s="49" t="str">
        <f>IF(archive!F723="","",archive!F723)</f>
        <v/>
      </c>
      <c r="D723" s="50" t="str">
        <f t="shared" si="155"/>
        <v/>
      </c>
      <c r="E723" s="50" t="str">
        <f t="shared" si="156"/>
        <v/>
      </c>
      <c r="F723" s="47" t="str">
        <f>IF(COUNTA(archive!H723:CI723)=0,"",COUNTA(archive!H723:CI723))</f>
        <v/>
      </c>
      <c r="G723" s="47" t="str">
        <f>IF(archive!G723="","",archive!G723)</f>
        <v/>
      </c>
      <c r="H723" s="51" t="str">
        <f>IF(archive!CJ723="","",archive!CJ723)</f>
        <v/>
      </c>
      <c r="I723" s="51" t="str">
        <f>IF(archive!CK723="","",archive!CK723)</f>
        <v/>
      </c>
      <c r="J723" s="47" t="str">
        <f t="shared" si="157"/>
        <v/>
      </c>
      <c r="K723" s="51" t="str">
        <f t="shared" si="158"/>
        <v/>
      </c>
      <c r="L723" s="52" t="str">
        <f t="shared" si="159"/>
        <v/>
      </c>
      <c r="M723" s="53" t="str">
        <f t="shared" si="160"/>
        <v/>
      </c>
      <c r="N723" s="53" t="str">
        <f t="shared" si="161"/>
        <v/>
      </c>
      <c r="O723" s="53" t="str">
        <f t="shared" si="162"/>
        <v/>
      </c>
      <c r="P723" s="53" t="str">
        <f t="shared" si="163"/>
        <v/>
      </c>
      <c r="Q723" s="53" t="str">
        <f t="shared" si="164"/>
        <v/>
      </c>
      <c r="R723" s="53" t="str">
        <f t="shared" si="165"/>
        <v/>
      </c>
      <c r="S723" s="53" t="str">
        <f t="shared" si="166"/>
        <v/>
      </c>
      <c r="T723" s="53" t="str">
        <f t="shared" si="167"/>
        <v/>
      </c>
    </row>
    <row r="724" spans="1:20">
      <c r="A724" s="47" t="str">
        <f>IF(archive!E724="","",archive!E724)</f>
        <v/>
      </c>
      <c r="B724" s="48" t="str">
        <f t="shared" si="154"/>
        <v/>
      </c>
      <c r="C724" s="49" t="str">
        <f>IF(archive!F724="","",archive!F724)</f>
        <v/>
      </c>
      <c r="D724" s="50" t="str">
        <f t="shared" si="155"/>
        <v/>
      </c>
      <c r="E724" s="50" t="str">
        <f t="shared" si="156"/>
        <v/>
      </c>
      <c r="F724" s="47" t="str">
        <f>IF(COUNTA(archive!H724:CI724)=0,"",COUNTA(archive!H724:CI724))</f>
        <v/>
      </c>
      <c r="G724" s="47" t="str">
        <f>IF(archive!G724="","",archive!G724)</f>
        <v/>
      </c>
      <c r="H724" s="51" t="str">
        <f>IF(archive!CJ724="","",archive!CJ724)</f>
        <v/>
      </c>
      <c r="I724" s="51" t="str">
        <f>IF(archive!CK724="","",archive!CK724)</f>
        <v/>
      </c>
      <c r="J724" s="47" t="str">
        <f t="shared" si="157"/>
        <v/>
      </c>
      <c r="K724" s="51" t="str">
        <f t="shared" si="158"/>
        <v/>
      </c>
      <c r="L724" s="52" t="str">
        <f t="shared" si="159"/>
        <v/>
      </c>
      <c r="M724" s="53" t="str">
        <f t="shared" si="160"/>
        <v/>
      </c>
      <c r="N724" s="53" t="str">
        <f t="shared" si="161"/>
        <v/>
      </c>
      <c r="O724" s="53" t="str">
        <f t="shared" si="162"/>
        <v/>
      </c>
      <c r="P724" s="53" t="str">
        <f t="shared" si="163"/>
        <v/>
      </c>
      <c r="Q724" s="53" t="str">
        <f t="shared" si="164"/>
        <v/>
      </c>
      <c r="R724" s="53" t="str">
        <f t="shared" si="165"/>
        <v/>
      </c>
      <c r="S724" s="53" t="str">
        <f t="shared" si="166"/>
        <v/>
      </c>
      <c r="T724" s="53" t="str">
        <f t="shared" si="167"/>
        <v/>
      </c>
    </row>
    <row r="725" spans="1:20">
      <c r="A725" s="47" t="str">
        <f>IF(archive!E725="","",archive!E725)</f>
        <v/>
      </c>
      <c r="B725" s="48" t="str">
        <f t="shared" si="154"/>
        <v/>
      </c>
      <c r="C725" s="49" t="str">
        <f>IF(archive!F725="","",archive!F725)</f>
        <v/>
      </c>
      <c r="D725" s="50" t="str">
        <f t="shared" si="155"/>
        <v/>
      </c>
      <c r="E725" s="50" t="str">
        <f t="shared" si="156"/>
        <v/>
      </c>
      <c r="F725" s="47" t="str">
        <f>IF(COUNTA(archive!H725:CI725)=0,"",COUNTA(archive!H725:CI725))</f>
        <v/>
      </c>
      <c r="G725" s="47" t="str">
        <f>IF(archive!G725="","",archive!G725)</f>
        <v/>
      </c>
      <c r="H725" s="51" t="str">
        <f>IF(archive!CJ725="","",archive!CJ725)</f>
        <v/>
      </c>
      <c r="I725" s="51" t="str">
        <f>IF(archive!CK725="","",archive!CK725)</f>
        <v/>
      </c>
      <c r="J725" s="47" t="str">
        <f t="shared" si="157"/>
        <v/>
      </c>
      <c r="K725" s="51" t="str">
        <f t="shared" si="158"/>
        <v/>
      </c>
      <c r="L725" s="52" t="str">
        <f t="shared" si="159"/>
        <v/>
      </c>
      <c r="M725" s="53" t="str">
        <f t="shared" si="160"/>
        <v/>
      </c>
      <c r="N725" s="53" t="str">
        <f t="shared" si="161"/>
        <v/>
      </c>
      <c r="O725" s="53" t="str">
        <f t="shared" si="162"/>
        <v/>
      </c>
      <c r="P725" s="53" t="str">
        <f t="shared" si="163"/>
        <v/>
      </c>
      <c r="Q725" s="53" t="str">
        <f t="shared" si="164"/>
        <v/>
      </c>
      <c r="R725" s="53" t="str">
        <f t="shared" si="165"/>
        <v/>
      </c>
      <c r="S725" s="53" t="str">
        <f t="shared" si="166"/>
        <v/>
      </c>
      <c r="T725" s="53" t="str">
        <f t="shared" si="167"/>
        <v/>
      </c>
    </row>
    <row r="726" spans="1:20">
      <c r="A726" s="47" t="str">
        <f>IF(archive!E726="","",archive!E726)</f>
        <v/>
      </c>
      <c r="B726" s="48" t="str">
        <f t="shared" si="154"/>
        <v/>
      </c>
      <c r="C726" s="49" t="str">
        <f>IF(archive!F726="","",archive!F726)</f>
        <v/>
      </c>
      <c r="D726" s="50" t="str">
        <f t="shared" si="155"/>
        <v/>
      </c>
      <c r="E726" s="50" t="str">
        <f t="shared" si="156"/>
        <v/>
      </c>
      <c r="F726" s="47" t="str">
        <f>IF(COUNTA(archive!H726:CI726)=0,"",COUNTA(archive!H726:CI726))</f>
        <v/>
      </c>
      <c r="G726" s="47" t="str">
        <f>IF(archive!G726="","",archive!G726)</f>
        <v/>
      </c>
      <c r="H726" s="51" t="str">
        <f>IF(archive!CJ726="","",archive!CJ726)</f>
        <v/>
      </c>
      <c r="I726" s="51" t="str">
        <f>IF(archive!CK726="","",archive!CK726)</f>
        <v/>
      </c>
      <c r="J726" s="47" t="str">
        <f t="shared" si="157"/>
        <v/>
      </c>
      <c r="K726" s="51" t="str">
        <f t="shared" si="158"/>
        <v/>
      </c>
      <c r="L726" s="52" t="str">
        <f t="shared" si="159"/>
        <v/>
      </c>
      <c r="M726" s="53" t="str">
        <f t="shared" si="160"/>
        <v/>
      </c>
      <c r="N726" s="53" t="str">
        <f t="shared" si="161"/>
        <v/>
      </c>
      <c r="O726" s="53" t="str">
        <f t="shared" si="162"/>
        <v/>
      </c>
      <c r="P726" s="53" t="str">
        <f t="shared" si="163"/>
        <v/>
      </c>
      <c r="Q726" s="53" t="str">
        <f t="shared" si="164"/>
        <v/>
      </c>
      <c r="R726" s="53" t="str">
        <f t="shared" si="165"/>
        <v/>
      </c>
      <c r="S726" s="53" t="str">
        <f t="shared" si="166"/>
        <v/>
      </c>
      <c r="T726" s="53" t="str">
        <f t="shared" si="167"/>
        <v/>
      </c>
    </row>
    <row r="727" spans="1:20">
      <c r="A727" s="47" t="str">
        <f>IF(archive!E727="","",archive!E727)</f>
        <v/>
      </c>
      <c r="B727" s="48" t="str">
        <f t="shared" si="154"/>
        <v/>
      </c>
      <c r="C727" s="49" t="str">
        <f>IF(archive!F727="","",archive!F727)</f>
        <v/>
      </c>
      <c r="D727" s="50" t="str">
        <f t="shared" si="155"/>
        <v/>
      </c>
      <c r="E727" s="50" t="str">
        <f t="shared" si="156"/>
        <v/>
      </c>
      <c r="F727" s="47" t="str">
        <f>IF(COUNTA(archive!H727:CI727)=0,"",COUNTA(archive!H727:CI727))</f>
        <v/>
      </c>
      <c r="G727" s="47" t="str">
        <f>IF(archive!G727="","",archive!G727)</f>
        <v/>
      </c>
      <c r="H727" s="51" t="str">
        <f>IF(archive!CJ727="","",archive!CJ727)</f>
        <v/>
      </c>
      <c r="I727" s="51" t="str">
        <f>IF(archive!CK727="","",archive!CK727)</f>
        <v/>
      </c>
      <c r="J727" s="47" t="str">
        <f t="shared" si="157"/>
        <v/>
      </c>
      <c r="K727" s="51" t="str">
        <f t="shared" si="158"/>
        <v/>
      </c>
      <c r="L727" s="52" t="str">
        <f t="shared" si="159"/>
        <v/>
      </c>
      <c r="M727" s="53" t="str">
        <f t="shared" si="160"/>
        <v/>
      </c>
      <c r="N727" s="53" t="str">
        <f t="shared" si="161"/>
        <v/>
      </c>
      <c r="O727" s="53" t="str">
        <f t="shared" si="162"/>
        <v/>
      </c>
      <c r="P727" s="53" t="str">
        <f t="shared" si="163"/>
        <v/>
      </c>
      <c r="Q727" s="53" t="str">
        <f t="shared" si="164"/>
        <v/>
      </c>
      <c r="R727" s="53" t="str">
        <f t="shared" si="165"/>
        <v/>
      </c>
      <c r="S727" s="53" t="str">
        <f t="shared" si="166"/>
        <v/>
      </c>
      <c r="T727" s="53" t="str">
        <f t="shared" si="167"/>
        <v/>
      </c>
    </row>
    <row r="728" spans="1:20">
      <c r="A728" s="47" t="str">
        <f>IF(archive!E728="","",archive!E728)</f>
        <v/>
      </c>
      <c r="B728" s="48" t="str">
        <f t="shared" si="154"/>
        <v/>
      </c>
      <c r="C728" s="49" t="str">
        <f>IF(archive!F728="","",archive!F728)</f>
        <v/>
      </c>
      <c r="D728" s="50" t="str">
        <f t="shared" si="155"/>
        <v/>
      </c>
      <c r="E728" s="50" t="str">
        <f t="shared" si="156"/>
        <v/>
      </c>
      <c r="F728" s="47" t="str">
        <f>IF(COUNTA(archive!H728:CI728)=0,"",COUNTA(archive!H728:CI728))</f>
        <v/>
      </c>
      <c r="G728" s="47" t="str">
        <f>IF(archive!G728="","",archive!G728)</f>
        <v/>
      </c>
      <c r="H728" s="51" t="str">
        <f>IF(archive!CJ728="","",archive!CJ728)</f>
        <v/>
      </c>
      <c r="I728" s="51" t="str">
        <f>IF(archive!CK728="","",archive!CK728)</f>
        <v/>
      </c>
      <c r="J728" s="47" t="str">
        <f t="shared" si="157"/>
        <v/>
      </c>
      <c r="K728" s="51" t="str">
        <f t="shared" si="158"/>
        <v/>
      </c>
      <c r="L728" s="52" t="str">
        <f t="shared" si="159"/>
        <v/>
      </c>
      <c r="M728" s="53" t="str">
        <f t="shared" si="160"/>
        <v/>
      </c>
      <c r="N728" s="53" t="str">
        <f t="shared" si="161"/>
        <v/>
      </c>
      <c r="O728" s="53" t="str">
        <f t="shared" si="162"/>
        <v/>
      </c>
      <c r="P728" s="53" t="str">
        <f t="shared" si="163"/>
        <v/>
      </c>
      <c r="Q728" s="53" t="str">
        <f t="shared" si="164"/>
        <v/>
      </c>
      <c r="R728" s="53" t="str">
        <f t="shared" si="165"/>
        <v/>
      </c>
      <c r="S728" s="53" t="str">
        <f t="shared" si="166"/>
        <v/>
      </c>
      <c r="T728" s="53" t="str">
        <f t="shared" si="167"/>
        <v/>
      </c>
    </row>
    <row r="729" spans="1:20">
      <c r="A729" s="47" t="str">
        <f>IF(archive!E729="","",archive!E729)</f>
        <v/>
      </c>
      <c r="B729" s="48" t="str">
        <f t="shared" si="154"/>
        <v/>
      </c>
      <c r="C729" s="49" t="str">
        <f>IF(archive!F729="","",archive!F729)</f>
        <v/>
      </c>
      <c r="D729" s="50" t="str">
        <f t="shared" si="155"/>
        <v/>
      </c>
      <c r="E729" s="50" t="str">
        <f t="shared" si="156"/>
        <v/>
      </c>
      <c r="F729" s="47" t="str">
        <f>IF(COUNTA(archive!H729:CI729)=0,"",COUNTA(archive!H729:CI729))</f>
        <v/>
      </c>
      <c r="G729" s="47" t="str">
        <f>IF(archive!G729="","",archive!G729)</f>
        <v/>
      </c>
      <c r="H729" s="51" t="str">
        <f>IF(archive!CJ729="","",archive!CJ729)</f>
        <v/>
      </c>
      <c r="I729" s="51" t="str">
        <f>IF(archive!CK729="","",archive!CK729)</f>
        <v/>
      </c>
      <c r="J729" s="47" t="str">
        <f t="shared" si="157"/>
        <v/>
      </c>
      <c r="K729" s="51" t="str">
        <f t="shared" si="158"/>
        <v/>
      </c>
      <c r="L729" s="52" t="str">
        <f t="shared" si="159"/>
        <v/>
      </c>
      <c r="M729" s="53" t="str">
        <f t="shared" si="160"/>
        <v/>
      </c>
      <c r="N729" s="53" t="str">
        <f t="shared" si="161"/>
        <v/>
      </c>
      <c r="O729" s="53" t="str">
        <f t="shared" si="162"/>
        <v/>
      </c>
      <c r="P729" s="53" t="str">
        <f t="shared" si="163"/>
        <v/>
      </c>
      <c r="Q729" s="53" t="str">
        <f t="shared" si="164"/>
        <v/>
      </c>
      <c r="R729" s="53" t="str">
        <f t="shared" si="165"/>
        <v/>
      </c>
      <c r="S729" s="53" t="str">
        <f t="shared" si="166"/>
        <v/>
      </c>
      <c r="T729" s="53" t="str">
        <f t="shared" si="167"/>
        <v/>
      </c>
    </row>
    <row r="730" spans="1:20">
      <c r="A730" s="47" t="str">
        <f>IF(archive!E730="","",archive!E730)</f>
        <v/>
      </c>
      <c r="B730" s="48" t="str">
        <f t="shared" si="154"/>
        <v/>
      </c>
      <c r="C730" s="49" t="str">
        <f>IF(archive!F730="","",archive!F730)</f>
        <v/>
      </c>
      <c r="D730" s="50" t="str">
        <f t="shared" si="155"/>
        <v/>
      </c>
      <c r="E730" s="50" t="str">
        <f t="shared" si="156"/>
        <v/>
      </c>
      <c r="F730" s="47" t="str">
        <f>IF(COUNTA(archive!H730:CI730)=0,"",COUNTA(archive!H730:CI730))</f>
        <v/>
      </c>
      <c r="G730" s="47" t="str">
        <f>IF(archive!G730="","",archive!G730)</f>
        <v/>
      </c>
      <c r="H730" s="51" t="str">
        <f>IF(archive!CJ730="","",archive!CJ730)</f>
        <v/>
      </c>
      <c r="I730" s="51" t="str">
        <f>IF(archive!CK730="","",archive!CK730)</f>
        <v/>
      </c>
      <c r="J730" s="47" t="str">
        <f t="shared" si="157"/>
        <v/>
      </c>
      <c r="K730" s="51" t="str">
        <f t="shared" si="158"/>
        <v/>
      </c>
      <c r="L730" s="52" t="str">
        <f t="shared" si="159"/>
        <v/>
      </c>
      <c r="M730" s="53" t="str">
        <f t="shared" si="160"/>
        <v/>
      </c>
      <c r="N730" s="53" t="str">
        <f t="shared" si="161"/>
        <v/>
      </c>
      <c r="O730" s="53" t="str">
        <f t="shared" si="162"/>
        <v/>
      </c>
      <c r="P730" s="53" t="str">
        <f t="shared" si="163"/>
        <v/>
      </c>
      <c r="Q730" s="53" t="str">
        <f t="shared" si="164"/>
        <v/>
      </c>
      <c r="R730" s="53" t="str">
        <f t="shared" si="165"/>
        <v/>
      </c>
      <c r="S730" s="53" t="str">
        <f t="shared" si="166"/>
        <v/>
      </c>
      <c r="T730" s="53" t="str">
        <f t="shared" si="167"/>
        <v/>
      </c>
    </row>
    <row r="731" spans="1:20">
      <c r="A731" s="47" t="str">
        <f>IF(archive!E731="","",archive!E731)</f>
        <v/>
      </c>
      <c r="B731" s="48" t="str">
        <f t="shared" si="154"/>
        <v/>
      </c>
      <c r="C731" s="49" t="str">
        <f>IF(archive!F731="","",archive!F731)</f>
        <v/>
      </c>
      <c r="D731" s="50" t="str">
        <f t="shared" si="155"/>
        <v/>
      </c>
      <c r="E731" s="50" t="str">
        <f t="shared" si="156"/>
        <v/>
      </c>
      <c r="F731" s="47" t="str">
        <f>IF(COUNTA(archive!H731:CI731)=0,"",COUNTA(archive!H731:CI731))</f>
        <v/>
      </c>
      <c r="G731" s="47" t="str">
        <f>IF(archive!G731="","",archive!G731)</f>
        <v/>
      </c>
      <c r="H731" s="51" t="str">
        <f>IF(archive!CJ731="","",archive!CJ731)</f>
        <v/>
      </c>
      <c r="I731" s="51" t="str">
        <f>IF(archive!CK731="","",archive!CK731)</f>
        <v/>
      </c>
      <c r="J731" s="47" t="str">
        <f t="shared" si="157"/>
        <v/>
      </c>
      <c r="K731" s="51" t="str">
        <f t="shared" si="158"/>
        <v/>
      </c>
      <c r="L731" s="52" t="str">
        <f t="shared" si="159"/>
        <v/>
      </c>
      <c r="M731" s="53" t="str">
        <f t="shared" si="160"/>
        <v/>
      </c>
      <c r="N731" s="53" t="str">
        <f t="shared" si="161"/>
        <v/>
      </c>
      <c r="O731" s="53" t="str">
        <f t="shared" si="162"/>
        <v/>
      </c>
      <c r="P731" s="53" t="str">
        <f t="shared" si="163"/>
        <v/>
      </c>
      <c r="Q731" s="53" t="str">
        <f t="shared" si="164"/>
        <v/>
      </c>
      <c r="R731" s="53" t="str">
        <f t="shared" si="165"/>
        <v/>
      </c>
      <c r="S731" s="53" t="str">
        <f t="shared" si="166"/>
        <v/>
      </c>
      <c r="T731" s="53" t="str">
        <f t="shared" si="167"/>
        <v/>
      </c>
    </row>
    <row r="732" spans="1:20">
      <c r="A732" s="47" t="str">
        <f>IF(archive!E732="","",archive!E732)</f>
        <v/>
      </c>
      <c r="B732" s="48" t="str">
        <f t="shared" si="154"/>
        <v/>
      </c>
      <c r="C732" s="49" t="str">
        <f>IF(archive!F732="","",archive!F732)</f>
        <v/>
      </c>
      <c r="D732" s="50" t="str">
        <f t="shared" si="155"/>
        <v/>
      </c>
      <c r="E732" s="50" t="str">
        <f t="shared" si="156"/>
        <v/>
      </c>
      <c r="F732" s="47" t="str">
        <f>IF(COUNTA(archive!H732:CI732)=0,"",COUNTA(archive!H732:CI732))</f>
        <v/>
      </c>
      <c r="G732" s="47" t="str">
        <f>IF(archive!G732="","",archive!G732)</f>
        <v/>
      </c>
      <c r="H732" s="51" t="str">
        <f>IF(archive!CJ732="","",archive!CJ732)</f>
        <v/>
      </c>
      <c r="I732" s="51" t="str">
        <f>IF(archive!CK732="","",archive!CK732)</f>
        <v/>
      </c>
      <c r="J732" s="47" t="str">
        <f t="shared" si="157"/>
        <v/>
      </c>
      <c r="K732" s="51" t="str">
        <f t="shared" si="158"/>
        <v/>
      </c>
      <c r="L732" s="52" t="str">
        <f t="shared" si="159"/>
        <v/>
      </c>
      <c r="M732" s="53" t="str">
        <f t="shared" si="160"/>
        <v/>
      </c>
      <c r="N732" s="53" t="str">
        <f t="shared" si="161"/>
        <v/>
      </c>
      <c r="O732" s="53" t="str">
        <f t="shared" si="162"/>
        <v/>
      </c>
      <c r="P732" s="53" t="str">
        <f t="shared" si="163"/>
        <v/>
      </c>
      <c r="Q732" s="53" t="str">
        <f t="shared" si="164"/>
        <v/>
      </c>
      <c r="R732" s="53" t="str">
        <f t="shared" si="165"/>
        <v/>
      </c>
      <c r="S732" s="53" t="str">
        <f t="shared" si="166"/>
        <v/>
      </c>
      <c r="T732" s="53" t="str">
        <f t="shared" si="167"/>
        <v/>
      </c>
    </row>
    <row r="733" spans="1:20">
      <c r="A733" s="47" t="str">
        <f>IF(archive!E733="","",archive!E733)</f>
        <v/>
      </c>
      <c r="B733" s="48" t="str">
        <f t="shared" si="154"/>
        <v/>
      </c>
      <c r="C733" s="49" t="str">
        <f>IF(archive!F733="","",archive!F733)</f>
        <v/>
      </c>
      <c r="D733" s="50" t="str">
        <f t="shared" si="155"/>
        <v/>
      </c>
      <c r="E733" s="50" t="str">
        <f t="shared" si="156"/>
        <v/>
      </c>
      <c r="F733" s="47" t="str">
        <f>IF(COUNTA(archive!H733:CI733)=0,"",COUNTA(archive!H733:CI733))</f>
        <v/>
      </c>
      <c r="G733" s="47" t="str">
        <f>IF(archive!G733="","",archive!G733)</f>
        <v/>
      </c>
      <c r="H733" s="51" t="str">
        <f>IF(archive!CJ733="","",archive!CJ733)</f>
        <v/>
      </c>
      <c r="I733" s="51" t="str">
        <f>IF(archive!CK733="","",archive!CK733)</f>
        <v/>
      </c>
      <c r="J733" s="47" t="str">
        <f t="shared" si="157"/>
        <v/>
      </c>
      <c r="K733" s="51" t="str">
        <f t="shared" si="158"/>
        <v/>
      </c>
      <c r="L733" s="52" t="str">
        <f t="shared" si="159"/>
        <v/>
      </c>
      <c r="M733" s="53" t="str">
        <f t="shared" si="160"/>
        <v/>
      </c>
      <c r="N733" s="53" t="str">
        <f t="shared" si="161"/>
        <v/>
      </c>
      <c r="O733" s="53" t="str">
        <f t="shared" si="162"/>
        <v/>
      </c>
      <c r="P733" s="53" t="str">
        <f t="shared" si="163"/>
        <v/>
      </c>
      <c r="Q733" s="53" t="str">
        <f t="shared" si="164"/>
        <v/>
      </c>
      <c r="R733" s="53" t="str">
        <f t="shared" si="165"/>
        <v/>
      </c>
      <c r="S733" s="53" t="str">
        <f t="shared" si="166"/>
        <v/>
      </c>
      <c r="T733" s="53" t="str">
        <f t="shared" si="167"/>
        <v/>
      </c>
    </row>
    <row r="734" spans="1:20">
      <c r="A734" s="47" t="str">
        <f>IF(archive!E734="","",archive!E734)</f>
        <v/>
      </c>
      <c r="B734" s="48" t="str">
        <f t="shared" si="154"/>
        <v/>
      </c>
      <c r="C734" s="49" t="str">
        <f>IF(archive!F734="","",archive!F734)</f>
        <v/>
      </c>
      <c r="D734" s="50" t="str">
        <f t="shared" si="155"/>
        <v/>
      </c>
      <c r="E734" s="50" t="str">
        <f t="shared" si="156"/>
        <v/>
      </c>
      <c r="F734" s="47" t="str">
        <f>IF(COUNTA(archive!H734:CI734)=0,"",COUNTA(archive!H734:CI734))</f>
        <v/>
      </c>
      <c r="G734" s="47" t="str">
        <f>IF(archive!G734="","",archive!G734)</f>
        <v/>
      </c>
      <c r="H734" s="51" t="str">
        <f>IF(archive!CJ734="","",archive!CJ734)</f>
        <v/>
      </c>
      <c r="I734" s="51" t="str">
        <f>IF(archive!CK734="","",archive!CK734)</f>
        <v/>
      </c>
      <c r="J734" s="47" t="str">
        <f t="shared" si="157"/>
        <v/>
      </c>
      <c r="K734" s="51" t="str">
        <f t="shared" si="158"/>
        <v/>
      </c>
      <c r="L734" s="52" t="str">
        <f t="shared" si="159"/>
        <v/>
      </c>
      <c r="M734" s="53" t="str">
        <f t="shared" si="160"/>
        <v/>
      </c>
      <c r="N734" s="53" t="str">
        <f t="shared" si="161"/>
        <v/>
      </c>
      <c r="O734" s="53" t="str">
        <f t="shared" si="162"/>
        <v/>
      </c>
      <c r="P734" s="53" t="str">
        <f t="shared" si="163"/>
        <v/>
      </c>
      <c r="Q734" s="53" t="str">
        <f t="shared" si="164"/>
        <v/>
      </c>
      <c r="R734" s="53" t="str">
        <f t="shared" si="165"/>
        <v/>
      </c>
      <c r="S734" s="53" t="str">
        <f t="shared" si="166"/>
        <v/>
      </c>
      <c r="T734" s="53" t="str">
        <f t="shared" si="167"/>
        <v/>
      </c>
    </row>
    <row r="735" spans="1:20">
      <c r="A735" s="47" t="str">
        <f>IF(archive!E735="","",archive!E735)</f>
        <v/>
      </c>
      <c r="B735" s="48" t="str">
        <f t="shared" si="154"/>
        <v/>
      </c>
      <c r="C735" s="49" t="str">
        <f>IF(archive!F735="","",archive!F735)</f>
        <v/>
      </c>
      <c r="D735" s="50" t="str">
        <f t="shared" si="155"/>
        <v/>
      </c>
      <c r="E735" s="50" t="str">
        <f t="shared" si="156"/>
        <v/>
      </c>
      <c r="F735" s="47" t="str">
        <f>IF(COUNTA(archive!H735:CI735)=0,"",COUNTA(archive!H735:CI735))</f>
        <v/>
      </c>
      <c r="G735" s="47" t="str">
        <f>IF(archive!G735="","",archive!G735)</f>
        <v/>
      </c>
      <c r="H735" s="51" t="str">
        <f>IF(archive!CJ735="","",archive!CJ735)</f>
        <v/>
      </c>
      <c r="I735" s="51" t="str">
        <f>IF(archive!CK735="","",archive!CK735)</f>
        <v/>
      </c>
      <c r="J735" s="47" t="str">
        <f t="shared" si="157"/>
        <v/>
      </c>
      <c r="K735" s="51" t="str">
        <f t="shared" si="158"/>
        <v/>
      </c>
      <c r="L735" s="52" t="str">
        <f t="shared" si="159"/>
        <v/>
      </c>
      <c r="M735" s="53" t="str">
        <f t="shared" si="160"/>
        <v/>
      </c>
      <c r="N735" s="53" t="str">
        <f t="shared" si="161"/>
        <v/>
      </c>
      <c r="O735" s="53" t="str">
        <f t="shared" si="162"/>
        <v/>
      </c>
      <c r="P735" s="53" t="str">
        <f t="shared" si="163"/>
        <v/>
      </c>
      <c r="Q735" s="53" t="str">
        <f t="shared" si="164"/>
        <v/>
      </c>
      <c r="R735" s="53" t="str">
        <f t="shared" si="165"/>
        <v/>
      </c>
      <c r="S735" s="53" t="str">
        <f t="shared" si="166"/>
        <v/>
      </c>
      <c r="T735" s="53" t="str">
        <f t="shared" si="167"/>
        <v/>
      </c>
    </row>
    <row r="736" spans="1:20">
      <c r="A736" s="47" t="str">
        <f>IF(archive!E736="","",archive!E736)</f>
        <v/>
      </c>
      <c r="B736" s="48" t="str">
        <f t="shared" si="154"/>
        <v/>
      </c>
      <c r="C736" s="49" t="str">
        <f>IF(archive!F736="","",archive!F736)</f>
        <v/>
      </c>
      <c r="D736" s="50" t="str">
        <f t="shared" si="155"/>
        <v/>
      </c>
      <c r="E736" s="50" t="str">
        <f t="shared" si="156"/>
        <v/>
      </c>
      <c r="F736" s="47" t="str">
        <f>IF(COUNTA(archive!H736:CI736)=0,"",COUNTA(archive!H736:CI736))</f>
        <v/>
      </c>
      <c r="G736" s="47" t="str">
        <f>IF(archive!G736="","",archive!G736)</f>
        <v/>
      </c>
      <c r="H736" s="51" t="str">
        <f>IF(archive!CJ736="","",archive!CJ736)</f>
        <v/>
      </c>
      <c r="I736" s="51" t="str">
        <f>IF(archive!CK736="","",archive!CK736)</f>
        <v/>
      </c>
      <c r="J736" s="47" t="str">
        <f t="shared" si="157"/>
        <v/>
      </c>
      <c r="K736" s="51" t="str">
        <f t="shared" si="158"/>
        <v/>
      </c>
      <c r="L736" s="52" t="str">
        <f t="shared" si="159"/>
        <v/>
      </c>
      <c r="M736" s="53" t="str">
        <f t="shared" si="160"/>
        <v/>
      </c>
      <c r="N736" s="53" t="str">
        <f t="shared" si="161"/>
        <v/>
      </c>
      <c r="O736" s="53" t="str">
        <f t="shared" si="162"/>
        <v/>
      </c>
      <c r="P736" s="53" t="str">
        <f t="shared" si="163"/>
        <v/>
      </c>
      <c r="Q736" s="53" t="str">
        <f t="shared" si="164"/>
        <v/>
      </c>
      <c r="R736" s="53" t="str">
        <f t="shared" si="165"/>
        <v/>
      </c>
      <c r="S736" s="53" t="str">
        <f t="shared" si="166"/>
        <v/>
      </c>
      <c r="T736" s="53" t="str">
        <f t="shared" si="167"/>
        <v/>
      </c>
    </row>
    <row r="737" spans="1:20">
      <c r="A737" s="47" t="str">
        <f>IF(archive!E737="","",archive!E737)</f>
        <v/>
      </c>
      <c r="B737" s="48" t="str">
        <f t="shared" si="154"/>
        <v/>
      </c>
      <c r="C737" s="49" t="str">
        <f>IF(archive!F737="","",archive!F737)</f>
        <v/>
      </c>
      <c r="D737" s="50" t="str">
        <f t="shared" si="155"/>
        <v/>
      </c>
      <c r="E737" s="50" t="str">
        <f t="shared" si="156"/>
        <v/>
      </c>
      <c r="F737" s="47" t="str">
        <f>IF(COUNTA(archive!H737:CI737)=0,"",COUNTA(archive!H737:CI737))</f>
        <v/>
      </c>
      <c r="G737" s="47" t="str">
        <f>IF(archive!G737="","",archive!G737)</f>
        <v/>
      </c>
      <c r="H737" s="51" t="str">
        <f>IF(archive!CJ737="","",archive!CJ737)</f>
        <v/>
      </c>
      <c r="I737" s="51" t="str">
        <f>IF(archive!CK737="","",archive!CK737)</f>
        <v/>
      </c>
      <c r="J737" s="47" t="str">
        <f t="shared" si="157"/>
        <v/>
      </c>
      <c r="K737" s="51" t="str">
        <f t="shared" si="158"/>
        <v/>
      </c>
      <c r="L737" s="52" t="str">
        <f t="shared" si="159"/>
        <v/>
      </c>
      <c r="M737" s="53" t="str">
        <f t="shared" si="160"/>
        <v/>
      </c>
      <c r="N737" s="53" t="str">
        <f t="shared" si="161"/>
        <v/>
      </c>
      <c r="O737" s="53" t="str">
        <f t="shared" si="162"/>
        <v/>
      </c>
      <c r="P737" s="53" t="str">
        <f t="shared" si="163"/>
        <v/>
      </c>
      <c r="Q737" s="53" t="str">
        <f t="shared" si="164"/>
        <v/>
      </c>
      <c r="R737" s="53" t="str">
        <f t="shared" si="165"/>
        <v/>
      </c>
      <c r="S737" s="53" t="str">
        <f t="shared" si="166"/>
        <v/>
      </c>
      <c r="T737" s="53" t="str">
        <f t="shared" si="167"/>
        <v/>
      </c>
    </row>
    <row r="738" spans="1:20">
      <c r="A738" s="47" t="str">
        <f>IF(archive!E738="","",archive!E738)</f>
        <v/>
      </c>
      <c r="B738" s="48" t="str">
        <f t="shared" si="154"/>
        <v/>
      </c>
      <c r="C738" s="49" t="str">
        <f>IF(archive!F738="","",archive!F738)</f>
        <v/>
      </c>
      <c r="D738" s="50" t="str">
        <f t="shared" si="155"/>
        <v/>
      </c>
      <c r="E738" s="50" t="str">
        <f t="shared" si="156"/>
        <v/>
      </c>
      <c r="F738" s="47" t="str">
        <f>IF(COUNTA(archive!H738:CI738)=0,"",COUNTA(archive!H738:CI738))</f>
        <v/>
      </c>
      <c r="G738" s="47" t="str">
        <f>IF(archive!G738="","",archive!G738)</f>
        <v/>
      </c>
      <c r="H738" s="51" t="str">
        <f>IF(archive!CJ738="","",archive!CJ738)</f>
        <v/>
      </c>
      <c r="I738" s="51" t="str">
        <f>IF(archive!CK738="","",archive!CK738)</f>
        <v/>
      </c>
      <c r="J738" s="47" t="str">
        <f t="shared" si="157"/>
        <v/>
      </c>
      <c r="K738" s="51" t="str">
        <f t="shared" si="158"/>
        <v/>
      </c>
      <c r="L738" s="52" t="str">
        <f t="shared" si="159"/>
        <v/>
      </c>
      <c r="M738" s="53" t="str">
        <f t="shared" si="160"/>
        <v/>
      </c>
      <c r="N738" s="53" t="str">
        <f t="shared" si="161"/>
        <v/>
      </c>
      <c r="O738" s="53" t="str">
        <f t="shared" si="162"/>
        <v/>
      </c>
      <c r="P738" s="53" t="str">
        <f t="shared" si="163"/>
        <v/>
      </c>
      <c r="Q738" s="53" t="str">
        <f t="shared" si="164"/>
        <v/>
      </c>
      <c r="R738" s="53" t="str">
        <f t="shared" si="165"/>
        <v/>
      </c>
      <c r="S738" s="53" t="str">
        <f t="shared" si="166"/>
        <v/>
      </c>
      <c r="T738" s="53" t="str">
        <f t="shared" si="167"/>
        <v/>
      </c>
    </row>
    <row r="739" spans="1:20">
      <c r="A739" s="47" t="str">
        <f>IF(archive!E739="","",archive!E739)</f>
        <v/>
      </c>
      <c r="B739" s="48" t="str">
        <f t="shared" si="154"/>
        <v/>
      </c>
      <c r="C739" s="49" t="str">
        <f>IF(archive!F739="","",archive!F739)</f>
        <v/>
      </c>
      <c r="D739" s="50" t="str">
        <f t="shared" si="155"/>
        <v/>
      </c>
      <c r="E739" s="50" t="str">
        <f t="shared" si="156"/>
        <v/>
      </c>
      <c r="F739" s="47" t="str">
        <f>IF(COUNTA(archive!H739:CI739)=0,"",COUNTA(archive!H739:CI739))</f>
        <v/>
      </c>
      <c r="G739" s="47" t="str">
        <f>IF(archive!G739="","",archive!G739)</f>
        <v/>
      </c>
      <c r="H739" s="51" t="str">
        <f>IF(archive!CJ739="","",archive!CJ739)</f>
        <v/>
      </c>
      <c r="I739" s="51" t="str">
        <f>IF(archive!CK739="","",archive!CK739)</f>
        <v/>
      </c>
      <c r="J739" s="47" t="str">
        <f t="shared" si="157"/>
        <v/>
      </c>
      <c r="K739" s="51" t="str">
        <f t="shared" si="158"/>
        <v/>
      </c>
      <c r="L739" s="52" t="str">
        <f t="shared" si="159"/>
        <v/>
      </c>
      <c r="M739" s="53" t="str">
        <f t="shared" si="160"/>
        <v/>
      </c>
      <c r="N739" s="53" t="str">
        <f t="shared" si="161"/>
        <v/>
      </c>
      <c r="O739" s="53" t="str">
        <f t="shared" si="162"/>
        <v/>
      </c>
      <c r="P739" s="53" t="str">
        <f t="shared" si="163"/>
        <v/>
      </c>
      <c r="Q739" s="53" t="str">
        <f t="shared" si="164"/>
        <v/>
      </c>
      <c r="R739" s="53" t="str">
        <f t="shared" si="165"/>
        <v/>
      </c>
      <c r="S739" s="53" t="str">
        <f t="shared" si="166"/>
        <v/>
      </c>
      <c r="T739" s="53" t="str">
        <f t="shared" si="167"/>
        <v/>
      </c>
    </row>
    <row r="740" spans="1:20">
      <c r="A740" s="47" t="str">
        <f>IF(archive!E740="","",archive!E740)</f>
        <v/>
      </c>
      <c r="B740" s="48" t="str">
        <f t="shared" si="154"/>
        <v/>
      </c>
      <c r="C740" s="49" t="str">
        <f>IF(archive!F740="","",archive!F740)</f>
        <v/>
      </c>
      <c r="D740" s="50" t="str">
        <f t="shared" si="155"/>
        <v/>
      </c>
      <c r="E740" s="50" t="str">
        <f t="shared" si="156"/>
        <v/>
      </c>
      <c r="F740" s="47" t="str">
        <f>IF(COUNTA(archive!H740:CI740)=0,"",COUNTA(archive!H740:CI740))</f>
        <v/>
      </c>
      <c r="G740" s="47" t="str">
        <f>IF(archive!G740="","",archive!G740)</f>
        <v/>
      </c>
      <c r="H740" s="51" t="str">
        <f>IF(archive!CJ740="","",archive!CJ740)</f>
        <v/>
      </c>
      <c r="I740" s="51" t="str">
        <f>IF(archive!CK740="","",archive!CK740)</f>
        <v/>
      </c>
      <c r="J740" s="47" t="str">
        <f t="shared" si="157"/>
        <v/>
      </c>
      <c r="K740" s="51" t="str">
        <f t="shared" si="158"/>
        <v/>
      </c>
      <c r="L740" s="52" t="str">
        <f t="shared" si="159"/>
        <v/>
      </c>
      <c r="M740" s="53" t="str">
        <f t="shared" si="160"/>
        <v/>
      </c>
      <c r="N740" s="53" t="str">
        <f t="shared" si="161"/>
        <v/>
      </c>
      <c r="O740" s="53" t="str">
        <f t="shared" si="162"/>
        <v/>
      </c>
      <c r="P740" s="53" t="str">
        <f t="shared" si="163"/>
        <v/>
      </c>
      <c r="Q740" s="53" t="str">
        <f t="shared" si="164"/>
        <v/>
      </c>
      <c r="R740" s="53" t="str">
        <f t="shared" si="165"/>
        <v/>
      </c>
      <c r="S740" s="53" t="str">
        <f t="shared" si="166"/>
        <v/>
      </c>
      <c r="T740" s="53" t="str">
        <f t="shared" si="167"/>
        <v/>
      </c>
    </row>
    <row r="741" spans="1:20">
      <c r="A741" s="47" t="str">
        <f>IF(archive!E741="","",archive!E741)</f>
        <v/>
      </c>
      <c r="B741" s="48" t="str">
        <f t="shared" si="154"/>
        <v/>
      </c>
      <c r="C741" s="49" t="str">
        <f>IF(archive!F741="","",archive!F741)</f>
        <v/>
      </c>
      <c r="D741" s="50" t="str">
        <f t="shared" si="155"/>
        <v/>
      </c>
      <c r="E741" s="50" t="str">
        <f t="shared" si="156"/>
        <v/>
      </c>
      <c r="F741" s="47" t="str">
        <f>IF(COUNTA(archive!H741:CI741)=0,"",COUNTA(archive!H741:CI741))</f>
        <v/>
      </c>
      <c r="G741" s="47" t="str">
        <f>IF(archive!G741="","",archive!G741)</f>
        <v/>
      </c>
      <c r="H741" s="51" t="str">
        <f>IF(archive!CJ741="","",archive!CJ741)</f>
        <v/>
      </c>
      <c r="I741" s="51" t="str">
        <f>IF(archive!CK741="","",archive!CK741)</f>
        <v/>
      </c>
      <c r="J741" s="47" t="str">
        <f t="shared" si="157"/>
        <v/>
      </c>
      <c r="K741" s="51" t="str">
        <f t="shared" si="158"/>
        <v/>
      </c>
      <c r="L741" s="52" t="str">
        <f t="shared" si="159"/>
        <v/>
      </c>
      <c r="M741" s="53" t="str">
        <f t="shared" si="160"/>
        <v/>
      </c>
      <c r="N741" s="53" t="str">
        <f t="shared" si="161"/>
        <v/>
      </c>
      <c r="O741" s="53" t="str">
        <f t="shared" si="162"/>
        <v/>
      </c>
      <c r="P741" s="53" t="str">
        <f t="shared" si="163"/>
        <v/>
      </c>
      <c r="Q741" s="53" t="str">
        <f t="shared" si="164"/>
        <v/>
      </c>
      <c r="R741" s="53" t="str">
        <f t="shared" si="165"/>
        <v/>
      </c>
      <c r="S741" s="53" t="str">
        <f t="shared" si="166"/>
        <v/>
      </c>
      <c r="T741" s="53" t="str">
        <f t="shared" si="167"/>
        <v/>
      </c>
    </row>
    <row r="742" spans="1:20">
      <c r="A742" s="47" t="str">
        <f>IF(archive!E742="","",archive!E742)</f>
        <v/>
      </c>
      <c r="B742" s="48" t="str">
        <f t="shared" si="154"/>
        <v/>
      </c>
      <c r="C742" s="49" t="str">
        <f>IF(archive!F742="","",archive!F742)</f>
        <v/>
      </c>
      <c r="D742" s="50" t="str">
        <f t="shared" si="155"/>
        <v/>
      </c>
      <c r="E742" s="50" t="str">
        <f t="shared" si="156"/>
        <v/>
      </c>
      <c r="F742" s="47" t="str">
        <f>IF(COUNTA(archive!H742:CI742)=0,"",COUNTA(archive!H742:CI742))</f>
        <v/>
      </c>
      <c r="G742" s="47" t="str">
        <f>IF(archive!G742="","",archive!G742)</f>
        <v/>
      </c>
      <c r="H742" s="51" t="str">
        <f>IF(archive!CJ742="","",archive!CJ742)</f>
        <v/>
      </c>
      <c r="I742" s="51" t="str">
        <f>IF(archive!CK742="","",archive!CK742)</f>
        <v/>
      </c>
      <c r="J742" s="47" t="str">
        <f t="shared" si="157"/>
        <v/>
      </c>
      <c r="K742" s="51" t="str">
        <f t="shared" si="158"/>
        <v/>
      </c>
      <c r="L742" s="52" t="str">
        <f t="shared" si="159"/>
        <v/>
      </c>
      <c r="M742" s="53" t="str">
        <f t="shared" si="160"/>
        <v/>
      </c>
      <c r="N742" s="53" t="str">
        <f t="shared" si="161"/>
        <v/>
      </c>
      <c r="O742" s="53" t="str">
        <f t="shared" si="162"/>
        <v/>
      </c>
      <c r="P742" s="53" t="str">
        <f t="shared" si="163"/>
        <v/>
      </c>
      <c r="Q742" s="53" t="str">
        <f t="shared" si="164"/>
        <v/>
      </c>
      <c r="R742" s="53" t="str">
        <f t="shared" si="165"/>
        <v/>
      </c>
      <c r="S742" s="53" t="str">
        <f t="shared" si="166"/>
        <v/>
      </c>
      <c r="T742" s="53" t="str">
        <f t="shared" si="167"/>
        <v/>
      </c>
    </row>
    <row r="743" spans="1:20">
      <c r="A743" s="47" t="str">
        <f>IF(archive!E743="","",archive!E743)</f>
        <v/>
      </c>
      <c r="B743" s="48" t="str">
        <f t="shared" si="154"/>
        <v/>
      </c>
      <c r="C743" s="49" t="str">
        <f>IF(archive!F743="","",archive!F743)</f>
        <v/>
      </c>
      <c r="D743" s="50" t="str">
        <f t="shared" si="155"/>
        <v/>
      </c>
      <c r="E743" s="50" t="str">
        <f t="shared" si="156"/>
        <v/>
      </c>
      <c r="F743" s="47" t="str">
        <f>IF(COUNTA(archive!H743:CI743)=0,"",COUNTA(archive!H743:CI743))</f>
        <v/>
      </c>
      <c r="G743" s="47" t="str">
        <f>IF(archive!G743="","",archive!G743)</f>
        <v/>
      </c>
      <c r="H743" s="51" t="str">
        <f>IF(archive!CJ743="","",archive!CJ743)</f>
        <v/>
      </c>
      <c r="I743" s="51" t="str">
        <f>IF(archive!CK743="","",archive!CK743)</f>
        <v/>
      </c>
      <c r="J743" s="47" t="str">
        <f t="shared" si="157"/>
        <v/>
      </c>
      <c r="K743" s="51" t="str">
        <f t="shared" si="158"/>
        <v/>
      </c>
      <c r="L743" s="52" t="str">
        <f t="shared" si="159"/>
        <v/>
      </c>
      <c r="M743" s="53" t="str">
        <f t="shared" si="160"/>
        <v/>
      </c>
      <c r="N743" s="53" t="str">
        <f t="shared" si="161"/>
        <v/>
      </c>
      <c r="O743" s="53" t="str">
        <f t="shared" si="162"/>
        <v/>
      </c>
      <c r="P743" s="53" t="str">
        <f t="shared" si="163"/>
        <v/>
      </c>
      <c r="Q743" s="53" t="str">
        <f t="shared" si="164"/>
        <v/>
      </c>
      <c r="R743" s="53" t="str">
        <f t="shared" si="165"/>
        <v/>
      </c>
      <c r="S743" s="53" t="str">
        <f t="shared" si="166"/>
        <v/>
      </c>
      <c r="T743" s="53" t="str">
        <f t="shared" si="167"/>
        <v/>
      </c>
    </row>
    <row r="744" spans="1:20">
      <c r="A744" s="47" t="str">
        <f>IF(archive!E744="","",archive!E744)</f>
        <v/>
      </c>
      <c r="B744" s="48" t="str">
        <f t="shared" si="154"/>
        <v/>
      </c>
      <c r="C744" s="49" t="str">
        <f>IF(archive!F744="","",archive!F744)</f>
        <v/>
      </c>
      <c r="D744" s="50" t="str">
        <f t="shared" si="155"/>
        <v/>
      </c>
      <c r="E744" s="50" t="str">
        <f t="shared" si="156"/>
        <v/>
      </c>
      <c r="F744" s="47" t="str">
        <f>IF(COUNTA(archive!H744:CI744)=0,"",COUNTA(archive!H744:CI744))</f>
        <v/>
      </c>
      <c r="G744" s="47" t="str">
        <f>IF(archive!G744="","",archive!G744)</f>
        <v/>
      </c>
      <c r="H744" s="51" t="str">
        <f>IF(archive!CJ744="","",archive!CJ744)</f>
        <v/>
      </c>
      <c r="I744" s="51" t="str">
        <f>IF(archive!CK744="","",archive!CK744)</f>
        <v/>
      </c>
      <c r="J744" s="47" t="str">
        <f t="shared" si="157"/>
        <v/>
      </c>
      <c r="K744" s="51" t="str">
        <f t="shared" si="158"/>
        <v/>
      </c>
      <c r="L744" s="52" t="str">
        <f t="shared" si="159"/>
        <v/>
      </c>
      <c r="M744" s="53" t="str">
        <f t="shared" si="160"/>
        <v/>
      </c>
      <c r="N744" s="53" t="str">
        <f t="shared" si="161"/>
        <v/>
      </c>
      <c r="O744" s="53" t="str">
        <f t="shared" si="162"/>
        <v/>
      </c>
      <c r="P744" s="53" t="str">
        <f t="shared" si="163"/>
        <v/>
      </c>
      <c r="Q744" s="53" t="str">
        <f t="shared" si="164"/>
        <v/>
      </c>
      <c r="R744" s="53" t="str">
        <f t="shared" si="165"/>
        <v/>
      </c>
      <c r="S744" s="53" t="str">
        <f t="shared" si="166"/>
        <v/>
      </c>
      <c r="T744" s="53" t="str">
        <f t="shared" si="167"/>
        <v/>
      </c>
    </row>
    <row r="745" spans="1:20">
      <c r="A745" s="47" t="str">
        <f>IF(archive!E745="","",archive!E745)</f>
        <v/>
      </c>
      <c r="B745" s="48" t="str">
        <f t="shared" si="154"/>
        <v/>
      </c>
      <c r="C745" s="49" t="str">
        <f>IF(archive!F745="","",archive!F745)</f>
        <v/>
      </c>
      <c r="D745" s="50" t="str">
        <f t="shared" si="155"/>
        <v/>
      </c>
      <c r="E745" s="50" t="str">
        <f t="shared" si="156"/>
        <v/>
      </c>
      <c r="F745" s="47" t="str">
        <f>IF(COUNTA(archive!H745:CI745)=0,"",COUNTA(archive!H745:CI745))</f>
        <v/>
      </c>
      <c r="G745" s="47" t="str">
        <f>IF(archive!G745="","",archive!G745)</f>
        <v/>
      </c>
      <c r="H745" s="51" t="str">
        <f>IF(archive!CJ745="","",archive!CJ745)</f>
        <v/>
      </c>
      <c r="I745" s="51" t="str">
        <f>IF(archive!CK745="","",archive!CK745)</f>
        <v/>
      </c>
      <c r="J745" s="47" t="str">
        <f t="shared" si="157"/>
        <v/>
      </c>
      <c r="K745" s="51" t="str">
        <f t="shared" si="158"/>
        <v/>
      </c>
      <c r="L745" s="52" t="str">
        <f t="shared" si="159"/>
        <v/>
      </c>
      <c r="M745" s="53" t="str">
        <f t="shared" si="160"/>
        <v/>
      </c>
      <c r="N745" s="53" t="str">
        <f t="shared" si="161"/>
        <v/>
      </c>
      <c r="O745" s="53" t="str">
        <f t="shared" si="162"/>
        <v/>
      </c>
      <c r="P745" s="53" t="str">
        <f t="shared" si="163"/>
        <v/>
      </c>
      <c r="Q745" s="53" t="str">
        <f t="shared" si="164"/>
        <v/>
      </c>
      <c r="R745" s="53" t="str">
        <f t="shared" si="165"/>
        <v/>
      </c>
      <c r="S745" s="53" t="str">
        <f t="shared" si="166"/>
        <v/>
      </c>
      <c r="T745" s="53" t="str">
        <f t="shared" si="167"/>
        <v/>
      </c>
    </row>
    <row r="746" spans="1:20">
      <c r="A746" s="47" t="str">
        <f>IF(archive!E746="","",archive!E746)</f>
        <v/>
      </c>
      <c r="B746" s="48" t="str">
        <f t="shared" si="154"/>
        <v/>
      </c>
      <c r="C746" s="49" t="str">
        <f>IF(archive!F746="","",archive!F746)</f>
        <v/>
      </c>
      <c r="D746" s="50" t="str">
        <f t="shared" si="155"/>
        <v/>
      </c>
      <c r="E746" s="50" t="str">
        <f t="shared" si="156"/>
        <v/>
      </c>
      <c r="F746" s="47" t="str">
        <f>IF(COUNTA(archive!H746:CI746)=0,"",COUNTA(archive!H746:CI746))</f>
        <v/>
      </c>
      <c r="G746" s="47" t="str">
        <f>IF(archive!G746="","",archive!G746)</f>
        <v/>
      </c>
      <c r="H746" s="51" t="str">
        <f>IF(archive!CJ746="","",archive!CJ746)</f>
        <v/>
      </c>
      <c r="I746" s="51" t="str">
        <f>IF(archive!CK746="","",archive!CK746)</f>
        <v/>
      </c>
      <c r="J746" s="47" t="str">
        <f t="shared" si="157"/>
        <v/>
      </c>
      <c r="K746" s="51" t="str">
        <f t="shared" si="158"/>
        <v/>
      </c>
      <c r="L746" s="52" t="str">
        <f t="shared" si="159"/>
        <v/>
      </c>
      <c r="M746" s="53" t="str">
        <f t="shared" si="160"/>
        <v/>
      </c>
      <c r="N746" s="53" t="str">
        <f t="shared" si="161"/>
        <v/>
      </c>
      <c r="O746" s="53" t="str">
        <f t="shared" si="162"/>
        <v/>
      </c>
      <c r="P746" s="53" t="str">
        <f t="shared" si="163"/>
        <v/>
      </c>
      <c r="Q746" s="53" t="str">
        <f t="shared" si="164"/>
        <v/>
      </c>
      <c r="R746" s="53" t="str">
        <f t="shared" si="165"/>
        <v/>
      </c>
      <c r="S746" s="53" t="str">
        <f t="shared" si="166"/>
        <v/>
      </c>
      <c r="T746" s="53" t="str">
        <f t="shared" si="167"/>
        <v/>
      </c>
    </row>
    <row r="747" spans="1:20">
      <c r="A747" s="47" t="str">
        <f>IF(archive!E747="","",archive!E747)</f>
        <v/>
      </c>
      <c r="B747" s="48" t="str">
        <f t="shared" si="154"/>
        <v/>
      </c>
      <c r="C747" s="49" t="str">
        <f>IF(archive!F747="","",archive!F747)</f>
        <v/>
      </c>
      <c r="D747" s="50" t="str">
        <f t="shared" si="155"/>
        <v/>
      </c>
      <c r="E747" s="50" t="str">
        <f t="shared" si="156"/>
        <v/>
      </c>
      <c r="F747" s="47" t="str">
        <f>IF(COUNTA(archive!H747:CI747)=0,"",COUNTA(archive!H747:CI747))</f>
        <v/>
      </c>
      <c r="G747" s="47" t="str">
        <f>IF(archive!G747="","",archive!G747)</f>
        <v/>
      </c>
      <c r="H747" s="51" t="str">
        <f>IF(archive!CJ747="","",archive!CJ747)</f>
        <v/>
      </c>
      <c r="I747" s="51" t="str">
        <f>IF(archive!CK747="","",archive!CK747)</f>
        <v/>
      </c>
      <c r="J747" s="47" t="str">
        <f t="shared" si="157"/>
        <v/>
      </c>
      <c r="K747" s="51" t="str">
        <f t="shared" si="158"/>
        <v/>
      </c>
      <c r="L747" s="52" t="str">
        <f t="shared" si="159"/>
        <v/>
      </c>
      <c r="M747" s="53" t="str">
        <f t="shared" si="160"/>
        <v/>
      </c>
      <c r="N747" s="53" t="str">
        <f t="shared" si="161"/>
        <v/>
      </c>
      <c r="O747" s="53" t="str">
        <f t="shared" si="162"/>
        <v/>
      </c>
      <c r="P747" s="53" t="str">
        <f t="shared" si="163"/>
        <v/>
      </c>
      <c r="Q747" s="53" t="str">
        <f t="shared" si="164"/>
        <v/>
      </c>
      <c r="R747" s="53" t="str">
        <f t="shared" si="165"/>
        <v/>
      </c>
      <c r="S747" s="53" t="str">
        <f t="shared" si="166"/>
        <v/>
      </c>
      <c r="T747" s="53" t="str">
        <f t="shared" si="167"/>
        <v/>
      </c>
    </row>
    <row r="748" spans="1:20">
      <c r="A748" s="47" t="str">
        <f>IF(archive!E748="","",archive!E748)</f>
        <v/>
      </c>
      <c r="B748" s="48" t="str">
        <f t="shared" si="154"/>
        <v/>
      </c>
      <c r="C748" s="49" t="str">
        <f>IF(archive!F748="","",archive!F748)</f>
        <v/>
      </c>
      <c r="D748" s="50" t="str">
        <f t="shared" si="155"/>
        <v/>
      </c>
      <c r="E748" s="50" t="str">
        <f t="shared" si="156"/>
        <v/>
      </c>
      <c r="F748" s="47" t="str">
        <f>IF(COUNTA(archive!H748:CI748)=0,"",COUNTA(archive!H748:CI748))</f>
        <v/>
      </c>
      <c r="G748" s="47" t="str">
        <f>IF(archive!G748="","",archive!G748)</f>
        <v/>
      </c>
      <c r="H748" s="51" t="str">
        <f>IF(archive!CJ748="","",archive!CJ748)</f>
        <v/>
      </c>
      <c r="I748" s="51" t="str">
        <f>IF(archive!CK748="","",archive!CK748)</f>
        <v/>
      </c>
      <c r="J748" s="47" t="str">
        <f t="shared" si="157"/>
        <v/>
      </c>
      <c r="K748" s="51" t="str">
        <f t="shared" si="158"/>
        <v/>
      </c>
      <c r="L748" s="52" t="str">
        <f t="shared" si="159"/>
        <v/>
      </c>
      <c r="M748" s="53" t="str">
        <f t="shared" si="160"/>
        <v/>
      </c>
      <c r="N748" s="53" t="str">
        <f t="shared" si="161"/>
        <v/>
      </c>
      <c r="O748" s="53" t="str">
        <f t="shared" si="162"/>
        <v/>
      </c>
      <c r="P748" s="53" t="str">
        <f t="shared" si="163"/>
        <v/>
      </c>
      <c r="Q748" s="53" t="str">
        <f t="shared" si="164"/>
        <v/>
      </c>
      <c r="R748" s="53" t="str">
        <f t="shared" si="165"/>
        <v/>
      </c>
      <c r="S748" s="53" t="str">
        <f t="shared" si="166"/>
        <v/>
      </c>
      <c r="T748" s="53" t="str">
        <f t="shared" si="167"/>
        <v/>
      </c>
    </row>
    <row r="749" spans="1:20">
      <c r="A749" s="47" t="str">
        <f>IF(archive!E749="","",archive!E749)</f>
        <v/>
      </c>
      <c r="B749" s="48" t="str">
        <f t="shared" si="154"/>
        <v/>
      </c>
      <c r="C749" s="49" t="str">
        <f>IF(archive!F749="","",archive!F749)</f>
        <v/>
      </c>
      <c r="D749" s="50" t="str">
        <f t="shared" si="155"/>
        <v/>
      </c>
      <c r="E749" s="50" t="str">
        <f t="shared" si="156"/>
        <v/>
      </c>
      <c r="F749" s="47" t="str">
        <f>IF(COUNTA(archive!H749:CI749)=0,"",COUNTA(archive!H749:CI749))</f>
        <v/>
      </c>
      <c r="G749" s="47" t="str">
        <f>IF(archive!G749="","",archive!G749)</f>
        <v/>
      </c>
      <c r="H749" s="51" t="str">
        <f>IF(archive!CJ749="","",archive!CJ749)</f>
        <v/>
      </c>
      <c r="I749" s="51" t="str">
        <f>IF(archive!CK749="","",archive!CK749)</f>
        <v/>
      </c>
      <c r="J749" s="47" t="str">
        <f t="shared" si="157"/>
        <v/>
      </c>
      <c r="K749" s="51" t="str">
        <f t="shared" si="158"/>
        <v/>
      </c>
      <c r="L749" s="52" t="str">
        <f t="shared" si="159"/>
        <v/>
      </c>
      <c r="M749" s="53" t="str">
        <f t="shared" si="160"/>
        <v/>
      </c>
      <c r="N749" s="53" t="str">
        <f t="shared" si="161"/>
        <v/>
      </c>
      <c r="O749" s="53" t="str">
        <f t="shared" si="162"/>
        <v/>
      </c>
      <c r="P749" s="53" t="str">
        <f t="shared" si="163"/>
        <v/>
      </c>
      <c r="Q749" s="53" t="str">
        <f t="shared" si="164"/>
        <v/>
      </c>
      <c r="R749" s="53" t="str">
        <f t="shared" si="165"/>
        <v/>
      </c>
      <c r="S749" s="53" t="str">
        <f t="shared" si="166"/>
        <v/>
      </c>
      <c r="T749" s="53" t="str">
        <f t="shared" si="167"/>
        <v/>
      </c>
    </row>
    <row r="750" spans="1:20">
      <c r="A750" s="47" t="str">
        <f>IF(archive!E750="","",archive!E750)</f>
        <v/>
      </c>
      <c r="B750" s="48" t="str">
        <f t="shared" si="154"/>
        <v/>
      </c>
      <c r="C750" s="49" t="str">
        <f>IF(archive!F750="","",archive!F750)</f>
        <v/>
      </c>
      <c r="D750" s="50" t="str">
        <f t="shared" si="155"/>
        <v/>
      </c>
      <c r="E750" s="50" t="str">
        <f t="shared" si="156"/>
        <v/>
      </c>
      <c r="F750" s="47" t="str">
        <f>IF(COUNTA(archive!H750:CI750)=0,"",COUNTA(archive!H750:CI750))</f>
        <v/>
      </c>
      <c r="G750" s="47" t="str">
        <f>IF(archive!G750="","",archive!G750)</f>
        <v/>
      </c>
      <c r="H750" s="51" t="str">
        <f>IF(archive!CJ750="","",archive!CJ750)</f>
        <v/>
      </c>
      <c r="I750" s="51" t="str">
        <f>IF(archive!CK750="","",archive!CK750)</f>
        <v/>
      </c>
      <c r="J750" s="47" t="str">
        <f t="shared" si="157"/>
        <v/>
      </c>
      <c r="K750" s="51" t="str">
        <f t="shared" si="158"/>
        <v/>
      </c>
      <c r="L750" s="52" t="str">
        <f t="shared" si="159"/>
        <v/>
      </c>
      <c r="M750" s="53" t="str">
        <f t="shared" si="160"/>
        <v/>
      </c>
      <c r="N750" s="53" t="str">
        <f t="shared" si="161"/>
        <v/>
      </c>
      <c r="O750" s="53" t="str">
        <f t="shared" si="162"/>
        <v/>
      </c>
      <c r="P750" s="53" t="str">
        <f t="shared" si="163"/>
        <v/>
      </c>
      <c r="Q750" s="53" t="str">
        <f t="shared" si="164"/>
        <v/>
      </c>
      <c r="R750" s="53" t="str">
        <f t="shared" si="165"/>
        <v/>
      </c>
      <c r="S750" s="53" t="str">
        <f t="shared" si="166"/>
        <v/>
      </c>
      <c r="T750" s="53" t="str">
        <f t="shared" si="167"/>
        <v/>
      </c>
    </row>
    <row r="751" spans="1:20">
      <c r="A751" s="47" t="str">
        <f>IF(archive!E751="","",archive!E751)</f>
        <v/>
      </c>
      <c r="B751" s="48" t="str">
        <f t="shared" si="154"/>
        <v/>
      </c>
      <c r="C751" s="49" t="str">
        <f>IF(archive!F751="","",archive!F751)</f>
        <v/>
      </c>
      <c r="D751" s="50" t="str">
        <f t="shared" si="155"/>
        <v/>
      </c>
      <c r="E751" s="50" t="str">
        <f t="shared" si="156"/>
        <v/>
      </c>
      <c r="F751" s="47" t="str">
        <f>IF(COUNTA(archive!H751:CI751)=0,"",COUNTA(archive!H751:CI751))</f>
        <v/>
      </c>
      <c r="G751" s="47" t="str">
        <f>IF(archive!G751="","",archive!G751)</f>
        <v/>
      </c>
      <c r="H751" s="51" t="str">
        <f>IF(archive!CJ751="","",archive!CJ751)</f>
        <v/>
      </c>
      <c r="I751" s="51" t="str">
        <f>IF(archive!CK751="","",archive!CK751)</f>
        <v/>
      </c>
      <c r="J751" s="47" t="str">
        <f t="shared" si="157"/>
        <v/>
      </c>
      <c r="K751" s="51" t="str">
        <f t="shared" si="158"/>
        <v/>
      </c>
      <c r="L751" s="52" t="str">
        <f t="shared" si="159"/>
        <v/>
      </c>
      <c r="M751" s="53" t="str">
        <f t="shared" si="160"/>
        <v/>
      </c>
      <c r="N751" s="53" t="str">
        <f t="shared" si="161"/>
        <v/>
      </c>
      <c r="O751" s="53" t="str">
        <f t="shared" si="162"/>
        <v/>
      </c>
      <c r="P751" s="53" t="str">
        <f t="shared" si="163"/>
        <v/>
      </c>
      <c r="Q751" s="53" t="str">
        <f t="shared" si="164"/>
        <v/>
      </c>
      <c r="R751" s="53" t="str">
        <f t="shared" si="165"/>
        <v/>
      </c>
      <c r="S751" s="53" t="str">
        <f t="shared" si="166"/>
        <v/>
      </c>
      <c r="T751" s="53" t="str">
        <f t="shared" si="167"/>
        <v/>
      </c>
    </row>
    <row r="752" spans="1:20">
      <c r="A752" s="47" t="str">
        <f>IF(archive!E752="","",archive!E752)</f>
        <v/>
      </c>
      <c r="B752" s="48" t="str">
        <f t="shared" si="154"/>
        <v/>
      </c>
      <c r="C752" s="49" t="str">
        <f>IF(archive!F752="","",archive!F752)</f>
        <v/>
      </c>
      <c r="D752" s="50" t="str">
        <f t="shared" si="155"/>
        <v/>
      </c>
      <c r="E752" s="50" t="str">
        <f t="shared" si="156"/>
        <v/>
      </c>
      <c r="F752" s="47" t="str">
        <f>IF(COUNTA(archive!H752:CI752)=0,"",COUNTA(archive!H752:CI752))</f>
        <v/>
      </c>
      <c r="G752" s="47" t="str">
        <f>IF(archive!G752="","",archive!G752)</f>
        <v/>
      </c>
      <c r="H752" s="51" t="str">
        <f>IF(archive!CJ752="","",archive!CJ752)</f>
        <v/>
      </c>
      <c r="I752" s="51" t="str">
        <f>IF(archive!CK752="","",archive!CK752)</f>
        <v/>
      </c>
      <c r="J752" s="47" t="str">
        <f t="shared" si="157"/>
        <v/>
      </c>
      <c r="K752" s="51" t="str">
        <f t="shared" si="158"/>
        <v/>
      </c>
      <c r="L752" s="52" t="str">
        <f t="shared" si="159"/>
        <v/>
      </c>
      <c r="M752" s="53" t="str">
        <f t="shared" si="160"/>
        <v/>
      </c>
      <c r="N752" s="53" t="str">
        <f t="shared" si="161"/>
        <v/>
      </c>
      <c r="O752" s="53" t="str">
        <f t="shared" si="162"/>
        <v/>
      </c>
      <c r="P752" s="53" t="str">
        <f t="shared" si="163"/>
        <v/>
      </c>
      <c r="Q752" s="53" t="str">
        <f t="shared" si="164"/>
        <v/>
      </c>
      <c r="R752" s="53" t="str">
        <f t="shared" si="165"/>
        <v/>
      </c>
      <c r="S752" s="53" t="str">
        <f t="shared" si="166"/>
        <v/>
      </c>
      <c r="T752" s="53" t="str">
        <f t="shared" si="167"/>
        <v/>
      </c>
    </row>
    <row r="753" spans="1:20">
      <c r="A753" s="47" t="str">
        <f>IF(archive!E753="","",archive!E753)</f>
        <v/>
      </c>
      <c r="B753" s="48" t="str">
        <f t="shared" si="154"/>
        <v/>
      </c>
      <c r="C753" s="49" t="str">
        <f>IF(archive!F753="","",archive!F753)</f>
        <v/>
      </c>
      <c r="D753" s="50" t="str">
        <f t="shared" si="155"/>
        <v/>
      </c>
      <c r="E753" s="50" t="str">
        <f t="shared" si="156"/>
        <v/>
      </c>
      <c r="F753" s="47" t="str">
        <f>IF(COUNTA(archive!H753:CI753)=0,"",COUNTA(archive!H753:CI753))</f>
        <v/>
      </c>
      <c r="G753" s="47" t="str">
        <f>IF(archive!G753="","",archive!G753)</f>
        <v/>
      </c>
      <c r="H753" s="51" t="str">
        <f>IF(archive!CJ753="","",archive!CJ753)</f>
        <v/>
      </c>
      <c r="I753" s="51" t="str">
        <f>IF(archive!CK753="","",archive!CK753)</f>
        <v/>
      </c>
      <c r="J753" s="47" t="str">
        <f t="shared" si="157"/>
        <v/>
      </c>
      <c r="K753" s="51" t="str">
        <f t="shared" si="158"/>
        <v/>
      </c>
      <c r="L753" s="52" t="str">
        <f t="shared" si="159"/>
        <v/>
      </c>
      <c r="M753" s="53" t="str">
        <f t="shared" si="160"/>
        <v/>
      </c>
      <c r="N753" s="53" t="str">
        <f t="shared" si="161"/>
        <v/>
      </c>
      <c r="O753" s="53" t="str">
        <f t="shared" si="162"/>
        <v/>
      </c>
      <c r="P753" s="53" t="str">
        <f t="shared" si="163"/>
        <v/>
      </c>
      <c r="Q753" s="53" t="str">
        <f t="shared" si="164"/>
        <v/>
      </c>
      <c r="R753" s="53" t="str">
        <f t="shared" si="165"/>
        <v/>
      </c>
      <c r="S753" s="53" t="str">
        <f t="shared" si="166"/>
        <v/>
      </c>
      <c r="T753" s="53" t="str">
        <f t="shared" si="167"/>
        <v/>
      </c>
    </row>
    <row r="754" spans="1:20">
      <c r="A754" s="47" t="str">
        <f>IF(archive!E754="","",archive!E754)</f>
        <v/>
      </c>
      <c r="B754" s="48" t="str">
        <f t="shared" si="154"/>
        <v/>
      </c>
      <c r="C754" s="49" t="str">
        <f>IF(archive!F754="","",archive!F754)</f>
        <v/>
      </c>
      <c r="D754" s="50" t="str">
        <f t="shared" si="155"/>
        <v/>
      </c>
      <c r="E754" s="50" t="str">
        <f t="shared" si="156"/>
        <v/>
      </c>
      <c r="F754" s="47" t="str">
        <f>IF(COUNTA(archive!H754:CI754)=0,"",COUNTA(archive!H754:CI754))</f>
        <v/>
      </c>
      <c r="G754" s="47" t="str">
        <f>IF(archive!G754="","",archive!G754)</f>
        <v/>
      </c>
      <c r="H754" s="51" t="str">
        <f>IF(archive!CJ754="","",archive!CJ754)</f>
        <v/>
      </c>
      <c r="I754" s="51" t="str">
        <f>IF(archive!CK754="","",archive!CK754)</f>
        <v/>
      </c>
      <c r="J754" s="47" t="str">
        <f t="shared" si="157"/>
        <v/>
      </c>
      <c r="K754" s="51" t="str">
        <f t="shared" si="158"/>
        <v/>
      </c>
      <c r="L754" s="52" t="str">
        <f t="shared" si="159"/>
        <v/>
      </c>
      <c r="M754" s="53" t="str">
        <f t="shared" si="160"/>
        <v/>
      </c>
      <c r="N754" s="53" t="str">
        <f t="shared" si="161"/>
        <v/>
      </c>
      <c r="O754" s="53" t="str">
        <f t="shared" si="162"/>
        <v/>
      </c>
      <c r="P754" s="53" t="str">
        <f t="shared" si="163"/>
        <v/>
      </c>
      <c r="Q754" s="53" t="str">
        <f t="shared" si="164"/>
        <v/>
      </c>
      <c r="R754" s="53" t="str">
        <f t="shared" si="165"/>
        <v/>
      </c>
      <c r="S754" s="53" t="str">
        <f t="shared" si="166"/>
        <v/>
      </c>
      <c r="T754" s="53" t="str">
        <f t="shared" si="167"/>
        <v/>
      </c>
    </row>
    <row r="755" spans="1:20">
      <c r="A755" s="47" t="str">
        <f>IF(archive!E755="","",archive!E755)</f>
        <v/>
      </c>
      <c r="B755" s="48" t="str">
        <f t="shared" si="154"/>
        <v/>
      </c>
      <c r="C755" s="49" t="str">
        <f>IF(archive!F755="","",archive!F755)</f>
        <v/>
      </c>
      <c r="D755" s="50" t="str">
        <f t="shared" si="155"/>
        <v/>
      </c>
      <c r="E755" s="50" t="str">
        <f t="shared" si="156"/>
        <v/>
      </c>
      <c r="F755" s="47" t="str">
        <f>IF(COUNTA(archive!H755:CI755)=0,"",COUNTA(archive!H755:CI755))</f>
        <v/>
      </c>
      <c r="G755" s="47" t="str">
        <f>IF(archive!G755="","",archive!G755)</f>
        <v/>
      </c>
      <c r="H755" s="51" t="str">
        <f>IF(archive!CJ755="","",archive!CJ755)</f>
        <v/>
      </c>
      <c r="I755" s="51" t="str">
        <f>IF(archive!CK755="","",archive!CK755)</f>
        <v/>
      </c>
      <c r="J755" s="47" t="str">
        <f t="shared" si="157"/>
        <v/>
      </c>
      <c r="K755" s="51" t="str">
        <f t="shared" si="158"/>
        <v/>
      </c>
      <c r="L755" s="52" t="str">
        <f t="shared" si="159"/>
        <v/>
      </c>
      <c r="M755" s="53" t="str">
        <f t="shared" si="160"/>
        <v/>
      </c>
      <c r="N755" s="53" t="str">
        <f t="shared" si="161"/>
        <v/>
      </c>
      <c r="O755" s="53" t="str">
        <f t="shared" si="162"/>
        <v/>
      </c>
      <c r="P755" s="53" t="str">
        <f t="shared" si="163"/>
        <v/>
      </c>
      <c r="Q755" s="53" t="str">
        <f t="shared" si="164"/>
        <v/>
      </c>
      <c r="R755" s="53" t="str">
        <f t="shared" si="165"/>
        <v/>
      </c>
      <c r="S755" s="53" t="str">
        <f t="shared" si="166"/>
        <v/>
      </c>
      <c r="T755" s="53" t="str">
        <f t="shared" si="167"/>
        <v/>
      </c>
    </row>
    <row r="756" spans="1:20">
      <c r="A756" s="47" t="str">
        <f>IF(archive!E756="","",archive!E756)</f>
        <v/>
      </c>
      <c r="B756" s="48" t="str">
        <f t="shared" si="154"/>
        <v/>
      </c>
      <c r="C756" s="49" t="str">
        <f>IF(archive!F756="","",archive!F756)</f>
        <v/>
      </c>
      <c r="D756" s="50" t="str">
        <f t="shared" si="155"/>
        <v/>
      </c>
      <c r="E756" s="50" t="str">
        <f t="shared" si="156"/>
        <v/>
      </c>
      <c r="F756" s="47" t="str">
        <f>IF(COUNTA(archive!H756:CI756)=0,"",COUNTA(archive!H756:CI756))</f>
        <v/>
      </c>
      <c r="G756" s="47" t="str">
        <f>IF(archive!G756="","",archive!G756)</f>
        <v/>
      </c>
      <c r="H756" s="51" t="str">
        <f>IF(archive!CJ756="","",archive!CJ756)</f>
        <v/>
      </c>
      <c r="I756" s="51" t="str">
        <f>IF(archive!CK756="","",archive!CK756)</f>
        <v/>
      </c>
      <c r="J756" s="47" t="str">
        <f t="shared" si="157"/>
        <v/>
      </c>
      <c r="K756" s="51" t="str">
        <f t="shared" si="158"/>
        <v/>
      </c>
      <c r="L756" s="52" t="str">
        <f t="shared" si="159"/>
        <v/>
      </c>
      <c r="M756" s="53" t="str">
        <f t="shared" si="160"/>
        <v/>
      </c>
      <c r="N756" s="53" t="str">
        <f t="shared" si="161"/>
        <v/>
      </c>
      <c r="O756" s="53" t="str">
        <f t="shared" si="162"/>
        <v/>
      </c>
      <c r="P756" s="53" t="str">
        <f t="shared" si="163"/>
        <v/>
      </c>
      <c r="Q756" s="53" t="str">
        <f t="shared" si="164"/>
        <v/>
      </c>
      <c r="R756" s="53" t="str">
        <f t="shared" si="165"/>
        <v/>
      </c>
      <c r="S756" s="53" t="str">
        <f t="shared" si="166"/>
        <v/>
      </c>
      <c r="T756" s="53" t="str">
        <f t="shared" si="167"/>
        <v/>
      </c>
    </row>
    <row r="757" spans="1:20">
      <c r="A757" s="47" t="str">
        <f>IF(archive!E757="","",archive!E757)</f>
        <v/>
      </c>
      <c r="B757" s="48" t="str">
        <f t="shared" si="154"/>
        <v/>
      </c>
      <c r="C757" s="49" t="str">
        <f>IF(archive!F757="","",archive!F757)</f>
        <v/>
      </c>
      <c r="D757" s="50" t="str">
        <f t="shared" si="155"/>
        <v/>
      </c>
      <c r="E757" s="50" t="str">
        <f t="shared" si="156"/>
        <v/>
      </c>
      <c r="F757" s="47" t="str">
        <f>IF(COUNTA(archive!H757:CI757)=0,"",COUNTA(archive!H757:CI757))</f>
        <v/>
      </c>
      <c r="G757" s="47" t="str">
        <f>IF(archive!G757="","",archive!G757)</f>
        <v/>
      </c>
      <c r="H757" s="51" t="str">
        <f>IF(archive!CJ757="","",archive!CJ757)</f>
        <v/>
      </c>
      <c r="I757" s="51" t="str">
        <f>IF(archive!CK757="","",archive!CK757)</f>
        <v/>
      </c>
      <c r="J757" s="47" t="str">
        <f t="shared" si="157"/>
        <v/>
      </c>
      <c r="K757" s="51" t="str">
        <f t="shared" si="158"/>
        <v/>
      </c>
      <c r="L757" s="52" t="str">
        <f t="shared" si="159"/>
        <v/>
      </c>
      <c r="M757" s="53" t="str">
        <f t="shared" si="160"/>
        <v/>
      </c>
      <c r="N757" s="53" t="str">
        <f t="shared" si="161"/>
        <v/>
      </c>
      <c r="O757" s="53" t="str">
        <f t="shared" si="162"/>
        <v/>
      </c>
      <c r="P757" s="53" t="str">
        <f t="shared" si="163"/>
        <v/>
      </c>
      <c r="Q757" s="53" t="str">
        <f t="shared" si="164"/>
        <v/>
      </c>
      <c r="R757" s="53" t="str">
        <f t="shared" si="165"/>
        <v/>
      </c>
      <c r="S757" s="53" t="str">
        <f t="shared" si="166"/>
        <v/>
      </c>
      <c r="T757" s="53" t="str">
        <f t="shared" si="167"/>
        <v/>
      </c>
    </row>
    <row r="758" spans="1:20">
      <c r="A758" s="47" t="str">
        <f>IF(archive!E758="","",archive!E758)</f>
        <v/>
      </c>
      <c r="B758" s="48" t="str">
        <f t="shared" si="154"/>
        <v/>
      </c>
      <c r="C758" s="49" t="str">
        <f>IF(archive!F758="","",archive!F758)</f>
        <v/>
      </c>
      <c r="D758" s="50" t="str">
        <f t="shared" si="155"/>
        <v/>
      </c>
      <c r="E758" s="50" t="str">
        <f t="shared" si="156"/>
        <v/>
      </c>
      <c r="F758" s="47" t="str">
        <f>IF(COUNTA(archive!H758:CI758)=0,"",COUNTA(archive!H758:CI758))</f>
        <v/>
      </c>
      <c r="G758" s="47" t="str">
        <f>IF(archive!G758="","",archive!G758)</f>
        <v/>
      </c>
      <c r="H758" s="51" t="str">
        <f>IF(archive!CJ758="","",archive!CJ758)</f>
        <v/>
      </c>
      <c r="I758" s="51" t="str">
        <f>IF(archive!CK758="","",archive!CK758)</f>
        <v/>
      </c>
      <c r="J758" s="47" t="str">
        <f t="shared" si="157"/>
        <v/>
      </c>
      <c r="K758" s="51" t="str">
        <f t="shared" si="158"/>
        <v/>
      </c>
      <c r="L758" s="52" t="str">
        <f t="shared" si="159"/>
        <v/>
      </c>
      <c r="M758" s="53" t="str">
        <f t="shared" si="160"/>
        <v/>
      </c>
      <c r="N758" s="53" t="str">
        <f t="shared" si="161"/>
        <v/>
      </c>
      <c r="O758" s="53" t="str">
        <f t="shared" si="162"/>
        <v/>
      </c>
      <c r="P758" s="53" t="str">
        <f t="shared" si="163"/>
        <v/>
      </c>
      <c r="Q758" s="53" t="str">
        <f t="shared" si="164"/>
        <v/>
      </c>
      <c r="R758" s="53" t="str">
        <f t="shared" si="165"/>
        <v/>
      </c>
      <c r="S758" s="53" t="str">
        <f t="shared" si="166"/>
        <v/>
      </c>
      <c r="T758" s="53" t="str">
        <f t="shared" si="167"/>
        <v/>
      </c>
    </row>
    <row r="759" spans="1:20">
      <c r="A759" s="47" t="str">
        <f>IF(archive!E759="","",archive!E759)</f>
        <v/>
      </c>
      <c r="B759" s="48" t="str">
        <f t="shared" si="154"/>
        <v/>
      </c>
      <c r="C759" s="49" t="str">
        <f>IF(archive!F759="","",archive!F759)</f>
        <v/>
      </c>
      <c r="D759" s="50" t="str">
        <f t="shared" si="155"/>
        <v/>
      </c>
      <c r="E759" s="50" t="str">
        <f t="shared" si="156"/>
        <v/>
      </c>
      <c r="F759" s="47" t="str">
        <f>IF(COUNTA(archive!H759:CI759)=0,"",COUNTA(archive!H759:CI759))</f>
        <v/>
      </c>
      <c r="G759" s="47" t="str">
        <f>IF(archive!G759="","",archive!G759)</f>
        <v/>
      </c>
      <c r="H759" s="51" t="str">
        <f>IF(archive!CJ759="","",archive!CJ759)</f>
        <v/>
      </c>
      <c r="I759" s="51" t="str">
        <f>IF(archive!CK759="","",archive!CK759)</f>
        <v/>
      </c>
      <c r="J759" s="47" t="str">
        <f t="shared" si="157"/>
        <v/>
      </c>
      <c r="K759" s="51" t="str">
        <f t="shared" si="158"/>
        <v/>
      </c>
      <c r="L759" s="52" t="str">
        <f t="shared" si="159"/>
        <v/>
      </c>
      <c r="M759" s="53" t="str">
        <f t="shared" si="160"/>
        <v/>
      </c>
      <c r="N759" s="53" t="str">
        <f t="shared" si="161"/>
        <v/>
      </c>
      <c r="O759" s="53" t="str">
        <f t="shared" si="162"/>
        <v/>
      </c>
      <c r="P759" s="53" t="str">
        <f t="shared" si="163"/>
        <v/>
      </c>
      <c r="Q759" s="53" t="str">
        <f t="shared" si="164"/>
        <v/>
      </c>
      <c r="R759" s="53" t="str">
        <f t="shared" si="165"/>
        <v/>
      </c>
      <c r="S759" s="53" t="str">
        <f t="shared" si="166"/>
        <v/>
      </c>
      <c r="T759" s="53" t="str">
        <f t="shared" si="167"/>
        <v/>
      </c>
    </row>
    <row r="760" spans="1:20">
      <c r="A760" s="47" t="str">
        <f>IF(archive!E760="","",archive!E760)</f>
        <v/>
      </c>
      <c r="B760" s="48" t="str">
        <f t="shared" si="154"/>
        <v/>
      </c>
      <c r="C760" s="49" t="str">
        <f>IF(archive!F760="","",archive!F760)</f>
        <v/>
      </c>
      <c r="D760" s="50" t="str">
        <f t="shared" si="155"/>
        <v/>
      </c>
      <c r="E760" s="50" t="str">
        <f t="shared" si="156"/>
        <v/>
      </c>
      <c r="F760" s="47" t="str">
        <f>IF(COUNTA(archive!H760:CI760)=0,"",COUNTA(archive!H760:CI760))</f>
        <v/>
      </c>
      <c r="G760" s="47" t="str">
        <f>IF(archive!G760="","",archive!G760)</f>
        <v/>
      </c>
      <c r="H760" s="51" t="str">
        <f>IF(archive!CJ760="","",archive!CJ760)</f>
        <v/>
      </c>
      <c r="I760" s="51" t="str">
        <f>IF(archive!CK760="","",archive!CK760)</f>
        <v/>
      </c>
      <c r="J760" s="47" t="str">
        <f t="shared" si="157"/>
        <v/>
      </c>
      <c r="K760" s="51" t="str">
        <f t="shared" si="158"/>
        <v/>
      </c>
      <c r="L760" s="52" t="str">
        <f t="shared" si="159"/>
        <v/>
      </c>
      <c r="M760" s="53" t="str">
        <f t="shared" si="160"/>
        <v/>
      </c>
      <c r="N760" s="53" t="str">
        <f t="shared" si="161"/>
        <v/>
      </c>
      <c r="O760" s="53" t="str">
        <f t="shared" si="162"/>
        <v/>
      </c>
      <c r="P760" s="53" t="str">
        <f t="shared" si="163"/>
        <v/>
      </c>
      <c r="Q760" s="53" t="str">
        <f t="shared" si="164"/>
        <v/>
      </c>
      <c r="R760" s="53" t="str">
        <f t="shared" si="165"/>
        <v/>
      </c>
      <c r="S760" s="53" t="str">
        <f t="shared" si="166"/>
        <v/>
      </c>
      <c r="T760" s="53" t="str">
        <f t="shared" si="167"/>
        <v/>
      </c>
    </row>
    <row r="761" spans="1:20">
      <c r="A761" s="47" t="str">
        <f>IF(archive!E761="","",archive!E761)</f>
        <v/>
      </c>
      <c r="B761" s="48" t="str">
        <f t="shared" si="154"/>
        <v/>
      </c>
      <c r="C761" s="49" t="str">
        <f>IF(archive!F761="","",archive!F761)</f>
        <v/>
      </c>
      <c r="D761" s="50" t="str">
        <f t="shared" si="155"/>
        <v/>
      </c>
      <c r="E761" s="50" t="str">
        <f t="shared" si="156"/>
        <v/>
      </c>
      <c r="F761" s="47" t="str">
        <f>IF(COUNTA(archive!H761:CI761)=0,"",COUNTA(archive!H761:CI761))</f>
        <v/>
      </c>
      <c r="G761" s="47" t="str">
        <f>IF(archive!G761="","",archive!G761)</f>
        <v/>
      </c>
      <c r="H761" s="51" t="str">
        <f>IF(archive!CJ761="","",archive!CJ761)</f>
        <v/>
      </c>
      <c r="I761" s="51" t="str">
        <f>IF(archive!CK761="","",archive!CK761)</f>
        <v/>
      </c>
      <c r="J761" s="47" t="str">
        <f t="shared" si="157"/>
        <v/>
      </c>
      <c r="K761" s="51" t="str">
        <f t="shared" si="158"/>
        <v/>
      </c>
      <c r="L761" s="52" t="str">
        <f t="shared" si="159"/>
        <v/>
      </c>
      <c r="M761" s="53" t="str">
        <f t="shared" si="160"/>
        <v/>
      </c>
      <c r="N761" s="53" t="str">
        <f t="shared" si="161"/>
        <v/>
      </c>
      <c r="O761" s="53" t="str">
        <f t="shared" si="162"/>
        <v/>
      </c>
      <c r="P761" s="53" t="str">
        <f t="shared" si="163"/>
        <v/>
      </c>
      <c r="Q761" s="53" t="str">
        <f t="shared" si="164"/>
        <v/>
      </c>
      <c r="R761" s="53" t="str">
        <f t="shared" si="165"/>
        <v/>
      </c>
      <c r="S761" s="53" t="str">
        <f t="shared" si="166"/>
        <v/>
      </c>
      <c r="T761" s="53" t="str">
        <f t="shared" si="167"/>
        <v/>
      </c>
    </row>
    <row r="762" spans="1:20">
      <c r="A762" s="47" t="str">
        <f>IF(archive!E762="","",archive!E762)</f>
        <v/>
      </c>
      <c r="B762" s="48" t="str">
        <f t="shared" si="154"/>
        <v/>
      </c>
      <c r="C762" s="49" t="str">
        <f>IF(archive!F762="","",archive!F762)</f>
        <v/>
      </c>
      <c r="D762" s="50" t="str">
        <f t="shared" si="155"/>
        <v/>
      </c>
      <c r="E762" s="50" t="str">
        <f t="shared" si="156"/>
        <v/>
      </c>
      <c r="F762" s="47" t="str">
        <f>IF(COUNTA(archive!H762:CI762)=0,"",COUNTA(archive!H762:CI762))</f>
        <v/>
      </c>
      <c r="G762" s="47" t="str">
        <f>IF(archive!G762="","",archive!G762)</f>
        <v/>
      </c>
      <c r="H762" s="51" t="str">
        <f>IF(archive!CJ762="","",archive!CJ762)</f>
        <v/>
      </c>
      <c r="I762" s="51" t="str">
        <f>IF(archive!CK762="","",archive!CK762)</f>
        <v/>
      </c>
      <c r="J762" s="47" t="str">
        <f t="shared" si="157"/>
        <v/>
      </c>
      <c r="K762" s="51" t="str">
        <f t="shared" si="158"/>
        <v/>
      </c>
      <c r="L762" s="52" t="str">
        <f t="shared" si="159"/>
        <v/>
      </c>
      <c r="M762" s="53" t="str">
        <f t="shared" si="160"/>
        <v/>
      </c>
      <c r="N762" s="53" t="str">
        <f t="shared" si="161"/>
        <v/>
      </c>
      <c r="O762" s="53" t="str">
        <f t="shared" si="162"/>
        <v/>
      </c>
      <c r="P762" s="53" t="str">
        <f t="shared" si="163"/>
        <v/>
      </c>
      <c r="Q762" s="53" t="str">
        <f t="shared" si="164"/>
        <v/>
      </c>
      <c r="R762" s="53" t="str">
        <f t="shared" si="165"/>
        <v/>
      </c>
      <c r="S762" s="53" t="str">
        <f t="shared" si="166"/>
        <v/>
      </c>
      <c r="T762" s="53" t="str">
        <f t="shared" si="167"/>
        <v/>
      </c>
    </row>
    <row r="763" spans="1:20">
      <c r="A763" s="47" t="str">
        <f>IF(archive!E763="","",archive!E763)</f>
        <v/>
      </c>
      <c r="B763" s="48" t="str">
        <f t="shared" si="154"/>
        <v/>
      </c>
      <c r="C763" s="49" t="str">
        <f>IF(archive!F763="","",archive!F763)</f>
        <v/>
      </c>
      <c r="D763" s="50" t="str">
        <f t="shared" si="155"/>
        <v/>
      </c>
      <c r="E763" s="50" t="str">
        <f t="shared" si="156"/>
        <v/>
      </c>
      <c r="F763" s="47" t="str">
        <f>IF(COUNTA(archive!H763:CI763)=0,"",COUNTA(archive!H763:CI763))</f>
        <v/>
      </c>
      <c r="G763" s="47" t="str">
        <f>IF(archive!G763="","",archive!G763)</f>
        <v/>
      </c>
      <c r="H763" s="51" t="str">
        <f>IF(archive!CJ763="","",archive!CJ763)</f>
        <v/>
      </c>
      <c r="I763" s="51" t="str">
        <f>IF(archive!CK763="","",archive!CK763)</f>
        <v/>
      </c>
      <c r="J763" s="47" t="str">
        <f t="shared" si="157"/>
        <v/>
      </c>
      <c r="K763" s="51" t="str">
        <f t="shared" si="158"/>
        <v/>
      </c>
      <c r="L763" s="52" t="str">
        <f t="shared" si="159"/>
        <v/>
      </c>
      <c r="M763" s="53" t="str">
        <f t="shared" si="160"/>
        <v/>
      </c>
      <c r="N763" s="53" t="str">
        <f t="shared" si="161"/>
        <v/>
      </c>
      <c r="O763" s="53" t="str">
        <f t="shared" si="162"/>
        <v/>
      </c>
      <c r="P763" s="53" t="str">
        <f t="shared" si="163"/>
        <v/>
      </c>
      <c r="Q763" s="53" t="str">
        <f t="shared" si="164"/>
        <v/>
      </c>
      <c r="R763" s="53" t="str">
        <f t="shared" si="165"/>
        <v/>
      </c>
      <c r="S763" s="53" t="str">
        <f t="shared" si="166"/>
        <v/>
      </c>
      <c r="T763" s="53" t="str">
        <f t="shared" si="167"/>
        <v/>
      </c>
    </row>
    <row r="764" spans="1:20">
      <c r="A764" s="47" t="str">
        <f>IF(archive!E764="","",archive!E764)</f>
        <v/>
      </c>
      <c r="B764" s="48" t="str">
        <f t="shared" si="154"/>
        <v/>
      </c>
      <c r="C764" s="49" t="str">
        <f>IF(archive!F764="","",archive!F764)</f>
        <v/>
      </c>
      <c r="D764" s="50" t="str">
        <f t="shared" si="155"/>
        <v/>
      </c>
      <c r="E764" s="50" t="str">
        <f t="shared" si="156"/>
        <v/>
      </c>
      <c r="F764" s="47" t="str">
        <f>IF(COUNTA(archive!H764:CI764)=0,"",COUNTA(archive!H764:CI764))</f>
        <v/>
      </c>
      <c r="G764" s="47" t="str">
        <f>IF(archive!G764="","",archive!G764)</f>
        <v/>
      </c>
      <c r="H764" s="51" t="str">
        <f>IF(archive!CJ764="","",archive!CJ764)</f>
        <v/>
      </c>
      <c r="I764" s="51" t="str">
        <f>IF(archive!CK764="","",archive!CK764)</f>
        <v/>
      </c>
      <c r="J764" s="47" t="str">
        <f t="shared" si="157"/>
        <v/>
      </c>
      <c r="K764" s="51" t="str">
        <f t="shared" si="158"/>
        <v/>
      </c>
      <c r="L764" s="52" t="str">
        <f t="shared" si="159"/>
        <v/>
      </c>
      <c r="M764" s="53" t="str">
        <f t="shared" si="160"/>
        <v/>
      </c>
      <c r="N764" s="53" t="str">
        <f t="shared" si="161"/>
        <v/>
      </c>
      <c r="O764" s="53" t="str">
        <f t="shared" si="162"/>
        <v/>
      </c>
      <c r="P764" s="53" t="str">
        <f t="shared" si="163"/>
        <v/>
      </c>
      <c r="Q764" s="53" t="str">
        <f t="shared" si="164"/>
        <v/>
      </c>
      <c r="R764" s="53" t="str">
        <f t="shared" si="165"/>
        <v/>
      </c>
      <c r="S764" s="53" t="str">
        <f t="shared" si="166"/>
        <v/>
      </c>
      <c r="T764" s="53" t="str">
        <f t="shared" si="167"/>
        <v/>
      </c>
    </row>
    <row r="765" spans="1:20">
      <c r="A765" s="47" t="str">
        <f>IF(archive!E765="","",archive!E765)</f>
        <v/>
      </c>
      <c r="B765" s="48" t="str">
        <f t="shared" si="154"/>
        <v/>
      </c>
      <c r="C765" s="49" t="str">
        <f>IF(archive!F765="","",archive!F765)</f>
        <v/>
      </c>
      <c r="D765" s="50" t="str">
        <f t="shared" si="155"/>
        <v/>
      </c>
      <c r="E765" s="50" t="str">
        <f t="shared" si="156"/>
        <v/>
      </c>
      <c r="F765" s="47" t="str">
        <f>IF(COUNTA(archive!H765:CI765)=0,"",COUNTA(archive!H765:CI765))</f>
        <v/>
      </c>
      <c r="G765" s="47" t="str">
        <f>IF(archive!G765="","",archive!G765)</f>
        <v/>
      </c>
      <c r="H765" s="51" t="str">
        <f>IF(archive!CJ765="","",archive!CJ765)</f>
        <v/>
      </c>
      <c r="I765" s="51" t="str">
        <f>IF(archive!CK765="","",archive!CK765)</f>
        <v/>
      </c>
      <c r="J765" s="47" t="str">
        <f t="shared" si="157"/>
        <v/>
      </c>
      <c r="K765" s="51" t="str">
        <f t="shared" si="158"/>
        <v/>
      </c>
      <c r="L765" s="52" t="str">
        <f t="shared" si="159"/>
        <v/>
      </c>
      <c r="M765" s="53" t="str">
        <f t="shared" si="160"/>
        <v/>
      </c>
      <c r="N765" s="53" t="str">
        <f t="shared" si="161"/>
        <v/>
      </c>
      <c r="O765" s="53" t="str">
        <f t="shared" si="162"/>
        <v/>
      </c>
      <c r="P765" s="53" t="str">
        <f t="shared" si="163"/>
        <v/>
      </c>
      <c r="Q765" s="53" t="str">
        <f t="shared" si="164"/>
        <v/>
      </c>
      <c r="R765" s="53" t="str">
        <f t="shared" si="165"/>
        <v/>
      </c>
      <c r="S765" s="53" t="str">
        <f t="shared" si="166"/>
        <v/>
      </c>
      <c r="T765" s="53" t="str">
        <f t="shared" si="167"/>
        <v/>
      </c>
    </row>
    <row r="766" spans="1:20">
      <c r="A766" s="47" t="str">
        <f>IF(archive!E766="","",archive!E766)</f>
        <v/>
      </c>
      <c r="B766" s="48" t="str">
        <f t="shared" si="154"/>
        <v/>
      </c>
      <c r="C766" s="49" t="str">
        <f>IF(archive!F766="","",archive!F766)</f>
        <v/>
      </c>
      <c r="D766" s="50" t="str">
        <f t="shared" si="155"/>
        <v/>
      </c>
      <c r="E766" s="50" t="str">
        <f t="shared" si="156"/>
        <v/>
      </c>
      <c r="F766" s="47" t="str">
        <f>IF(COUNTA(archive!H766:CI766)=0,"",COUNTA(archive!H766:CI766))</f>
        <v/>
      </c>
      <c r="G766" s="47" t="str">
        <f>IF(archive!G766="","",archive!G766)</f>
        <v/>
      </c>
      <c r="H766" s="51" t="str">
        <f>IF(archive!CJ766="","",archive!CJ766)</f>
        <v/>
      </c>
      <c r="I766" s="51" t="str">
        <f>IF(archive!CK766="","",archive!CK766)</f>
        <v/>
      </c>
      <c r="J766" s="47" t="str">
        <f t="shared" si="157"/>
        <v/>
      </c>
      <c r="K766" s="51" t="str">
        <f t="shared" si="158"/>
        <v/>
      </c>
      <c r="L766" s="52" t="str">
        <f t="shared" si="159"/>
        <v/>
      </c>
      <c r="M766" s="53" t="str">
        <f t="shared" si="160"/>
        <v/>
      </c>
      <c r="N766" s="53" t="str">
        <f t="shared" si="161"/>
        <v/>
      </c>
      <c r="O766" s="53" t="str">
        <f t="shared" si="162"/>
        <v/>
      </c>
      <c r="P766" s="53" t="str">
        <f t="shared" si="163"/>
        <v/>
      </c>
      <c r="Q766" s="53" t="str">
        <f t="shared" si="164"/>
        <v/>
      </c>
      <c r="R766" s="53" t="str">
        <f t="shared" si="165"/>
        <v/>
      </c>
      <c r="S766" s="53" t="str">
        <f t="shared" si="166"/>
        <v/>
      </c>
      <c r="T766" s="53" t="str">
        <f t="shared" si="167"/>
        <v/>
      </c>
    </row>
    <row r="767" spans="1:20">
      <c r="A767" s="47" t="str">
        <f>IF(archive!E767="","",archive!E767)</f>
        <v/>
      </c>
      <c r="B767" s="48" t="str">
        <f t="shared" si="154"/>
        <v/>
      </c>
      <c r="C767" s="49" t="str">
        <f>IF(archive!F767="","",archive!F767)</f>
        <v/>
      </c>
      <c r="D767" s="50" t="str">
        <f t="shared" si="155"/>
        <v/>
      </c>
      <c r="E767" s="50" t="str">
        <f t="shared" si="156"/>
        <v/>
      </c>
      <c r="F767" s="47" t="str">
        <f>IF(COUNTA(archive!H767:CI767)=0,"",COUNTA(archive!H767:CI767))</f>
        <v/>
      </c>
      <c r="G767" s="47" t="str">
        <f>IF(archive!G767="","",archive!G767)</f>
        <v/>
      </c>
      <c r="H767" s="51" t="str">
        <f>IF(archive!CJ767="","",archive!CJ767)</f>
        <v/>
      </c>
      <c r="I767" s="51" t="str">
        <f>IF(archive!CK767="","",archive!CK767)</f>
        <v/>
      </c>
      <c r="J767" s="47" t="str">
        <f t="shared" si="157"/>
        <v/>
      </c>
      <c r="K767" s="51" t="str">
        <f t="shared" si="158"/>
        <v/>
      </c>
      <c r="L767" s="52" t="str">
        <f t="shared" si="159"/>
        <v/>
      </c>
      <c r="M767" s="53" t="str">
        <f t="shared" si="160"/>
        <v/>
      </c>
      <c r="N767" s="53" t="str">
        <f t="shared" si="161"/>
        <v/>
      </c>
      <c r="O767" s="53" t="str">
        <f t="shared" si="162"/>
        <v/>
      </c>
      <c r="P767" s="53" t="str">
        <f t="shared" si="163"/>
        <v/>
      </c>
      <c r="Q767" s="53" t="str">
        <f t="shared" si="164"/>
        <v/>
      </c>
      <c r="R767" s="53" t="str">
        <f t="shared" si="165"/>
        <v/>
      </c>
      <c r="S767" s="53" t="str">
        <f t="shared" si="166"/>
        <v/>
      </c>
      <c r="T767" s="53" t="str">
        <f t="shared" si="167"/>
        <v/>
      </c>
    </row>
    <row r="768" spans="1:20">
      <c r="A768" s="47" t="str">
        <f>IF(archive!E768="","",archive!E768)</f>
        <v/>
      </c>
      <c r="B768" s="48" t="str">
        <f t="shared" si="154"/>
        <v/>
      </c>
      <c r="C768" s="49" t="str">
        <f>IF(archive!F768="","",archive!F768)</f>
        <v/>
      </c>
      <c r="D768" s="50" t="str">
        <f t="shared" si="155"/>
        <v/>
      </c>
      <c r="E768" s="50" t="str">
        <f t="shared" si="156"/>
        <v/>
      </c>
      <c r="F768" s="47" t="str">
        <f>IF(COUNTA(archive!H768:CI768)=0,"",COUNTA(archive!H768:CI768))</f>
        <v/>
      </c>
      <c r="G768" s="47" t="str">
        <f>IF(archive!G768="","",archive!G768)</f>
        <v/>
      </c>
      <c r="H768" s="51" t="str">
        <f>IF(archive!CJ768="","",archive!CJ768)</f>
        <v/>
      </c>
      <c r="I768" s="51" t="str">
        <f>IF(archive!CK768="","",archive!CK768)</f>
        <v/>
      </c>
      <c r="J768" s="47" t="str">
        <f t="shared" si="157"/>
        <v/>
      </c>
      <c r="K768" s="51" t="str">
        <f t="shared" si="158"/>
        <v/>
      </c>
      <c r="L768" s="52" t="str">
        <f t="shared" si="159"/>
        <v/>
      </c>
      <c r="M768" s="53" t="str">
        <f t="shared" si="160"/>
        <v/>
      </c>
      <c r="N768" s="53" t="str">
        <f t="shared" si="161"/>
        <v/>
      </c>
      <c r="O768" s="53" t="str">
        <f t="shared" si="162"/>
        <v/>
      </c>
      <c r="P768" s="53" t="str">
        <f t="shared" si="163"/>
        <v/>
      </c>
      <c r="Q768" s="53" t="str">
        <f t="shared" si="164"/>
        <v/>
      </c>
      <c r="R768" s="53" t="str">
        <f t="shared" si="165"/>
        <v/>
      </c>
      <c r="S768" s="53" t="str">
        <f t="shared" si="166"/>
        <v/>
      </c>
      <c r="T768" s="53" t="str">
        <f t="shared" si="167"/>
        <v/>
      </c>
    </row>
    <row r="769" spans="1:20">
      <c r="A769" s="47" t="str">
        <f>IF(archive!E769="","",archive!E769)</f>
        <v/>
      </c>
      <c r="B769" s="48" t="str">
        <f t="shared" si="154"/>
        <v/>
      </c>
      <c r="C769" s="49" t="str">
        <f>IF(archive!F769="","",archive!F769)</f>
        <v/>
      </c>
      <c r="D769" s="50" t="str">
        <f t="shared" si="155"/>
        <v/>
      </c>
      <c r="E769" s="50" t="str">
        <f t="shared" si="156"/>
        <v/>
      </c>
      <c r="F769" s="47" t="str">
        <f>IF(COUNTA(archive!H769:CI769)=0,"",COUNTA(archive!H769:CI769))</f>
        <v/>
      </c>
      <c r="G769" s="47" t="str">
        <f>IF(archive!G769="","",archive!G769)</f>
        <v/>
      </c>
      <c r="H769" s="51" t="str">
        <f>IF(archive!CJ769="","",archive!CJ769)</f>
        <v/>
      </c>
      <c r="I769" s="51" t="str">
        <f>IF(archive!CK769="","",archive!CK769)</f>
        <v/>
      </c>
      <c r="J769" s="47" t="str">
        <f t="shared" si="157"/>
        <v/>
      </c>
      <c r="K769" s="51" t="str">
        <f t="shared" si="158"/>
        <v/>
      </c>
      <c r="L769" s="52" t="str">
        <f t="shared" si="159"/>
        <v/>
      </c>
      <c r="M769" s="53" t="str">
        <f t="shared" si="160"/>
        <v/>
      </c>
      <c r="N769" s="53" t="str">
        <f t="shared" si="161"/>
        <v/>
      </c>
      <c r="O769" s="53" t="str">
        <f t="shared" si="162"/>
        <v/>
      </c>
      <c r="P769" s="53" t="str">
        <f t="shared" si="163"/>
        <v/>
      </c>
      <c r="Q769" s="53" t="str">
        <f t="shared" si="164"/>
        <v/>
      </c>
      <c r="R769" s="53" t="str">
        <f t="shared" si="165"/>
        <v/>
      </c>
      <c r="S769" s="53" t="str">
        <f t="shared" si="166"/>
        <v/>
      </c>
      <c r="T769" s="53" t="str">
        <f t="shared" si="167"/>
        <v/>
      </c>
    </row>
    <row r="770" spans="1:20">
      <c r="A770" s="47" t="str">
        <f>IF(archive!E770="","",archive!E770)</f>
        <v/>
      </c>
      <c r="B770" s="48" t="str">
        <f t="shared" si="154"/>
        <v/>
      </c>
      <c r="C770" s="49" t="str">
        <f>IF(archive!F770="","",archive!F770)</f>
        <v/>
      </c>
      <c r="D770" s="50" t="str">
        <f t="shared" si="155"/>
        <v/>
      </c>
      <c r="E770" s="50" t="str">
        <f t="shared" si="156"/>
        <v/>
      </c>
      <c r="F770" s="47" t="str">
        <f>IF(COUNTA(archive!H770:CI770)=0,"",COUNTA(archive!H770:CI770))</f>
        <v/>
      </c>
      <c r="G770" s="47" t="str">
        <f>IF(archive!G770="","",archive!G770)</f>
        <v/>
      </c>
      <c r="H770" s="51" t="str">
        <f>IF(archive!CJ770="","",archive!CJ770)</f>
        <v/>
      </c>
      <c r="I770" s="51" t="str">
        <f>IF(archive!CK770="","",archive!CK770)</f>
        <v/>
      </c>
      <c r="J770" s="47" t="str">
        <f t="shared" si="157"/>
        <v/>
      </c>
      <c r="K770" s="51" t="str">
        <f t="shared" si="158"/>
        <v/>
      </c>
      <c r="L770" s="52" t="str">
        <f t="shared" si="159"/>
        <v/>
      </c>
      <c r="M770" s="53" t="str">
        <f t="shared" si="160"/>
        <v/>
      </c>
      <c r="N770" s="53" t="str">
        <f t="shared" si="161"/>
        <v/>
      </c>
      <c r="O770" s="53" t="str">
        <f t="shared" si="162"/>
        <v/>
      </c>
      <c r="P770" s="53" t="str">
        <f t="shared" si="163"/>
        <v/>
      </c>
      <c r="Q770" s="53" t="str">
        <f t="shared" si="164"/>
        <v/>
      </c>
      <c r="R770" s="53" t="str">
        <f t="shared" si="165"/>
        <v/>
      </c>
      <c r="S770" s="53" t="str">
        <f t="shared" si="166"/>
        <v/>
      </c>
      <c r="T770" s="53" t="str">
        <f t="shared" si="167"/>
        <v/>
      </c>
    </row>
    <row r="771" spans="1:20">
      <c r="A771" s="47" t="str">
        <f>IF(archive!E771="","",archive!E771)</f>
        <v/>
      </c>
      <c r="B771" s="48" t="str">
        <f t="shared" si="154"/>
        <v/>
      </c>
      <c r="C771" s="49" t="str">
        <f>IF(archive!F771="","",archive!F771)</f>
        <v/>
      </c>
      <c r="D771" s="50" t="str">
        <f t="shared" si="155"/>
        <v/>
      </c>
      <c r="E771" s="50" t="str">
        <f t="shared" si="156"/>
        <v/>
      </c>
      <c r="F771" s="47" t="str">
        <f>IF(COUNTA(archive!H771:CI771)=0,"",COUNTA(archive!H771:CI771))</f>
        <v/>
      </c>
      <c r="G771" s="47" t="str">
        <f>IF(archive!G771="","",archive!G771)</f>
        <v/>
      </c>
      <c r="H771" s="51" t="str">
        <f>IF(archive!CJ771="","",archive!CJ771)</f>
        <v/>
      </c>
      <c r="I771" s="51" t="str">
        <f>IF(archive!CK771="","",archive!CK771)</f>
        <v/>
      </c>
      <c r="J771" s="47" t="str">
        <f t="shared" si="157"/>
        <v/>
      </c>
      <c r="K771" s="51" t="str">
        <f t="shared" si="158"/>
        <v/>
      </c>
      <c r="L771" s="52" t="str">
        <f t="shared" si="159"/>
        <v/>
      </c>
      <c r="M771" s="53" t="str">
        <f t="shared" si="160"/>
        <v/>
      </c>
      <c r="N771" s="53" t="str">
        <f t="shared" si="161"/>
        <v/>
      </c>
      <c r="O771" s="53" t="str">
        <f t="shared" si="162"/>
        <v/>
      </c>
      <c r="P771" s="53" t="str">
        <f t="shared" si="163"/>
        <v/>
      </c>
      <c r="Q771" s="53" t="str">
        <f t="shared" si="164"/>
        <v/>
      </c>
      <c r="R771" s="53" t="str">
        <f t="shared" si="165"/>
        <v/>
      </c>
      <c r="S771" s="53" t="str">
        <f t="shared" si="166"/>
        <v/>
      </c>
      <c r="T771" s="53" t="str">
        <f t="shared" si="167"/>
        <v/>
      </c>
    </row>
    <row r="772" spans="1:20">
      <c r="A772" s="47" t="str">
        <f>IF(archive!E772="","",archive!E772)</f>
        <v/>
      </c>
      <c r="B772" s="48" t="str">
        <f t="shared" ref="B772:B835" si="168">IF(C772="","",VLOOKUP($C772,Tare,2,0))</f>
        <v/>
      </c>
      <c r="C772" s="49" t="str">
        <f>IF(archive!F772="","",archive!F772)</f>
        <v/>
      </c>
      <c r="D772" s="50" t="str">
        <f t="shared" ref="D772:D835" si="169">IF(C772="","",C772+B772)</f>
        <v/>
      </c>
      <c r="E772" s="50" t="str">
        <f t="shared" ref="E772:E835" si="170">IF(C772="","",(C772*0.025)+D772)</f>
        <v/>
      </c>
      <c r="F772" s="47" t="str">
        <f>IF(COUNTA(archive!H772:CI772)=0,"",COUNTA(archive!H772:CI772))</f>
        <v/>
      </c>
      <c r="G772" s="47" t="str">
        <f>IF(archive!G772="","",archive!G772)</f>
        <v/>
      </c>
      <c r="H772" s="51" t="str">
        <f>IF(archive!CJ772="","",archive!CJ772)</f>
        <v/>
      </c>
      <c r="I772" s="51" t="str">
        <f>IF(archive!CK772="","",archive!CK772)</f>
        <v/>
      </c>
      <c r="J772" s="47" t="str">
        <f t="shared" ref="J772:J835" si="171">IF(F772="","",VLOOKUP(F772,Valeur_g,2,0))</f>
        <v/>
      </c>
      <c r="K772" s="51" t="str">
        <f t="shared" ref="K772:K835" si="172">IF(C772="","",D772+(J772*I772))</f>
        <v/>
      </c>
      <c r="L772" s="52" t="str">
        <f t="shared" ref="L772:L835" si="173">IF(C772="","",IF(K772&lt;H772,"Conforme","Non conforme"))</f>
        <v/>
      </c>
      <c r="M772" s="53" t="str">
        <f t="shared" ref="M772:M835" si="174">IF(C772="","",1)</f>
        <v/>
      </c>
      <c r="N772" s="53" t="str">
        <f t="shared" ref="N772:N835" si="175">IF(L772="","",COUNTIF(L772,"Non conforme"))</f>
        <v/>
      </c>
      <c r="O772" s="53" t="str">
        <f t="shared" ref="O772:O835" si="176">IF($C772="","",IF($C772=0.25,$G772,"-"))</f>
        <v/>
      </c>
      <c r="P772" s="53" t="str">
        <f t="shared" ref="P772:P835" si="177">IF($C772="","",IF($C772=0.4,$G772,"-"))</f>
        <v/>
      </c>
      <c r="Q772" s="53" t="str">
        <f t="shared" ref="Q772:Q835" si="178">IF($C772="","",IF($C772=0.5,$G772,"-"))</f>
        <v/>
      </c>
      <c r="R772" s="53" t="str">
        <f t="shared" ref="R772:R835" si="179">IF($C772="","",IF($C772=0.6,$G772,"-"))</f>
        <v/>
      </c>
      <c r="S772" s="53" t="str">
        <f t="shared" ref="S772:S835" si="180">IF($C772="","",IF($C772=0.8,$G772,"-"))</f>
        <v/>
      </c>
      <c r="T772" s="53" t="str">
        <f t="shared" ref="T772:T835" si="181">IF($C772="","",IF($C772=1,$G772,"-"))</f>
        <v/>
      </c>
    </row>
    <row r="773" spans="1:20">
      <c r="A773" s="47" t="str">
        <f>IF(archive!E773="","",archive!E773)</f>
        <v/>
      </c>
      <c r="B773" s="48" t="str">
        <f t="shared" si="168"/>
        <v/>
      </c>
      <c r="C773" s="49" t="str">
        <f>IF(archive!F773="","",archive!F773)</f>
        <v/>
      </c>
      <c r="D773" s="50" t="str">
        <f t="shared" si="169"/>
        <v/>
      </c>
      <c r="E773" s="50" t="str">
        <f t="shared" si="170"/>
        <v/>
      </c>
      <c r="F773" s="47" t="str">
        <f>IF(COUNTA(archive!H773:CI773)=0,"",COUNTA(archive!H773:CI773))</f>
        <v/>
      </c>
      <c r="G773" s="47" t="str">
        <f>IF(archive!G773="","",archive!G773)</f>
        <v/>
      </c>
      <c r="H773" s="51" t="str">
        <f>IF(archive!CJ773="","",archive!CJ773)</f>
        <v/>
      </c>
      <c r="I773" s="51" t="str">
        <f>IF(archive!CK773="","",archive!CK773)</f>
        <v/>
      </c>
      <c r="J773" s="47" t="str">
        <f t="shared" si="171"/>
        <v/>
      </c>
      <c r="K773" s="51" t="str">
        <f t="shared" si="172"/>
        <v/>
      </c>
      <c r="L773" s="52" t="str">
        <f t="shared" si="173"/>
        <v/>
      </c>
      <c r="M773" s="53" t="str">
        <f t="shared" si="174"/>
        <v/>
      </c>
      <c r="N773" s="53" t="str">
        <f t="shared" si="175"/>
        <v/>
      </c>
      <c r="O773" s="53" t="str">
        <f t="shared" si="176"/>
        <v/>
      </c>
      <c r="P773" s="53" t="str">
        <f t="shared" si="177"/>
        <v/>
      </c>
      <c r="Q773" s="53" t="str">
        <f t="shared" si="178"/>
        <v/>
      </c>
      <c r="R773" s="53" t="str">
        <f t="shared" si="179"/>
        <v/>
      </c>
      <c r="S773" s="53" t="str">
        <f t="shared" si="180"/>
        <v/>
      </c>
      <c r="T773" s="53" t="str">
        <f t="shared" si="181"/>
        <v/>
      </c>
    </row>
    <row r="774" spans="1:20">
      <c r="A774" s="47" t="str">
        <f>IF(archive!E774="","",archive!E774)</f>
        <v/>
      </c>
      <c r="B774" s="48" t="str">
        <f t="shared" si="168"/>
        <v/>
      </c>
      <c r="C774" s="49" t="str">
        <f>IF(archive!F774="","",archive!F774)</f>
        <v/>
      </c>
      <c r="D774" s="50" t="str">
        <f t="shared" si="169"/>
        <v/>
      </c>
      <c r="E774" s="50" t="str">
        <f t="shared" si="170"/>
        <v/>
      </c>
      <c r="F774" s="47" t="str">
        <f>IF(COUNTA(archive!H774:CI774)=0,"",COUNTA(archive!H774:CI774))</f>
        <v/>
      </c>
      <c r="G774" s="47" t="str">
        <f>IF(archive!G774="","",archive!G774)</f>
        <v/>
      </c>
      <c r="H774" s="51" t="str">
        <f>IF(archive!CJ774="","",archive!CJ774)</f>
        <v/>
      </c>
      <c r="I774" s="51" t="str">
        <f>IF(archive!CK774="","",archive!CK774)</f>
        <v/>
      </c>
      <c r="J774" s="47" t="str">
        <f t="shared" si="171"/>
        <v/>
      </c>
      <c r="K774" s="51" t="str">
        <f t="shared" si="172"/>
        <v/>
      </c>
      <c r="L774" s="52" t="str">
        <f t="shared" si="173"/>
        <v/>
      </c>
      <c r="M774" s="53" t="str">
        <f t="shared" si="174"/>
        <v/>
      </c>
      <c r="N774" s="53" t="str">
        <f t="shared" si="175"/>
        <v/>
      </c>
      <c r="O774" s="53" t="str">
        <f t="shared" si="176"/>
        <v/>
      </c>
      <c r="P774" s="53" t="str">
        <f t="shared" si="177"/>
        <v/>
      </c>
      <c r="Q774" s="53" t="str">
        <f t="shared" si="178"/>
        <v/>
      </c>
      <c r="R774" s="53" t="str">
        <f t="shared" si="179"/>
        <v/>
      </c>
      <c r="S774" s="53" t="str">
        <f t="shared" si="180"/>
        <v/>
      </c>
      <c r="T774" s="53" t="str">
        <f t="shared" si="181"/>
        <v/>
      </c>
    </row>
    <row r="775" spans="1:20">
      <c r="A775" s="47" t="str">
        <f>IF(archive!E775="","",archive!E775)</f>
        <v/>
      </c>
      <c r="B775" s="48" t="str">
        <f t="shared" si="168"/>
        <v/>
      </c>
      <c r="C775" s="49" t="str">
        <f>IF(archive!F775="","",archive!F775)</f>
        <v/>
      </c>
      <c r="D775" s="50" t="str">
        <f t="shared" si="169"/>
        <v/>
      </c>
      <c r="E775" s="50" t="str">
        <f t="shared" si="170"/>
        <v/>
      </c>
      <c r="F775" s="47" t="str">
        <f>IF(COUNTA(archive!H775:CI775)=0,"",COUNTA(archive!H775:CI775))</f>
        <v/>
      </c>
      <c r="G775" s="47" t="str">
        <f>IF(archive!G775="","",archive!G775)</f>
        <v/>
      </c>
      <c r="H775" s="51" t="str">
        <f>IF(archive!CJ775="","",archive!CJ775)</f>
        <v/>
      </c>
      <c r="I775" s="51" t="str">
        <f>IF(archive!CK775="","",archive!CK775)</f>
        <v/>
      </c>
      <c r="J775" s="47" t="str">
        <f t="shared" si="171"/>
        <v/>
      </c>
      <c r="K775" s="51" t="str">
        <f t="shared" si="172"/>
        <v/>
      </c>
      <c r="L775" s="52" t="str">
        <f t="shared" si="173"/>
        <v/>
      </c>
      <c r="M775" s="53" t="str">
        <f t="shared" si="174"/>
        <v/>
      </c>
      <c r="N775" s="53" t="str">
        <f t="shared" si="175"/>
        <v/>
      </c>
      <c r="O775" s="53" t="str">
        <f t="shared" si="176"/>
        <v/>
      </c>
      <c r="P775" s="53" t="str">
        <f t="shared" si="177"/>
        <v/>
      </c>
      <c r="Q775" s="53" t="str">
        <f t="shared" si="178"/>
        <v/>
      </c>
      <c r="R775" s="53" t="str">
        <f t="shared" si="179"/>
        <v/>
      </c>
      <c r="S775" s="53" t="str">
        <f t="shared" si="180"/>
        <v/>
      </c>
      <c r="T775" s="53" t="str">
        <f t="shared" si="181"/>
        <v/>
      </c>
    </row>
    <row r="776" spans="1:20">
      <c r="A776" s="47" t="str">
        <f>IF(archive!E776="","",archive!E776)</f>
        <v/>
      </c>
      <c r="B776" s="48" t="str">
        <f t="shared" si="168"/>
        <v/>
      </c>
      <c r="C776" s="49" t="str">
        <f>IF(archive!F776="","",archive!F776)</f>
        <v/>
      </c>
      <c r="D776" s="50" t="str">
        <f t="shared" si="169"/>
        <v/>
      </c>
      <c r="E776" s="50" t="str">
        <f t="shared" si="170"/>
        <v/>
      </c>
      <c r="F776" s="47" t="str">
        <f>IF(COUNTA(archive!H776:CI776)=0,"",COUNTA(archive!H776:CI776))</f>
        <v/>
      </c>
      <c r="G776" s="47" t="str">
        <f>IF(archive!G776="","",archive!G776)</f>
        <v/>
      </c>
      <c r="H776" s="51" t="str">
        <f>IF(archive!CJ776="","",archive!CJ776)</f>
        <v/>
      </c>
      <c r="I776" s="51" t="str">
        <f>IF(archive!CK776="","",archive!CK776)</f>
        <v/>
      </c>
      <c r="J776" s="47" t="str">
        <f t="shared" si="171"/>
        <v/>
      </c>
      <c r="K776" s="51" t="str">
        <f t="shared" si="172"/>
        <v/>
      </c>
      <c r="L776" s="52" t="str">
        <f t="shared" si="173"/>
        <v/>
      </c>
      <c r="M776" s="53" t="str">
        <f t="shared" si="174"/>
        <v/>
      </c>
      <c r="N776" s="53" t="str">
        <f t="shared" si="175"/>
        <v/>
      </c>
      <c r="O776" s="53" t="str">
        <f t="shared" si="176"/>
        <v/>
      </c>
      <c r="P776" s="53" t="str">
        <f t="shared" si="177"/>
        <v/>
      </c>
      <c r="Q776" s="53" t="str">
        <f t="shared" si="178"/>
        <v/>
      </c>
      <c r="R776" s="53" t="str">
        <f t="shared" si="179"/>
        <v/>
      </c>
      <c r="S776" s="53" t="str">
        <f t="shared" si="180"/>
        <v/>
      </c>
      <c r="T776" s="53" t="str">
        <f t="shared" si="181"/>
        <v/>
      </c>
    </row>
    <row r="777" spans="1:20">
      <c r="A777" s="47" t="str">
        <f>IF(archive!E777="","",archive!E777)</f>
        <v/>
      </c>
      <c r="B777" s="48" t="str">
        <f t="shared" si="168"/>
        <v/>
      </c>
      <c r="C777" s="49" t="str">
        <f>IF(archive!F777="","",archive!F777)</f>
        <v/>
      </c>
      <c r="D777" s="50" t="str">
        <f t="shared" si="169"/>
        <v/>
      </c>
      <c r="E777" s="50" t="str">
        <f t="shared" si="170"/>
        <v/>
      </c>
      <c r="F777" s="47" t="str">
        <f>IF(COUNTA(archive!H777:CI777)=0,"",COUNTA(archive!H777:CI777))</f>
        <v/>
      </c>
      <c r="G777" s="47" t="str">
        <f>IF(archive!G777="","",archive!G777)</f>
        <v/>
      </c>
      <c r="H777" s="51" t="str">
        <f>IF(archive!CJ777="","",archive!CJ777)</f>
        <v/>
      </c>
      <c r="I777" s="51" t="str">
        <f>IF(archive!CK777="","",archive!CK777)</f>
        <v/>
      </c>
      <c r="J777" s="47" t="str">
        <f t="shared" si="171"/>
        <v/>
      </c>
      <c r="K777" s="51" t="str">
        <f t="shared" si="172"/>
        <v/>
      </c>
      <c r="L777" s="52" t="str">
        <f t="shared" si="173"/>
        <v/>
      </c>
      <c r="M777" s="53" t="str">
        <f t="shared" si="174"/>
        <v/>
      </c>
      <c r="N777" s="53" t="str">
        <f t="shared" si="175"/>
        <v/>
      </c>
      <c r="O777" s="53" t="str">
        <f t="shared" si="176"/>
        <v/>
      </c>
      <c r="P777" s="53" t="str">
        <f t="shared" si="177"/>
        <v/>
      </c>
      <c r="Q777" s="53" t="str">
        <f t="shared" si="178"/>
        <v/>
      </c>
      <c r="R777" s="53" t="str">
        <f t="shared" si="179"/>
        <v/>
      </c>
      <c r="S777" s="53" t="str">
        <f t="shared" si="180"/>
        <v/>
      </c>
      <c r="T777" s="53" t="str">
        <f t="shared" si="181"/>
        <v/>
      </c>
    </row>
    <row r="778" spans="1:20">
      <c r="A778" s="47" t="str">
        <f>IF(archive!E778="","",archive!E778)</f>
        <v/>
      </c>
      <c r="B778" s="48" t="str">
        <f t="shared" si="168"/>
        <v/>
      </c>
      <c r="C778" s="49" t="str">
        <f>IF(archive!F778="","",archive!F778)</f>
        <v/>
      </c>
      <c r="D778" s="50" t="str">
        <f t="shared" si="169"/>
        <v/>
      </c>
      <c r="E778" s="50" t="str">
        <f t="shared" si="170"/>
        <v/>
      </c>
      <c r="F778" s="47" t="str">
        <f>IF(COUNTA(archive!H778:CI778)=0,"",COUNTA(archive!H778:CI778))</f>
        <v/>
      </c>
      <c r="G778" s="47" t="str">
        <f>IF(archive!G778="","",archive!G778)</f>
        <v/>
      </c>
      <c r="H778" s="51" t="str">
        <f>IF(archive!CJ778="","",archive!CJ778)</f>
        <v/>
      </c>
      <c r="I778" s="51" t="str">
        <f>IF(archive!CK778="","",archive!CK778)</f>
        <v/>
      </c>
      <c r="J778" s="47" t="str">
        <f t="shared" si="171"/>
        <v/>
      </c>
      <c r="K778" s="51" t="str">
        <f t="shared" si="172"/>
        <v/>
      </c>
      <c r="L778" s="52" t="str">
        <f t="shared" si="173"/>
        <v/>
      </c>
      <c r="M778" s="53" t="str">
        <f t="shared" si="174"/>
        <v/>
      </c>
      <c r="N778" s="53" t="str">
        <f t="shared" si="175"/>
        <v/>
      </c>
      <c r="O778" s="53" t="str">
        <f t="shared" si="176"/>
        <v/>
      </c>
      <c r="P778" s="53" t="str">
        <f t="shared" si="177"/>
        <v/>
      </c>
      <c r="Q778" s="53" t="str">
        <f t="shared" si="178"/>
        <v/>
      </c>
      <c r="R778" s="53" t="str">
        <f t="shared" si="179"/>
        <v/>
      </c>
      <c r="S778" s="53" t="str">
        <f t="shared" si="180"/>
        <v/>
      </c>
      <c r="T778" s="53" t="str">
        <f t="shared" si="181"/>
        <v/>
      </c>
    </row>
    <row r="779" spans="1:20">
      <c r="A779" s="47" t="str">
        <f>IF(archive!E779="","",archive!E779)</f>
        <v/>
      </c>
      <c r="B779" s="48" t="str">
        <f t="shared" si="168"/>
        <v/>
      </c>
      <c r="C779" s="49" t="str">
        <f>IF(archive!F779="","",archive!F779)</f>
        <v/>
      </c>
      <c r="D779" s="50" t="str">
        <f t="shared" si="169"/>
        <v/>
      </c>
      <c r="E779" s="50" t="str">
        <f t="shared" si="170"/>
        <v/>
      </c>
      <c r="F779" s="47" t="str">
        <f>IF(COUNTA(archive!H779:CI779)=0,"",COUNTA(archive!H779:CI779))</f>
        <v/>
      </c>
      <c r="G779" s="47" t="str">
        <f>IF(archive!G779="","",archive!G779)</f>
        <v/>
      </c>
      <c r="H779" s="51" t="str">
        <f>IF(archive!CJ779="","",archive!CJ779)</f>
        <v/>
      </c>
      <c r="I779" s="51" t="str">
        <f>IF(archive!CK779="","",archive!CK779)</f>
        <v/>
      </c>
      <c r="J779" s="47" t="str">
        <f t="shared" si="171"/>
        <v/>
      </c>
      <c r="K779" s="51" t="str">
        <f t="shared" si="172"/>
        <v/>
      </c>
      <c r="L779" s="52" t="str">
        <f t="shared" si="173"/>
        <v/>
      </c>
      <c r="M779" s="53" t="str">
        <f t="shared" si="174"/>
        <v/>
      </c>
      <c r="N779" s="53" t="str">
        <f t="shared" si="175"/>
        <v/>
      </c>
      <c r="O779" s="53" t="str">
        <f t="shared" si="176"/>
        <v/>
      </c>
      <c r="P779" s="53" t="str">
        <f t="shared" si="177"/>
        <v/>
      </c>
      <c r="Q779" s="53" t="str">
        <f t="shared" si="178"/>
        <v/>
      </c>
      <c r="R779" s="53" t="str">
        <f t="shared" si="179"/>
        <v/>
      </c>
      <c r="S779" s="53" t="str">
        <f t="shared" si="180"/>
        <v/>
      </c>
      <c r="T779" s="53" t="str">
        <f t="shared" si="181"/>
        <v/>
      </c>
    </row>
    <row r="780" spans="1:20">
      <c r="A780" s="47" t="str">
        <f>IF(archive!E780="","",archive!E780)</f>
        <v/>
      </c>
      <c r="B780" s="48" t="str">
        <f t="shared" si="168"/>
        <v/>
      </c>
      <c r="C780" s="49" t="str">
        <f>IF(archive!F780="","",archive!F780)</f>
        <v/>
      </c>
      <c r="D780" s="50" t="str">
        <f t="shared" si="169"/>
        <v/>
      </c>
      <c r="E780" s="50" t="str">
        <f t="shared" si="170"/>
        <v/>
      </c>
      <c r="F780" s="47" t="str">
        <f>IF(COUNTA(archive!H780:CI780)=0,"",COUNTA(archive!H780:CI780))</f>
        <v/>
      </c>
      <c r="G780" s="47" t="str">
        <f>IF(archive!G780="","",archive!G780)</f>
        <v/>
      </c>
      <c r="H780" s="51" t="str">
        <f>IF(archive!CJ780="","",archive!CJ780)</f>
        <v/>
      </c>
      <c r="I780" s="51" t="str">
        <f>IF(archive!CK780="","",archive!CK780)</f>
        <v/>
      </c>
      <c r="J780" s="47" t="str">
        <f t="shared" si="171"/>
        <v/>
      </c>
      <c r="K780" s="51" t="str">
        <f t="shared" si="172"/>
        <v/>
      </c>
      <c r="L780" s="52" t="str">
        <f t="shared" si="173"/>
        <v/>
      </c>
      <c r="M780" s="53" t="str">
        <f t="shared" si="174"/>
        <v/>
      </c>
      <c r="N780" s="53" t="str">
        <f t="shared" si="175"/>
        <v/>
      </c>
      <c r="O780" s="53" t="str">
        <f t="shared" si="176"/>
        <v/>
      </c>
      <c r="P780" s="53" t="str">
        <f t="shared" si="177"/>
        <v/>
      </c>
      <c r="Q780" s="53" t="str">
        <f t="shared" si="178"/>
        <v/>
      </c>
      <c r="R780" s="53" t="str">
        <f t="shared" si="179"/>
        <v/>
      </c>
      <c r="S780" s="53" t="str">
        <f t="shared" si="180"/>
        <v/>
      </c>
      <c r="T780" s="53" t="str">
        <f t="shared" si="181"/>
        <v/>
      </c>
    </row>
    <row r="781" spans="1:20">
      <c r="A781" s="47" t="str">
        <f>IF(archive!E781="","",archive!E781)</f>
        <v/>
      </c>
      <c r="B781" s="48" t="str">
        <f t="shared" si="168"/>
        <v/>
      </c>
      <c r="C781" s="49" t="str">
        <f>IF(archive!F781="","",archive!F781)</f>
        <v/>
      </c>
      <c r="D781" s="50" t="str">
        <f t="shared" si="169"/>
        <v/>
      </c>
      <c r="E781" s="50" t="str">
        <f t="shared" si="170"/>
        <v/>
      </c>
      <c r="F781" s="47" t="str">
        <f>IF(COUNTA(archive!H781:CI781)=0,"",COUNTA(archive!H781:CI781))</f>
        <v/>
      </c>
      <c r="G781" s="47" t="str">
        <f>IF(archive!G781="","",archive!G781)</f>
        <v/>
      </c>
      <c r="H781" s="51" t="str">
        <f>IF(archive!CJ781="","",archive!CJ781)</f>
        <v/>
      </c>
      <c r="I781" s="51" t="str">
        <f>IF(archive!CK781="","",archive!CK781)</f>
        <v/>
      </c>
      <c r="J781" s="47" t="str">
        <f t="shared" si="171"/>
        <v/>
      </c>
      <c r="K781" s="51" t="str">
        <f t="shared" si="172"/>
        <v/>
      </c>
      <c r="L781" s="52" t="str">
        <f t="shared" si="173"/>
        <v/>
      </c>
      <c r="M781" s="53" t="str">
        <f t="shared" si="174"/>
        <v/>
      </c>
      <c r="N781" s="53" t="str">
        <f t="shared" si="175"/>
        <v/>
      </c>
      <c r="O781" s="53" t="str">
        <f t="shared" si="176"/>
        <v/>
      </c>
      <c r="P781" s="53" t="str">
        <f t="shared" si="177"/>
        <v/>
      </c>
      <c r="Q781" s="53" t="str">
        <f t="shared" si="178"/>
        <v/>
      </c>
      <c r="R781" s="53" t="str">
        <f t="shared" si="179"/>
        <v/>
      </c>
      <c r="S781" s="53" t="str">
        <f t="shared" si="180"/>
        <v/>
      </c>
      <c r="T781" s="53" t="str">
        <f t="shared" si="181"/>
        <v/>
      </c>
    </row>
    <row r="782" spans="1:20">
      <c r="A782" s="47" t="str">
        <f>IF(archive!E782="","",archive!E782)</f>
        <v/>
      </c>
      <c r="B782" s="48" t="str">
        <f t="shared" si="168"/>
        <v/>
      </c>
      <c r="C782" s="49" t="str">
        <f>IF(archive!F782="","",archive!F782)</f>
        <v/>
      </c>
      <c r="D782" s="50" t="str">
        <f t="shared" si="169"/>
        <v/>
      </c>
      <c r="E782" s="50" t="str">
        <f t="shared" si="170"/>
        <v/>
      </c>
      <c r="F782" s="47" t="str">
        <f>IF(COUNTA(archive!H782:CI782)=0,"",COUNTA(archive!H782:CI782))</f>
        <v/>
      </c>
      <c r="G782" s="47" t="str">
        <f>IF(archive!G782="","",archive!G782)</f>
        <v/>
      </c>
      <c r="H782" s="51" t="str">
        <f>IF(archive!CJ782="","",archive!CJ782)</f>
        <v/>
      </c>
      <c r="I782" s="51" t="str">
        <f>IF(archive!CK782="","",archive!CK782)</f>
        <v/>
      </c>
      <c r="J782" s="47" t="str">
        <f t="shared" si="171"/>
        <v/>
      </c>
      <c r="K782" s="51" t="str">
        <f t="shared" si="172"/>
        <v/>
      </c>
      <c r="L782" s="52" t="str">
        <f t="shared" si="173"/>
        <v/>
      </c>
      <c r="M782" s="53" t="str">
        <f t="shared" si="174"/>
        <v/>
      </c>
      <c r="N782" s="53" t="str">
        <f t="shared" si="175"/>
        <v/>
      </c>
      <c r="O782" s="53" t="str">
        <f t="shared" si="176"/>
        <v/>
      </c>
      <c r="P782" s="53" t="str">
        <f t="shared" si="177"/>
        <v/>
      </c>
      <c r="Q782" s="53" t="str">
        <f t="shared" si="178"/>
        <v/>
      </c>
      <c r="R782" s="53" t="str">
        <f t="shared" si="179"/>
        <v/>
      </c>
      <c r="S782" s="53" t="str">
        <f t="shared" si="180"/>
        <v/>
      </c>
      <c r="T782" s="53" t="str">
        <f t="shared" si="181"/>
        <v/>
      </c>
    </row>
    <row r="783" spans="1:20">
      <c r="A783" s="47" t="str">
        <f>IF(archive!E783="","",archive!E783)</f>
        <v/>
      </c>
      <c r="B783" s="48" t="str">
        <f t="shared" si="168"/>
        <v/>
      </c>
      <c r="C783" s="49" t="str">
        <f>IF(archive!F783="","",archive!F783)</f>
        <v/>
      </c>
      <c r="D783" s="50" t="str">
        <f t="shared" si="169"/>
        <v/>
      </c>
      <c r="E783" s="50" t="str">
        <f t="shared" si="170"/>
        <v/>
      </c>
      <c r="F783" s="47" t="str">
        <f>IF(COUNTA(archive!H783:CI783)=0,"",COUNTA(archive!H783:CI783))</f>
        <v/>
      </c>
      <c r="G783" s="47" t="str">
        <f>IF(archive!G783="","",archive!G783)</f>
        <v/>
      </c>
      <c r="H783" s="51" t="str">
        <f>IF(archive!CJ783="","",archive!CJ783)</f>
        <v/>
      </c>
      <c r="I783" s="51" t="str">
        <f>IF(archive!CK783="","",archive!CK783)</f>
        <v/>
      </c>
      <c r="J783" s="47" t="str">
        <f t="shared" si="171"/>
        <v/>
      </c>
      <c r="K783" s="51" t="str">
        <f t="shared" si="172"/>
        <v/>
      </c>
      <c r="L783" s="52" t="str">
        <f t="shared" si="173"/>
        <v/>
      </c>
      <c r="M783" s="53" t="str">
        <f t="shared" si="174"/>
        <v/>
      </c>
      <c r="N783" s="53" t="str">
        <f t="shared" si="175"/>
        <v/>
      </c>
      <c r="O783" s="53" t="str">
        <f t="shared" si="176"/>
        <v/>
      </c>
      <c r="P783" s="53" t="str">
        <f t="shared" si="177"/>
        <v/>
      </c>
      <c r="Q783" s="53" t="str">
        <f t="shared" si="178"/>
        <v/>
      </c>
      <c r="R783" s="53" t="str">
        <f t="shared" si="179"/>
        <v/>
      </c>
      <c r="S783" s="53" t="str">
        <f t="shared" si="180"/>
        <v/>
      </c>
      <c r="T783" s="53" t="str">
        <f t="shared" si="181"/>
        <v/>
      </c>
    </row>
    <row r="784" spans="1:20">
      <c r="A784" s="47" t="str">
        <f>IF(archive!E784="","",archive!E784)</f>
        <v/>
      </c>
      <c r="B784" s="48" t="str">
        <f t="shared" si="168"/>
        <v/>
      </c>
      <c r="C784" s="49" t="str">
        <f>IF(archive!F784="","",archive!F784)</f>
        <v/>
      </c>
      <c r="D784" s="50" t="str">
        <f t="shared" si="169"/>
        <v/>
      </c>
      <c r="E784" s="50" t="str">
        <f t="shared" si="170"/>
        <v/>
      </c>
      <c r="F784" s="47" t="str">
        <f>IF(COUNTA(archive!H784:CI784)=0,"",COUNTA(archive!H784:CI784))</f>
        <v/>
      </c>
      <c r="G784" s="47" t="str">
        <f>IF(archive!G784="","",archive!G784)</f>
        <v/>
      </c>
      <c r="H784" s="51" t="str">
        <f>IF(archive!CJ784="","",archive!CJ784)</f>
        <v/>
      </c>
      <c r="I784" s="51" t="str">
        <f>IF(archive!CK784="","",archive!CK784)</f>
        <v/>
      </c>
      <c r="J784" s="47" t="str">
        <f t="shared" si="171"/>
        <v/>
      </c>
      <c r="K784" s="51" t="str">
        <f t="shared" si="172"/>
        <v/>
      </c>
      <c r="L784" s="52" t="str">
        <f t="shared" si="173"/>
        <v/>
      </c>
      <c r="M784" s="53" t="str">
        <f t="shared" si="174"/>
        <v/>
      </c>
      <c r="N784" s="53" t="str">
        <f t="shared" si="175"/>
        <v/>
      </c>
      <c r="O784" s="53" t="str">
        <f t="shared" si="176"/>
        <v/>
      </c>
      <c r="P784" s="53" t="str">
        <f t="shared" si="177"/>
        <v/>
      </c>
      <c r="Q784" s="53" t="str">
        <f t="shared" si="178"/>
        <v/>
      </c>
      <c r="R784" s="53" t="str">
        <f t="shared" si="179"/>
        <v/>
      </c>
      <c r="S784" s="53" t="str">
        <f t="shared" si="180"/>
        <v/>
      </c>
      <c r="T784" s="53" t="str">
        <f t="shared" si="181"/>
        <v/>
      </c>
    </row>
    <row r="785" spans="1:20">
      <c r="A785" s="47" t="str">
        <f>IF(archive!E785="","",archive!E785)</f>
        <v/>
      </c>
      <c r="B785" s="48" t="str">
        <f t="shared" si="168"/>
        <v/>
      </c>
      <c r="C785" s="49" t="str">
        <f>IF(archive!F785="","",archive!F785)</f>
        <v/>
      </c>
      <c r="D785" s="50" t="str">
        <f t="shared" si="169"/>
        <v/>
      </c>
      <c r="E785" s="50" t="str">
        <f t="shared" si="170"/>
        <v/>
      </c>
      <c r="F785" s="47" t="str">
        <f>IF(COUNTA(archive!H785:CI785)=0,"",COUNTA(archive!H785:CI785))</f>
        <v/>
      </c>
      <c r="G785" s="47" t="str">
        <f>IF(archive!G785="","",archive!G785)</f>
        <v/>
      </c>
      <c r="H785" s="51" t="str">
        <f>IF(archive!CJ785="","",archive!CJ785)</f>
        <v/>
      </c>
      <c r="I785" s="51" t="str">
        <f>IF(archive!CK785="","",archive!CK785)</f>
        <v/>
      </c>
      <c r="J785" s="47" t="str">
        <f t="shared" si="171"/>
        <v/>
      </c>
      <c r="K785" s="51" t="str">
        <f t="shared" si="172"/>
        <v/>
      </c>
      <c r="L785" s="52" t="str">
        <f t="shared" si="173"/>
        <v/>
      </c>
      <c r="M785" s="53" t="str">
        <f t="shared" si="174"/>
        <v/>
      </c>
      <c r="N785" s="53" t="str">
        <f t="shared" si="175"/>
        <v/>
      </c>
      <c r="O785" s="53" t="str">
        <f t="shared" si="176"/>
        <v/>
      </c>
      <c r="P785" s="53" t="str">
        <f t="shared" si="177"/>
        <v/>
      </c>
      <c r="Q785" s="53" t="str">
        <f t="shared" si="178"/>
        <v/>
      </c>
      <c r="R785" s="53" t="str">
        <f t="shared" si="179"/>
        <v/>
      </c>
      <c r="S785" s="53" t="str">
        <f t="shared" si="180"/>
        <v/>
      </c>
      <c r="T785" s="53" t="str">
        <f t="shared" si="181"/>
        <v/>
      </c>
    </row>
    <row r="786" spans="1:20">
      <c r="A786" s="47" t="str">
        <f>IF(archive!E786="","",archive!E786)</f>
        <v/>
      </c>
      <c r="B786" s="48" t="str">
        <f t="shared" si="168"/>
        <v/>
      </c>
      <c r="C786" s="49" t="str">
        <f>IF(archive!F786="","",archive!F786)</f>
        <v/>
      </c>
      <c r="D786" s="50" t="str">
        <f t="shared" si="169"/>
        <v/>
      </c>
      <c r="E786" s="50" t="str">
        <f t="shared" si="170"/>
        <v/>
      </c>
      <c r="F786" s="47" t="str">
        <f>IF(COUNTA(archive!H786:CI786)=0,"",COUNTA(archive!H786:CI786))</f>
        <v/>
      </c>
      <c r="G786" s="47" t="str">
        <f>IF(archive!G786="","",archive!G786)</f>
        <v/>
      </c>
      <c r="H786" s="51" t="str">
        <f>IF(archive!CJ786="","",archive!CJ786)</f>
        <v/>
      </c>
      <c r="I786" s="51" t="str">
        <f>IF(archive!CK786="","",archive!CK786)</f>
        <v/>
      </c>
      <c r="J786" s="47" t="str">
        <f t="shared" si="171"/>
        <v/>
      </c>
      <c r="K786" s="51" t="str">
        <f t="shared" si="172"/>
        <v/>
      </c>
      <c r="L786" s="52" t="str">
        <f t="shared" si="173"/>
        <v/>
      </c>
      <c r="M786" s="53" t="str">
        <f t="shared" si="174"/>
        <v/>
      </c>
      <c r="N786" s="53" t="str">
        <f t="shared" si="175"/>
        <v/>
      </c>
      <c r="O786" s="53" t="str">
        <f t="shared" si="176"/>
        <v/>
      </c>
      <c r="P786" s="53" t="str">
        <f t="shared" si="177"/>
        <v/>
      </c>
      <c r="Q786" s="53" t="str">
        <f t="shared" si="178"/>
        <v/>
      </c>
      <c r="R786" s="53" t="str">
        <f t="shared" si="179"/>
        <v/>
      </c>
      <c r="S786" s="53" t="str">
        <f t="shared" si="180"/>
        <v/>
      </c>
      <c r="T786" s="53" t="str">
        <f t="shared" si="181"/>
        <v/>
      </c>
    </row>
    <row r="787" spans="1:20">
      <c r="A787" s="47" t="str">
        <f>IF(archive!E787="","",archive!E787)</f>
        <v/>
      </c>
      <c r="B787" s="48" t="str">
        <f t="shared" si="168"/>
        <v/>
      </c>
      <c r="C787" s="49" t="str">
        <f>IF(archive!F787="","",archive!F787)</f>
        <v/>
      </c>
      <c r="D787" s="50" t="str">
        <f t="shared" si="169"/>
        <v/>
      </c>
      <c r="E787" s="50" t="str">
        <f t="shared" si="170"/>
        <v/>
      </c>
      <c r="F787" s="47" t="str">
        <f>IF(COUNTA(archive!H787:CI787)=0,"",COUNTA(archive!H787:CI787))</f>
        <v/>
      </c>
      <c r="G787" s="47" t="str">
        <f>IF(archive!G787="","",archive!G787)</f>
        <v/>
      </c>
      <c r="H787" s="51" t="str">
        <f>IF(archive!CJ787="","",archive!CJ787)</f>
        <v/>
      </c>
      <c r="I787" s="51" t="str">
        <f>IF(archive!CK787="","",archive!CK787)</f>
        <v/>
      </c>
      <c r="J787" s="47" t="str">
        <f t="shared" si="171"/>
        <v/>
      </c>
      <c r="K787" s="51" t="str">
        <f t="shared" si="172"/>
        <v/>
      </c>
      <c r="L787" s="52" t="str">
        <f t="shared" si="173"/>
        <v/>
      </c>
      <c r="M787" s="53" t="str">
        <f t="shared" si="174"/>
        <v/>
      </c>
      <c r="N787" s="53" t="str">
        <f t="shared" si="175"/>
        <v/>
      </c>
      <c r="O787" s="53" t="str">
        <f t="shared" si="176"/>
        <v/>
      </c>
      <c r="P787" s="53" t="str">
        <f t="shared" si="177"/>
        <v/>
      </c>
      <c r="Q787" s="53" t="str">
        <f t="shared" si="178"/>
        <v/>
      </c>
      <c r="R787" s="53" t="str">
        <f t="shared" si="179"/>
        <v/>
      </c>
      <c r="S787" s="53" t="str">
        <f t="shared" si="180"/>
        <v/>
      </c>
      <c r="T787" s="53" t="str">
        <f t="shared" si="181"/>
        <v/>
      </c>
    </row>
    <row r="788" spans="1:20">
      <c r="A788" s="47" t="str">
        <f>IF(archive!E788="","",archive!E788)</f>
        <v/>
      </c>
      <c r="B788" s="48" t="str">
        <f t="shared" si="168"/>
        <v/>
      </c>
      <c r="C788" s="49" t="str">
        <f>IF(archive!F788="","",archive!F788)</f>
        <v/>
      </c>
      <c r="D788" s="50" t="str">
        <f t="shared" si="169"/>
        <v/>
      </c>
      <c r="E788" s="50" t="str">
        <f t="shared" si="170"/>
        <v/>
      </c>
      <c r="F788" s="47" t="str">
        <f>IF(COUNTA(archive!H788:CI788)=0,"",COUNTA(archive!H788:CI788))</f>
        <v/>
      </c>
      <c r="G788" s="47" t="str">
        <f>IF(archive!G788="","",archive!G788)</f>
        <v/>
      </c>
      <c r="H788" s="51" t="str">
        <f>IF(archive!CJ788="","",archive!CJ788)</f>
        <v/>
      </c>
      <c r="I788" s="51" t="str">
        <f>IF(archive!CK788="","",archive!CK788)</f>
        <v/>
      </c>
      <c r="J788" s="47" t="str">
        <f t="shared" si="171"/>
        <v/>
      </c>
      <c r="K788" s="51" t="str">
        <f t="shared" si="172"/>
        <v/>
      </c>
      <c r="L788" s="52" t="str">
        <f t="shared" si="173"/>
        <v/>
      </c>
      <c r="M788" s="53" t="str">
        <f t="shared" si="174"/>
        <v/>
      </c>
      <c r="N788" s="53" t="str">
        <f t="shared" si="175"/>
        <v/>
      </c>
      <c r="O788" s="53" t="str">
        <f t="shared" si="176"/>
        <v/>
      </c>
      <c r="P788" s="53" t="str">
        <f t="shared" si="177"/>
        <v/>
      </c>
      <c r="Q788" s="53" t="str">
        <f t="shared" si="178"/>
        <v/>
      </c>
      <c r="R788" s="53" t="str">
        <f t="shared" si="179"/>
        <v/>
      </c>
      <c r="S788" s="53" t="str">
        <f t="shared" si="180"/>
        <v/>
      </c>
      <c r="T788" s="53" t="str">
        <f t="shared" si="181"/>
        <v/>
      </c>
    </row>
    <row r="789" spans="1:20">
      <c r="A789" s="47" t="str">
        <f>IF(archive!E789="","",archive!E789)</f>
        <v/>
      </c>
      <c r="B789" s="48" t="str">
        <f t="shared" si="168"/>
        <v/>
      </c>
      <c r="C789" s="49" t="str">
        <f>IF(archive!F789="","",archive!F789)</f>
        <v/>
      </c>
      <c r="D789" s="50" t="str">
        <f t="shared" si="169"/>
        <v/>
      </c>
      <c r="E789" s="50" t="str">
        <f t="shared" si="170"/>
        <v/>
      </c>
      <c r="F789" s="47" t="str">
        <f>IF(COUNTA(archive!H789:CI789)=0,"",COUNTA(archive!H789:CI789))</f>
        <v/>
      </c>
      <c r="G789" s="47" t="str">
        <f>IF(archive!G789="","",archive!G789)</f>
        <v/>
      </c>
      <c r="H789" s="51" t="str">
        <f>IF(archive!CJ789="","",archive!CJ789)</f>
        <v/>
      </c>
      <c r="I789" s="51" t="str">
        <f>IF(archive!CK789="","",archive!CK789)</f>
        <v/>
      </c>
      <c r="J789" s="47" t="str">
        <f t="shared" si="171"/>
        <v/>
      </c>
      <c r="K789" s="51" t="str">
        <f t="shared" si="172"/>
        <v/>
      </c>
      <c r="L789" s="52" t="str">
        <f t="shared" si="173"/>
        <v/>
      </c>
      <c r="M789" s="53" t="str">
        <f t="shared" si="174"/>
        <v/>
      </c>
      <c r="N789" s="53" t="str">
        <f t="shared" si="175"/>
        <v/>
      </c>
      <c r="O789" s="53" t="str">
        <f t="shared" si="176"/>
        <v/>
      </c>
      <c r="P789" s="53" t="str">
        <f t="shared" si="177"/>
        <v/>
      </c>
      <c r="Q789" s="53" t="str">
        <f t="shared" si="178"/>
        <v/>
      </c>
      <c r="R789" s="53" t="str">
        <f t="shared" si="179"/>
        <v/>
      </c>
      <c r="S789" s="53" t="str">
        <f t="shared" si="180"/>
        <v/>
      </c>
      <c r="T789" s="53" t="str">
        <f t="shared" si="181"/>
        <v/>
      </c>
    </row>
    <row r="790" spans="1:20">
      <c r="A790" s="47" t="str">
        <f>IF(archive!E790="","",archive!E790)</f>
        <v/>
      </c>
      <c r="B790" s="48" t="str">
        <f t="shared" si="168"/>
        <v/>
      </c>
      <c r="C790" s="49" t="str">
        <f>IF(archive!F790="","",archive!F790)</f>
        <v/>
      </c>
      <c r="D790" s="50" t="str">
        <f t="shared" si="169"/>
        <v/>
      </c>
      <c r="E790" s="50" t="str">
        <f t="shared" si="170"/>
        <v/>
      </c>
      <c r="F790" s="47" t="str">
        <f>IF(COUNTA(archive!H790:CI790)=0,"",COUNTA(archive!H790:CI790))</f>
        <v/>
      </c>
      <c r="G790" s="47" t="str">
        <f>IF(archive!G790="","",archive!G790)</f>
        <v/>
      </c>
      <c r="H790" s="51" t="str">
        <f>IF(archive!CJ790="","",archive!CJ790)</f>
        <v/>
      </c>
      <c r="I790" s="51" t="str">
        <f>IF(archive!CK790="","",archive!CK790)</f>
        <v/>
      </c>
      <c r="J790" s="47" t="str">
        <f t="shared" si="171"/>
        <v/>
      </c>
      <c r="K790" s="51" t="str">
        <f t="shared" si="172"/>
        <v/>
      </c>
      <c r="L790" s="52" t="str">
        <f t="shared" si="173"/>
        <v/>
      </c>
      <c r="M790" s="53" t="str">
        <f t="shared" si="174"/>
        <v/>
      </c>
      <c r="N790" s="53" t="str">
        <f t="shared" si="175"/>
        <v/>
      </c>
      <c r="O790" s="53" t="str">
        <f t="shared" si="176"/>
        <v/>
      </c>
      <c r="P790" s="53" t="str">
        <f t="shared" si="177"/>
        <v/>
      </c>
      <c r="Q790" s="53" t="str">
        <f t="shared" si="178"/>
        <v/>
      </c>
      <c r="R790" s="53" t="str">
        <f t="shared" si="179"/>
        <v/>
      </c>
      <c r="S790" s="53" t="str">
        <f t="shared" si="180"/>
        <v/>
      </c>
      <c r="T790" s="53" t="str">
        <f t="shared" si="181"/>
        <v/>
      </c>
    </row>
    <row r="791" spans="1:20">
      <c r="A791" s="47" t="str">
        <f>IF(archive!E791="","",archive!E791)</f>
        <v/>
      </c>
      <c r="B791" s="48" t="str">
        <f t="shared" si="168"/>
        <v/>
      </c>
      <c r="C791" s="49" t="str">
        <f>IF(archive!F791="","",archive!F791)</f>
        <v/>
      </c>
      <c r="D791" s="50" t="str">
        <f t="shared" si="169"/>
        <v/>
      </c>
      <c r="E791" s="50" t="str">
        <f t="shared" si="170"/>
        <v/>
      </c>
      <c r="F791" s="47" t="str">
        <f>IF(COUNTA(archive!H791:CI791)=0,"",COUNTA(archive!H791:CI791))</f>
        <v/>
      </c>
      <c r="G791" s="47" t="str">
        <f>IF(archive!G791="","",archive!G791)</f>
        <v/>
      </c>
      <c r="H791" s="51" t="str">
        <f>IF(archive!CJ791="","",archive!CJ791)</f>
        <v/>
      </c>
      <c r="I791" s="51" t="str">
        <f>IF(archive!CK791="","",archive!CK791)</f>
        <v/>
      </c>
      <c r="J791" s="47" t="str">
        <f t="shared" si="171"/>
        <v/>
      </c>
      <c r="K791" s="51" t="str">
        <f t="shared" si="172"/>
        <v/>
      </c>
      <c r="L791" s="52" t="str">
        <f t="shared" si="173"/>
        <v/>
      </c>
      <c r="M791" s="53" t="str">
        <f t="shared" si="174"/>
        <v/>
      </c>
      <c r="N791" s="53" t="str">
        <f t="shared" si="175"/>
        <v/>
      </c>
      <c r="O791" s="53" t="str">
        <f t="shared" si="176"/>
        <v/>
      </c>
      <c r="P791" s="53" t="str">
        <f t="shared" si="177"/>
        <v/>
      </c>
      <c r="Q791" s="53" t="str">
        <f t="shared" si="178"/>
        <v/>
      </c>
      <c r="R791" s="53" t="str">
        <f t="shared" si="179"/>
        <v/>
      </c>
      <c r="S791" s="53" t="str">
        <f t="shared" si="180"/>
        <v/>
      </c>
      <c r="T791" s="53" t="str">
        <f t="shared" si="181"/>
        <v/>
      </c>
    </row>
    <row r="792" spans="1:20">
      <c r="A792" s="47" t="str">
        <f>IF(archive!E792="","",archive!E792)</f>
        <v/>
      </c>
      <c r="B792" s="48" t="str">
        <f t="shared" si="168"/>
        <v/>
      </c>
      <c r="C792" s="49" t="str">
        <f>IF(archive!F792="","",archive!F792)</f>
        <v/>
      </c>
      <c r="D792" s="50" t="str">
        <f t="shared" si="169"/>
        <v/>
      </c>
      <c r="E792" s="50" t="str">
        <f t="shared" si="170"/>
        <v/>
      </c>
      <c r="F792" s="47" t="str">
        <f>IF(COUNTA(archive!H792:CI792)=0,"",COUNTA(archive!H792:CI792))</f>
        <v/>
      </c>
      <c r="G792" s="47" t="str">
        <f>IF(archive!G792="","",archive!G792)</f>
        <v/>
      </c>
      <c r="H792" s="51" t="str">
        <f>IF(archive!CJ792="","",archive!CJ792)</f>
        <v/>
      </c>
      <c r="I792" s="51" t="str">
        <f>IF(archive!CK792="","",archive!CK792)</f>
        <v/>
      </c>
      <c r="J792" s="47" t="str">
        <f t="shared" si="171"/>
        <v/>
      </c>
      <c r="K792" s="51" t="str">
        <f t="shared" si="172"/>
        <v/>
      </c>
      <c r="L792" s="52" t="str">
        <f t="shared" si="173"/>
        <v/>
      </c>
      <c r="M792" s="53" t="str">
        <f t="shared" si="174"/>
        <v/>
      </c>
      <c r="N792" s="53" t="str">
        <f t="shared" si="175"/>
        <v/>
      </c>
      <c r="O792" s="53" t="str">
        <f t="shared" si="176"/>
        <v/>
      </c>
      <c r="P792" s="53" t="str">
        <f t="shared" si="177"/>
        <v/>
      </c>
      <c r="Q792" s="53" t="str">
        <f t="shared" si="178"/>
        <v/>
      </c>
      <c r="R792" s="53" t="str">
        <f t="shared" si="179"/>
        <v/>
      </c>
      <c r="S792" s="53" t="str">
        <f t="shared" si="180"/>
        <v/>
      </c>
      <c r="T792" s="53" t="str">
        <f t="shared" si="181"/>
        <v/>
      </c>
    </row>
    <row r="793" spans="1:20">
      <c r="A793" s="47" t="str">
        <f>IF(archive!E793="","",archive!E793)</f>
        <v/>
      </c>
      <c r="B793" s="48" t="str">
        <f t="shared" si="168"/>
        <v/>
      </c>
      <c r="C793" s="49" t="str">
        <f>IF(archive!F793="","",archive!F793)</f>
        <v/>
      </c>
      <c r="D793" s="50" t="str">
        <f t="shared" si="169"/>
        <v/>
      </c>
      <c r="E793" s="50" t="str">
        <f t="shared" si="170"/>
        <v/>
      </c>
      <c r="F793" s="47" t="str">
        <f>IF(COUNTA(archive!H793:CI793)=0,"",COUNTA(archive!H793:CI793))</f>
        <v/>
      </c>
      <c r="G793" s="47" t="str">
        <f>IF(archive!G793="","",archive!G793)</f>
        <v/>
      </c>
      <c r="H793" s="51" t="str">
        <f>IF(archive!CJ793="","",archive!CJ793)</f>
        <v/>
      </c>
      <c r="I793" s="51" t="str">
        <f>IF(archive!CK793="","",archive!CK793)</f>
        <v/>
      </c>
      <c r="J793" s="47" t="str">
        <f t="shared" si="171"/>
        <v/>
      </c>
      <c r="K793" s="51" t="str">
        <f t="shared" si="172"/>
        <v/>
      </c>
      <c r="L793" s="52" t="str">
        <f t="shared" si="173"/>
        <v/>
      </c>
      <c r="M793" s="53" t="str">
        <f t="shared" si="174"/>
        <v/>
      </c>
      <c r="N793" s="53" t="str">
        <f t="shared" si="175"/>
        <v/>
      </c>
      <c r="O793" s="53" t="str">
        <f t="shared" si="176"/>
        <v/>
      </c>
      <c r="P793" s="53" t="str">
        <f t="shared" si="177"/>
        <v/>
      </c>
      <c r="Q793" s="53" t="str">
        <f t="shared" si="178"/>
        <v/>
      </c>
      <c r="R793" s="53" t="str">
        <f t="shared" si="179"/>
        <v/>
      </c>
      <c r="S793" s="53" t="str">
        <f t="shared" si="180"/>
        <v/>
      </c>
      <c r="T793" s="53" t="str">
        <f t="shared" si="181"/>
        <v/>
      </c>
    </row>
    <row r="794" spans="1:20">
      <c r="A794" s="47" t="str">
        <f>IF(archive!E794="","",archive!E794)</f>
        <v/>
      </c>
      <c r="B794" s="48" t="str">
        <f t="shared" si="168"/>
        <v/>
      </c>
      <c r="C794" s="49" t="str">
        <f>IF(archive!F794="","",archive!F794)</f>
        <v/>
      </c>
      <c r="D794" s="50" t="str">
        <f t="shared" si="169"/>
        <v/>
      </c>
      <c r="E794" s="50" t="str">
        <f t="shared" si="170"/>
        <v/>
      </c>
      <c r="F794" s="47" t="str">
        <f>IF(COUNTA(archive!H794:CI794)=0,"",COUNTA(archive!H794:CI794))</f>
        <v/>
      </c>
      <c r="G794" s="47" t="str">
        <f>IF(archive!G794="","",archive!G794)</f>
        <v/>
      </c>
      <c r="H794" s="51" t="str">
        <f>IF(archive!CJ794="","",archive!CJ794)</f>
        <v/>
      </c>
      <c r="I794" s="51" t="str">
        <f>IF(archive!CK794="","",archive!CK794)</f>
        <v/>
      </c>
      <c r="J794" s="47" t="str">
        <f t="shared" si="171"/>
        <v/>
      </c>
      <c r="K794" s="51" t="str">
        <f t="shared" si="172"/>
        <v/>
      </c>
      <c r="L794" s="52" t="str">
        <f t="shared" si="173"/>
        <v/>
      </c>
      <c r="M794" s="53" t="str">
        <f t="shared" si="174"/>
        <v/>
      </c>
      <c r="N794" s="53" t="str">
        <f t="shared" si="175"/>
        <v/>
      </c>
      <c r="O794" s="53" t="str">
        <f t="shared" si="176"/>
        <v/>
      </c>
      <c r="P794" s="53" t="str">
        <f t="shared" si="177"/>
        <v/>
      </c>
      <c r="Q794" s="53" t="str">
        <f t="shared" si="178"/>
        <v/>
      </c>
      <c r="R794" s="53" t="str">
        <f t="shared" si="179"/>
        <v/>
      </c>
      <c r="S794" s="53" t="str">
        <f t="shared" si="180"/>
        <v/>
      </c>
      <c r="T794" s="53" t="str">
        <f t="shared" si="181"/>
        <v/>
      </c>
    </row>
    <row r="795" spans="1:20">
      <c r="A795" s="47" t="str">
        <f>IF(archive!E795="","",archive!E795)</f>
        <v/>
      </c>
      <c r="B795" s="48" t="str">
        <f t="shared" si="168"/>
        <v/>
      </c>
      <c r="C795" s="49" t="str">
        <f>IF(archive!F795="","",archive!F795)</f>
        <v/>
      </c>
      <c r="D795" s="50" t="str">
        <f t="shared" si="169"/>
        <v/>
      </c>
      <c r="E795" s="50" t="str">
        <f t="shared" si="170"/>
        <v/>
      </c>
      <c r="F795" s="47" t="str">
        <f>IF(COUNTA(archive!H795:CI795)=0,"",COUNTA(archive!H795:CI795))</f>
        <v/>
      </c>
      <c r="G795" s="47" t="str">
        <f>IF(archive!G795="","",archive!G795)</f>
        <v/>
      </c>
      <c r="H795" s="51" t="str">
        <f>IF(archive!CJ795="","",archive!CJ795)</f>
        <v/>
      </c>
      <c r="I795" s="51" t="str">
        <f>IF(archive!CK795="","",archive!CK795)</f>
        <v/>
      </c>
      <c r="J795" s="47" t="str">
        <f t="shared" si="171"/>
        <v/>
      </c>
      <c r="K795" s="51" t="str">
        <f t="shared" si="172"/>
        <v/>
      </c>
      <c r="L795" s="52" t="str">
        <f t="shared" si="173"/>
        <v/>
      </c>
      <c r="M795" s="53" t="str">
        <f t="shared" si="174"/>
        <v/>
      </c>
      <c r="N795" s="53" t="str">
        <f t="shared" si="175"/>
        <v/>
      </c>
      <c r="O795" s="53" t="str">
        <f t="shared" si="176"/>
        <v/>
      </c>
      <c r="P795" s="53" t="str">
        <f t="shared" si="177"/>
        <v/>
      </c>
      <c r="Q795" s="53" t="str">
        <f t="shared" si="178"/>
        <v/>
      </c>
      <c r="R795" s="53" t="str">
        <f t="shared" si="179"/>
        <v/>
      </c>
      <c r="S795" s="53" t="str">
        <f t="shared" si="180"/>
        <v/>
      </c>
      <c r="T795" s="53" t="str">
        <f t="shared" si="181"/>
        <v/>
      </c>
    </row>
    <row r="796" spans="1:20">
      <c r="A796" s="47" t="str">
        <f>IF(archive!E796="","",archive!E796)</f>
        <v/>
      </c>
      <c r="B796" s="48" t="str">
        <f t="shared" si="168"/>
        <v/>
      </c>
      <c r="C796" s="49" t="str">
        <f>IF(archive!F796="","",archive!F796)</f>
        <v/>
      </c>
      <c r="D796" s="50" t="str">
        <f t="shared" si="169"/>
        <v/>
      </c>
      <c r="E796" s="50" t="str">
        <f t="shared" si="170"/>
        <v/>
      </c>
      <c r="F796" s="47" t="str">
        <f>IF(COUNTA(archive!H796:CI796)=0,"",COUNTA(archive!H796:CI796))</f>
        <v/>
      </c>
      <c r="G796" s="47" t="str">
        <f>IF(archive!G796="","",archive!G796)</f>
        <v/>
      </c>
      <c r="H796" s="51" t="str">
        <f>IF(archive!CJ796="","",archive!CJ796)</f>
        <v/>
      </c>
      <c r="I796" s="51" t="str">
        <f>IF(archive!CK796="","",archive!CK796)</f>
        <v/>
      </c>
      <c r="J796" s="47" t="str">
        <f t="shared" si="171"/>
        <v/>
      </c>
      <c r="K796" s="51" t="str">
        <f t="shared" si="172"/>
        <v/>
      </c>
      <c r="L796" s="52" t="str">
        <f t="shared" si="173"/>
        <v/>
      </c>
      <c r="M796" s="53" t="str">
        <f t="shared" si="174"/>
        <v/>
      </c>
      <c r="N796" s="53" t="str">
        <f t="shared" si="175"/>
        <v/>
      </c>
      <c r="O796" s="53" t="str">
        <f t="shared" si="176"/>
        <v/>
      </c>
      <c r="P796" s="53" t="str">
        <f t="shared" si="177"/>
        <v/>
      </c>
      <c r="Q796" s="53" t="str">
        <f t="shared" si="178"/>
        <v/>
      </c>
      <c r="R796" s="53" t="str">
        <f t="shared" si="179"/>
        <v/>
      </c>
      <c r="S796" s="53" t="str">
        <f t="shared" si="180"/>
        <v/>
      </c>
      <c r="T796" s="53" t="str">
        <f t="shared" si="181"/>
        <v/>
      </c>
    </row>
    <row r="797" spans="1:20">
      <c r="A797" s="47" t="str">
        <f>IF(archive!E797="","",archive!E797)</f>
        <v/>
      </c>
      <c r="B797" s="48" t="str">
        <f t="shared" si="168"/>
        <v/>
      </c>
      <c r="C797" s="49" t="str">
        <f>IF(archive!F797="","",archive!F797)</f>
        <v/>
      </c>
      <c r="D797" s="50" t="str">
        <f t="shared" si="169"/>
        <v/>
      </c>
      <c r="E797" s="50" t="str">
        <f t="shared" si="170"/>
        <v/>
      </c>
      <c r="F797" s="47" t="str">
        <f>IF(COUNTA(archive!H797:CI797)=0,"",COUNTA(archive!H797:CI797))</f>
        <v/>
      </c>
      <c r="G797" s="47" t="str">
        <f>IF(archive!G797="","",archive!G797)</f>
        <v/>
      </c>
      <c r="H797" s="51" t="str">
        <f>IF(archive!CJ797="","",archive!CJ797)</f>
        <v/>
      </c>
      <c r="I797" s="51" t="str">
        <f>IF(archive!CK797="","",archive!CK797)</f>
        <v/>
      </c>
      <c r="J797" s="47" t="str">
        <f t="shared" si="171"/>
        <v/>
      </c>
      <c r="K797" s="51" t="str">
        <f t="shared" si="172"/>
        <v/>
      </c>
      <c r="L797" s="52" t="str">
        <f t="shared" si="173"/>
        <v/>
      </c>
      <c r="M797" s="53" t="str">
        <f t="shared" si="174"/>
        <v/>
      </c>
      <c r="N797" s="53" t="str">
        <f t="shared" si="175"/>
        <v/>
      </c>
      <c r="O797" s="53" t="str">
        <f t="shared" si="176"/>
        <v/>
      </c>
      <c r="P797" s="53" t="str">
        <f t="shared" si="177"/>
        <v/>
      </c>
      <c r="Q797" s="53" t="str">
        <f t="shared" si="178"/>
        <v/>
      </c>
      <c r="R797" s="53" t="str">
        <f t="shared" si="179"/>
        <v/>
      </c>
      <c r="S797" s="53" t="str">
        <f t="shared" si="180"/>
        <v/>
      </c>
      <c r="T797" s="53" t="str">
        <f t="shared" si="181"/>
        <v/>
      </c>
    </row>
    <row r="798" spans="1:20">
      <c r="A798" s="47" t="str">
        <f>IF(archive!E798="","",archive!E798)</f>
        <v/>
      </c>
      <c r="B798" s="48" t="str">
        <f t="shared" si="168"/>
        <v/>
      </c>
      <c r="C798" s="49" t="str">
        <f>IF(archive!F798="","",archive!F798)</f>
        <v/>
      </c>
      <c r="D798" s="50" t="str">
        <f t="shared" si="169"/>
        <v/>
      </c>
      <c r="E798" s="50" t="str">
        <f t="shared" si="170"/>
        <v/>
      </c>
      <c r="F798" s="47" t="str">
        <f>IF(COUNTA(archive!H798:CI798)=0,"",COUNTA(archive!H798:CI798))</f>
        <v/>
      </c>
      <c r="G798" s="47" t="str">
        <f>IF(archive!G798="","",archive!G798)</f>
        <v/>
      </c>
      <c r="H798" s="51" t="str">
        <f>IF(archive!CJ798="","",archive!CJ798)</f>
        <v/>
      </c>
      <c r="I798" s="51" t="str">
        <f>IF(archive!CK798="","",archive!CK798)</f>
        <v/>
      </c>
      <c r="J798" s="47" t="str">
        <f t="shared" si="171"/>
        <v/>
      </c>
      <c r="K798" s="51" t="str">
        <f t="shared" si="172"/>
        <v/>
      </c>
      <c r="L798" s="52" t="str">
        <f t="shared" si="173"/>
        <v/>
      </c>
      <c r="M798" s="53" t="str">
        <f t="shared" si="174"/>
        <v/>
      </c>
      <c r="N798" s="53" t="str">
        <f t="shared" si="175"/>
        <v/>
      </c>
      <c r="O798" s="53" t="str">
        <f t="shared" si="176"/>
        <v/>
      </c>
      <c r="P798" s="53" t="str">
        <f t="shared" si="177"/>
        <v/>
      </c>
      <c r="Q798" s="53" t="str">
        <f t="shared" si="178"/>
        <v/>
      </c>
      <c r="R798" s="53" t="str">
        <f t="shared" si="179"/>
        <v/>
      </c>
      <c r="S798" s="53" t="str">
        <f t="shared" si="180"/>
        <v/>
      </c>
      <c r="T798" s="53" t="str">
        <f t="shared" si="181"/>
        <v/>
      </c>
    </row>
    <row r="799" spans="1:20">
      <c r="A799" s="47" t="str">
        <f>IF(archive!E799="","",archive!E799)</f>
        <v/>
      </c>
      <c r="B799" s="48" t="str">
        <f t="shared" si="168"/>
        <v/>
      </c>
      <c r="C799" s="49" t="str">
        <f>IF(archive!F799="","",archive!F799)</f>
        <v/>
      </c>
      <c r="D799" s="50" t="str">
        <f t="shared" si="169"/>
        <v/>
      </c>
      <c r="E799" s="50" t="str">
        <f t="shared" si="170"/>
        <v/>
      </c>
      <c r="F799" s="47" t="str">
        <f>IF(COUNTA(archive!H799:CI799)=0,"",COUNTA(archive!H799:CI799))</f>
        <v/>
      </c>
      <c r="G799" s="47" t="str">
        <f>IF(archive!G799="","",archive!G799)</f>
        <v/>
      </c>
      <c r="H799" s="51" t="str">
        <f>IF(archive!CJ799="","",archive!CJ799)</f>
        <v/>
      </c>
      <c r="I799" s="51" t="str">
        <f>IF(archive!CK799="","",archive!CK799)</f>
        <v/>
      </c>
      <c r="J799" s="47" t="str">
        <f t="shared" si="171"/>
        <v/>
      </c>
      <c r="K799" s="51" t="str">
        <f t="shared" si="172"/>
        <v/>
      </c>
      <c r="L799" s="52" t="str">
        <f t="shared" si="173"/>
        <v/>
      </c>
      <c r="M799" s="53" t="str">
        <f t="shared" si="174"/>
        <v/>
      </c>
      <c r="N799" s="53" t="str">
        <f t="shared" si="175"/>
        <v/>
      </c>
      <c r="O799" s="53" t="str">
        <f t="shared" si="176"/>
        <v/>
      </c>
      <c r="P799" s="53" t="str">
        <f t="shared" si="177"/>
        <v/>
      </c>
      <c r="Q799" s="53" t="str">
        <f t="shared" si="178"/>
        <v/>
      </c>
      <c r="R799" s="53" t="str">
        <f t="shared" si="179"/>
        <v/>
      </c>
      <c r="S799" s="53" t="str">
        <f t="shared" si="180"/>
        <v/>
      </c>
      <c r="T799" s="53" t="str">
        <f t="shared" si="181"/>
        <v/>
      </c>
    </row>
    <row r="800" spans="1:20">
      <c r="A800" s="47" t="str">
        <f>IF(archive!E800="","",archive!E800)</f>
        <v/>
      </c>
      <c r="B800" s="48" t="str">
        <f t="shared" si="168"/>
        <v/>
      </c>
      <c r="C800" s="49" t="str">
        <f>IF(archive!F800="","",archive!F800)</f>
        <v/>
      </c>
      <c r="D800" s="50" t="str">
        <f t="shared" si="169"/>
        <v/>
      </c>
      <c r="E800" s="50" t="str">
        <f t="shared" si="170"/>
        <v/>
      </c>
      <c r="F800" s="47" t="str">
        <f>IF(COUNTA(archive!H800:CI800)=0,"",COUNTA(archive!H800:CI800))</f>
        <v/>
      </c>
      <c r="G800" s="47" t="str">
        <f>IF(archive!G800="","",archive!G800)</f>
        <v/>
      </c>
      <c r="H800" s="51" t="str">
        <f>IF(archive!CJ800="","",archive!CJ800)</f>
        <v/>
      </c>
      <c r="I800" s="51" t="str">
        <f>IF(archive!CK800="","",archive!CK800)</f>
        <v/>
      </c>
      <c r="J800" s="47" t="str">
        <f t="shared" si="171"/>
        <v/>
      </c>
      <c r="K800" s="51" t="str">
        <f t="shared" si="172"/>
        <v/>
      </c>
      <c r="L800" s="52" t="str">
        <f t="shared" si="173"/>
        <v/>
      </c>
      <c r="M800" s="53" t="str">
        <f t="shared" si="174"/>
        <v/>
      </c>
      <c r="N800" s="53" t="str">
        <f t="shared" si="175"/>
        <v/>
      </c>
      <c r="O800" s="53" t="str">
        <f t="shared" si="176"/>
        <v/>
      </c>
      <c r="P800" s="53" t="str">
        <f t="shared" si="177"/>
        <v/>
      </c>
      <c r="Q800" s="53" t="str">
        <f t="shared" si="178"/>
        <v/>
      </c>
      <c r="R800" s="53" t="str">
        <f t="shared" si="179"/>
        <v/>
      </c>
      <c r="S800" s="53" t="str">
        <f t="shared" si="180"/>
        <v/>
      </c>
      <c r="T800" s="53" t="str">
        <f t="shared" si="181"/>
        <v/>
      </c>
    </row>
    <row r="801" spans="1:20">
      <c r="A801" s="47" t="str">
        <f>IF(archive!E801="","",archive!E801)</f>
        <v/>
      </c>
      <c r="B801" s="48" t="str">
        <f t="shared" si="168"/>
        <v/>
      </c>
      <c r="C801" s="49" t="str">
        <f>IF(archive!F801="","",archive!F801)</f>
        <v/>
      </c>
      <c r="D801" s="50" t="str">
        <f t="shared" si="169"/>
        <v/>
      </c>
      <c r="E801" s="50" t="str">
        <f t="shared" si="170"/>
        <v/>
      </c>
      <c r="F801" s="47" t="str">
        <f>IF(COUNTA(archive!H801:CI801)=0,"",COUNTA(archive!H801:CI801))</f>
        <v/>
      </c>
      <c r="G801" s="47" t="str">
        <f>IF(archive!G801="","",archive!G801)</f>
        <v/>
      </c>
      <c r="H801" s="51" t="str">
        <f>IF(archive!CJ801="","",archive!CJ801)</f>
        <v/>
      </c>
      <c r="I801" s="51" t="str">
        <f>IF(archive!CK801="","",archive!CK801)</f>
        <v/>
      </c>
      <c r="J801" s="47" t="str">
        <f t="shared" si="171"/>
        <v/>
      </c>
      <c r="K801" s="51" t="str">
        <f t="shared" si="172"/>
        <v/>
      </c>
      <c r="L801" s="52" t="str">
        <f t="shared" si="173"/>
        <v/>
      </c>
      <c r="M801" s="53" t="str">
        <f t="shared" si="174"/>
        <v/>
      </c>
      <c r="N801" s="53" t="str">
        <f t="shared" si="175"/>
        <v/>
      </c>
      <c r="O801" s="53" t="str">
        <f t="shared" si="176"/>
        <v/>
      </c>
      <c r="P801" s="53" t="str">
        <f t="shared" si="177"/>
        <v/>
      </c>
      <c r="Q801" s="53" t="str">
        <f t="shared" si="178"/>
        <v/>
      </c>
      <c r="R801" s="53" t="str">
        <f t="shared" si="179"/>
        <v/>
      </c>
      <c r="S801" s="53" t="str">
        <f t="shared" si="180"/>
        <v/>
      </c>
      <c r="T801" s="53" t="str">
        <f t="shared" si="181"/>
        <v/>
      </c>
    </row>
    <row r="802" spans="1:20">
      <c r="A802" s="47" t="str">
        <f>IF(archive!E802="","",archive!E802)</f>
        <v/>
      </c>
      <c r="B802" s="48" t="str">
        <f t="shared" si="168"/>
        <v/>
      </c>
      <c r="C802" s="49" t="str">
        <f>IF(archive!F802="","",archive!F802)</f>
        <v/>
      </c>
      <c r="D802" s="50" t="str">
        <f t="shared" si="169"/>
        <v/>
      </c>
      <c r="E802" s="50" t="str">
        <f t="shared" si="170"/>
        <v/>
      </c>
      <c r="F802" s="47" t="str">
        <f>IF(COUNTA(archive!H802:CI802)=0,"",COUNTA(archive!H802:CI802))</f>
        <v/>
      </c>
      <c r="G802" s="47" t="str">
        <f>IF(archive!G802="","",archive!G802)</f>
        <v/>
      </c>
      <c r="H802" s="51" t="str">
        <f>IF(archive!CJ802="","",archive!CJ802)</f>
        <v/>
      </c>
      <c r="I802" s="51" t="str">
        <f>IF(archive!CK802="","",archive!CK802)</f>
        <v/>
      </c>
      <c r="J802" s="47" t="str">
        <f t="shared" si="171"/>
        <v/>
      </c>
      <c r="K802" s="51" t="str">
        <f t="shared" si="172"/>
        <v/>
      </c>
      <c r="L802" s="52" t="str">
        <f t="shared" si="173"/>
        <v/>
      </c>
      <c r="M802" s="53" t="str">
        <f t="shared" si="174"/>
        <v/>
      </c>
      <c r="N802" s="53" t="str">
        <f t="shared" si="175"/>
        <v/>
      </c>
      <c r="O802" s="53" t="str">
        <f t="shared" si="176"/>
        <v/>
      </c>
      <c r="P802" s="53" t="str">
        <f t="shared" si="177"/>
        <v/>
      </c>
      <c r="Q802" s="53" t="str">
        <f t="shared" si="178"/>
        <v/>
      </c>
      <c r="R802" s="53" t="str">
        <f t="shared" si="179"/>
        <v/>
      </c>
      <c r="S802" s="53" t="str">
        <f t="shared" si="180"/>
        <v/>
      </c>
      <c r="T802" s="53" t="str">
        <f t="shared" si="181"/>
        <v/>
      </c>
    </row>
    <row r="803" spans="1:20">
      <c r="A803" s="47" t="str">
        <f>IF(archive!E803="","",archive!E803)</f>
        <v/>
      </c>
      <c r="B803" s="48" t="str">
        <f t="shared" si="168"/>
        <v/>
      </c>
      <c r="C803" s="49" t="str">
        <f>IF(archive!F803="","",archive!F803)</f>
        <v/>
      </c>
      <c r="D803" s="50" t="str">
        <f t="shared" si="169"/>
        <v/>
      </c>
      <c r="E803" s="50" t="str">
        <f t="shared" si="170"/>
        <v/>
      </c>
      <c r="F803" s="47" t="str">
        <f>IF(COUNTA(archive!H803:CI803)=0,"",COUNTA(archive!H803:CI803))</f>
        <v/>
      </c>
      <c r="G803" s="47" t="str">
        <f>IF(archive!G803="","",archive!G803)</f>
        <v/>
      </c>
      <c r="H803" s="51" t="str">
        <f>IF(archive!CJ803="","",archive!CJ803)</f>
        <v/>
      </c>
      <c r="I803" s="51" t="str">
        <f>IF(archive!CK803="","",archive!CK803)</f>
        <v/>
      </c>
      <c r="J803" s="47" t="str">
        <f t="shared" si="171"/>
        <v/>
      </c>
      <c r="K803" s="51" t="str">
        <f t="shared" si="172"/>
        <v/>
      </c>
      <c r="L803" s="52" t="str">
        <f t="shared" si="173"/>
        <v/>
      </c>
      <c r="M803" s="53" t="str">
        <f t="shared" si="174"/>
        <v/>
      </c>
      <c r="N803" s="53" t="str">
        <f t="shared" si="175"/>
        <v/>
      </c>
      <c r="O803" s="53" t="str">
        <f t="shared" si="176"/>
        <v/>
      </c>
      <c r="P803" s="53" t="str">
        <f t="shared" si="177"/>
        <v/>
      </c>
      <c r="Q803" s="53" t="str">
        <f t="shared" si="178"/>
        <v/>
      </c>
      <c r="R803" s="53" t="str">
        <f t="shared" si="179"/>
        <v/>
      </c>
      <c r="S803" s="53" t="str">
        <f t="shared" si="180"/>
        <v/>
      </c>
      <c r="T803" s="53" t="str">
        <f t="shared" si="181"/>
        <v/>
      </c>
    </row>
    <row r="804" spans="1:20">
      <c r="A804" s="47" t="str">
        <f>IF(archive!E804="","",archive!E804)</f>
        <v/>
      </c>
      <c r="B804" s="48" t="str">
        <f t="shared" si="168"/>
        <v/>
      </c>
      <c r="C804" s="49" t="str">
        <f>IF(archive!F804="","",archive!F804)</f>
        <v/>
      </c>
      <c r="D804" s="50" t="str">
        <f t="shared" si="169"/>
        <v/>
      </c>
      <c r="E804" s="50" t="str">
        <f t="shared" si="170"/>
        <v/>
      </c>
      <c r="F804" s="47" t="str">
        <f>IF(COUNTA(archive!H804:CI804)=0,"",COUNTA(archive!H804:CI804))</f>
        <v/>
      </c>
      <c r="G804" s="47" t="str">
        <f>IF(archive!G804="","",archive!G804)</f>
        <v/>
      </c>
      <c r="H804" s="51" t="str">
        <f>IF(archive!CJ804="","",archive!CJ804)</f>
        <v/>
      </c>
      <c r="I804" s="51" t="str">
        <f>IF(archive!CK804="","",archive!CK804)</f>
        <v/>
      </c>
      <c r="J804" s="47" t="str">
        <f t="shared" si="171"/>
        <v/>
      </c>
      <c r="K804" s="51" t="str">
        <f t="shared" si="172"/>
        <v/>
      </c>
      <c r="L804" s="52" t="str">
        <f t="shared" si="173"/>
        <v/>
      </c>
      <c r="M804" s="53" t="str">
        <f t="shared" si="174"/>
        <v/>
      </c>
      <c r="N804" s="53" t="str">
        <f t="shared" si="175"/>
        <v/>
      </c>
      <c r="O804" s="53" t="str">
        <f t="shared" si="176"/>
        <v/>
      </c>
      <c r="P804" s="53" t="str">
        <f t="shared" si="177"/>
        <v/>
      </c>
      <c r="Q804" s="53" t="str">
        <f t="shared" si="178"/>
        <v/>
      </c>
      <c r="R804" s="53" t="str">
        <f t="shared" si="179"/>
        <v/>
      </c>
      <c r="S804" s="53" t="str">
        <f t="shared" si="180"/>
        <v/>
      </c>
      <c r="T804" s="53" t="str">
        <f t="shared" si="181"/>
        <v/>
      </c>
    </row>
    <row r="805" spans="1:20">
      <c r="A805" s="47" t="str">
        <f>IF(archive!E805="","",archive!E805)</f>
        <v/>
      </c>
      <c r="B805" s="48" t="str">
        <f t="shared" si="168"/>
        <v/>
      </c>
      <c r="C805" s="49" t="str">
        <f>IF(archive!F805="","",archive!F805)</f>
        <v/>
      </c>
      <c r="D805" s="50" t="str">
        <f t="shared" si="169"/>
        <v/>
      </c>
      <c r="E805" s="50" t="str">
        <f t="shared" si="170"/>
        <v/>
      </c>
      <c r="F805" s="47" t="str">
        <f>IF(COUNTA(archive!H805:CI805)=0,"",COUNTA(archive!H805:CI805))</f>
        <v/>
      </c>
      <c r="G805" s="47" t="str">
        <f>IF(archive!G805="","",archive!G805)</f>
        <v/>
      </c>
      <c r="H805" s="51" t="str">
        <f>IF(archive!CJ805="","",archive!CJ805)</f>
        <v/>
      </c>
      <c r="I805" s="51" t="str">
        <f>IF(archive!CK805="","",archive!CK805)</f>
        <v/>
      </c>
      <c r="J805" s="47" t="str">
        <f t="shared" si="171"/>
        <v/>
      </c>
      <c r="K805" s="51" t="str">
        <f t="shared" si="172"/>
        <v/>
      </c>
      <c r="L805" s="52" t="str">
        <f t="shared" si="173"/>
        <v/>
      </c>
      <c r="M805" s="53" t="str">
        <f t="shared" si="174"/>
        <v/>
      </c>
      <c r="N805" s="53" t="str">
        <f t="shared" si="175"/>
        <v/>
      </c>
      <c r="O805" s="53" t="str">
        <f t="shared" si="176"/>
        <v/>
      </c>
      <c r="P805" s="53" t="str">
        <f t="shared" si="177"/>
        <v/>
      </c>
      <c r="Q805" s="53" t="str">
        <f t="shared" si="178"/>
        <v/>
      </c>
      <c r="R805" s="53" t="str">
        <f t="shared" si="179"/>
        <v/>
      </c>
      <c r="S805" s="53" t="str">
        <f t="shared" si="180"/>
        <v/>
      </c>
      <c r="T805" s="53" t="str">
        <f t="shared" si="181"/>
        <v/>
      </c>
    </row>
    <row r="806" spans="1:20">
      <c r="A806" s="47" t="str">
        <f>IF(archive!E806="","",archive!E806)</f>
        <v/>
      </c>
      <c r="B806" s="48" t="str">
        <f t="shared" si="168"/>
        <v/>
      </c>
      <c r="C806" s="49" t="str">
        <f>IF(archive!F806="","",archive!F806)</f>
        <v/>
      </c>
      <c r="D806" s="50" t="str">
        <f t="shared" si="169"/>
        <v/>
      </c>
      <c r="E806" s="50" t="str">
        <f t="shared" si="170"/>
        <v/>
      </c>
      <c r="F806" s="47" t="str">
        <f>IF(COUNTA(archive!H806:CI806)=0,"",COUNTA(archive!H806:CI806))</f>
        <v/>
      </c>
      <c r="G806" s="47" t="str">
        <f>IF(archive!G806="","",archive!G806)</f>
        <v/>
      </c>
      <c r="H806" s="51" t="str">
        <f>IF(archive!CJ806="","",archive!CJ806)</f>
        <v/>
      </c>
      <c r="I806" s="51" t="str">
        <f>IF(archive!CK806="","",archive!CK806)</f>
        <v/>
      </c>
      <c r="J806" s="47" t="str">
        <f t="shared" si="171"/>
        <v/>
      </c>
      <c r="K806" s="51" t="str">
        <f t="shared" si="172"/>
        <v/>
      </c>
      <c r="L806" s="52" t="str">
        <f t="shared" si="173"/>
        <v/>
      </c>
      <c r="M806" s="53" t="str">
        <f t="shared" si="174"/>
        <v/>
      </c>
      <c r="N806" s="53" t="str">
        <f t="shared" si="175"/>
        <v/>
      </c>
      <c r="O806" s="53" t="str">
        <f t="shared" si="176"/>
        <v/>
      </c>
      <c r="P806" s="53" t="str">
        <f t="shared" si="177"/>
        <v/>
      </c>
      <c r="Q806" s="53" t="str">
        <f t="shared" si="178"/>
        <v/>
      </c>
      <c r="R806" s="53" t="str">
        <f t="shared" si="179"/>
        <v/>
      </c>
      <c r="S806" s="53" t="str">
        <f t="shared" si="180"/>
        <v/>
      </c>
      <c r="T806" s="53" t="str">
        <f t="shared" si="181"/>
        <v/>
      </c>
    </row>
    <row r="807" spans="1:20">
      <c r="A807" s="47" t="str">
        <f>IF(archive!E807="","",archive!E807)</f>
        <v/>
      </c>
      <c r="B807" s="48" t="str">
        <f t="shared" si="168"/>
        <v/>
      </c>
      <c r="C807" s="49" t="str">
        <f>IF(archive!F807="","",archive!F807)</f>
        <v/>
      </c>
      <c r="D807" s="50" t="str">
        <f t="shared" si="169"/>
        <v/>
      </c>
      <c r="E807" s="50" t="str">
        <f t="shared" si="170"/>
        <v/>
      </c>
      <c r="F807" s="47" t="str">
        <f>IF(COUNTA(archive!H807:CI807)=0,"",COUNTA(archive!H807:CI807))</f>
        <v/>
      </c>
      <c r="G807" s="47" t="str">
        <f>IF(archive!G807="","",archive!G807)</f>
        <v/>
      </c>
      <c r="H807" s="51" t="str">
        <f>IF(archive!CJ807="","",archive!CJ807)</f>
        <v/>
      </c>
      <c r="I807" s="51" t="str">
        <f>IF(archive!CK807="","",archive!CK807)</f>
        <v/>
      </c>
      <c r="J807" s="47" t="str">
        <f t="shared" si="171"/>
        <v/>
      </c>
      <c r="K807" s="51" t="str">
        <f t="shared" si="172"/>
        <v/>
      </c>
      <c r="L807" s="52" t="str">
        <f t="shared" si="173"/>
        <v/>
      </c>
      <c r="M807" s="53" t="str">
        <f t="shared" si="174"/>
        <v/>
      </c>
      <c r="N807" s="53" t="str">
        <f t="shared" si="175"/>
        <v/>
      </c>
      <c r="O807" s="53" t="str">
        <f t="shared" si="176"/>
        <v/>
      </c>
      <c r="P807" s="53" t="str">
        <f t="shared" si="177"/>
        <v/>
      </c>
      <c r="Q807" s="53" t="str">
        <f t="shared" si="178"/>
        <v/>
      </c>
      <c r="R807" s="53" t="str">
        <f t="shared" si="179"/>
        <v/>
      </c>
      <c r="S807" s="53" t="str">
        <f t="shared" si="180"/>
        <v/>
      </c>
      <c r="T807" s="53" t="str">
        <f t="shared" si="181"/>
        <v/>
      </c>
    </row>
    <row r="808" spans="1:20">
      <c r="A808" s="47" t="str">
        <f>IF(archive!E808="","",archive!E808)</f>
        <v/>
      </c>
      <c r="B808" s="48" t="str">
        <f t="shared" si="168"/>
        <v/>
      </c>
      <c r="C808" s="49" t="str">
        <f>IF(archive!F808="","",archive!F808)</f>
        <v/>
      </c>
      <c r="D808" s="50" t="str">
        <f t="shared" si="169"/>
        <v/>
      </c>
      <c r="E808" s="50" t="str">
        <f t="shared" si="170"/>
        <v/>
      </c>
      <c r="F808" s="47" t="str">
        <f>IF(COUNTA(archive!H808:CI808)=0,"",COUNTA(archive!H808:CI808))</f>
        <v/>
      </c>
      <c r="G808" s="47" t="str">
        <f>IF(archive!G808="","",archive!G808)</f>
        <v/>
      </c>
      <c r="H808" s="51" t="str">
        <f>IF(archive!CJ808="","",archive!CJ808)</f>
        <v/>
      </c>
      <c r="I808" s="51" t="str">
        <f>IF(archive!CK808="","",archive!CK808)</f>
        <v/>
      </c>
      <c r="J808" s="47" t="str">
        <f t="shared" si="171"/>
        <v/>
      </c>
      <c r="K808" s="51" t="str">
        <f t="shared" si="172"/>
        <v/>
      </c>
      <c r="L808" s="52" t="str">
        <f t="shared" si="173"/>
        <v/>
      </c>
      <c r="M808" s="53" t="str">
        <f t="shared" si="174"/>
        <v/>
      </c>
      <c r="N808" s="53" t="str">
        <f t="shared" si="175"/>
        <v/>
      </c>
      <c r="O808" s="53" t="str">
        <f t="shared" si="176"/>
        <v/>
      </c>
      <c r="P808" s="53" t="str">
        <f t="shared" si="177"/>
        <v/>
      </c>
      <c r="Q808" s="53" t="str">
        <f t="shared" si="178"/>
        <v/>
      </c>
      <c r="R808" s="53" t="str">
        <f t="shared" si="179"/>
        <v/>
      </c>
      <c r="S808" s="53" t="str">
        <f t="shared" si="180"/>
        <v/>
      </c>
      <c r="T808" s="53" t="str">
        <f t="shared" si="181"/>
        <v/>
      </c>
    </row>
    <row r="809" spans="1:20">
      <c r="A809" s="47" t="str">
        <f>IF(archive!E809="","",archive!E809)</f>
        <v/>
      </c>
      <c r="B809" s="48" t="str">
        <f t="shared" si="168"/>
        <v/>
      </c>
      <c r="C809" s="49" t="str">
        <f>IF(archive!F809="","",archive!F809)</f>
        <v/>
      </c>
      <c r="D809" s="50" t="str">
        <f t="shared" si="169"/>
        <v/>
      </c>
      <c r="E809" s="50" t="str">
        <f t="shared" si="170"/>
        <v/>
      </c>
      <c r="F809" s="47" t="str">
        <f>IF(COUNTA(archive!H809:CI809)=0,"",COUNTA(archive!H809:CI809))</f>
        <v/>
      </c>
      <c r="G809" s="47" t="str">
        <f>IF(archive!G809="","",archive!G809)</f>
        <v/>
      </c>
      <c r="H809" s="51" t="str">
        <f>IF(archive!CJ809="","",archive!CJ809)</f>
        <v/>
      </c>
      <c r="I809" s="51" t="str">
        <f>IF(archive!CK809="","",archive!CK809)</f>
        <v/>
      </c>
      <c r="J809" s="47" t="str">
        <f t="shared" si="171"/>
        <v/>
      </c>
      <c r="K809" s="51" t="str">
        <f t="shared" si="172"/>
        <v/>
      </c>
      <c r="L809" s="52" t="str">
        <f t="shared" si="173"/>
        <v/>
      </c>
      <c r="M809" s="53" t="str">
        <f t="shared" si="174"/>
        <v/>
      </c>
      <c r="N809" s="53" t="str">
        <f t="shared" si="175"/>
        <v/>
      </c>
      <c r="O809" s="53" t="str">
        <f t="shared" si="176"/>
        <v/>
      </c>
      <c r="P809" s="53" t="str">
        <f t="shared" si="177"/>
        <v/>
      </c>
      <c r="Q809" s="53" t="str">
        <f t="shared" si="178"/>
        <v/>
      </c>
      <c r="R809" s="53" t="str">
        <f t="shared" si="179"/>
        <v/>
      </c>
      <c r="S809" s="53" t="str">
        <f t="shared" si="180"/>
        <v/>
      </c>
      <c r="T809" s="53" t="str">
        <f t="shared" si="181"/>
        <v/>
      </c>
    </row>
    <row r="810" spans="1:20">
      <c r="A810" s="47" t="str">
        <f>IF(archive!E810="","",archive!E810)</f>
        <v/>
      </c>
      <c r="B810" s="48" t="str">
        <f t="shared" si="168"/>
        <v/>
      </c>
      <c r="C810" s="49" t="str">
        <f>IF(archive!F810="","",archive!F810)</f>
        <v/>
      </c>
      <c r="D810" s="50" t="str">
        <f t="shared" si="169"/>
        <v/>
      </c>
      <c r="E810" s="50" t="str">
        <f t="shared" si="170"/>
        <v/>
      </c>
      <c r="F810" s="47" t="str">
        <f>IF(COUNTA(archive!H810:CI810)=0,"",COUNTA(archive!H810:CI810))</f>
        <v/>
      </c>
      <c r="G810" s="47" t="str">
        <f>IF(archive!G810="","",archive!G810)</f>
        <v/>
      </c>
      <c r="H810" s="51" t="str">
        <f>IF(archive!CJ810="","",archive!CJ810)</f>
        <v/>
      </c>
      <c r="I810" s="51" t="str">
        <f>IF(archive!CK810="","",archive!CK810)</f>
        <v/>
      </c>
      <c r="J810" s="47" t="str">
        <f t="shared" si="171"/>
        <v/>
      </c>
      <c r="K810" s="51" t="str">
        <f t="shared" si="172"/>
        <v/>
      </c>
      <c r="L810" s="52" t="str">
        <f t="shared" si="173"/>
        <v/>
      </c>
      <c r="M810" s="53" t="str">
        <f t="shared" si="174"/>
        <v/>
      </c>
      <c r="N810" s="53" t="str">
        <f t="shared" si="175"/>
        <v/>
      </c>
      <c r="O810" s="53" t="str">
        <f t="shared" si="176"/>
        <v/>
      </c>
      <c r="P810" s="53" t="str">
        <f t="shared" si="177"/>
        <v/>
      </c>
      <c r="Q810" s="53" t="str">
        <f t="shared" si="178"/>
        <v/>
      </c>
      <c r="R810" s="53" t="str">
        <f t="shared" si="179"/>
        <v/>
      </c>
      <c r="S810" s="53" t="str">
        <f t="shared" si="180"/>
        <v/>
      </c>
      <c r="T810" s="53" t="str">
        <f t="shared" si="181"/>
        <v/>
      </c>
    </row>
    <row r="811" spans="1:20">
      <c r="A811" s="47" t="str">
        <f>IF(archive!E811="","",archive!E811)</f>
        <v/>
      </c>
      <c r="B811" s="48" t="str">
        <f t="shared" si="168"/>
        <v/>
      </c>
      <c r="C811" s="49" t="str">
        <f>IF(archive!F811="","",archive!F811)</f>
        <v/>
      </c>
      <c r="D811" s="50" t="str">
        <f t="shared" si="169"/>
        <v/>
      </c>
      <c r="E811" s="50" t="str">
        <f t="shared" si="170"/>
        <v/>
      </c>
      <c r="F811" s="47" t="str">
        <f>IF(COUNTA(archive!H811:CI811)=0,"",COUNTA(archive!H811:CI811))</f>
        <v/>
      </c>
      <c r="G811" s="47" t="str">
        <f>IF(archive!G811="","",archive!G811)</f>
        <v/>
      </c>
      <c r="H811" s="51" t="str">
        <f>IF(archive!CJ811="","",archive!CJ811)</f>
        <v/>
      </c>
      <c r="I811" s="51" t="str">
        <f>IF(archive!CK811="","",archive!CK811)</f>
        <v/>
      </c>
      <c r="J811" s="47" t="str">
        <f t="shared" si="171"/>
        <v/>
      </c>
      <c r="K811" s="51" t="str">
        <f t="shared" si="172"/>
        <v/>
      </c>
      <c r="L811" s="52" t="str">
        <f t="shared" si="173"/>
        <v/>
      </c>
      <c r="M811" s="53" t="str">
        <f t="shared" si="174"/>
        <v/>
      </c>
      <c r="N811" s="53" t="str">
        <f t="shared" si="175"/>
        <v/>
      </c>
      <c r="O811" s="53" t="str">
        <f t="shared" si="176"/>
        <v/>
      </c>
      <c r="P811" s="53" t="str">
        <f t="shared" si="177"/>
        <v/>
      </c>
      <c r="Q811" s="53" t="str">
        <f t="shared" si="178"/>
        <v/>
      </c>
      <c r="R811" s="53" t="str">
        <f t="shared" si="179"/>
        <v/>
      </c>
      <c r="S811" s="53" t="str">
        <f t="shared" si="180"/>
        <v/>
      </c>
      <c r="T811" s="53" t="str">
        <f t="shared" si="181"/>
        <v/>
      </c>
    </row>
    <row r="812" spans="1:20">
      <c r="A812" s="47" t="str">
        <f>IF(archive!E812="","",archive!E812)</f>
        <v/>
      </c>
      <c r="B812" s="48" t="str">
        <f t="shared" si="168"/>
        <v/>
      </c>
      <c r="C812" s="49" t="str">
        <f>IF(archive!F812="","",archive!F812)</f>
        <v/>
      </c>
      <c r="D812" s="50" t="str">
        <f t="shared" si="169"/>
        <v/>
      </c>
      <c r="E812" s="50" t="str">
        <f t="shared" si="170"/>
        <v/>
      </c>
      <c r="F812" s="47" t="str">
        <f>IF(COUNTA(archive!H812:CI812)=0,"",COUNTA(archive!H812:CI812))</f>
        <v/>
      </c>
      <c r="G812" s="47" t="str">
        <f>IF(archive!G812="","",archive!G812)</f>
        <v/>
      </c>
      <c r="H812" s="51" t="str">
        <f>IF(archive!CJ812="","",archive!CJ812)</f>
        <v/>
      </c>
      <c r="I812" s="51" t="str">
        <f>IF(archive!CK812="","",archive!CK812)</f>
        <v/>
      </c>
      <c r="J812" s="47" t="str">
        <f t="shared" si="171"/>
        <v/>
      </c>
      <c r="K812" s="51" t="str">
        <f t="shared" si="172"/>
        <v/>
      </c>
      <c r="L812" s="52" t="str">
        <f t="shared" si="173"/>
        <v/>
      </c>
      <c r="M812" s="53" t="str">
        <f t="shared" si="174"/>
        <v/>
      </c>
      <c r="N812" s="53" t="str">
        <f t="shared" si="175"/>
        <v/>
      </c>
      <c r="O812" s="53" t="str">
        <f t="shared" si="176"/>
        <v/>
      </c>
      <c r="P812" s="53" t="str">
        <f t="shared" si="177"/>
        <v/>
      </c>
      <c r="Q812" s="53" t="str">
        <f t="shared" si="178"/>
        <v/>
      </c>
      <c r="R812" s="53" t="str">
        <f t="shared" si="179"/>
        <v/>
      </c>
      <c r="S812" s="53" t="str">
        <f t="shared" si="180"/>
        <v/>
      </c>
      <c r="T812" s="53" t="str">
        <f t="shared" si="181"/>
        <v/>
      </c>
    </row>
    <row r="813" spans="1:20">
      <c r="A813" s="47" t="str">
        <f>IF(archive!E813="","",archive!E813)</f>
        <v/>
      </c>
      <c r="B813" s="48" t="str">
        <f t="shared" si="168"/>
        <v/>
      </c>
      <c r="C813" s="49" t="str">
        <f>IF(archive!F813="","",archive!F813)</f>
        <v/>
      </c>
      <c r="D813" s="50" t="str">
        <f t="shared" si="169"/>
        <v/>
      </c>
      <c r="E813" s="50" t="str">
        <f t="shared" si="170"/>
        <v/>
      </c>
      <c r="F813" s="47" t="str">
        <f>IF(COUNTA(archive!H813:CI813)=0,"",COUNTA(archive!H813:CI813))</f>
        <v/>
      </c>
      <c r="G813" s="47" t="str">
        <f>IF(archive!G813="","",archive!G813)</f>
        <v/>
      </c>
      <c r="H813" s="51" t="str">
        <f>IF(archive!CJ813="","",archive!CJ813)</f>
        <v/>
      </c>
      <c r="I813" s="51" t="str">
        <f>IF(archive!CK813="","",archive!CK813)</f>
        <v/>
      </c>
      <c r="J813" s="47" t="str">
        <f t="shared" si="171"/>
        <v/>
      </c>
      <c r="K813" s="51" t="str">
        <f t="shared" si="172"/>
        <v/>
      </c>
      <c r="L813" s="52" t="str">
        <f t="shared" si="173"/>
        <v/>
      </c>
      <c r="M813" s="53" t="str">
        <f t="shared" si="174"/>
        <v/>
      </c>
      <c r="N813" s="53" t="str">
        <f t="shared" si="175"/>
        <v/>
      </c>
      <c r="O813" s="53" t="str">
        <f t="shared" si="176"/>
        <v/>
      </c>
      <c r="P813" s="53" t="str">
        <f t="shared" si="177"/>
        <v/>
      </c>
      <c r="Q813" s="53" t="str">
        <f t="shared" si="178"/>
        <v/>
      </c>
      <c r="R813" s="53" t="str">
        <f t="shared" si="179"/>
        <v/>
      </c>
      <c r="S813" s="53" t="str">
        <f t="shared" si="180"/>
        <v/>
      </c>
      <c r="T813" s="53" t="str">
        <f t="shared" si="181"/>
        <v/>
      </c>
    </row>
    <row r="814" spans="1:20">
      <c r="A814" s="47" t="str">
        <f>IF(archive!E814="","",archive!E814)</f>
        <v/>
      </c>
      <c r="B814" s="48" t="str">
        <f t="shared" si="168"/>
        <v/>
      </c>
      <c r="C814" s="49" t="str">
        <f>IF(archive!F814="","",archive!F814)</f>
        <v/>
      </c>
      <c r="D814" s="50" t="str">
        <f t="shared" si="169"/>
        <v/>
      </c>
      <c r="E814" s="50" t="str">
        <f t="shared" si="170"/>
        <v/>
      </c>
      <c r="F814" s="47" t="str">
        <f>IF(COUNTA(archive!H814:CI814)=0,"",COUNTA(archive!H814:CI814))</f>
        <v/>
      </c>
      <c r="G814" s="47" t="str">
        <f>IF(archive!G814="","",archive!G814)</f>
        <v/>
      </c>
      <c r="H814" s="51" t="str">
        <f>IF(archive!CJ814="","",archive!CJ814)</f>
        <v/>
      </c>
      <c r="I814" s="51" t="str">
        <f>IF(archive!CK814="","",archive!CK814)</f>
        <v/>
      </c>
      <c r="J814" s="47" t="str">
        <f t="shared" si="171"/>
        <v/>
      </c>
      <c r="K814" s="51" t="str">
        <f t="shared" si="172"/>
        <v/>
      </c>
      <c r="L814" s="52" t="str">
        <f t="shared" si="173"/>
        <v/>
      </c>
      <c r="M814" s="53" t="str">
        <f t="shared" si="174"/>
        <v/>
      </c>
      <c r="N814" s="53" t="str">
        <f t="shared" si="175"/>
        <v/>
      </c>
      <c r="O814" s="53" t="str">
        <f t="shared" si="176"/>
        <v/>
      </c>
      <c r="P814" s="53" t="str">
        <f t="shared" si="177"/>
        <v/>
      </c>
      <c r="Q814" s="53" t="str">
        <f t="shared" si="178"/>
        <v/>
      </c>
      <c r="R814" s="53" t="str">
        <f t="shared" si="179"/>
        <v/>
      </c>
      <c r="S814" s="53" t="str">
        <f t="shared" si="180"/>
        <v/>
      </c>
      <c r="T814" s="53" t="str">
        <f t="shared" si="181"/>
        <v/>
      </c>
    </row>
    <row r="815" spans="1:20">
      <c r="A815" s="47" t="str">
        <f>IF(archive!E815="","",archive!E815)</f>
        <v/>
      </c>
      <c r="B815" s="48" t="str">
        <f t="shared" si="168"/>
        <v/>
      </c>
      <c r="C815" s="49" t="str">
        <f>IF(archive!F815="","",archive!F815)</f>
        <v/>
      </c>
      <c r="D815" s="50" t="str">
        <f t="shared" si="169"/>
        <v/>
      </c>
      <c r="E815" s="50" t="str">
        <f t="shared" si="170"/>
        <v/>
      </c>
      <c r="F815" s="47" t="str">
        <f>IF(COUNTA(archive!H815:CI815)=0,"",COUNTA(archive!H815:CI815))</f>
        <v/>
      </c>
      <c r="G815" s="47" t="str">
        <f>IF(archive!G815="","",archive!G815)</f>
        <v/>
      </c>
      <c r="H815" s="51" t="str">
        <f>IF(archive!CJ815="","",archive!CJ815)</f>
        <v/>
      </c>
      <c r="I815" s="51" t="str">
        <f>IF(archive!CK815="","",archive!CK815)</f>
        <v/>
      </c>
      <c r="J815" s="47" t="str">
        <f t="shared" si="171"/>
        <v/>
      </c>
      <c r="K815" s="51" t="str">
        <f t="shared" si="172"/>
        <v/>
      </c>
      <c r="L815" s="52" t="str">
        <f t="shared" si="173"/>
        <v/>
      </c>
      <c r="M815" s="53" t="str">
        <f t="shared" si="174"/>
        <v/>
      </c>
      <c r="N815" s="53" t="str">
        <f t="shared" si="175"/>
        <v/>
      </c>
      <c r="O815" s="53" t="str">
        <f t="shared" si="176"/>
        <v/>
      </c>
      <c r="P815" s="53" t="str">
        <f t="shared" si="177"/>
        <v/>
      </c>
      <c r="Q815" s="53" t="str">
        <f t="shared" si="178"/>
        <v/>
      </c>
      <c r="R815" s="53" t="str">
        <f t="shared" si="179"/>
        <v/>
      </c>
      <c r="S815" s="53" t="str">
        <f t="shared" si="180"/>
        <v/>
      </c>
      <c r="T815" s="53" t="str">
        <f t="shared" si="181"/>
        <v/>
      </c>
    </row>
    <row r="816" spans="1:20">
      <c r="A816" s="47" t="str">
        <f>IF(archive!E816="","",archive!E816)</f>
        <v/>
      </c>
      <c r="B816" s="48" t="str">
        <f t="shared" si="168"/>
        <v/>
      </c>
      <c r="C816" s="49" t="str">
        <f>IF(archive!F816="","",archive!F816)</f>
        <v/>
      </c>
      <c r="D816" s="50" t="str">
        <f t="shared" si="169"/>
        <v/>
      </c>
      <c r="E816" s="50" t="str">
        <f t="shared" si="170"/>
        <v/>
      </c>
      <c r="F816" s="47" t="str">
        <f>IF(COUNTA(archive!H816:CI816)=0,"",COUNTA(archive!H816:CI816))</f>
        <v/>
      </c>
      <c r="G816" s="47" t="str">
        <f>IF(archive!G816="","",archive!G816)</f>
        <v/>
      </c>
      <c r="H816" s="51" t="str">
        <f>IF(archive!CJ816="","",archive!CJ816)</f>
        <v/>
      </c>
      <c r="I816" s="51" t="str">
        <f>IF(archive!CK816="","",archive!CK816)</f>
        <v/>
      </c>
      <c r="J816" s="47" t="str">
        <f t="shared" si="171"/>
        <v/>
      </c>
      <c r="K816" s="51" t="str">
        <f t="shared" si="172"/>
        <v/>
      </c>
      <c r="L816" s="52" t="str">
        <f t="shared" si="173"/>
        <v/>
      </c>
      <c r="M816" s="53" t="str">
        <f t="shared" si="174"/>
        <v/>
      </c>
      <c r="N816" s="53" t="str">
        <f t="shared" si="175"/>
        <v/>
      </c>
      <c r="O816" s="53" t="str">
        <f t="shared" si="176"/>
        <v/>
      </c>
      <c r="P816" s="53" t="str">
        <f t="shared" si="177"/>
        <v/>
      </c>
      <c r="Q816" s="53" t="str">
        <f t="shared" si="178"/>
        <v/>
      </c>
      <c r="R816" s="53" t="str">
        <f t="shared" si="179"/>
        <v/>
      </c>
      <c r="S816" s="53" t="str">
        <f t="shared" si="180"/>
        <v/>
      </c>
      <c r="T816" s="53" t="str">
        <f t="shared" si="181"/>
        <v/>
      </c>
    </row>
    <row r="817" spans="1:20">
      <c r="A817" s="47" t="str">
        <f>IF(archive!E817="","",archive!E817)</f>
        <v/>
      </c>
      <c r="B817" s="48" t="str">
        <f t="shared" si="168"/>
        <v/>
      </c>
      <c r="C817" s="49" t="str">
        <f>IF(archive!F817="","",archive!F817)</f>
        <v/>
      </c>
      <c r="D817" s="50" t="str">
        <f t="shared" si="169"/>
        <v/>
      </c>
      <c r="E817" s="50" t="str">
        <f t="shared" si="170"/>
        <v/>
      </c>
      <c r="F817" s="47" t="str">
        <f>IF(COUNTA(archive!H817:CI817)=0,"",COUNTA(archive!H817:CI817))</f>
        <v/>
      </c>
      <c r="G817" s="47" t="str">
        <f>IF(archive!G817="","",archive!G817)</f>
        <v/>
      </c>
      <c r="H817" s="51" t="str">
        <f>IF(archive!CJ817="","",archive!CJ817)</f>
        <v/>
      </c>
      <c r="I817" s="51" t="str">
        <f>IF(archive!CK817="","",archive!CK817)</f>
        <v/>
      </c>
      <c r="J817" s="47" t="str">
        <f t="shared" si="171"/>
        <v/>
      </c>
      <c r="K817" s="51" t="str">
        <f t="shared" si="172"/>
        <v/>
      </c>
      <c r="L817" s="52" t="str">
        <f t="shared" si="173"/>
        <v/>
      </c>
      <c r="M817" s="53" t="str">
        <f t="shared" si="174"/>
        <v/>
      </c>
      <c r="N817" s="53" t="str">
        <f t="shared" si="175"/>
        <v/>
      </c>
      <c r="O817" s="53" t="str">
        <f t="shared" si="176"/>
        <v/>
      </c>
      <c r="P817" s="53" t="str">
        <f t="shared" si="177"/>
        <v/>
      </c>
      <c r="Q817" s="53" t="str">
        <f t="shared" si="178"/>
        <v/>
      </c>
      <c r="R817" s="53" t="str">
        <f t="shared" si="179"/>
        <v/>
      </c>
      <c r="S817" s="53" t="str">
        <f t="shared" si="180"/>
        <v/>
      </c>
      <c r="T817" s="53" t="str">
        <f t="shared" si="181"/>
        <v/>
      </c>
    </row>
    <row r="818" spans="1:20">
      <c r="A818" s="47" t="str">
        <f>IF(archive!E818="","",archive!E818)</f>
        <v/>
      </c>
      <c r="B818" s="48" t="str">
        <f t="shared" si="168"/>
        <v/>
      </c>
      <c r="C818" s="49" t="str">
        <f>IF(archive!F818="","",archive!F818)</f>
        <v/>
      </c>
      <c r="D818" s="50" t="str">
        <f t="shared" si="169"/>
        <v/>
      </c>
      <c r="E818" s="50" t="str">
        <f t="shared" si="170"/>
        <v/>
      </c>
      <c r="F818" s="47" t="str">
        <f>IF(COUNTA(archive!H818:CI818)=0,"",COUNTA(archive!H818:CI818))</f>
        <v/>
      </c>
      <c r="G818" s="47" t="str">
        <f>IF(archive!G818="","",archive!G818)</f>
        <v/>
      </c>
      <c r="H818" s="51" t="str">
        <f>IF(archive!CJ818="","",archive!CJ818)</f>
        <v/>
      </c>
      <c r="I818" s="51" t="str">
        <f>IF(archive!CK818="","",archive!CK818)</f>
        <v/>
      </c>
      <c r="J818" s="47" t="str">
        <f t="shared" si="171"/>
        <v/>
      </c>
      <c r="K818" s="51" t="str">
        <f t="shared" si="172"/>
        <v/>
      </c>
      <c r="L818" s="52" t="str">
        <f t="shared" si="173"/>
        <v/>
      </c>
      <c r="M818" s="53" t="str">
        <f t="shared" si="174"/>
        <v/>
      </c>
      <c r="N818" s="53" t="str">
        <f t="shared" si="175"/>
        <v/>
      </c>
      <c r="O818" s="53" t="str">
        <f t="shared" si="176"/>
        <v/>
      </c>
      <c r="P818" s="53" t="str">
        <f t="shared" si="177"/>
        <v/>
      </c>
      <c r="Q818" s="53" t="str">
        <f t="shared" si="178"/>
        <v/>
      </c>
      <c r="R818" s="53" t="str">
        <f t="shared" si="179"/>
        <v/>
      </c>
      <c r="S818" s="53" t="str">
        <f t="shared" si="180"/>
        <v/>
      </c>
      <c r="T818" s="53" t="str">
        <f t="shared" si="181"/>
        <v/>
      </c>
    </row>
    <row r="819" spans="1:20">
      <c r="A819" s="47" t="str">
        <f>IF(archive!E819="","",archive!E819)</f>
        <v/>
      </c>
      <c r="B819" s="48" t="str">
        <f t="shared" si="168"/>
        <v/>
      </c>
      <c r="C819" s="49" t="str">
        <f>IF(archive!F819="","",archive!F819)</f>
        <v/>
      </c>
      <c r="D819" s="50" t="str">
        <f t="shared" si="169"/>
        <v/>
      </c>
      <c r="E819" s="50" t="str">
        <f t="shared" si="170"/>
        <v/>
      </c>
      <c r="F819" s="47" t="str">
        <f>IF(COUNTA(archive!H819:CI819)=0,"",COUNTA(archive!H819:CI819))</f>
        <v/>
      </c>
      <c r="G819" s="47" t="str">
        <f>IF(archive!G819="","",archive!G819)</f>
        <v/>
      </c>
      <c r="H819" s="51" t="str">
        <f>IF(archive!CJ819="","",archive!CJ819)</f>
        <v/>
      </c>
      <c r="I819" s="51" t="str">
        <f>IF(archive!CK819="","",archive!CK819)</f>
        <v/>
      </c>
      <c r="J819" s="47" t="str">
        <f t="shared" si="171"/>
        <v/>
      </c>
      <c r="K819" s="51" t="str">
        <f t="shared" si="172"/>
        <v/>
      </c>
      <c r="L819" s="52" t="str">
        <f t="shared" si="173"/>
        <v/>
      </c>
      <c r="M819" s="53" t="str">
        <f t="shared" si="174"/>
        <v/>
      </c>
      <c r="N819" s="53" t="str">
        <f t="shared" si="175"/>
        <v/>
      </c>
      <c r="O819" s="53" t="str">
        <f t="shared" si="176"/>
        <v/>
      </c>
      <c r="P819" s="53" t="str">
        <f t="shared" si="177"/>
        <v/>
      </c>
      <c r="Q819" s="53" t="str">
        <f t="shared" si="178"/>
        <v/>
      </c>
      <c r="R819" s="53" t="str">
        <f t="shared" si="179"/>
        <v/>
      </c>
      <c r="S819" s="53" t="str">
        <f t="shared" si="180"/>
        <v/>
      </c>
      <c r="T819" s="53" t="str">
        <f t="shared" si="181"/>
        <v/>
      </c>
    </row>
    <row r="820" spans="1:20">
      <c r="A820" s="47" t="str">
        <f>IF(archive!E820="","",archive!E820)</f>
        <v/>
      </c>
      <c r="B820" s="48" t="str">
        <f t="shared" si="168"/>
        <v/>
      </c>
      <c r="C820" s="49" t="str">
        <f>IF(archive!F820="","",archive!F820)</f>
        <v/>
      </c>
      <c r="D820" s="50" t="str">
        <f t="shared" si="169"/>
        <v/>
      </c>
      <c r="E820" s="50" t="str">
        <f t="shared" si="170"/>
        <v/>
      </c>
      <c r="F820" s="47" t="str">
        <f>IF(COUNTA(archive!H820:CI820)=0,"",COUNTA(archive!H820:CI820))</f>
        <v/>
      </c>
      <c r="G820" s="47" t="str">
        <f>IF(archive!G820="","",archive!G820)</f>
        <v/>
      </c>
      <c r="H820" s="51" t="str">
        <f>IF(archive!CJ820="","",archive!CJ820)</f>
        <v/>
      </c>
      <c r="I820" s="51" t="str">
        <f>IF(archive!CK820="","",archive!CK820)</f>
        <v/>
      </c>
      <c r="J820" s="47" t="str">
        <f t="shared" si="171"/>
        <v/>
      </c>
      <c r="K820" s="51" t="str">
        <f t="shared" si="172"/>
        <v/>
      </c>
      <c r="L820" s="52" t="str">
        <f t="shared" si="173"/>
        <v/>
      </c>
      <c r="M820" s="53" t="str">
        <f t="shared" si="174"/>
        <v/>
      </c>
      <c r="N820" s="53" t="str">
        <f t="shared" si="175"/>
        <v/>
      </c>
      <c r="O820" s="53" t="str">
        <f t="shared" si="176"/>
        <v/>
      </c>
      <c r="P820" s="53" t="str">
        <f t="shared" si="177"/>
        <v/>
      </c>
      <c r="Q820" s="53" t="str">
        <f t="shared" si="178"/>
        <v/>
      </c>
      <c r="R820" s="53" t="str">
        <f t="shared" si="179"/>
        <v/>
      </c>
      <c r="S820" s="53" t="str">
        <f t="shared" si="180"/>
        <v/>
      </c>
      <c r="T820" s="53" t="str">
        <f t="shared" si="181"/>
        <v/>
      </c>
    </row>
    <row r="821" spans="1:20">
      <c r="A821" s="47" t="str">
        <f>IF(archive!E821="","",archive!E821)</f>
        <v/>
      </c>
      <c r="B821" s="48" t="str">
        <f t="shared" si="168"/>
        <v/>
      </c>
      <c r="C821" s="49" t="str">
        <f>IF(archive!F821="","",archive!F821)</f>
        <v/>
      </c>
      <c r="D821" s="50" t="str">
        <f t="shared" si="169"/>
        <v/>
      </c>
      <c r="E821" s="50" t="str">
        <f t="shared" si="170"/>
        <v/>
      </c>
      <c r="F821" s="47" t="str">
        <f>IF(COUNTA(archive!H821:CI821)=0,"",COUNTA(archive!H821:CI821))</f>
        <v/>
      </c>
      <c r="G821" s="47" t="str">
        <f>IF(archive!G821="","",archive!G821)</f>
        <v/>
      </c>
      <c r="H821" s="51" t="str">
        <f>IF(archive!CJ821="","",archive!CJ821)</f>
        <v/>
      </c>
      <c r="I821" s="51" t="str">
        <f>IF(archive!CK821="","",archive!CK821)</f>
        <v/>
      </c>
      <c r="J821" s="47" t="str">
        <f t="shared" si="171"/>
        <v/>
      </c>
      <c r="K821" s="51" t="str">
        <f t="shared" si="172"/>
        <v/>
      </c>
      <c r="L821" s="52" t="str">
        <f t="shared" si="173"/>
        <v/>
      </c>
      <c r="M821" s="53" t="str">
        <f t="shared" si="174"/>
        <v/>
      </c>
      <c r="N821" s="53" t="str">
        <f t="shared" si="175"/>
        <v/>
      </c>
      <c r="O821" s="53" t="str">
        <f t="shared" si="176"/>
        <v/>
      </c>
      <c r="P821" s="53" t="str">
        <f t="shared" si="177"/>
        <v/>
      </c>
      <c r="Q821" s="53" t="str">
        <f t="shared" si="178"/>
        <v/>
      </c>
      <c r="R821" s="53" t="str">
        <f t="shared" si="179"/>
        <v/>
      </c>
      <c r="S821" s="53" t="str">
        <f t="shared" si="180"/>
        <v/>
      </c>
      <c r="T821" s="53" t="str">
        <f t="shared" si="181"/>
        <v/>
      </c>
    </row>
    <row r="822" spans="1:20">
      <c r="A822" s="47" t="str">
        <f>IF(archive!E822="","",archive!E822)</f>
        <v/>
      </c>
      <c r="B822" s="48" t="str">
        <f t="shared" si="168"/>
        <v/>
      </c>
      <c r="C822" s="49" t="str">
        <f>IF(archive!F822="","",archive!F822)</f>
        <v/>
      </c>
      <c r="D822" s="50" t="str">
        <f t="shared" si="169"/>
        <v/>
      </c>
      <c r="E822" s="50" t="str">
        <f t="shared" si="170"/>
        <v/>
      </c>
      <c r="F822" s="47" t="str">
        <f>IF(COUNTA(archive!H822:CI822)=0,"",COUNTA(archive!H822:CI822))</f>
        <v/>
      </c>
      <c r="G822" s="47" t="str">
        <f>IF(archive!G822="","",archive!G822)</f>
        <v/>
      </c>
      <c r="H822" s="51" t="str">
        <f>IF(archive!CJ822="","",archive!CJ822)</f>
        <v/>
      </c>
      <c r="I822" s="51" t="str">
        <f>IF(archive!CK822="","",archive!CK822)</f>
        <v/>
      </c>
      <c r="J822" s="47" t="str">
        <f t="shared" si="171"/>
        <v/>
      </c>
      <c r="K822" s="51" t="str">
        <f t="shared" si="172"/>
        <v/>
      </c>
      <c r="L822" s="52" t="str">
        <f t="shared" si="173"/>
        <v/>
      </c>
      <c r="M822" s="53" t="str">
        <f t="shared" si="174"/>
        <v/>
      </c>
      <c r="N822" s="53" t="str">
        <f t="shared" si="175"/>
        <v/>
      </c>
      <c r="O822" s="53" t="str">
        <f t="shared" si="176"/>
        <v/>
      </c>
      <c r="P822" s="53" t="str">
        <f t="shared" si="177"/>
        <v/>
      </c>
      <c r="Q822" s="53" t="str">
        <f t="shared" si="178"/>
        <v/>
      </c>
      <c r="R822" s="53" t="str">
        <f t="shared" si="179"/>
        <v/>
      </c>
      <c r="S822" s="53" t="str">
        <f t="shared" si="180"/>
        <v/>
      </c>
      <c r="T822" s="53" t="str">
        <f t="shared" si="181"/>
        <v/>
      </c>
    </row>
    <row r="823" spans="1:20">
      <c r="A823" s="47" t="str">
        <f>IF(archive!E823="","",archive!E823)</f>
        <v/>
      </c>
      <c r="B823" s="48" t="str">
        <f t="shared" si="168"/>
        <v/>
      </c>
      <c r="C823" s="49" t="str">
        <f>IF(archive!F823="","",archive!F823)</f>
        <v/>
      </c>
      <c r="D823" s="50" t="str">
        <f t="shared" si="169"/>
        <v/>
      </c>
      <c r="E823" s="50" t="str">
        <f t="shared" si="170"/>
        <v/>
      </c>
      <c r="F823" s="47" t="str">
        <f>IF(COUNTA(archive!H823:CI823)=0,"",COUNTA(archive!H823:CI823))</f>
        <v/>
      </c>
      <c r="G823" s="47" t="str">
        <f>IF(archive!G823="","",archive!G823)</f>
        <v/>
      </c>
      <c r="H823" s="51" t="str">
        <f>IF(archive!CJ823="","",archive!CJ823)</f>
        <v/>
      </c>
      <c r="I823" s="51" t="str">
        <f>IF(archive!CK823="","",archive!CK823)</f>
        <v/>
      </c>
      <c r="J823" s="47" t="str">
        <f t="shared" si="171"/>
        <v/>
      </c>
      <c r="K823" s="51" t="str">
        <f t="shared" si="172"/>
        <v/>
      </c>
      <c r="L823" s="52" t="str">
        <f t="shared" si="173"/>
        <v/>
      </c>
      <c r="M823" s="53" t="str">
        <f t="shared" si="174"/>
        <v/>
      </c>
      <c r="N823" s="53" t="str">
        <f t="shared" si="175"/>
        <v/>
      </c>
      <c r="O823" s="53" t="str">
        <f t="shared" si="176"/>
        <v/>
      </c>
      <c r="P823" s="53" t="str">
        <f t="shared" si="177"/>
        <v/>
      </c>
      <c r="Q823" s="53" t="str">
        <f t="shared" si="178"/>
        <v/>
      </c>
      <c r="R823" s="53" t="str">
        <f t="shared" si="179"/>
        <v/>
      </c>
      <c r="S823" s="53" t="str">
        <f t="shared" si="180"/>
        <v/>
      </c>
      <c r="T823" s="53" t="str">
        <f t="shared" si="181"/>
        <v/>
      </c>
    </row>
    <row r="824" spans="1:20">
      <c r="A824" s="47" t="str">
        <f>IF(archive!E824="","",archive!E824)</f>
        <v/>
      </c>
      <c r="B824" s="48" t="str">
        <f t="shared" si="168"/>
        <v/>
      </c>
      <c r="C824" s="49" t="str">
        <f>IF(archive!F824="","",archive!F824)</f>
        <v/>
      </c>
      <c r="D824" s="50" t="str">
        <f t="shared" si="169"/>
        <v/>
      </c>
      <c r="E824" s="50" t="str">
        <f t="shared" si="170"/>
        <v/>
      </c>
      <c r="F824" s="47" t="str">
        <f>IF(COUNTA(archive!H824:CI824)=0,"",COUNTA(archive!H824:CI824))</f>
        <v/>
      </c>
      <c r="G824" s="47" t="str">
        <f>IF(archive!G824="","",archive!G824)</f>
        <v/>
      </c>
      <c r="H824" s="51" t="str">
        <f>IF(archive!CJ824="","",archive!CJ824)</f>
        <v/>
      </c>
      <c r="I824" s="51" t="str">
        <f>IF(archive!CK824="","",archive!CK824)</f>
        <v/>
      </c>
      <c r="J824" s="47" t="str">
        <f t="shared" si="171"/>
        <v/>
      </c>
      <c r="K824" s="51" t="str">
        <f t="shared" si="172"/>
        <v/>
      </c>
      <c r="L824" s="52" t="str">
        <f t="shared" si="173"/>
        <v/>
      </c>
      <c r="M824" s="53" t="str">
        <f t="shared" si="174"/>
        <v/>
      </c>
      <c r="N824" s="53" t="str">
        <f t="shared" si="175"/>
        <v/>
      </c>
      <c r="O824" s="53" t="str">
        <f t="shared" si="176"/>
        <v/>
      </c>
      <c r="P824" s="53" t="str">
        <f t="shared" si="177"/>
        <v/>
      </c>
      <c r="Q824" s="53" t="str">
        <f t="shared" si="178"/>
        <v/>
      </c>
      <c r="R824" s="53" t="str">
        <f t="shared" si="179"/>
        <v/>
      </c>
      <c r="S824" s="53" t="str">
        <f t="shared" si="180"/>
        <v/>
      </c>
      <c r="T824" s="53" t="str">
        <f t="shared" si="181"/>
        <v/>
      </c>
    </row>
    <row r="825" spans="1:20">
      <c r="A825" s="47" t="str">
        <f>IF(archive!E825="","",archive!E825)</f>
        <v/>
      </c>
      <c r="B825" s="48" t="str">
        <f t="shared" si="168"/>
        <v/>
      </c>
      <c r="C825" s="49" t="str">
        <f>IF(archive!F825="","",archive!F825)</f>
        <v/>
      </c>
      <c r="D825" s="50" t="str">
        <f t="shared" si="169"/>
        <v/>
      </c>
      <c r="E825" s="50" t="str">
        <f t="shared" si="170"/>
        <v/>
      </c>
      <c r="F825" s="47" t="str">
        <f>IF(COUNTA(archive!H825:CI825)=0,"",COUNTA(archive!H825:CI825))</f>
        <v/>
      </c>
      <c r="G825" s="47" t="str">
        <f>IF(archive!G825="","",archive!G825)</f>
        <v/>
      </c>
      <c r="H825" s="51" t="str">
        <f>IF(archive!CJ825="","",archive!CJ825)</f>
        <v/>
      </c>
      <c r="I825" s="51" t="str">
        <f>IF(archive!CK825="","",archive!CK825)</f>
        <v/>
      </c>
      <c r="J825" s="47" t="str">
        <f t="shared" si="171"/>
        <v/>
      </c>
      <c r="K825" s="51" t="str">
        <f t="shared" si="172"/>
        <v/>
      </c>
      <c r="L825" s="52" t="str">
        <f t="shared" si="173"/>
        <v/>
      </c>
      <c r="M825" s="53" t="str">
        <f t="shared" si="174"/>
        <v/>
      </c>
      <c r="N825" s="53" t="str">
        <f t="shared" si="175"/>
        <v/>
      </c>
      <c r="O825" s="53" t="str">
        <f t="shared" si="176"/>
        <v/>
      </c>
      <c r="P825" s="53" t="str">
        <f t="shared" si="177"/>
        <v/>
      </c>
      <c r="Q825" s="53" t="str">
        <f t="shared" si="178"/>
        <v/>
      </c>
      <c r="R825" s="53" t="str">
        <f t="shared" si="179"/>
        <v/>
      </c>
      <c r="S825" s="53" t="str">
        <f t="shared" si="180"/>
        <v/>
      </c>
      <c r="T825" s="53" t="str">
        <f t="shared" si="181"/>
        <v/>
      </c>
    </row>
    <row r="826" spans="1:20">
      <c r="A826" s="47" t="str">
        <f>IF(archive!E826="","",archive!E826)</f>
        <v/>
      </c>
      <c r="B826" s="48" t="str">
        <f t="shared" si="168"/>
        <v/>
      </c>
      <c r="C826" s="49" t="str">
        <f>IF(archive!F826="","",archive!F826)</f>
        <v/>
      </c>
      <c r="D826" s="50" t="str">
        <f t="shared" si="169"/>
        <v/>
      </c>
      <c r="E826" s="50" t="str">
        <f t="shared" si="170"/>
        <v/>
      </c>
      <c r="F826" s="47" t="str">
        <f>IF(COUNTA(archive!H826:CI826)=0,"",COUNTA(archive!H826:CI826))</f>
        <v/>
      </c>
      <c r="G826" s="47" t="str">
        <f>IF(archive!G826="","",archive!G826)</f>
        <v/>
      </c>
      <c r="H826" s="51" t="str">
        <f>IF(archive!CJ826="","",archive!CJ826)</f>
        <v/>
      </c>
      <c r="I826" s="51" t="str">
        <f>IF(archive!CK826="","",archive!CK826)</f>
        <v/>
      </c>
      <c r="J826" s="47" t="str">
        <f t="shared" si="171"/>
        <v/>
      </c>
      <c r="K826" s="51" t="str">
        <f t="shared" si="172"/>
        <v/>
      </c>
      <c r="L826" s="52" t="str">
        <f t="shared" si="173"/>
        <v/>
      </c>
      <c r="M826" s="53" t="str">
        <f t="shared" si="174"/>
        <v/>
      </c>
      <c r="N826" s="53" t="str">
        <f t="shared" si="175"/>
        <v/>
      </c>
      <c r="O826" s="53" t="str">
        <f t="shared" si="176"/>
        <v/>
      </c>
      <c r="P826" s="53" t="str">
        <f t="shared" si="177"/>
        <v/>
      </c>
      <c r="Q826" s="53" t="str">
        <f t="shared" si="178"/>
        <v/>
      </c>
      <c r="R826" s="53" t="str">
        <f t="shared" si="179"/>
        <v/>
      </c>
      <c r="S826" s="53" t="str">
        <f t="shared" si="180"/>
        <v/>
      </c>
      <c r="T826" s="53" t="str">
        <f t="shared" si="181"/>
        <v/>
      </c>
    </row>
    <row r="827" spans="1:20">
      <c r="A827" s="47" t="str">
        <f>IF(archive!E827="","",archive!E827)</f>
        <v/>
      </c>
      <c r="B827" s="48" t="str">
        <f t="shared" si="168"/>
        <v/>
      </c>
      <c r="C827" s="49" t="str">
        <f>IF(archive!F827="","",archive!F827)</f>
        <v/>
      </c>
      <c r="D827" s="50" t="str">
        <f t="shared" si="169"/>
        <v/>
      </c>
      <c r="E827" s="50" t="str">
        <f t="shared" si="170"/>
        <v/>
      </c>
      <c r="F827" s="47" t="str">
        <f>IF(COUNTA(archive!H827:CI827)=0,"",COUNTA(archive!H827:CI827))</f>
        <v/>
      </c>
      <c r="G827" s="47" t="str">
        <f>IF(archive!G827="","",archive!G827)</f>
        <v/>
      </c>
      <c r="H827" s="51" t="str">
        <f>IF(archive!CJ827="","",archive!CJ827)</f>
        <v/>
      </c>
      <c r="I827" s="51" t="str">
        <f>IF(archive!CK827="","",archive!CK827)</f>
        <v/>
      </c>
      <c r="J827" s="47" t="str">
        <f t="shared" si="171"/>
        <v/>
      </c>
      <c r="K827" s="51" t="str">
        <f t="shared" si="172"/>
        <v/>
      </c>
      <c r="L827" s="52" t="str">
        <f t="shared" si="173"/>
        <v/>
      </c>
      <c r="M827" s="53" t="str">
        <f t="shared" si="174"/>
        <v/>
      </c>
      <c r="N827" s="53" t="str">
        <f t="shared" si="175"/>
        <v/>
      </c>
      <c r="O827" s="53" t="str">
        <f t="shared" si="176"/>
        <v/>
      </c>
      <c r="P827" s="53" t="str">
        <f t="shared" si="177"/>
        <v/>
      </c>
      <c r="Q827" s="53" t="str">
        <f t="shared" si="178"/>
        <v/>
      </c>
      <c r="R827" s="53" t="str">
        <f t="shared" si="179"/>
        <v/>
      </c>
      <c r="S827" s="53" t="str">
        <f t="shared" si="180"/>
        <v/>
      </c>
      <c r="T827" s="53" t="str">
        <f t="shared" si="181"/>
        <v/>
      </c>
    </row>
    <row r="828" spans="1:20">
      <c r="A828" s="47" t="str">
        <f>IF(archive!E828="","",archive!E828)</f>
        <v/>
      </c>
      <c r="B828" s="48" t="str">
        <f t="shared" si="168"/>
        <v/>
      </c>
      <c r="C828" s="49" t="str">
        <f>IF(archive!F828="","",archive!F828)</f>
        <v/>
      </c>
      <c r="D828" s="50" t="str">
        <f t="shared" si="169"/>
        <v/>
      </c>
      <c r="E828" s="50" t="str">
        <f t="shared" si="170"/>
        <v/>
      </c>
      <c r="F828" s="47" t="str">
        <f>IF(COUNTA(archive!H828:CI828)=0,"",COUNTA(archive!H828:CI828))</f>
        <v/>
      </c>
      <c r="G828" s="47" t="str">
        <f>IF(archive!G828="","",archive!G828)</f>
        <v/>
      </c>
      <c r="H828" s="51" t="str">
        <f>IF(archive!CJ828="","",archive!CJ828)</f>
        <v/>
      </c>
      <c r="I828" s="51" t="str">
        <f>IF(archive!CK828="","",archive!CK828)</f>
        <v/>
      </c>
      <c r="J828" s="47" t="str">
        <f t="shared" si="171"/>
        <v/>
      </c>
      <c r="K828" s="51" t="str">
        <f t="shared" si="172"/>
        <v/>
      </c>
      <c r="L828" s="52" t="str">
        <f t="shared" si="173"/>
        <v/>
      </c>
      <c r="M828" s="53" t="str">
        <f t="shared" si="174"/>
        <v/>
      </c>
      <c r="N828" s="53" t="str">
        <f t="shared" si="175"/>
        <v/>
      </c>
      <c r="O828" s="53" t="str">
        <f t="shared" si="176"/>
        <v/>
      </c>
      <c r="P828" s="53" t="str">
        <f t="shared" si="177"/>
        <v/>
      </c>
      <c r="Q828" s="53" t="str">
        <f t="shared" si="178"/>
        <v/>
      </c>
      <c r="R828" s="53" t="str">
        <f t="shared" si="179"/>
        <v/>
      </c>
      <c r="S828" s="53" t="str">
        <f t="shared" si="180"/>
        <v/>
      </c>
      <c r="T828" s="53" t="str">
        <f t="shared" si="181"/>
        <v/>
      </c>
    </row>
    <row r="829" spans="1:20">
      <c r="A829" s="47" t="str">
        <f>IF(archive!E829="","",archive!E829)</f>
        <v/>
      </c>
      <c r="B829" s="48" t="str">
        <f t="shared" si="168"/>
        <v/>
      </c>
      <c r="C829" s="49" t="str">
        <f>IF(archive!F829="","",archive!F829)</f>
        <v/>
      </c>
      <c r="D829" s="50" t="str">
        <f t="shared" si="169"/>
        <v/>
      </c>
      <c r="E829" s="50" t="str">
        <f t="shared" si="170"/>
        <v/>
      </c>
      <c r="F829" s="47" t="str">
        <f>IF(COUNTA(archive!H829:CI829)=0,"",COUNTA(archive!H829:CI829))</f>
        <v/>
      </c>
      <c r="G829" s="47" t="str">
        <f>IF(archive!G829="","",archive!G829)</f>
        <v/>
      </c>
      <c r="H829" s="51" t="str">
        <f>IF(archive!CJ829="","",archive!CJ829)</f>
        <v/>
      </c>
      <c r="I829" s="51" t="str">
        <f>IF(archive!CK829="","",archive!CK829)</f>
        <v/>
      </c>
      <c r="J829" s="47" t="str">
        <f t="shared" si="171"/>
        <v/>
      </c>
      <c r="K829" s="51" t="str">
        <f t="shared" si="172"/>
        <v/>
      </c>
      <c r="L829" s="52" t="str">
        <f t="shared" si="173"/>
        <v/>
      </c>
      <c r="M829" s="53" t="str">
        <f t="shared" si="174"/>
        <v/>
      </c>
      <c r="N829" s="53" t="str">
        <f t="shared" si="175"/>
        <v/>
      </c>
      <c r="O829" s="53" t="str">
        <f t="shared" si="176"/>
        <v/>
      </c>
      <c r="P829" s="53" t="str">
        <f t="shared" si="177"/>
        <v/>
      </c>
      <c r="Q829" s="53" t="str">
        <f t="shared" si="178"/>
        <v/>
      </c>
      <c r="R829" s="53" t="str">
        <f t="shared" si="179"/>
        <v/>
      </c>
      <c r="S829" s="53" t="str">
        <f t="shared" si="180"/>
        <v/>
      </c>
      <c r="T829" s="53" t="str">
        <f t="shared" si="181"/>
        <v/>
      </c>
    </row>
    <row r="830" spans="1:20">
      <c r="A830" s="47" t="str">
        <f>IF(archive!E830="","",archive!E830)</f>
        <v/>
      </c>
      <c r="B830" s="48" t="str">
        <f t="shared" si="168"/>
        <v/>
      </c>
      <c r="C830" s="49" t="str">
        <f>IF(archive!F830="","",archive!F830)</f>
        <v/>
      </c>
      <c r="D830" s="50" t="str">
        <f t="shared" si="169"/>
        <v/>
      </c>
      <c r="E830" s="50" t="str">
        <f t="shared" si="170"/>
        <v/>
      </c>
      <c r="F830" s="47" t="str">
        <f>IF(COUNTA(archive!H830:CI830)=0,"",COUNTA(archive!H830:CI830))</f>
        <v/>
      </c>
      <c r="G830" s="47" t="str">
        <f>IF(archive!G830="","",archive!G830)</f>
        <v/>
      </c>
      <c r="H830" s="51" t="str">
        <f>IF(archive!CJ830="","",archive!CJ830)</f>
        <v/>
      </c>
      <c r="I830" s="51" t="str">
        <f>IF(archive!CK830="","",archive!CK830)</f>
        <v/>
      </c>
      <c r="J830" s="47" t="str">
        <f t="shared" si="171"/>
        <v/>
      </c>
      <c r="K830" s="51" t="str">
        <f t="shared" si="172"/>
        <v/>
      </c>
      <c r="L830" s="52" t="str">
        <f t="shared" si="173"/>
        <v/>
      </c>
      <c r="M830" s="53" t="str">
        <f t="shared" si="174"/>
        <v/>
      </c>
      <c r="N830" s="53" t="str">
        <f t="shared" si="175"/>
        <v/>
      </c>
      <c r="O830" s="53" t="str">
        <f t="shared" si="176"/>
        <v/>
      </c>
      <c r="P830" s="53" t="str">
        <f t="shared" si="177"/>
        <v/>
      </c>
      <c r="Q830" s="53" t="str">
        <f t="shared" si="178"/>
        <v/>
      </c>
      <c r="R830" s="53" t="str">
        <f t="shared" si="179"/>
        <v/>
      </c>
      <c r="S830" s="53" t="str">
        <f t="shared" si="180"/>
        <v/>
      </c>
      <c r="T830" s="53" t="str">
        <f t="shared" si="181"/>
        <v/>
      </c>
    </row>
    <row r="831" spans="1:20">
      <c r="A831" s="47" t="str">
        <f>IF(archive!E831="","",archive!E831)</f>
        <v/>
      </c>
      <c r="B831" s="48" t="str">
        <f t="shared" si="168"/>
        <v/>
      </c>
      <c r="C831" s="49" t="str">
        <f>IF(archive!F831="","",archive!F831)</f>
        <v/>
      </c>
      <c r="D831" s="50" t="str">
        <f t="shared" si="169"/>
        <v/>
      </c>
      <c r="E831" s="50" t="str">
        <f t="shared" si="170"/>
        <v/>
      </c>
      <c r="F831" s="47" t="str">
        <f>IF(COUNTA(archive!H831:CI831)=0,"",COUNTA(archive!H831:CI831))</f>
        <v/>
      </c>
      <c r="G831" s="47" t="str">
        <f>IF(archive!G831="","",archive!G831)</f>
        <v/>
      </c>
      <c r="H831" s="51" t="str">
        <f>IF(archive!CJ831="","",archive!CJ831)</f>
        <v/>
      </c>
      <c r="I831" s="51" t="str">
        <f>IF(archive!CK831="","",archive!CK831)</f>
        <v/>
      </c>
      <c r="J831" s="47" t="str">
        <f t="shared" si="171"/>
        <v/>
      </c>
      <c r="K831" s="51" t="str">
        <f t="shared" si="172"/>
        <v/>
      </c>
      <c r="L831" s="52" t="str">
        <f t="shared" si="173"/>
        <v/>
      </c>
      <c r="M831" s="53" t="str">
        <f t="shared" si="174"/>
        <v/>
      </c>
      <c r="N831" s="53" t="str">
        <f t="shared" si="175"/>
        <v/>
      </c>
      <c r="O831" s="53" t="str">
        <f t="shared" si="176"/>
        <v/>
      </c>
      <c r="P831" s="53" t="str">
        <f t="shared" si="177"/>
        <v/>
      </c>
      <c r="Q831" s="53" t="str">
        <f t="shared" si="178"/>
        <v/>
      </c>
      <c r="R831" s="53" t="str">
        <f t="shared" si="179"/>
        <v/>
      </c>
      <c r="S831" s="53" t="str">
        <f t="shared" si="180"/>
        <v/>
      </c>
      <c r="T831" s="53" t="str">
        <f t="shared" si="181"/>
        <v/>
      </c>
    </row>
    <row r="832" spans="1:20">
      <c r="A832" s="47" t="str">
        <f>IF(archive!E832="","",archive!E832)</f>
        <v/>
      </c>
      <c r="B832" s="48" t="str">
        <f t="shared" si="168"/>
        <v/>
      </c>
      <c r="C832" s="49" t="str">
        <f>IF(archive!F832="","",archive!F832)</f>
        <v/>
      </c>
      <c r="D832" s="50" t="str">
        <f t="shared" si="169"/>
        <v/>
      </c>
      <c r="E832" s="50" t="str">
        <f t="shared" si="170"/>
        <v/>
      </c>
      <c r="F832" s="47" t="str">
        <f>IF(COUNTA(archive!H832:CI832)=0,"",COUNTA(archive!H832:CI832))</f>
        <v/>
      </c>
      <c r="G832" s="47" t="str">
        <f>IF(archive!G832="","",archive!G832)</f>
        <v/>
      </c>
      <c r="H832" s="51" t="str">
        <f>IF(archive!CJ832="","",archive!CJ832)</f>
        <v/>
      </c>
      <c r="I832" s="51" t="str">
        <f>IF(archive!CK832="","",archive!CK832)</f>
        <v/>
      </c>
      <c r="J832" s="47" t="str">
        <f t="shared" si="171"/>
        <v/>
      </c>
      <c r="K832" s="51" t="str">
        <f t="shared" si="172"/>
        <v/>
      </c>
      <c r="L832" s="52" t="str">
        <f t="shared" si="173"/>
        <v/>
      </c>
      <c r="M832" s="53" t="str">
        <f t="shared" si="174"/>
        <v/>
      </c>
      <c r="N832" s="53" t="str">
        <f t="shared" si="175"/>
        <v/>
      </c>
      <c r="O832" s="53" t="str">
        <f t="shared" si="176"/>
        <v/>
      </c>
      <c r="P832" s="53" t="str">
        <f t="shared" si="177"/>
        <v/>
      </c>
      <c r="Q832" s="53" t="str">
        <f t="shared" si="178"/>
        <v/>
      </c>
      <c r="R832" s="53" t="str">
        <f t="shared" si="179"/>
        <v/>
      </c>
      <c r="S832" s="53" t="str">
        <f t="shared" si="180"/>
        <v/>
      </c>
      <c r="T832" s="53" t="str">
        <f t="shared" si="181"/>
        <v/>
      </c>
    </row>
    <row r="833" spans="1:20">
      <c r="A833" s="47" t="str">
        <f>IF(archive!E833="","",archive!E833)</f>
        <v/>
      </c>
      <c r="B833" s="48" t="str">
        <f t="shared" si="168"/>
        <v/>
      </c>
      <c r="C833" s="49" t="str">
        <f>IF(archive!F833="","",archive!F833)</f>
        <v/>
      </c>
      <c r="D833" s="50" t="str">
        <f t="shared" si="169"/>
        <v/>
      </c>
      <c r="E833" s="50" t="str">
        <f t="shared" si="170"/>
        <v/>
      </c>
      <c r="F833" s="47" t="str">
        <f>IF(COUNTA(archive!H833:CI833)=0,"",COUNTA(archive!H833:CI833))</f>
        <v/>
      </c>
      <c r="G833" s="47" t="str">
        <f>IF(archive!G833="","",archive!G833)</f>
        <v/>
      </c>
      <c r="H833" s="51" t="str">
        <f>IF(archive!CJ833="","",archive!CJ833)</f>
        <v/>
      </c>
      <c r="I833" s="51" t="str">
        <f>IF(archive!CK833="","",archive!CK833)</f>
        <v/>
      </c>
      <c r="J833" s="47" t="str">
        <f t="shared" si="171"/>
        <v/>
      </c>
      <c r="K833" s="51" t="str">
        <f t="shared" si="172"/>
        <v/>
      </c>
      <c r="L833" s="52" t="str">
        <f t="shared" si="173"/>
        <v/>
      </c>
      <c r="M833" s="53" t="str">
        <f t="shared" si="174"/>
        <v/>
      </c>
      <c r="N833" s="53" t="str">
        <f t="shared" si="175"/>
        <v/>
      </c>
      <c r="O833" s="53" t="str">
        <f t="shared" si="176"/>
        <v/>
      </c>
      <c r="P833" s="53" t="str">
        <f t="shared" si="177"/>
        <v/>
      </c>
      <c r="Q833" s="53" t="str">
        <f t="shared" si="178"/>
        <v/>
      </c>
      <c r="R833" s="53" t="str">
        <f t="shared" si="179"/>
        <v/>
      </c>
      <c r="S833" s="53" t="str">
        <f t="shared" si="180"/>
        <v/>
      </c>
      <c r="T833" s="53" t="str">
        <f t="shared" si="181"/>
        <v/>
      </c>
    </row>
    <row r="834" spans="1:20">
      <c r="A834" s="47" t="str">
        <f>IF(archive!E834="","",archive!E834)</f>
        <v/>
      </c>
      <c r="B834" s="48" t="str">
        <f t="shared" si="168"/>
        <v/>
      </c>
      <c r="C834" s="49" t="str">
        <f>IF(archive!F834="","",archive!F834)</f>
        <v/>
      </c>
      <c r="D834" s="50" t="str">
        <f t="shared" si="169"/>
        <v/>
      </c>
      <c r="E834" s="50" t="str">
        <f t="shared" si="170"/>
        <v/>
      </c>
      <c r="F834" s="47" t="str">
        <f>IF(COUNTA(archive!H834:CI834)=0,"",COUNTA(archive!H834:CI834))</f>
        <v/>
      </c>
      <c r="G834" s="47" t="str">
        <f>IF(archive!G834="","",archive!G834)</f>
        <v/>
      </c>
      <c r="H834" s="51" t="str">
        <f>IF(archive!CJ834="","",archive!CJ834)</f>
        <v/>
      </c>
      <c r="I834" s="51" t="str">
        <f>IF(archive!CK834="","",archive!CK834)</f>
        <v/>
      </c>
      <c r="J834" s="47" t="str">
        <f t="shared" si="171"/>
        <v/>
      </c>
      <c r="K834" s="51" t="str">
        <f t="shared" si="172"/>
        <v/>
      </c>
      <c r="L834" s="52" t="str">
        <f t="shared" si="173"/>
        <v/>
      </c>
      <c r="M834" s="53" t="str">
        <f t="shared" si="174"/>
        <v/>
      </c>
      <c r="N834" s="53" t="str">
        <f t="shared" si="175"/>
        <v/>
      </c>
      <c r="O834" s="53" t="str">
        <f t="shared" si="176"/>
        <v/>
      </c>
      <c r="P834" s="53" t="str">
        <f t="shared" si="177"/>
        <v/>
      </c>
      <c r="Q834" s="53" t="str">
        <f t="shared" si="178"/>
        <v/>
      </c>
      <c r="R834" s="53" t="str">
        <f t="shared" si="179"/>
        <v/>
      </c>
      <c r="S834" s="53" t="str">
        <f t="shared" si="180"/>
        <v/>
      </c>
      <c r="T834" s="53" t="str">
        <f t="shared" si="181"/>
        <v/>
      </c>
    </row>
    <row r="835" spans="1:20">
      <c r="A835" s="47" t="str">
        <f>IF(archive!E835="","",archive!E835)</f>
        <v/>
      </c>
      <c r="B835" s="48" t="str">
        <f t="shared" si="168"/>
        <v/>
      </c>
      <c r="C835" s="49" t="str">
        <f>IF(archive!F835="","",archive!F835)</f>
        <v/>
      </c>
      <c r="D835" s="50" t="str">
        <f t="shared" si="169"/>
        <v/>
      </c>
      <c r="E835" s="50" t="str">
        <f t="shared" si="170"/>
        <v/>
      </c>
      <c r="F835" s="47" t="str">
        <f>IF(COUNTA(archive!H835:CI835)=0,"",COUNTA(archive!H835:CI835))</f>
        <v/>
      </c>
      <c r="G835" s="47" t="str">
        <f>IF(archive!G835="","",archive!G835)</f>
        <v/>
      </c>
      <c r="H835" s="51" t="str">
        <f>IF(archive!CJ835="","",archive!CJ835)</f>
        <v/>
      </c>
      <c r="I835" s="51" t="str">
        <f>IF(archive!CK835="","",archive!CK835)</f>
        <v/>
      </c>
      <c r="J835" s="47" t="str">
        <f t="shared" si="171"/>
        <v/>
      </c>
      <c r="K835" s="51" t="str">
        <f t="shared" si="172"/>
        <v/>
      </c>
      <c r="L835" s="52" t="str">
        <f t="shared" si="173"/>
        <v/>
      </c>
      <c r="M835" s="53" t="str">
        <f t="shared" si="174"/>
        <v/>
      </c>
      <c r="N835" s="53" t="str">
        <f t="shared" si="175"/>
        <v/>
      </c>
      <c r="O835" s="53" t="str">
        <f t="shared" si="176"/>
        <v/>
      </c>
      <c r="P835" s="53" t="str">
        <f t="shared" si="177"/>
        <v/>
      </c>
      <c r="Q835" s="53" t="str">
        <f t="shared" si="178"/>
        <v/>
      </c>
      <c r="R835" s="53" t="str">
        <f t="shared" si="179"/>
        <v/>
      </c>
      <c r="S835" s="53" t="str">
        <f t="shared" si="180"/>
        <v/>
      </c>
      <c r="T835" s="53" t="str">
        <f t="shared" si="181"/>
        <v/>
      </c>
    </row>
    <row r="836" spans="1:20">
      <c r="A836" s="47" t="str">
        <f>IF(archive!E836="","",archive!E836)</f>
        <v/>
      </c>
      <c r="B836" s="48" t="str">
        <f t="shared" ref="B836:B899" si="182">IF(C836="","",VLOOKUP($C836,Tare,2,0))</f>
        <v/>
      </c>
      <c r="C836" s="49" t="str">
        <f>IF(archive!F836="","",archive!F836)</f>
        <v/>
      </c>
      <c r="D836" s="50" t="str">
        <f t="shared" ref="D836:D899" si="183">IF(C836="","",C836+B836)</f>
        <v/>
      </c>
      <c r="E836" s="50" t="str">
        <f t="shared" ref="E836:E899" si="184">IF(C836="","",(C836*0.025)+D836)</f>
        <v/>
      </c>
      <c r="F836" s="47" t="str">
        <f>IF(COUNTA(archive!H836:CI836)=0,"",COUNTA(archive!H836:CI836))</f>
        <v/>
      </c>
      <c r="G836" s="47" t="str">
        <f>IF(archive!G836="","",archive!G836)</f>
        <v/>
      </c>
      <c r="H836" s="51" t="str">
        <f>IF(archive!CJ836="","",archive!CJ836)</f>
        <v/>
      </c>
      <c r="I836" s="51" t="str">
        <f>IF(archive!CK836="","",archive!CK836)</f>
        <v/>
      </c>
      <c r="J836" s="47" t="str">
        <f t="shared" ref="J836:J899" si="185">IF(F836="","",VLOOKUP(F836,Valeur_g,2,0))</f>
        <v/>
      </c>
      <c r="K836" s="51" t="str">
        <f t="shared" ref="K836:K899" si="186">IF(C836="","",D836+(J836*I836))</f>
        <v/>
      </c>
      <c r="L836" s="52" t="str">
        <f t="shared" ref="L836:L899" si="187">IF(C836="","",IF(K836&lt;H836,"Conforme","Non conforme"))</f>
        <v/>
      </c>
      <c r="M836" s="53" t="str">
        <f t="shared" ref="M836:M899" si="188">IF(C836="","",1)</f>
        <v/>
      </c>
      <c r="N836" s="53" t="str">
        <f t="shared" ref="N836:N899" si="189">IF(L836="","",COUNTIF(L836,"Non conforme"))</f>
        <v/>
      </c>
      <c r="O836" s="53" t="str">
        <f t="shared" ref="O836:O899" si="190">IF($C836="","",IF($C836=0.25,$G836,"-"))</f>
        <v/>
      </c>
      <c r="P836" s="53" t="str">
        <f t="shared" ref="P836:P899" si="191">IF($C836="","",IF($C836=0.4,$G836,"-"))</f>
        <v/>
      </c>
      <c r="Q836" s="53" t="str">
        <f t="shared" ref="Q836:Q899" si="192">IF($C836="","",IF($C836=0.5,$G836,"-"))</f>
        <v/>
      </c>
      <c r="R836" s="53" t="str">
        <f t="shared" ref="R836:R899" si="193">IF($C836="","",IF($C836=0.6,$G836,"-"))</f>
        <v/>
      </c>
      <c r="S836" s="53" t="str">
        <f t="shared" ref="S836:S899" si="194">IF($C836="","",IF($C836=0.8,$G836,"-"))</f>
        <v/>
      </c>
      <c r="T836" s="53" t="str">
        <f t="shared" ref="T836:T899" si="195">IF($C836="","",IF($C836=1,$G836,"-"))</f>
        <v/>
      </c>
    </row>
    <row r="837" spans="1:20">
      <c r="A837" s="47" t="str">
        <f>IF(archive!E837="","",archive!E837)</f>
        <v/>
      </c>
      <c r="B837" s="48" t="str">
        <f t="shared" si="182"/>
        <v/>
      </c>
      <c r="C837" s="49" t="str">
        <f>IF(archive!F837="","",archive!F837)</f>
        <v/>
      </c>
      <c r="D837" s="50" t="str">
        <f t="shared" si="183"/>
        <v/>
      </c>
      <c r="E837" s="50" t="str">
        <f t="shared" si="184"/>
        <v/>
      </c>
      <c r="F837" s="47" t="str">
        <f>IF(COUNTA(archive!H837:CI837)=0,"",COUNTA(archive!H837:CI837))</f>
        <v/>
      </c>
      <c r="G837" s="47" t="str">
        <f>IF(archive!G837="","",archive!G837)</f>
        <v/>
      </c>
      <c r="H837" s="51" t="str">
        <f>IF(archive!CJ837="","",archive!CJ837)</f>
        <v/>
      </c>
      <c r="I837" s="51" t="str">
        <f>IF(archive!CK837="","",archive!CK837)</f>
        <v/>
      </c>
      <c r="J837" s="47" t="str">
        <f t="shared" si="185"/>
        <v/>
      </c>
      <c r="K837" s="51" t="str">
        <f t="shared" si="186"/>
        <v/>
      </c>
      <c r="L837" s="52" t="str">
        <f t="shared" si="187"/>
        <v/>
      </c>
      <c r="M837" s="53" t="str">
        <f t="shared" si="188"/>
        <v/>
      </c>
      <c r="N837" s="53" t="str">
        <f t="shared" si="189"/>
        <v/>
      </c>
      <c r="O837" s="53" t="str">
        <f t="shared" si="190"/>
        <v/>
      </c>
      <c r="P837" s="53" t="str">
        <f t="shared" si="191"/>
        <v/>
      </c>
      <c r="Q837" s="53" t="str">
        <f t="shared" si="192"/>
        <v/>
      </c>
      <c r="R837" s="53" t="str">
        <f t="shared" si="193"/>
        <v/>
      </c>
      <c r="S837" s="53" t="str">
        <f t="shared" si="194"/>
        <v/>
      </c>
      <c r="T837" s="53" t="str">
        <f t="shared" si="195"/>
        <v/>
      </c>
    </row>
    <row r="838" spans="1:20">
      <c r="A838" s="47" t="str">
        <f>IF(archive!E838="","",archive!E838)</f>
        <v/>
      </c>
      <c r="B838" s="48" t="str">
        <f t="shared" si="182"/>
        <v/>
      </c>
      <c r="C838" s="49" t="str">
        <f>IF(archive!F838="","",archive!F838)</f>
        <v/>
      </c>
      <c r="D838" s="50" t="str">
        <f t="shared" si="183"/>
        <v/>
      </c>
      <c r="E838" s="50" t="str">
        <f t="shared" si="184"/>
        <v/>
      </c>
      <c r="F838" s="47" t="str">
        <f>IF(COUNTA(archive!H838:CI838)=0,"",COUNTA(archive!H838:CI838))</f>
        <v/>
      </c>
      <c r="G838" s="47" t="str">
        <f>IF(archive!G838="","",archive!G838)</f>
        <v/>
      </c>
      <c r="H838" s="51" t="str">
        <f>IF(archive!CJ838="","",archive!CJ838)</f>
        <v/>
      </c>
      <c r="I838" s="51" t="str">
        <f>IF(archive!CK838="","",archive!CK838)</f>
        <v/>
      </c>
      <c r="J838" s="47" t="str">
        <f t="shared" si="185"/>
        <v/>
      </c>
      <c r="K838" s="51" t="str">
        <f t="shared" si="186"/>
        <v/>
      </c>
      <c r="L838" s="52" t="str">
        <f t="shared" si="187"/>
        <v/>
      </c>
      <c r="M838" s="53" t="str">
        <f t="shared" si="188"/>
        <v/>
      </c>
      <c r="N838" s="53" t="str">
        <f t="shared" si="189"/>
        <v/>
      </c>
      <c r="O838" s="53" t="str">
        <f t="shared" si="190"/>
        <v/>
      </c>
      <c r="P838" s="53" t="str">
        <f t="shared" si="191"/>
        <v/>
      </c>
      <c r="Q838" s="53" t="str">
        <f t="shared" si="192"/>
        <v/>
      </c>
      <c r="R838" s="53" t="str">
        <f t="shared" si="193"/>
        <v/>
      </c>
      <c r="S838" s="53" t="str">
        <f t="shared" si="194"/>
        <v/>
      </c>
      <c r="T838" s="53" t="str">
        <f t="shared" si="195"/>
        <v/>
      </c>
    </row>
    <row r="839" spans="1:20">
      <c r="A839" s="47" t="str">
        <f>IF(archive!E839="","",archive!E839)</f>
        <v/>
      </c>
      <c r="B839" s="48" t="str">
        <f t="shared" si="182"/>
        <v/>
      </c>
      <c r="C839" s="49" t="str">
        <f>IF(archive!F839="","",archive!F839)</f>
        <v/>
      </c>
      <c r="D839" s="50" t="str">
        <f t="shared" si="183"/>
        <v/>
      </c>
      <c r="E839" s="50" t="str">
        <f t="shared" si="184"/>
        <v/>
      </c>
      <c r="F839" s="47" t="str">
        <f>IF(COUNTA(archive!H839:CI839)=0,"",COUNTA(archive!H839:CI839))</f>
        <v/>
      </c>
      <c r="G839" s="47" t="str">
        <f>IF(archive!G839="","",archive!G839)</f>
        <v/>
      </c>
      <c r="H839" s="51" t="str">
        <f>IF(archive!CJ839="","",archive!CJ839)</f>
        <v/>
      </c>
      <c r="I839" s="51" t="str">
        <f>IF(archive!CK839="","",archive!CK839)</f>
        <v/>
      </c>
      <c r="J839" s="47" t="str">
        <f t="shared" si="185"/>
        <v/>
      </c>
      <c r="K839" s="51" t="str">
        <f t="shared" si="186"/>
        <v/>
      </c>
      <c r="L839" s="52" t="str">
        <f t="shared" si="187"/>
        <v/>
      </c>
      <c r="M839" s="53" t="str">
        <f t="shared" si="188"/>
        <v/>
      </c>
      <c r="N839" s="53" t="str">
        <f t="shared" si="189"/>
        <v/>
      </c>
      <c r="O839" s="53" t="str">
        <f t="shared" si="190"/>
        <v/>
      </c>
      <c r="P839" s="53" t="str">
        <f t="shared" si="191"/>
        <v/>
      </c>
      <c r="Q839" s="53" t="str">
        <f t="shared" si="192"/>
        <v/>
      </c>
      <c r="R839" s="53" t="str">
        <f t="shared" si="193"/>
        <v/>
      </c>
      <c r="S839" s="53" t="str">
        <f t="shared" si="194"/>
        <v/>
      </c>
      <c r="T839" s="53" t="str">
        <f t="shared" si="195"/>
        <v/>
      </c>
    </row>
    <row r="840" spans="1:20">
      <c r="A840" s="47" t="str">
        <f>IF(archive!E840="","",archive!E840)</f>
        <v/>
      </c>
      <c r="B840" s="48" t="str">
        <f t="shared" si="182"/>
        <v/>
      </c>
      <c r="C840" s="49" t="str">
        <f>IF(archive!F840="","",archive!F840)</f>
        <v/>
      </c>
      <c r="D840" s="50" t="str">
        <f t="shared" si="183"/>
        <v/>
      </c>
      <c r="E840" s="50" t="str">
        <f t="shared" si="184"/>
        <v/>
      </c>
      <c r="F840" s="47" t="str">
        <f>IF(COUNTA(archive!H840:CI840)=0,"",COUNTA(archive!H840:CI840))</f>
        <v/>
      </c>
      <c r="G840" s="47" t="str">
        <f>IF(archive!G840="","",archive!G840)</f>
        <v/>
      </c>
      <c r="H840" s="51" t="str">
        <f>IF(archive!CJ840="","",archive!CJ840)</f>
        <v/>
      </c>
      <c r="I840" s="51" t="str">
        <f>IF(archive!CK840="","",archive!CK840)</f>
        <v/>
      </c>
      <c r="J840" s="47" t="str">
        <f t="shared" si="185"/>
        <v/>
      </c>
      <c r="K840" s="51" t="str">
        <f t="shared" si="186"/>
        <v/>
      </c>
      <c r="L840" s="52" t="str">
        <f t="shared" si="187"/>
        <v/>
      </c>
      <c r="M840" s="53" t="str">
        <f t="shared" si="188"/>
        <v/>
      </c>
      <c r="N840" s="53" t="str">
        <f t="shared" si="189"/>
        <v/>
      </c>
      <c r="O840" s="53" t="str">
        <f t="shared" si="190"/>
        <v/>
      </c>
      <c r="P840" s="53" t="str">
        <f t="shared" si="191"/>
        <v/>
      </c>
      <c r="Q840" s="53" t="str">
        <f t="shared" si="192"/>
        <v/>
      </c>
      <c r="R840" s="53" t="str">
        <f t="shared" si="193"/>
        <v/>
      </c>
      <c r="S840" s="53" t="str">
        <f t="shared" si="194"/>
        <v/>
      </c>
      <c r="T840" s="53" t="str">
        <f t="shared" si="195"/>
        <v/>
      </c>
    </row>
    <row r="841" spans="1:20">
      <c r="A841" s="47" t="str">
        <f>IF(archive!E841="","",archive!E841)</f>
        <v/>
      </c>
      <c r="B841" s="48" t="str">
        <f t="shared" si="182"/>
        <v/>
      </c>
      <c r="C841" s="49" t="str">
        <f>IF(archive!F841="","",archive!F841)</f>
        <v/>
      </c>
      <c r="D841" s="50" t="str">
        <f t="shared" si="183"/>
        <v/>
      </c>
      <c r="E841" s="50" t="str">
        <f t="shared" si="184"/>
        <v/>
      </c>
      <c r="F841" s="47" t="str">
        <f>IF(COUNTA(archive!H841:CI841)=0,"",COUNTA(archive!H841:CI841))</f>
        <v/>
      </c>
      <c r="G841" s="47" t="str">
        <f>IF(archive!G841="","",archive!G841)</f>
        <v/>
      </c>
      <c r="H841" s="51" t="str">
        <f>IF(archive!CJ841="","",archive!CJ841)</f>
        <v/>
      </c>
      <c r="I841" s="51" t="str">
        <f>IF(archive!CK841="","",archive!CK841)</f>
        <v/>
      </c>
      <c r="J841" s="47" t="str">
        <f t="shared" si="185"/>
        <v/>
      </c>
      <c r="K841" s="51" t="str">
        <f t="shared" si="186"/>
        <v/>
      </c>
      <c r="L841" s="52" t="str">
        <f t="shared" si="187"/>
        <v/>
      </c>
      <c r="M841" s="53" t="str">
        <f t="shared" si="188"/>
        <v/>
      </c>
      <c r="N841" s="53" t="str">
        <f t="shared" si="189"/>
        <v/>
      </c>
      <c r="O841" s="53" t="str">
        <f t="shared" si="190"/>
        <v/>
      </c>
      <c r="P841" s="53" t="str">
        <f t="shared" si="191"/>
        <v/>
      </c>
      <c r="Q841" s="53" t="str">
        <f t="shared" si="192"/>
        <v/>
      </c>
      <c r="R841" s="53" t="str">
        <f t="shared" si="193"/>
        <v/>
      </c>
      <c r="S841" s="53" t="str">
        <f t="shared" si="194"/>
        <v/>
      </c>
      <c r="T841" s="53" t="str">
        <f t="shared" si="195"/>
        <v/>
      </c>
    </row>
    <row r="842" spans="1:20">
      <c r="A842" s="47" t="str">
        <f>IF(archive!E842="","",archive!E842)</f>
        <v/>
      </c>
      <c r="B842" s="48" t="str">
        <f t="shared" si="182"/>
        <v/>
      </c>
      <c r="C842" s="49" t="str">
        <f>IF(archive!F842="","",archive!F842)</f>
        <v/>
      </c>
      <c r="D842" s="50" t="str">
        <f t="shared" si="183"/>
        <v/>
      </c>
      <c r="E842" s="50" t="str">
        <f t="shared" si="184"/>
        <v/>
      </c>
      <c r="F842" s="47" t="str">
        <f>IF(COUNTA(archive!H842:CI842)=0,"",COUNTA(archive!H842:CI842))</f>
        <v/>
      </c>
      <c r="G842" s="47" t="str">
        <f>IF(archive!G842="","",archive!G842)</f>
        <v/>
      </c>
      <c r="H842" s="51" t="str">
        <f>IF(archive!CJ842="","",archive!CJ842)</f>
        <v/>
      </c>
      <c r="I842" s="51" t="str">
        <f>IF(archive!CK842="","",archive!CK842)</f>
        <v/>
      </c>
      <c r="J842" s="47" t="str">
        <f t="shared" si="185"/>
        <v/>
      </c>
      <c r="K842" s="51" t="str">
        <f t="shared" si="186"/>
        <v/>
      </c>
      <c r="L842" s="52" t="str">
        <f t="shared" si="187"/>
        <v/>
      </c>
      <c r="M842" s="53" t="str">
        <f t="shared" si="188"/>
        <v/>
      </c>
      <c r="N842" s="53" t="str">
        <f t="shared" si="189"/>
        <v/>
      </c>
      <c r="O842" s="53" t="str">
        <f t="shared" si="190"/>
        <v/>
      </c>
      <c r="P842" s="53" t="str">
        <f t="shared" si="191"/>
        <v/>
      </c>
      <c r="Q842" s="53" t="str">
        <f t="shared" si="192"/>
        <v/>
      </c>
      <c r="R842" s="53" t="str">
        <f t="shared" si="193"/>
        <v/>
      </c>
      <c r="S842" s="53" t="str">
        <f t="shared" si="194"/>
        <v/>
      </c>
      <c r="T842" s="53" t="str">
        <f t="shared" si="195"/>
        <v/>
      </c>
    </row>
    <row r="843" spans="1:20">
      <c r="A843" s="47" t="str">
        <f>IF(archive!E843="","",archive!E843)</f>
        <v/>
      </c>
      <c r="B843" s="48" t="str">
        <f t="shared" si="182"/>
        <v/>
      </c>
      <c r="C843" s="49" t="str">
        <f>IF(archive!F843="","",archive!F843)</f>
        <v/>
      </c>
      <c r="D843" s="50" t="str">
        <f t="shared" si="183"/>
        <v/>
      </c>
      <c r="E843" s="50" t="str">
        <f t="shared" si="184"/>
        <v/>
      </c>
      <c r="F843" s="47" t="str">
        <f>IF(COUNTA(archive!H843:CI843)=0,"",COUNTA(archive!H843:CI843))</f>
        <v/>
      </c>
      <c r="G843" s="47" t="str">
        <f>IF(archive!G843="","",archive!G843)</f>
        <v/>
      </c>
      <c r="H843" s="51" t="str">
        <f>IF(archive!CJ843="","",archive!CJ843)</f>
        <v/>
      </c>
      <c r="I843" s="51" t="str">
        <f>IF(archive!CK843="","",archive!CK843)</f>
        <v/>
      </c>
      <c r="J843" s="47" t="str">
        <f t="shared" si="185"/>
        <v/>
      </c>
      <c r="K843" s="51" t="str">
        <f t="shared" si="186"/>
        <v/>
      </c>
      <c r="L843" s="52" t="str">
        <f t="shared" si="187"/>
        <v/>
      </c>
      <c r="M843" s="53" t="str">
        <f t="shared" si="188"/>
        <v/>
      </c>
      <c r="N843" s="53" t="str">
        <f t="shared" si="189"/>
        <v/>
      </c>
      <c r="O843" s="53" t="str">
        <f t="shared" si="190"/>
        <v/>
      </c>
      <c r="P843" s="53" t="str">
        <f t="shared" si="191"/>
        <v/>
      </c>
      <c r="Q843" s="53" t="str">
        <f t="shared" si="192"/>
        <v/>
      </c>
      <c r="R843" s="53" t="str">
        <f t="shared" si="193"/>
        <v/>
      </c>
      <c r="S843" s="53" t="str">
        <f t="shared" si="194"/>
        <v/>
      </c>
      <c r="T843" s="53" t="str">
        <f t="shared" si="195"/>
        <v/>
      </c>
    </row>
    <row r="844" spans="1:20">
      <c r="A844" s="47" t="str">
        <f>IF(archive!E844="","",archive!E844)</f>
        <v/>
      </c>
      <c r="B844" s="48" t="str">
        <f t="shared" si="182"/>
        <v/>
      </c>
      <c r="C844" s="49" t="str">
        <f>IF(archive!F844="","",archive!F844)</f>
        <v/>
      </c>
      <c r="D844" s="50" t="str">
        <f t="shared" si="183"/>
        <v/>
      </c>
      <c r="E844" s="50" t="str">
        <f t="shared" si="184"/>
        <v/>
      </c>
      <c r="F844" s="47" t="str">
        <f>IF(COUNTA(archive!H844:CI844)=0,"",COUNTA(archive!H844:CI844))</f>
        <v/>
      </c>
      <c r="G844" s="47" t="str">
        <f>IF(archive!G844="","",archive!G844)</f>
        <v/>
      </c>
      <c r="H844" s="51" t="str">
        <f>IF(archive!CJ844="","",archive!CJ844)</f>
        <v/>
      </c>
      <c r="I844" s="51" t="str">
        <f>IF(archive!CK844="","",archive!CK844)</f>
        <v/>
      </c>
      <c r="J844" s="47" t="str">
        <f t="shared" si="185"/>
        <v/>
      </c>
      <c r="K844" s="51" t="str">
        <f t="shared" si="186"/>
        <v/>
      </c>
      <c r="L844" s="52" t="str">
        <f t="shared" si="187"/>
        <v/>
      </c>
      <c r="M844" s="53" t="str">
        <f t="shared" si="188"/>
        <v/>
      </c>
      <c r="N844" s="53" t="str">
        <f t="shared" si="189"/>
        <v/>
      </c>
      <c r="O844" s="53" t="str">
        <f t="shared" si="190"/>
        <v/>
      </c>
      <c r="P844" s="53" t="str">
        <f t="shared" si="191"/>
        <v/>
      </c>
      <c r="Q844" s="53" t="str">
        <f t="shared" si="192"/>
        <v/>
      </c>
      <c r="R844" s="53" t="str">
        <f t="shared" si="193"/>
        <v/>
      </c>
      <c r="S844" s="53" t="str">
        <f t="shared" si="194"/>
        <v/>
      </c>
      <c r="T844" s="53" t="str">
        <f t="shared" si="195"/>
        <v/>
      </c>
    </row>
    <row r="845" spans="1:20">
      <c r="A845" s="47" t="str">
        <f>IF(archive!E845="","",archive!E845)</f>
        <v/>
      </c>
      <c r="B845" s="48" t="str">
        <f t="shared" si="182"/>
        <v/>
      </c>
      <c r="C845" s="49" t="str">
        <f>IF(archive!F845="","",archive!F845)</f>
        <v/>
      </c>
      <c r="D845" s="50" t="str">
        <f t="shared" si="183"/>
        <v/>
      </c>
      <c r="E845" s="50" t="str">
        <f t="shared" si="184"/>
        <v/>
      </c>
      <c r="F845" s="47" t="str">
        <f>IF(COUNTA(archive!H845:CI845)=0,"",COUNTA(archive!H845:CI845))</f>
        <v/>
      </c>
      <c r="G845" s="47" t="str">
        <f>IF(archive!G845="","",archive!G845)</f>
        <v/>
      </c>
      <c r="H845" s="51" t="str">
        <f>IF(archive!CJ845="","",archive!CJ845)</f>
        <v/>
      </c>
      <c r="I845" s="51" t="str">
        <f>IF(archive!CK845="","",archive!CK845)</f>
        <v/>
      </c>
      <c r="J845" s="47" t="str">
        <f t="shared" si="185"/>
        <v/>
      </c>
      <c r="K845" s="51" t="str">
        <f t="shared" si="186"/>
        <v/>
      </c>
      <c r="L845" s="52" t="str">
        <f t="shared" si="187"/>
        <v/>
      </c>
      <c r="M845" s="53" t="str">
        <f t="shared" si="188"/>
        <v/>
      </c>
      <c r="N845" s="53" t="str">
        <f t="shared" si="189"/>
        <v/>
      </c>
      <c r="O845" s="53" t="str">
        <f t="shared" si="190"/>
        <v/>
      </c>
      <c r="P845" s="53" t="str">
        <f t="shared" si="191"/>
        <v/>
      </c>
      <c r="Q845" s="53" t="str">
        <f t="shared" si="192"/>
        <v/>
      </c>
      <c r="R845" s="53" t="str">
        <f t="shared" si="193"/>
        <v/>
      </c>
      <c r="S845" s="53" t="str">
        <f t="shared" si="194"/>
        <v/>
      </c>
      <c r="T845" s="53" t="str">
        <f t="shared" si="195"/>
        <v/>
      </c>
    </row>
    <row r="846" spans="1:20">
      <c r="A846" s="47" t="str">
        <f>IF(archive!E846="","",archive!E846)</f>
        <v/>
      </c>
      <c r="B846" s="48" t="str">
        <f t="shared" si="182"/>
        <v/>
      </c>
      <c r="C846" s="49" t="str">
        <f>IF(archive!F846="","",archive!F846)</f>
        <v/>
      </c>
      <c r="D846" s="50" t="str">
        <f t="shared" si="183"/>
        <v/>
      </c>
      <c r="E846" s="50" t="str">
        <f t="shared" si="184"/>
        <v/>
      </c>
      <c r="F846" s="47" t="str">
        <f>IF(COUNTA(archive!H846:CI846)=0,"",COUNTA(archive!H846:CI846))</f>
        <v/>
      </c>
      <c r="G846" s="47" t="str">
        <f>IF(archive!G846="","",archive!G846)</f>
        <v/>
      </c>
      <c r="H846" s="51" t="str">
        <f>IF(archive!CJ846="","",archive!CJ846)</f>
        <v/>
      </c>
      <c r="I846" s="51" t="str">
        <f>IF(archive!CK846="","",archive!CK846)</f>
        <v/>
      </c>
      <c r="J846" s="47" t="str">
        <f t="shared" si="185"/>
        <v/>
      </c>
      <c r="K846" s="51" t="str">
        <f t="shared" si="186"/>
        <v/>
      </c>
      <c r="L846" s="52" t="str">
        <f t="shared" si="187"/>
        <v/>
      </c>
      <c r="M846" s="53" t="str">
        <f t="shared" si="188"/>
        <v/>
      </c>
      <c r="N846" s="53" t="str">
        <f t="shared" si="189"/>
        <v/>
      </c>
      <c r="O846" s="53" t="str">
        <f t="shared" si="190"/>
        <v/>
      </c>
      <c r="P846" s="53" t="str">
        <f t="shared" si="191"/>
        <v/>
      </c>
      <c r="Q846" s="53" t="str">
        <f t="shared" si="192"/>
        <v/>
      </c>
      <c r="R846" s="53" t="str">
        <f t="shared" si="193"/>
        <v/>
      </c>
      <c r="S846" s="53" t="str">
        <f t="shared" si="194"/>
        <v/>
      </c>
      <c r="T846" s="53" t="str">
        <f t="shared" si="195"/>
        <v/>
      </c>
    </row>
    <row r="847" spans="1:20">
      <c r="A847" s="47" t="str">
        <f>IF(archive!E847="","",archive!E847)</f>
        <v/>
      </c>
      <c r="B847" s="48" t="str">
        <f t="shared" si="182"/>
        <v/>
      </c>
      <c r="C847" s="49" t="str">
        <f>IF(archive!F847="","",archive!F847)</f>
        <v/>
      </c>
      <c r="D847" s="50" t="str">
        <f t="shared" si="183"/>
        <v/>
      </c>
      <c r="E847" s="50" t="str">
        <f t="shared" si="184"/>
        <v/>
      </c>
      <c r="F847" s="47" t="str">
        <f>IF(COUNTA(archive!H847:CI847)=0,"",COUNTA(archive!H847:CI847))</f>
        <v/>
      </c>
      <c r="G847" s="47" t="str">
        <f>IF(archive!G847="","",archive!G847)</f>
        <v/>
      </c>
      <c r="H847" s="51" t="str">
        <f>IF(archive!CJ847="","",archive!CJ847)</f>
        <v/>
      </c>
      <c r="I847" s="51" t="str">
        <f>IF(archive!CK847="","",archive!CK847)</f>
        <v/>
      </c>
      <c r="J847" s="47" t="str">
        <f t="shared" si="185"/>
        <v/>
      </c>
      <c r="K847" s="51" t="str">
        <f t="shared" si="186"/>
        <v/>
      </c>
      <c r="L847" s="52" t="str">
        <f t="shared" si="187"/>
        <v/>
      </c>
      <c r="M847" s="53" t="str">
        <f t="shared" si="188"/>
        <v/>
      </c>
      <c r="N847" s="53" t="str">
        <f t="shared" si="189"/>
        <v/>
      </c>
      <c r="O847" s="53" t="str">
        <f t="shared" si="190"/>
        <v/>
      </c>
      <c r="P847" s="53" t="str">
        <f t="shared" si="191"/>
        <v/>
      </c>
      <c r="Q847" s="53" t="str">
        <f t="shared" si="192"/>
        <v/>
      </c>
      <c r="R847" s="53" t="str">
        <f t="shared" si="193"/>
        <v/>
      </c>
      <c r="S847" s="53" t="str">
        <f t="shared" si="194"/>
        <v/>
      </c>
      <c r="T847" s="53" t="str">
        <f t="shared" si="195"/>
        <v/>
      </c>
    </row>
    <row r="848" spans="1:20">
      <c r="A848" s="47" t="str">
        <f>IF(archive!E848="","",archive!E848)</f>
        <v/>
      </c>
      <c r="B848" s="48" t="str">
        <f t="shared" si="182"/>
        <v/>
      </c>
      <c r="C848" s="49" t="str">
        <f>IF(archive!F848="","",archive!F848)</f>
        <v/>
      </c>
      <c r="D848" s="50" t="str">
        <f t="shared" si="183"/>
        <v/>
      </c>
      <c r="E848" s="50" t="str">
        <f t="shared" si="184"/>
        <v/>
      </c>
      <c r="F848" s="47" t="str">
        <f>IF(COUNTA(archive!H848:CI848)=0,"",COUNTA(archive!H848:CI848))</f>
        <v/>
      </c>
      <c r="G848" s="47" t="str">
        <f>IF(archive!G848="","",archive!G848)</f>
        <v/>
      </c>
      <c r="H848" s="51" t="str">
        <f>IF(archive!CJ848="","",archive!CJ848)</f>
        <v/>
      </c>
      <c r="I848" s="51" t="str">
        <f>IF(archive!CK848="","",archive!CK848)</f>
        <v/>
      </c>
      <c r="J848" s="47" t="str">
        <f t="shared" si="185"/>
        <v/>
      </c>
      <c r="K848" s="51" t="str">
        <f t="shared" si="186"/>
        <v/>
      </c>
      <c r="L848" s="52" t="str">
        <f t="shared" si="187"/>
        <v/>
      </c>
      <c r="M848" s="53" t="str">
        <f t="shared" si="188"/>
        <v/>
      </c>
      <c r="N848" s="53" t="str">
        <f t="shared" si="189"/>
        <v/>
      </c>
      <c r="O848" s="53" t="str">
        <f t="shared" si="190"/>
        <v/>
      </c>
      <c r="P848" s="53" t="str">
        <f t="shared" si="191"/>
        <v/>
      </c>
      <c r="Q848" s="53" t="str">
        <f t="shared" si="192"/>
        <v/>
      </c>
      <c r="R848" s="53" t="str">
        <f t="shared" si="193"/>
        <v/>
      </c>
      <c r="S848" s="53" t="str">
        <f t="shared" si="194"/>
        <v/>
      </c>
      <c r="T848" s="53" t="str">
        <f t="shared" si="195"/>
        <v/>
      </c>
    </row>
    <row r="849" spans="1:20">
      <c r="A849" s="47" t="str">
        <f>IF(archive!E849="","",archive!E849)</f>
        <v/>
      </c>
      <c r="B849" s="48" t="str">
        <f t="shared" si="182"/>
        <v/>
      </c>
      <c r="C849" s="49" t="str">
        <f>IF(archive!F849="","",archive!F849)</f>
        <v/>
      </c>
      <c r="D849" s="50" t="str">
        <f t="shared" si="183"/>
        <v/>
      </c>
      <c r="E849" s="50" t="str">
        <f t="shared" si="184"/>
        <v/>
      </c>
      <c r="F849" s="47" t="str">
        <f>IF(COUNTA(archive!H849:CI849)=0,"",COUNTA(archive!H849:CI849))</f>
        <v/>
      </c>
      <c r="G849" s="47" t="str">
        <f>IF(archive!G849="","",archive!G849)</f>
        <v/>
      </c>
      <c r="H849" s="51" t="str">
        <f>IF(archive!CJ849="","",archive!CJ849)</f>
        <v/>
      </c>
      <c r="I849" s="51" t="str">
        <f>IF(archive!CK849="","",archive!CK849)</f>
        <v/>
      </c>
      <c r="J849" s="47" t="str">
        <f t="shared" si="185"/>
        <v/>
      </c>
      <c r="K849" s="51" t="str">
        <f t="shared" si="186"/>
        <v/>
      </c>
      <c r="L849" s="52" t="str">
        <f t="shared" si="187"/>
        <v/>
      </c>
      <c r="M849" s="53" t="str">
        <f t="shared" si="188"/>
        <v/>
      </c>
      <c r="N849" s="53" t="str">
        <f t="shared" si="189"/>
        <v/>
      </c>
      <c r="O849" s="53" t="str">
        <f t="shared" si="190"/>
        <v/>
      </c>
      <c r="P849" s="53" t="str">
        <f t="shared" si="191"/>
        <v/>
      </c>
      <c r="Q849" s="53" t="str">
        <f t="shared" si="192"/>
        <v/>
      </c>
      <c r="R849" s="53" t="str">
        <f t="shared" si="193"/>
        <v/>
      </c>
      <c r="S849" s="53" t="str">
        <f t="shared" si="194"/>
        <v/>
      </c>
      <c r="T849" s="53" t="str">
        <f t="shared" si="195"/>
        <v/>
      </c>
    </row>
    <row r="850" spans="1:20">
      <c r="A850" s="47" t="str">
        <f>IF(archive!E850="","",archive!E850)</f>
        <v/>
      </c>
      <c r="B850" s="48" t="str">
        <f t="shared" si="182"/>
        <v/>
      </c>
      <c r="C850" s="49" t="str">
        <f>IF(archive!F850="","",archive!F850)</f>
        <v/>
      </c>
      <c r="D850" s="50" t="str">
        <f t="shared" si="183"/>
        <v/>
      </c>
      <c r="E850" s="50" t="str">
        <f t="shared" si="184"/>
        <v/>
      </c>
      <c r="F850" s="47" t="str">
        <f>IF(COUNTA(archive!H850:CI850)=0,"",COUNTA(archive!H850:CI850))</f>
        <v/>
      </c>
      <c r="G850" s="47" t="str">
        <f>IF(archive!G850="","",archive!G850)</f>
        <v/>
      </c>
      <c r="H850" s="51" t="str">
        <f>IF(archive!CJ850="","",archive!CJ850)</f>
        <v/>
      </c>
      <c r="I850" s="51" t="str">
        <f>IF(archive!CK850="","",archive!CK850)</f>
        <v/>
      </c>
      <c r="J850" s="47" t="str">
        <f t="shared" si="185"/>
        <v/>
      </c>
      <c r="K850" s="51" t="str">
        <f t="shared" si="186"/>
        <v/>
      </c>
      <c r="L850" s="52" t="str">
        <f t="shared" si="187"/>
        <v/>
      </c>
      <c r="M850" s="53" t="str">
        <f t="shared" si="188"/>
        <v/>
      </c>
      <c r="N850" s="53" t="str">
        <f t="shared" si="189"/>
        <v/>
      </c>
      <c r="O850" s="53" t="str">
        <f t="shared" si="190"/>
        <v/>
      </c>
      <c r="P850" s="53" t="str">
        <f t="shared" si="191"/>
        <v/>
      </c>
      <c r="Q850" s="53" t="str">
        <f t="shared" si="192"/>
        <v/>
      </c>
      <c r="R850" s="53" t="str">
        <f t="shared" si="193"/>
        <v/>
      </c>
      <c r="S850" s="53" t="str">
        <f t="shared" si="194"/>
        <v/>
      </c>
      <c r="T850" s="53" t="str">
        <f t="shared" si="195"/>
        <v/>
      </c>
    </row>
    <row r="851" spans="1:20">
      <c r="A851" s="47" t="str">
        <f>IF(archive!E851="","",archive!E851)</f>
        <v/>
      </c>
      <c r="B851" s="48" t="str">
        <f t="shared" si="182"/>
        <v/>
      </c>
      <c r="C851" s="49" t="str">
        <f>IF(archive!F851="","",archive!F851)</f>
        <v/>
      </c>
      <c r="D851" s="50" t="str">
        <f t="shared" si="183"/>
        <v/>
      </c>
      <c r="E851" s="50" t="str">
        <f t="shared" si="184"/>
        <v/>
      </c>
      <c r="F851" s="47" t="str">
        <f>IF(COUNTA(archive!H851:CI851)=0,"",COUNTA(archive!H851:CI851))</f>
        <v/>
      </c>
      <c r="G851" s="47" t="str">
        <f>IF(archive!G851="","",archive!G851)</f>
        <v/>
      </c>
      <c r="H851" s="51" t="str">
        <f>IF(archive!CJ851="","",archive!CJ851)</f>
        <v/>
      </c>
      <c r="I851" s="51" t="str">
        <f>IF(archive!CK851="","",archive!CK851)</f>
        <v/>
      </c>
      <c r="J851" s="47" t="str">
        <f t="shared" si="185"/>
        <v/>
      </c>
      <c r="K851" s="51" t="str">
        <f t="shared" si="186"/>
        <v/>
      </c>
      <c r="L851" s="52" t="str">
        <f t="shared" si="187"/>
        <v/>
      </c>
      <c r="M851" s="53" t="str">
        <f t="shared" si="188"/>
        <v/>
      </c>
      <c r="N851" s="53" t="str">
        <f t="shared" si="189"/>
        <v/>
      </c>
      <c r="O851" s="53" t="str">
        <f t="shared" si="190"/>
        <v/>
      </c>
      <c r="P851" s="53" t="str">
        <f t="shared" si="191"/>
        <v/>
      </c>
      <c r="Q851" s="53" t="str">
        <f t="shared" si="192"/>
        <v/>
      </c>
      <c r="R851" s="53" t="str">
        <f t="shared" si="193"/>
        <v/>
      </c>
      <c r="S851" s="53" t="str">
        <f t="shared" si="194"/>
        <v/>
      </c>
      <c r="T851" s="53" t="str">
        <f t="shared" si="195"/>
        <v/>
      </c>
    </row>
    <row r="852" spans="1:20">
      <c r="A852" s="47" t="str">
        <f>IF(archive!E852="","",archive!E852)</f>
        <v/>
      </c>
      <c r="B852" s="48" t="str">
        <f t="shared" si="182"/>
        <v/>
      </c>
      <c r="C852" s="49" t="str">
        <f>IF(archive!F852="","",archive!F852)</f>
        <v/>
      </c>
      <c r="D852" s="50" t="str">
        <f t="shared" si="183"/>
        <v/>
      </c>
      <c r="E852" s="50" t="str">
        <f t="shared" si="184"/>
        <v/>
      </c>
      <c r="F852" s="47" t="str">
        <f>IF(COUNTA(archive!H852:CI852)=0,"",COUNTA(archive!H852:CI852))</f>
        <v/>
      </c>
      <c r="G852" s="47" t="str">
        <f>IF(archive!G852="","",archive!G852)</f>
        <v/>
      </c>
      <c r="H852" s="51" t="str">
        <f>IF(archive!CJ852="","",archive!CJ852)</f>
        <v/>
      </c>
      <c r="I852" s="51" t="str">
        <f>IF(archive!CK852="","",archive!CK852)</f>
        <v/>
      </c>
      <c r="J852" s="47" t="str">
        <f t="shared" si="185"/>
        <v/>
      </c>
      <c r="K852" s="51" t="str">
        <f t="shared" si="186"/>
        <v/>
      </c>
      <c r="L852" s="52" t="str">
        <f t="shared" si="187"/>
        <v/>
      </c>
      <c r="M852" s="53" t="str">
        <f t="shared" si="188"/>
        <v/>
      </c>
      <c r="N852" s="53" t="str">
        <f t="shared" si="189"/>
        <v/>
      </c>
      <c r="O852" s="53" t="str">
        <f t="shared" si="190"/>
        <v/>
      </c>
      <c r="P852" s="53" t="str">
        <f t="shared" si="191"/>
        <v/>
      </c>
      <c r="Q852" s="53" t="str">
        <f t="shared" si="192"/>
        <v/>
      </c>
      <c r="R852" s="53" t="str">
        <f t="shared" si="193"/>
        <v/>
      </c>
      <c r="S852" s="53" t="str">
        <f t="shared" si="194"/>
        <v/>
      </c>
      <c r="T852" s="53" t="str">
        <f t="shared" si="195"/>
        <v/>
      </c>
    </row>
    <row r="853" spans="1:20">
      <c r="A853" s="47" t="str">
        <f>IF(archive!E853="","",archive!E853)</f>
        <v/>
      </c>
      <c r="B853" s="48" t="str">
        <f t="shared" si="182"/>
        <v/>
      </c>
      <c r="C853" s="49" t="str">
        <f>IF(archive!F853="","",archive!F853)</f>
        <v/>
      </c>
      <c r="D853" s="50" t="str">
        <f t="shared" si="183"/>
        <v/>
      </c>
      <c r="E853" s="50" t="str">
        <f t="shared" si="184"/>
        <v/>
      </c>
      <c r="F853" s="47" t="str">
        <f>IF(COUNTA(archive!H853:CI853)=0,"",COUNTA(archive!H853:CI853))</f>
        <v/>
      </c>
      <c r="G853" s="47" t="str">
        <f>IF(archive!G853="","",archive!G853)</f>
        <v/>
      </c>
      <c r="H853" s="51" t="str">
        <f>IF(archive!CJ853="","",archive!CJ853)</f>
        <v/>
      </c>
      <c r="I853" s="51" t="str">
        <f>IF(archive!CK853="","",archive!CK853)</f>
        <v/>
      </c>
      <c r="J853" s="47" t="str">
        <f t="shared" si="185"/>
        <v/>
      </c>
      <c r="K853" s="51" t="str">
        <f t="shared" si="186"/>
        <v/>
      </c>
      <c r="L853" s="52" t="str">
        <f t="shared" si="187"/>
        <v/>
      </c>
      <c r="M853" s="53" t="str">
        <f t="shared" si="188"/>
        <v/>
      </c>
      <c r="N853" s="53" t="str">
        <f t="shared" si="189"/>
        <v/>
      </c>
      <c r="O853" s="53" t="str">
        <f t="shared" si="190"/>
        <v/>
      </c>
      <c r="P853" s="53" t="str">
        <f t="shared" si="191"/>
        <v/>
      </c>
      <c r="Q853" s="53" t="str">
        <f t="shared" si="192"/>
        <v/>
      </c>
      <c r="R853" s="53" t="str">
        <f t="shared" si="193"/>
        <v/>
      </c>
      <c r="S853" s="53" t="str">
        <f t="shared" si="194"/>
        <v/>
      </c>
      <c r="T853" s="53" t="str">
        <f t="shared" si="195"/>
        <v/>
      </c>
    </row>
    <row r="854" spans="1:20">
      <c r="A854" s="47" t="str">
        <f>IF(archive!E854="","",archive!E854)</f>
        <v/>
      </c>
      <c r="B854" s="48" t="str">
        <f t="shared" si="182"/>
        <v/>
      </c>
      <c r="C854" s="49" t="str">
        <f>IF(archive!F854="","",archive!F854)</f>
        <v/>
      </c>
      <c r="D854" s="50" t="str">
        <f t="shared" si="183"/>
        <v/>
      </c>
      <c r="E854" s="50" t="str">
        <f t="shared" si="184"/>
        <v/>
      </c>
      <c r="F854" s="47" t="str">
        <f>IF(COUNTA(archive!H854:CI854)=0,"",COUNTA(archive!H854:CI854))</f>
        <v/>
      </c>
      <c r="G854" s="47" t="str">
        <f>IF(archive!G854="","",archive!G854)</f>
        <v/>
      </c>
      <c r="H854" s="51" t="str">
        <f>IF(archive!CJ854="","",archive!CJ854)</f>
        <v/>
      </c>
      <c r="I854" s="51" t="str">
        <f>IF(archive!CK854="","",archive!CK854)</f>
        <v/>
      </c>
      <c r="J854" s="47" t="str">
        <f t="shared" si="185"/>
        <v/>
      </c>
      <c r="K854" s="51" t="str">
        <f t="shared" si="186"/>
        <v/>
      </c>
      <c r="L854" s="52" t="str">
        <f t="shared" si="187"/>
        <v/>
      </c>
      <c r="M854" s="53" t="str">
        <f t="shared" si="188"/>
        <v/>
      </c>
      <c r="N854" s="53" t="str">
        <f t="shared" si="189"/>
        <v/>
      </c>
      <c r="O854" s="53" t="str">
        <f t="shared" si="190"/>
        <v/>
      </c>
      <c r="P854" s="53" t="str">
        <f t="shared" si="191"/>
        <v/>
      </c>
      <c r="Q854" s="53" t="str">
        <f t="shared" si="192"/>
        <v/>
      </c>
      <c r="R854" s="53" t="str">
        <f t="shared" si="193"/>
        <v/>
      </c>
      <c r="S854" s="53" t="str">
        <f t="shared" si="194"/>
        <v/>
      </c>
      <c r="T854" s="53" t="str">
        <f t="shared" si="195"/>
        <v/>
      </c>
    </row>
    <row r="855" spans="1:20">
      <c r="A855" s="47" t="str">
        <f>IF(archive!E855="","",archive!E855)</f>
        <v/>
      </c>
      <c r="B855" s="48" t="str">
        <f t="shared" si="182"/>
        <v/>
      </c>
      <c r="C855" s="49" t="str">
        <f>IF(archive!F855="","",archive!F855)</f>
        <v/>
      </c>
      <c r="D855" s="50" t="str">
        <f t="shared" si="183"/>
        <v/>
      </c>
      <c r="E855" s="50" t="str">
        <f t="shared" si="184"/>
        <v/>
      </c>
      <c r="F855" s="47" t="str">
        <f>IF(COUNTA(archive!H855:CI855)=0,"",COUNTA(archive!H855:CI855))</f>
        <v/>
      </c>
      <c r="G855" s="47" t="str">
        <f>IF(archive!G855="","",archive!G855)</f>
        <v/>
      </c>
      <c r="H855" s="51" t="str">
        <f>IF(archive!CJ855="","",archive!CJ855)</f>
        <v/>
      </c>
      <c r="I855" s="51" t="str">
        <f>IF(archive!CK855="","",archive!CK855)</f>
        <v/>
      </c>
      <c r="J855" s="47" t="str">
        <f t="shared" si="185"/>
        <v/>
      </c>
      <c r="K855" s="51" t="str">
        <f t="shared" si="186"/>
        <v/>
      </c>
      <c r="L855" s="52" t="str">
        <f t="shared" si="187"/>
        <v/>
      </c>
      <c r="M855" s="53" t="str">
        <f t="shared" si="188"/>
        <v/>
      </c>
      <c r="N855" s="53" t="str">
        <f t="shared" si="189"/>
        <v/>
      </c>
      <c r="O855" s="53" t="str">
        <f t="shared" si="190"/>
        <v/>
      </c>
      <c r="P855" s="53" t="str">
        <f t="shared" si="191"/>
        <v/>
      </c>
      <c r="Q855" s="53" t="str">
        <f t="shared" si="192"/>
        <v/>
      </c>
      <c r="R855" s="53" t="str">
        <f t="shared" si="193"/>
        <v/>
      </c>
      <c r="S855" s="53" t="str">
        <f t="shared" si="194"/>
        <v/>
      </c>
      <c r="T855" s="53" t="str">
        <f t="shared" si="195"/>
        <v/>
      </c>
    </row>
    <row r="856" spans="1:20">
      <c r="A856" s="47" t="str">
        <f>IF(archive!E856="","",archive!E856)</f>
        <v/>
      </c>
      <c r="B856" s="48" t="str">
        <f t="shared" si="182"/>
        <v/>
      </c>
      <c r="C856" s="49" t="str">
        <f>IF(archive!F856="","",archive!F856)</f>
        <v/>
      </c>
      <c r="D856" s="50" t="str">
        <f t="shared" si="183"/>
        <v/>
      </c>
      <c r="E856" s="50" t="str">
        <f t="shared" si="184"/>
        <v/>
      </c>
      <c r="F856" s="47" t="str">
        <f>IF(COUNTA(archive!H856:CI856)=0,"",COUNTA(archive!H856:CI856))</f>
        <v/>
      </c>
      <c r="G856" s="47" t="str">
        <f>IF(archive!G856="","",archive!G856)</f>
        <v/>
      </c>
      <c r="H856" s="51" t="str">
        <f>IF(archive!CJ856="","",archive!CJ856)</f>
        <v/>
      </c>
      <c r="I856" s="51" t="str">
        <f>IF(archive!CK856="","",archive!CK856)</f>
        <v/>
      </c>
      <c r="J856" s="47" t="str">
        <f t="shared" si="185"/>
        <v/>
      </c>
      <c r="K856" s="51" t="str">
        <f t="shared" si="186"/>
        <v/>
      </c>
      <c r="L856" s="52" t="str">
        <f t="shared" si="187"/>
        <v/>
      </c>
      <c r="M856" s="53" t="str">
        <f t="shared" si="188"/>
        <v/>
      </c>
      <c r="N856" s="53" t="str">
        <f t="shared" si="189"/>
        <v/>
      </c>
      <c r="O856" s="53" t="str">
        <f t="shared" si="190"/>
        <v/>
      </c>
      <c r="P856" s="53" t="str">
        <f t="shared" si="191"/>
        <v/>
      </c>
      <c r="Q856" s="53" t="str">
        <f t="shared" si="192"/>
        <v/>
      </c>
      <c r="R856" s="53" t="str">
        <f t="shared" si="193"/>
        <v/>
      </c>
      <c r="S856" s="53" t="str">
        <f t="shared" si="194"/>
        <v/>
      </c>
      <c r="T856" s="53" t="str">
        <f t="shared" si="195"/>
        <v/>
      </c>
    </row>
    <row r="857" spans="1:20">
      <c r="A857" s="47" t="str">
        <f>IF(archive!E857="","",archive!E857)</f>
        <v/>
      </c>
      <c r="B857" s="48" t="str">
        <f t="shared" si="182"/>
        <v/>
      </c>
      <c r="C857" s="49" t="str">
        <f>IF(archive!F857="","",archive!F857)</f>
        <v/>
      </c>
      <c r="D857" s="50" t="str">
        <f t="shared" si="183"/>
        <v/>
      </c>
      <c r="E857" s="50" t="str">
        <f t="shared" si="184"/>
        <v/>
      </c>
      <c r="F857" s="47" t="str">
        <f>IF(COUNTA(archive!H857:CI857)=0,"",COUNTA(archive!H857:CI857))</f>
        <v/>
      </c>
      <c r="G857" s="47" t="str">
        <f>IF(archive!G857="","",archive!G857)</f>
        <v/>
      </c>
      <c r="H857" s="51" t="str">
        <f>IF(archive!CJ857="","",archive!CJ857)</f>
        <v/>
      </c>
      <c r="I857" s="51" t="str">
        <f>IF(archive!CK857="","",archive!CK857)</f>
        <v/>
      </c>
      <c r="J857" s="47" t="str">
        <f t="shared" si="185"/>
        <v/>
      </c>
      <c r="K857" s="51" t="str">
        <f t="shared" si="186"/>
        <v/>
      </c>
      <c r="L857" s="52" t="str">
        <f t="shared" si="187"/>
        <v/>
      </c>
      <c r="M857" s="53" t="str">
        <f t="shared" si="188"/>
        <v/>
      </c>
      <c r="N857" s="53" t="str">
        <f t="shared" si="189"/>
        <v/>
      </c>
      <c r="O857" s="53" t="str">
        <f t="shared" si="190"/>
        <v/>
      </c>
      <c r="P857" s="53" t="str">
        <f t="shared" si="191"/>
        <v/>
      </c>
      <c r="Q857" s="53" t="str">
        <f t="shared" si="192"/>
        <v/>
      </c>
      <c r="R857" s="53" t="str">
        <f t="shared" si="193"/>
        <v/>
      </c>
      <c r="S857" s="53" t="str">
        <f t="shared" si="194"/>
        <v/>
      </c>
      <c r="T857" s="53" t="str">
        <f t="shared" si="195"/>
        <v/>
      </c>
    </row>
    <row r="858" spans="1:20">
      <c r="A858" s="47" t="str">
        <f>IF(archive!E858="","",archive!E858)</f>
        <v/>
      </c>
      <c r="B858" s="48" t="str">
        <f t="shared" si="182"/>
        <v/>
      </c>
      <c r="C858" s="49" t="str">
        <f>IF(archive!F858="","",archive!F858)</f>
        <v/>
      </c>
      <c r="D858" s="50" t="str">
        <f t="shared" si="183"/>
        <v/>
      </c>
      <c r="E858" s="50" t="str">
        <f t="shared" si="184"/>
        <v/>
      </c>
      <c r="F858" s="47" t="str">
        <f>IF(COUNTA(archive!H858:CI858)=0,"",COUNTA(archive!H858:CI858))</f>
        <v/>
      </c>
      <c r="G858" s="47" t="str">
        <f>IF(archive!G858="","",archive!G858)</f>
        <v/>
      </c>
      <c r="H858" s="51" t="str">
        <f>IF(archive!CJ858="","",archive!CJ858)</f>
        <v/>
      </c>
      <c r="I858" s="51" t="str">
        <f>IF(archive!CK858="","",archive!CK858)</f>
        <v/>
      </c>
      <c r="J858" s="47" t="str">
        <f t="shared" si="185"/>
        <v/>
      </c>
      <c r="K858" s="51" t="str">
        <f t="shared" si="186"/>
        <v/>
      </c>
      <c r="L858" s="52" t="str">
        <f t="shared" si="187"/>
        <v/>
      </c>
      <c r="M858" s="53" t="str">
        <f t="shared" si="188"/>
        <v/>
      </c>
      <c r="N858" s="53" t="str">
        <f t="shared" si="189"/>
        <v/>
      </c>
      <c r="O858" s="53" t="str">
        <f t="shared" si="190"/>
        <v/>
      </c>
      <c r="P858" s="53" t="str">
        <f t="shared" si="191"/>
        <v/>
      </c>
      <c r="Q858" s="53" t="str">
        <f t="shared" si="192"/>
        <v/>
      </c>
      <c r="R858" s="53" t="str">
        <f t="shared" si="193"/>
        <v/>
      </c>
      <c r="S858" s="53" t="str">
        <f t="shared" si="194"/>
        <v/>
      </c>
      <c r="T858" s="53" t="str">
        <f t="shared" si="195"/>
        <v/>
      </c>
    </row>
    <row r="859" spans="1:20">
      <c r="A859" s="47" t="str">
        <f>IF(archive!E859="","",archive!E859)</f>
        <v/>
      </c>
      <c r="B859" s="48" t="str">
        <f t="shared" si="182"/>
        <v/>
      </c>
      <c r="C859" s="49" t="str">
        <f>IF(archive!F859="","",archive!F859)</f>
        <v/>
      </c>
      <c r="D859" s="50" t="str">
        <f t="shared" si="183"/>
        <v/>
      </c>
      <c r="E859" s="50" t="str">
        <f t="shared" si="184"/>
        <v/>
      </c>
      <c r="F859" s="47" t="str">
        <f>IF(COUNTA(archive!H859:CI859)=0,"",COUNTA(archive!H859:CI859))</f>
        <v/>
      </c>
      <c r="G859" s="47" t="str">
        <f>IF(archive!G859="","",archive!G859)</f>
        <v/>
      </c>
      <c r="H859" s="51" t="str">
        <f>IF(archive!CJ859="","",archive!CJ859)</f>
        <v/>
      </c>
      <c r="I859" s="51" t="str">
        <f>IF(archive!CK859="","",archive!CK859)</f>
        <v/>
      </c>
      <c r="J859" s="47" t="str">
        <f t="shared" si="185"/>
        <v/>
      </c>
      <c r="K859" s="51" t="str">
        <f t="shared" si="186"/>
        <v/>
      </c>
      <c r="L859" s="52" t="str">
        <f t="shared" si="187"/>
        <v/>
      </c>
      <c r="M859" s="53" t="str">
        <f t="shared" si="188"/>
        <v/>
      </c>
      <c r="N859" s="53" t="str">
        <f t="shared" si="189"/>
        <v/>
      </c>
      <c r="O859" s="53" t="str">
        <f t="shared" si="190"/>
        <v/>
      </c>
      <c r="P859" s="53" t="str">
        <f t="shared" si="191"/>
        <v/>
      </c>
      <c r="Q859" s="53" t="str">
        <f t="shared" si="192"/>
        <v/>
      </c>
      <c r="R859" s="53" t="str">
        <f t="shared" si="193"/>
        <v/>
      </c>
      <c r="S859" s="53" t="str">
        <f t="shared" si="194"/>
        <v/>
      </c>
      <c r="T859" s="53" t="str">
        <f t="shared" si="195"/>
        <v/>
      </c>
    </row>
    <row r="860" spans="1:20">
      <c r="A860" s="47" t="str">
        <f>IF(archive!E860="","",archive!E860)</f>
        <v/>
      </c>
      <c r="B860" s="48" t="str">
        <f t="shared" si="182"/>
        <v/>
      </c>
      <c r="C860" s="49" t="str">
        <f>IF(archive!F860="","",archive!F860)</f>
        <v/>
      </c>
      <c r="D860" s="50" t="str">
        <f t="shared" si="183"/>
        <v/>
      </c>
      <c r="E860" s="50" t="str">
        <f t="shared" si="184"/>
        <v/>
      </c>
      <c r="F860" s="47" t="str">
        <f>IF(COUNTA(archive!H860:CI860)=0,"",COUNTA(archive!H860:CI860))</f>
        <v/>
      </c>
      <c r="G860" s="47" t="str">
        <f>IF(archive!G860="","",archive!G860)</f>
        <v/>
      </c>
      <c r="H860" s="51" t="str">
        <f>IF(archive!CJ860="","",archive!CJ860)</f>
        <v/>
      </c>
      <c r="I860" s="51" t="str">
        <f>IF(archive!CK860="","",archive!CK860)</f>
        <v/>
      </c>
      <c r="J860" s="47" t="str">
        <f t="shared" si="185"/>
        <v/>
      </c>
      <c r="K860" s="51" t="str">
        <f t="shared" si="186"/>
        <v/>
      </c>
      <c r="L860" s="52" t="str">
        <f t="shared" si="187"/>
        <v/>
      </c>
      <c r="M860" s="53" t="str">
        <f t="shared" si="188"/>
        <v/>
      </c>
      <c r="N860" s="53" t="str">
        <f t="shared" si="189"/>
        <v/>
      </c>
      <c r="O860" s="53" t="str">
        <f t="shared" si="190"/>
        <v/>
      </c>
      <c r="P860" s="53" t="str">
        <f t="shared" si="191"/>
        <v/>
      </c>
      <c r="Q860" s="53" t="str">
        <f t="shared" si="192"/>
        <v/>
      </c>
      <c r="R860" s="53" t="str">
        <f t="shared" si="193"/>
        <v/>
      </c>
      <c r="S860" s="53" t="str">
        <f t="shared" si="194"/>
        <v/>
      </c>
      <c r="T860" s="53" t="str">
        <f t="shared" si="195"/>
        <v/>
      </c>
    </row>
    <row r="861" spans="1:20">
      <c r="A861" s="47" t="str">
        <f>IF(archive!E861="","",archive!E861)</f>
        <v/>
      </c>
      <c r="B861" s="48" t="str">
        <f t="shared" si="182"/>
        <v/>
      </c>
      <c r="C861" s="49" t="str">
        <f>IF(archive!F861="","",archive!F861)</f>
        <v/>
      </c>
      <c r="D861" s="50" t="str">
        <f t="shared" si="183"/>
        <v/>
      </c>
      <c r="E861" s="50" t="str">
        <f t="shared" si="184"/>
        <v/>
      </c>
      <c r="F861" s="47" t="str">
        <f>IF(COUNTA(archive!H861:CI861)=0,"",COUNTA(archive!H861:CI861))</f>
        <v/>
      </c>
      <c r="G861" s="47" t="str">
        <f>IF(archive!G861="","",archive!G861)</f>
        <v/>
      </c>
      <c r="H861" s="51" t="str">
        <f>IF(archive!CJ861="","",archive!CJ861)</f>
        <v/>
      </c>
      <c r="I861" s="51" t="str">
        <f>IF(archive!CK861="","",archive!CK861)</f>
        <v/>
      </c>
      <c r="J861" s="47" t="str">
        <f t="shared" si="185"/>
        <v/>
      </c>
      <c r="K861" s="51" t="str">
        <f t="shared" si="186"/>
        <v/>
      </c>
      <c r="L861" s="52" t="str">
        <f t="shared" si="187"/>
        <v/>
      </c>
      <c r="M861" s="53" t="str">
        <f t="shared" si="188"/>
        <v/>
      </c>
      <c r="N861" s="53" t="str">
        <f t="shared" si="189"/>
        <v/>
      </c>
      <c r="O861" s="53" t="str">
        <f t="shared" si="190"/>
        <v/>
      </c>
      <c r="P861" s="53" t="str">
        <f t="shared" si="191"/>
        <v/>
      </c>
      <c r="Q861" s="53" t="str">
        <f t="shared" si="192"/>
        <v/>
      </c>
      <c r="R861" s="53" t="str">
        <f t="shared" si="193"/>
        <v/>
      </c>
      <c r="S861" s="53" t="str">
        <f t="shared" si="194"/>
        <v/>
      </c>
      <c r="T861" s="53" t="str">
        <f t="shared" si="195"/>
        <v/>
      </c>
    </row>
    <row r="862" spans="1:20">
      <c r="A862" s="47" t="str">
        <f>IF(archive!E862="","",archive!E862)</f>
        <v/>
      </c>
      <c r="B862" s="48" t="str">
        <f t="shared" si="182"/>
        <v/>
      </c>
      <c r="C862" s="49" t="str">
        <f>IF(archive!F862="","",archive!F862)</f>
        <v/>
      </c>
      <c r="D862" s="50" t="str">
        <f t="shared" si="183"/>
        <v/>
      </c>
      <c r="E862" s="50" t="str">
        <f t="shared" si="184"/>
        <v/>
      </c>
      <c r="F862" s="47" t="str">
        <f>IF(COUNTA(archive!H862:CI862)=0,"",COUNTA(archive!H862:CI862))</f>
        <v/>
      </c>
      <c r="G862" s="47" t="str">
        <f>IF(archive!G862="","",archive!G862)</f>
        <v/>
      </c>
      <c r="H862" s="51" t="str">
        <f>IF(archive!CJ862="","",archive!CJ862)</f>
        <v/>
      </c>
      <c r="I862" s="51" t="str">
        <f>IF(archive!CK862="","",archive!CK862)</f>
        <v/>
      </c>
      <c r="J862" s="47" t="str">
        <f t="shared" si="185"/>
        <v/>
      </c>
      <c r="K862" s="51" t="str">
        <f t="shared" si="186"/>
        <v/>
      </c>
      <c r="L862" s="52" t="str">
        <f t="shared" si="187"/>
        <v/>
      </c>
      <c r="M862" s="53" t="str">
        <f t="shared" si="188"/>
        <v/>
      </c>
      <c r="N862" s="53" t="str">
        <f t="shared" si="189"/>
        <v/>
      </c>
      <c r="O862" s="53" t="str">
        <f t="shared" si="190"/>
        <v/>
      </c>
      <c r="P862" s="53" t="str">
        <f t="shared" si="191"/>
        <v/>
      </c>
      <c r="Q862" s="53" t="str">
        <f t="shared" si="192"/>
        <v/>
      </c>
      <c r="R862" s="53" t="str">
        <f t="shared" si="193"/>
        <v/>
      </c>
      <c r="S862" s="53" t="str">
        <f t="shared" si="194"/>
        <v/>
      </c>
      <c r="T862" s="53" t="str">
        <f t="shared" si="195"/>
        <v/>
      </c>
    </row>
    <row r="863" spans="1:20">
      <c r="A863" s="47" t="str">
        <f>IF(archive!E863="","",archive!E863)</f>
        <v/>
      </c>
      <c r="B863" s="48" t="str">
        <f t="shared" si="182"/>
        <v/>
      </c>
      <c r="C863" s="49" t="str">
        <f>IF(archive!F863="","",archive!F863)</f>
        <v/>
      </c>
      <c r="D863" s="50" t="str">
        <f t="shared" si="183"/>
        <v/>
      </c>
      <c r="E863" s="50" t="str">
        <f t="shared" si="184"/>
        <v/>
      </c>
      <c r="F863" s="47" t="str">
        <f>IF(COUNTA(archive!H863:CI863)=0,"",COUNTA(archive!H863:CI863))</f>
        <v/>
      </c>
      <c r="G863" s="47" t="str">
        <f>IF(archive!G863="","",archive!G863)</f>
        <v/>
      </c>
      <c r="H863" s="51" t="str">
        <f>IF(archive!CJ863="","",archive!CJ863)</f>
        <v/>
      </c>
      <c r="I863" s="51" t="str">
        <f>IF(archive!CK863="","",archive!CK863)</f>
        <v/>
      </c>
      <c r="J863" s="47" t="str">
        <f t="shared" si="185"/>
        <v/>
      </c>
      <c r="K863" s="51" t="str">
        <f t="shared" si="186"/>
        <v/>
      </c>
      <c r="L863" s="52" t="str">
        <f t="shared" si="187"/>
        <v/>
      </c>
      <c r="M863" s="53" t="str">
        <f t="shared" si="188"/>
        <v/>
      </c>
      <c r="N863" s="53" t="str">
        <f t="shared" si="189"/>
        <v/>
      </c>
      <c r="O863" s="53" t="str">
        <f t="shared" si="190"/>
        <v/>
      </c>
      <c r="P863" s="53" t="str">
        <f t="shared" si="191"/>
        <v/>
      </c>
      <c r="Q863" s="53" t="str">
        <f t="shared" si="192"/>
        <v/>
      </c>
      <c r="R863" s="53" t="str">
        <f t="shared" si="193"/>
        <v/>
      </c>
      <c r="S863" s="53" t="str">
        <f t="shared" si="194"/>
        <v/>
      </c>
      <c r="T863" s="53" t="str">
        <f t="shared" si="195"/>
        <v/>
      </c>
    </row>
    <row r="864" spans="1:20">
      <c r="A864" s="47" t="str">
        <f>IF(archive!E864="","",archive!E864)</f>
        <v/>
      </c>
      <c r="B864" s="48" t="str">
        <f t="shared" si="182"/>
        <v/>
      </c>
      <c r="C864" s="49" t="str">
        <f>IF(archive!F864="","",archive!F864)</f>
        <v/>
      </c>
      <c r="D864" s="50" t="str">
        <f t="shared" si="183"/>
        <v/>
      </c>
      <c r="E864" s="50" t="str">
        <f t="shared" si="184"/>
        <v/>
      </c>
      <c r="F864" s="47" t="str">
        <f>IF(COUNTA(archive!H864:CI864)=0,"",COUNTA(archive!H864:CI864))</f>
        <v/>
      </c>
      <c r="G864" s="47" t="str">
        <f>IF(archive!G864="","",archive!G864)</f>
        <v/>
      </c>
      <c r="H864" s="51" t="str">
        <f>IF(archive!CJ864="","",archive!CJ864)</f>
        <v/>
      </c>
      <c r="I864" s="51" t="str">
        <f>IF(archive!CK864="","",archive!CK864)</f>
        <v/>
      </c>
      <c r="J864" s="47" t="str">
        <f t="shared" si="185"/>
        <v/>
      </c>
      <c r="K864" s="51" t="str">
        <f t="shared" si="186"/>
        <v/>
      </c>
      <c r="L864" s="52" t="str">
        <f t="shared" si="187"/>
        <v/>
      </c>
      <c r="M864" s="53" t="str">
        <f t="shared" si="188"/>
        <v/>
      </c>
      <c r="N864" s="53" t="str">
        <f t="shared" si="189"/>
        <v/>
      </c>
      <c r="O864" s="53" t="str">
        <f t="shared" si="190"/>
        <v/>
      </c>
      <c r="P864" s="53" t="str">
        <f t="shared" si="191"/>
        <v/>
      </c>
      <c r="Q864" s="53" t="str">
        <f t="shared" si="192"/>
        <v/>
      </c>
      <c r="R864" s="53" t="str">
        <f t="shared" si="193"/>
        <v/>
      </c>
      <c r="S864" s="53" t="str">
        <f t="shared" si="194"/>
        <v/>
      </c>
      <c r="T864" s="53" t="str">
        <f t="shared" si="195"/>
        <v/>
      </c>
    </row>
    <row r="865" spans="1:20">
      <c r="A865" s="47" t="str">
        <f>IF(archive!E865="","",archive!E865)</f>
        <v/>
      </c>
      <c r="B865" s="48" t="str">
        <f t="shared" si="182"/>
        <v/>
      </c>
      <c r="C865" s="49" t="str">
        <f>IF(archive!F865="","",archive!F865)</f>
        <v/>
      </c>
      <c r="D865" s="50" t="str">
        <f t="shared" si="183"/>
        <v/>
      </c>
      <c r="E865" s="50" t="str">
        <f t="shared" si="184"/>
        <v/>
      </c>
      <c r="F865" s="47" t="str">
        <f>IF(COUNTA(archive!H865:CI865)=0,"",COUNTA(archive!H865:CI865))</f>
        <v/>
      </c>
      <c r="G865" s="47" t="str">
        <f>IF(archive!G865="","",archive!G865)</f>
        <v/>
      </c>
      <c r="H865" s="51" t="str">
        <f>IF(archive!CJ865="","",archive!CJ865)</f>
        <v/>
      </c>
      <c r="I865" s="51" t="str">
        <f>IF(archive!CK865="","",archive!CK865)</f>
        <v/>
      </c>
      <c r="J865" s="47" t="str">
        <f t="shared" si="185"/>
        <v/>
      </c>
      <c r="K865" s="51" t="str">
        <f t="shared" si="186"/>
        <v/>
      </c>
      <c r="L865" s="52" t="str">
        <f t="shared" si="187"/>
        <v/>
      </c>
      <c r="M865" s="53" t="str">
        <f t="shared" si="188"/>
        <v/>
      </c>
      <c r="N865" s="53" t="str">
        <f t="shared" si="189"/>
        <v/>
      </c>
      <c r="O865" s="53" t="str">
        <f t="shared" si="190"/>
        <v/>
      </c>
      <c r="P865" s="53" t="str">
        <f t="shared" si="191"/>
        <v/>
      </c>
      <c r="Q865" s="53" t="str">
        <f t="shared" si="192"/>
        <v/>
      </c>
      <c r="R865" s="53" t="str">
        <f t="shared" si="193"/>
        <v/>
      </c>
      <c r="S865" s="53" t="str">
        <f t="shared" si="194"/>
        <v/>
      </c>
      <c r="T865" s="53" t="str">
        <f t="shared" si="195"/>
        <v/>
      </c>
    </row>
    <row r="866" spans="1:20">
      <c r="A866" s="47" t="str">
        <f>IF(archive!E866="","",archive!E866)</f>
        <v/>
      </c>
      <c r="B866" s="48" t="str">
        <f t="shared" si="182"/>
        <v/>
      </c>
      <c r="C866" s="49" t="str">
        <f>IF(archive!F866="","",archive!F866)</f>
        <v/>
      </c>
      <c r="D866" s="50" t="str">
        <f t="shared" si="183"/>
        <v/>
      </c>
      <c r="E866" s="50" t="str">
        <f t="shared" si="184"/>
        <v/>
      </c>
      <c r="F866" s="47" t="str">
        <f>IF(COUNTA(archive!H866:CI866)=0,"",COUNTA(archive!H866:CI866))</f>
        <v/>
      </c>
      <c r="G866" s="47" t="str">
        <f>IF(archive!G866="","",archive!G866)</f>
        <v/>
      </c>
      <c r="H866" s="51" t="str">
        <f>IF(archive!CJ866="","",archive!CJ866)</f>
        <v/>
      </c>
      <c r="I866" s="51" t="str">
        <f>IF(archive!CK866="","",archive!CK866)</f>
        <v/>
      </c>
      <c r="J866" s="47" t="str">
        <f t="shared" si="185"/>
        <v/>
      </c>
      <c r="K866" s="51" t="str">
        <f t="shared" si="186"/>
        <v/>
      </c>
      <c r="L866" s="52" t="str">
        <f t="shared" si="187"/>
        <v/>
      </c>
      <c r="M866" s="53" t="str">
        <f t="shared" si="188"/>
        <v/>
      </c>
      <c r="N866" s="53" t="str">
        <f t="shared" si="189"/>
        <v/>
      </c>
      <c r="O866" s="53" t="str">
        <f t="shared" si="190"/>
        <v/>
      </c>
      <c r="P866" s="53" t="str">
        <f t="shared" si="191"/>
        <v/>
      </c>
      <c r="Q866" s="53" t="str">
        <f t="shared" si="192"/>
        <v/>
      </c>
      <c r="R866" s="53" t="str">
        <f t="shared" si="193"/>
        <v/>
      </c>
      <c r="S866" s="53" t="str">
        <f t="shared" si="194"/>
        <v/>
      </c>
      <c r="T866" s="53" t="str">
        <f t="shared" si="195"/>
        <v/>
      </c>
    </row>
    <row r="867" spans="1:20">
      <c r="A867" s="47" t="str">
        <f>IF(archive!E867="","",archive!E867)</f>
        <v/>
      </c>
      <c r="B867" s="48" t="str">
        <f t="shared" si="182"/>
        <v/>
      </c>
      <c r="C867" s="49" t="str">
        <f>IF(archive!F867="","",archive!F867)</f>
        <v/>
      </c>
      <c r="D867" s="50" t="str">
        <f t="shared" si="183"/>
        <v/>
      </c>
      <c r="E867" s="50" t="str">
        <f t="shared" si="184"/>
        <v/>
      </c>
      <c r="F867" s="47" t="str">
        <f>IF(COUNTA(archive!H867:CI867)=0,"",COUNTA(archive!H867:CI867))</f>
        <v/>
      </c>
      <c r="G867" s="47" t="str">
        <f>IF(archive!G867="","",archive!G867)</f>
        <v/>
      </c>
      <c r="H867" s="51" t="str">
        <f>IF(archive!CJ867="","",archive!CJ867)</f>
        <v/>
      </c>
      <c r="I867" s="51" t="str">
        <f>IF(archive!CK867="","",archive!CK867)</f>
        <v/>
      </c>
      <c r="J867" s="47" t="str">
        <f t="shared" si="185"/>
        <v/>
      </c>
      <c r="K867" s="51" t="str">
        <f t="shared" si="186"/>
        <v/>
      </c>
      <c r="L867" s="52" t="str">
        <f t="shared" si="187"/>
        <v/>
      </c>
      <c r="M867" s="53" t="str">
        <f t="shared" si="188"/>
        <v/>
      </c>
      <c r="N867" s="53" t="str">
        <f t="shared" si="189"/>
        <v/>
      </c>
      <c r="O867" s="53" t="str">
        <f t="shared" si="190"/>
        <v/>
      </c>
      <c r="P867" s="53" t="str">
        <f t="shared" si="191"/>
        <v/>
      </c>
      <c r="Q867" s="53" t="str">
        <f t="shared" si="192"/>
        <v/>
      </c>
      <c r="R867" s="53" t="str">
        <f t="shared" si="193"/>
        <v/>
      </c>
      <c r="S867" s="53" t="str">
        <f t="shared" si="194"/>
        <v/>
      </c>
      <c r="T867" s="53" t="str">
        <f t="shared" si="195"/>
        <v/>
      </c>
    </row>
    <row r="868" spans="1:20">
      <c r="A868" s="47" t="str">
        <f>IF(archive!E868="","",archive!E868)</f>
        <v/>
      </c>
      <c r="B868" s="48" t="str">
        <f t="shared" si="182"/>
        <v/>
      </c>
      <c r="C868" s="49" t="str">
        <f>IF(archive!F868="","",archive!F868)</f>
        <v/>
      </c>
      <c r="D868" s="50" t="str">
        <f t="shared" si="183"/>
        <v/>
      </c>
      <c r="E868" s="50" t="str">
        <f t="shared" si="184"/>
        <v/>
      </c>
      <c r="F868" s="47" t="str">
        <f>IF(COUNTA(archive!H868:CI868)=0,"",COUNTA(archive!H868:CI868))</f>
        <v/>
      </c>
      <c r="G868" s="47" t="str">
        <f>IF(archive!G868="","",archive!G868)</f>
        <v/>
      </c>
      <c r="H868" s="51" t="str">
        <f>IF(archive!CJ868="","",archive!CJ868)</f>
        <v/>
      </c>
      <c r="I868" s="51" t="str">
        <f>IF(archive!CK868="","",archive!CK868)</f>
        <v/>
      </c>
      <c r="J868" s="47" t="str">
        <f t="shared" si="185"/>
        <v/>
      </c>
      <c r="K868" s="51" t="str">
        <f t="shared" si="186"/>
        <v/>
      </c>
      <c r="L868" s="52" t="str">
        <f t="shared" si="187"/>
        <v/>
      </c>
      <c r="M868" s="53" t="str">
        <f t="shared" si="188"/>
        <v/>
      </c>
      <c r="N868" s="53" t="str">
        <f t="shared" si="189"/>
        <v/>
      </c>
      <c r="O868" s="53" t="str">
        <f t="shared" si="190"/>
        <v/>
      </c>
      <c r="P868" s="53" t="str">
        <f t="shared" si="191"/>
        <v/>
      </c>
      <c r="Q868" s="53" t="str">
        <f t="shared" si="192"/>
        <v/>
      </c>
      <c r="R868" s="53" t="str">
        <f t="shared" si="193"/>
        <v/>
      </c>
      <c r="S868" s="53" t="str">
        <f t="shared" si="194"/>
        <v/>
      </c>
      <c r="T868" s="53" t="str">
        <f t="shared" si="195"/>
        <v/>
      </c>
    </row>
    <row r="869" spans="1:20">
      <c r="A869" s="47" t="str">
        <f>IF(archive!E869="","",archive!E869)</f>
        <v/>
      </c>
      <c r="B869" s="48" t="str">
        <f t="shared" si="182"/>
        <v/>
      </c>
      <c r="C869" s="49" t="str">
        <f>IF(archive!F869="","",archive!F869)</f>
        <v/>
      </c>
      <c r="D869" s="50" t="str">
        <f t="shared" si="183"/>
        <v/>
      </c>
      <c r="E869" s="50" t="str">
        <f t="shared" si="184"/>
        <v/>
      </c>
      <c r="F869" s="47" t="str">
        <f>IF(COUNTA(archive!H869:CI869)=0,"",COUNTA(archive!H869:CI869))</f>
        <v/>
      </c>
      <c r="G869" s="47" t="str">
        <f>IF(archive!G869="","",archive!G869)</f>
        <v/>
      </c>
      <c r="H869" s="51" t="str">
        <f>IF(archive!CJ869="","",archive!CJ869)</f>
        <v/>
      </c>
      <c r="I869" s="51" t="str">
        <f>IF(archive!CK869="","",archive!CK869)</f>
        <v/>
      </c>
      <c r="J869" s="47" t="str">
        <f t="shared" si="185"/>
        <v/>
      </c>
      <c r="K869" s="51" t="str">
        <f t="shared" si="186"/>
        <v/>
      </c>
      <c r="L869" s="52" t="str">
        <f t="shared" si="187"/>
        <v/>
      </c>
      <c r="M869" s="53" t="str">
        <f t="shared" si="188"/>
        <v/>
      </c>
      <c r="N869" s="53" t="str">
        <f t="shared" si="189"/>
        <v/>
      </c>
      <c r="O869" s="53" t="str">
        <f t="shared" si="190"/>
        <v/>
      </c>
      <c r="P869" s="53" t="str">
        <f t="shared" si="191"/>
        <v/>
      </c>
      <c r="Q869" s="53" t="str">
        <f t="shared" si="192"/>
        <v/>
      </c>
      <c r="R869" s="53" t="str">
        <f t="shared" si="193"/>
        <v/>
      </c>
      <c r="S869" s="53" t="str">
        <f t="shared" si="194"/>
        <v/>
      </c>
      <c r="T869" s="53" t="str">
        <f t="shared" si="195"/>
        <v/>
      </c>
    </row>
    <row r="870" spans="1:20">
      <c r="A870" s="47" t="str">
        <f>IF(archive!E870="","",archive!E870)</f>
        <v/>
      </c>
      <c r="B870" s="48" t="str">
        <f t="shared" si="182"/>
        <v/>
      </c>
      <c r="C870" s="49" t="str">
        <f>IF(archive!F870="","",archive!F870)</f>
        <v/>
      </c>
      <c r="D870" s="50" t="str">
        <f t="shared" si="183"/>
        <v/>
      </c>
      <c r="E870" s="50" t="str">
        <f t="shared" si="184"/>
        <v/>
      </c>
      <c r="F870" s="47" t="str">
        <f>IF(COUNTA(archive!H870:CI870)=0,"",COUNTA(archive!H870:CI870))</f>
        <v/>
      </c>
      <c r="G870" s="47" t="str">
        <f>IF(archive!G870="","",archive!G870)</f>
        <v/>
      </c>
      <c r="H870" s="51" t="str">
        <f>IF(archive!CJ870="","",archive!CJ870)</f>
        <v/>
      </c>
      <c r="I870" s="51" t="str">
        <f>IF(archive!CK870="","",archive!CK870)</f>
        <v/>
      </c>
      <c r="J870" s="47" t="str">
        <f t="shared" si="185"/>
        <v/>
      </c>
      <c r="K870" s="51" t="str">
        <f t="shared" si="186"/>
        <v/>
      </c>
      <c r="L870" s="52" t="str">
        <f t="shared" si="187"/>
        <v/>
      </c>
      <c r="M870" s="53" t="str">
        <f t="shared" si="188"/>
        <v/>
      </c>
      <c r="N870" s="53" t="str">
        <f t="shared" si="189"/>
        <v/>
      </c>
      <c r="O870" s="53" t="str">
        <f t="shared" si="190"/>
        <v/>
      </c>
      <c r="P870" s="53" t="str">
        <f t="shared" si="191"/>
        <v/>
      </c>
      <c r="Q870" s="53" t="str">
        <f t="shared" si="192"/>
        <v/>
      </c>
      <c r="R870" s="53" t="str">
        <f t="shared" si="193"/>
        <v/>
      </c>
      <c r="S870" s="53" t="str">
        <f t="shared" si="194"/>
        <v/>
      </c>
      <c r="T870" s="53" t="str">
        <f t="shared" si="195"/>
        <v/>
      </c>
    </row>
    <row r="871" spans="1:20">
      <c r="A871" s="47" t="str">
        <f>IF(archive!E871="","",archive!E871)</f>
        <v/>
      </c>
      <c r="B871" s="48" t="str">
        <f t="shared" si="182"/>
        <v/>
      </c>
      <c r="C871" s="49" t="str">
        <f>IF(archive!F871="","",archive!F871)</f>
        <v/>
      </c>
      <c r="D871" s="50" t="str">
        <f t="shared" si="183"/>
        <v/>
      </c>
      <c r="E871" s="50" t="str">
        <f t="shared" si="184"/>
        <v/>
      </c>
      <c r="F871" s="47" t="str">
        <f>IF(COUNTA(archive!H871:CI871)=0,"",COUNTA(archive!H871:CI871))</f>
        <v/>
      </c>
      <c r="G871" s="47" t="str">
        <f>IF(archive!G871="","",archive!G871)</f>
        <v/>
      </c>
      <c r="H871" s="51" t="str">
        <f>IF(archive!CJ871="","",archive!CJ871)</f>
        <v/>
      </c>
      <c r="I871" s="51" t="str">
        <f>IF(archive!CK871="","",archive!CK871)</f>
        <v/>
      </c>
      <c r="J871" s="47" t="str">
        <f t="shared" si="185"/>
        <v/>
      </c>
      <c r="K871" s="51" t="str">
        <f t="shared" si="186"/>
        <v/>
      </c>
      <c r="L871" s="52" t="str">
        <f t="shared" si="187"/>
        <v/>
      </c>
      <c r="M871" s="53" t="str">
        <f t="shared" si="188"/>
        <v/>
      </c>
      <c r="N871" s="53" t="str">
        <f t="shared" si="189"/>
        <v/>
      </c>
      <c r="O871" s="53" t="str">
        <f t="shared" si="190"/>
        <v/>
      </c>
      <c r="P871" s="53" t="str">
        <f t="shared" si="191"/>
        <v/>
      </c>
      <c r="Q871" s="53" t="str">
        <f t="shared" si="192"/>
        <v/>
      </c>
      <c r="R871" s="53" t="str">
        <f t="shared" si="193"/>
        <v/>
      </c>
      <c r="S871" s="53" t="str">
        <f t="shared" si="194"/>
        <v/>
      </c>
      <c r="T871" s="53" t="str">
        <f t="shared" si="195"/>
        <v/>
      </c>
    </row>
    <row r="872" spans="1:20">
      <c r="A872" s="47" t="str">
        <f>IF(archive!E872="","",archive!E872)</f>
        <v/>
      </c>
      <c r="B872" s="48" t="str">
        <f t="shared" si="182"/>
        <v/>
      </c>
      <c r="C872" s="49" t="str">
        <f>IF(archive!F872="","",archive!F872)</f>
        <v/>
      </c>
      <c r="D872" s="50" t="str">
        <f t="shared" si="183"/>
        <v/>
      </c>
      <c r="E872" s="50" t="str">
        <f t="shared" si="184"/>
        <v/>
      </c>
      <c r="F872" s="47" t="str">
        <f>IF(COUNTA(archive!H872:CI872)=0,"",COUNTA(archive!H872:CI872))</f>
        <v/>
      </c>
      <c r="G872" s="47" t="str">
        <f>IF(archive!G872="","",archive!G872)</f>
        <v/>
      </c>
      <c r="H872" s="51" t="str">
        <f>IF(archive!CJ872="","",archive!CJ872)</f>
        <v/>
      </c>
      <c r="I872" s="51" t="str">
        <f>IF(archive!CK872="","",archive!CK872)</f>
        <v/>
      </c>
      <c r="J872" s="47" t="str">
        <f t="shared" si="185"/>
        <v/>
      </c>
      <c r="K872" s="51" t="str">
        <f t="shared" si="186"/>
        <v/>
      </c>
      <c r="L872" s="52" t="str">
        <f t="shared" si="187"/>
        <v/>
      </c>
      <c r="M872" s="53" t="str">
        <f t="shared" si="188"/>
        <v/>
      </c>
      <c r="N872" s="53" t="str">
        <f t="shared" si="189"/>
        <v/>
      </c>
      <c r="O872" s="53" t="str">
        <f t="shared" si="190"/>
        <v/>
      </c>
      <c r="P872" s="53" t="str">
        <f t="shared" si="191"/>
        <v/>
      </c>
      <c r="Q872" s="53" t="str">
        <f t="shared" si="192"/>
        <v/>
      </c>
      <c r="R872" s="53" t="str">
        <f t="shared" si="193"/>
        <v/>
      </c>
      <c r="S872" s="53" t="str">
        <f t="shared" si="194"/>
        <v/>
      </c>
      <c r="T872" s="53" t="str">
        <f t="shared" si="195"/>
        <v/>
      </c>
    </row>
    <row r="873" spans="1:20">
      <c r="A873" s="47" t="str">
        <f>IF(archive!E873="","",archive!E873)</f>
        <v/>
      </c>
      <c r="B873" s="48" t="str">
        <f t="shared" si="182"/>
        <v/>
      </c>
      <c r="C873" s="49" t="str">
        <f>IF(archive!F873="","",archive!F873)</f>
        <v/>
      </c>
      <c r="D873" s="50" t="str">
        <f t="shared" si="183"/>
        <v/>
      </c>
      <c r="E873" s="50" t="str">
        <f t="shared" si="184"/>
        <v/>
      </c>
      <c r="F873" s="47" t="str">
        <f>IF(COUNTA(archive!H873:CI873)=0,"",COUNTA(archive!H873:CI873))</f>
        <v/>
      </c>
      <c r="G873" s="47" t="str">
        <f>IF(archive!G873="","",archive!G873)</f>
        <v/>
      </c>
      <c r="H873" s="51" t="str">
        <f>IF(archive!CJ873="","",archive!CJ873)</f>
        <v/>
      </c>
      <c r="I873" s="51" t="str">
        <f>IF(archive!CK873="","",archive!CK873)</f>
        <v/>
      </c>
      <c r="J873" s="47" t="str">
        <f t="shared" si="185"/>
        <v/>
      </c>
      <c r="K873" s="51" t="str">
        <f t="shared" si="186"/>
        <v/>
      </c>
      <c r="L873" s="52" t="str">
        <f t="shared" si="187"/>
        <v/>
      </c>
      <c r="M873" s="53" t="str">
        <f t="shared" si="188"/>
        <v/>
      </c>
      <c r="N873" s="53" t="str">
        <f t="shared" si="189"/>
        <v/>
      </c>
      <c r="O873" s="53" t="str">
        <f t="shared" si="190"/>
        <v/>
      </c>
      <c r="P873" s="53" t="str">
        <f t="shared" si="191"/>
        <v/>
      </c>
      <c r="Q873" s="53" t="str">
        <f t="shared" si="192"/>
        <v/>
      </c>
      <c r="R873" s="53" t="str">
        <f t="shared" si="193"/>
        <v/>
      </c>
      <c r="S873" s="53" t="str">
        <f t="shared" si="194"/>
        <v/>
      </c>
      <c r="T873" s="53" t="str">
        <f t="shared" si="195"/>
        <v/>
      </c>
    </row>
    <row r="874" spans="1:20">
      <c r="A874" s="47" t="str">
        <f>IF(archive!E874="","",archive!E874)</f>
        <v/>
      </c>
      <c r="B874" s="48" t="str">
        <f t="shared" si="182"/>
        <v/>
      </c>
      <c r="C874" s="49" t="str">
        <f>IF(archive!F874="","",archive!F874)</f>
        <v/>
      </c>
      <c r="D874" s="50" t="str">
        <f t="shared" si="183"/>
        <v/>
      </c>
      <c r="E874" s="50" t="str">
        <f t="shared" si="184"/>
        <v/>
      </c>
      <c r="F874" s="47" t="str">
        <f>IF(COUNTA(archive!H874:CI874)=0,"",COUNTA(archive!H874:CI874))</f>
        <v/>
      </c>
      <c r="G874" s="47" t="str">
        <f>IF(archive!G874="","",archive!G874)</f>
        <v/>
      </c>
      <c r="H874" s="51" t="str">
        <f>IF(archive!CJ874="","",archive!CJ874)</f>
        <v/>
      </c>
      <c r="I874" s="51" t="str">
        <f>IF(archive!CK874="","",archive!CK874)</f>
        <v/>
      </c>
      <c r="J874" s="47" t="str">
        <f t="shared" si="185"/>
        <v/>
      </c>
      <c r="K874" s="51" t="str">
        <f t="shared" si="186"/>
        <v/>
      </c>
      <c r="L874" s="52" t="str">
        <f t="shared" si="187"/>
        <v/>
      </c>
      <c r="M874" s="53" t="str">
        <f t="shared" si="188"/>
        <v/>
      </c>
      <c r="N874" s="53" t="str">
        <f t="shared" si="189"/>
        <v/>
      </c>
      <c r="O874" s="53" t="str">
        <f t="shared" si="190"/>
        <v/>
      </c>
      <c r="P874" s="53" t="str">
        <f t="shared" si="191"/>
        <v/>
      </c>
      <c r="Q874" s="53" t="str">
        <f t="shared" si="192"/>
        <v/>
      </c>
      <c r="R874" s="53" t="str">
        <f t="shared" si="193"/>
        <v/>
      </c>
      <c r="S874" s="53" t="str">
        <f t="shared" si="194"/>
        <v/>
      </c>
      <c r="T874" s="53" t="str">
        <f t="shared" si="195"/>
        <v/>
      </c>
    </row>
    <row r="875" spans="1:20">
      <c r="A875" s="47" t="str">
        <f>IF(archive!E875="","",archive!E875)</f>
        <v/>
      </c>
      <c r="B875" s="48" t="str">
        <f t="shared" si="182"/>
        <v/>
      </c>
      <c r="C875" s="49" t="str">
        <f>IF(archive!F875="","",archive!F875)</f>
        <v/>
      </c>
      <c r="D875" s="50" t="str">
        <f t="shared" si="183"/>
        <v/>
      </c>
      <c r="E875" s="50" t="str">
        <f t="shared" si="184"/>
        <v/>
      </c>
      <c r="F875" s="47" t="str">
        <f>IF(COUNTA(archive!H875:CI875)=0,"",COUNTA(archive!H875:CI875))</f>
        <v/>
      </c>
      <c r="G875" s="47" t="str">
        <f>IF(archive!G875="","",archive!G875)</f>
        <v/>
      </c>
      <c r="H875" s="51" t="str">
        <f>IF(archive!CJ875="","",archive!CJ875)</f>
        <v/>
      </c>
      <c r="I875" s="51" t="str">
        <f>IF(archive!CK875="","",archive!CK875)</f>
        <v/>
      </c>
      <c r="J875" s="47" t="str">
        <f t="shared" si="185"/>
        <v/>
      </c>
      <c r="K875" s="51" t="str">
        <f t="shared" si="186"/>
        <v/>
      </c>
      <c r="L875" s="52" t="str">
        <f t="shared" si="187"/>
        <v/>
      </c>
      <c r="M875" s="53" t="str">
        <f t="shared" si="188"/>
        <v/>
      </c>
      <c r="N875" s="53" t="str">
        <f t="shared" si="189"/>
        <v/>
      </c>
      <c r="O875" s="53" t="str">
        <f t="shared" si="190"/>
        <v/>
      </c>
      <c r="P875" s="53" t="str">
        <f t="shared" si="191"/>
        <v/>
      </c>
      <c r="Q875" s="53" t="str">
        <f t="shared" si="192"/>
        <v/>
      </c>
      <c r="R875" s="53" t="str">
        <f t="shared" si="193"/>
        <v/>
      </c>
      <c r="S875" s="53" t="str">
        <f t="shared" si="194"/>
        <v/>
      </c>
      <c r="T875" s="53" t="str">
        <f t="shared" si="195"/>
        <v/>
      </c>
    </row>
    <row r="876" spans="1:20">
      <c r="A876" s="47" t="str">
        <f>IF(archive!E876="","",archive!E876)</f>
        <v/>
      </c>
      <c r="B876" s="48" t="str">
        <f t="shared" si="182"/>
        <v/>
      </c>
      <c r="C876" s="49" t="str">
        <f>IF(archive!F876="","",archive!F876)</f>
        <v/>
      </c>
      <c r="D876" s="50" t="str">
        <f t="shared" si="183"/>
        <v/>
      </c>
      <c r="E876" s="50" t="str">
        <f t="shared" si="184"/>
        <v/>
      </c>
      <c r="F876" s="47" t="str">
        <f>IF(COUNTA(archive!H876:CI876)=0,"",COUNTA(archive!H876:CI876))</f>
        <v/>
      </c>
      <c r="G876" s="47" t="str">
        <f>IF(archive!G876="","",archive!G876)</f>
        <v/>
      </c>
      <c r="H876" s="51" t="str">
        <f>IF(archive!CJ876="","",archive!CJ876)</f>
        <v/>
      </c>
      <c r="I876" s="51" t="str">
        <f>IF(archive!CK876="","",archive!CK876)</f>
        <v/>
      </c>
      <c r="J876" s="47" t="str">
        <f t="shared" si="185"/>
        <v/>
      </c>
      <c r="K876" s="51" t="str">
        <f t="shared" si="186"/>
        <v/>
      </c>
      <c r="L876" s="52" t="str">
        <f t="shared" si="187"/>
        <v/>
      </c>
      <c r="M876" s="53" t="str">
        <f t="shared" si="188"/>
        <v/>
      </c>
      <c r="N876" s="53" t="str">
        <f t="shared" si="189"/>
        <v/>
      </c>
      <c r="O876" s="53" t="str">
        <f t="shared" si="190"/>
        <v/>
      </c>
      <c r="P876" s="53" t="str">
        <f t="shared" si="191"/>
        <v/>
      </c>
      <c r="Q876" s="53" t="str">
        <f t="shared" si="192"/>
        <v/>
      </c>
      <c r="R876" s="53" t="str">
        <f t="shared" si="193"/>
        <v/>
      </c>
      <c r="S876" s="53" t="str">
        <f t="shared" si="194"/>
        <v/>
      </c>
      <c r="T876" s="53" t="str">
        <f t="shared" si="195"/>
        <v/>
      </c>
    </row>
    <row r="877" spans="1:20">
      <c r="A877" s="47" t="str">
        <f>IF(archive!E877="","",archive!E877)</f>
        <v/>
      </c>
      <c r="B877" s="48" t="str">
        <f t="shared" si="182"/>
        <v/>
      </c>
      <c r="C877" s="49" t="str">
        <f>IF(archive!F877="","",archive!F877)</f>
        <v/>
      </c>
      <c r="D877" s="50" t="str">
        <f t="shared" si="183"/>
        <v/>
      </c>
      <c r="E877" s="50" t="str">
        <f t="shared" si="184"/>
        <v/>
      </c>
      <c r="F877" s="47" t="str">
        <f>IF(COUNTA(archive!H877:CI877)=0,"",COUNTA(archive!H877:CI877))</f>
        <v/>
      </c>
      <c r="G877" s="47" t="str">
        <f>IF(archive!G877="","",archive!G877)</f>
        <v/>
      </c>
      <c r="H877" s="51" t="str">
        <f>IF(archive!CJ877="","",archive!CJ877)</f>
        <v/>
      </c>
      <c r="I877" s="51" t="str">
        <f>IF(archive!CK877="","",archive!CK877)</f>
        <v/>
      </c>
      <c r="J877" s="47" t="str">
        <f t="shared" si="185"/>
        <v/>
      </c>
      <c r="K877" s="51" t="str">
        <f t="shared" si="186"/>
        <v/>
      </c>
      <c r="L877" s="52" t="str">
        <f t="shared" si="187"/>
        <v/>
      </c>
      <c r="M877" s="53" t="str">
        <f t="shared" si="188"/>
        <v/>
      </c>
      <c r="N877" s="53" t="str">
        <f t="shared" si="189"/>
        <v/>
      </c>
      <c r="O877" s="53" t="str">
        <f t="shared" si="190"/>
        <v/>
      </c>
      <c r="P877" s="53" t="str">
        <f t="shared" si="191"/>
        <v/>
      </c>
      <c r="Q877" s="53" t="str">
        <f t="shared" si="192"/>
        <v/>
      </c>
      <c r="R877" s="53" t="str">
        <f t="shared" si="193"/>
        <v/>
      </c>
      <c r="S877" s="53" t="str">
        <f t="shared" si="194"/>
        <v/>
      </c>
      <c r="T877" s="53" t="str">
        <f t="shared" si="195"/>
        <v/>
      </c>
    </row>
    <row r="878" spans="1:20">
      <c r="A878" s="47" t="str">
        <f>IF(archive!E878="","",archive!E878)</f>
        <v/>
      </c>
      <c r="B878" s="48" t="str">
        <f t="shared" si="182"/>
        <v/>
      </c>
      <c r="C878" s="49" t="str">
        <f>IF(archive!F878="","",archive!F878)</f>
        <v/>
      </c>
      <c r="D878" s="50" t="str">
        <f t="shared" si="183"/>
        <v/>
      </c>
      <c r="E878" s="50" t="str">
        <f t="shared" si="184"/>
        <v/>
      </c>
      <c r="F878" s="47" t="str">
        <f>IF(COUNTA(archive!H878:CI878)=0,"",COUNTA(archive!H878:CI878))</f>
        <v/>
      </c>
      <c r="G878" s="47" t="str">
        <f>IF(archive!G878="","",archive!G878)</f>
        <v/>
      </c>
      <c r="H878" s="51" t="str">
        <f>IF(archive!CJ878="","",archive!CJ878)</f>
        <v/>
      </c>
      <c r="I878" s="51" t="str">
        <f>IF(archive!CK878="","",archive!CK878)</f>
        <v/>
      </c>
      <c r="J878" s="47" t="str">
        <f t="shared" si="185"/>
        <v/>
      </c>
      <c r="K878" s="51" t="str">
        <f t="shared" si="186"/>
        <v/>
      </c>
      <c r="L878" s="52" t="str">
        <f t="shared" si="187"/>
        <v/>
      </c>
      <c r="M878" s="53" t="str">
        <f t="shared" si="188"/>
        <v/>
      </c>
      <c r="N878" s="53" t="str">
        <f t="shared" si="189"/>
        <v/>
      </c>
      <c r="O878" s="53" t="str">
        <f t="shared" si="190"/>
        <v/>
      </c>
      <c r="P878" s="53" t="str">
        <f t="shared" si="191"/>
        <v/>
      </c>
      <c r="Q878" s="53" t="str">
        <f t="shared" si="192"/>
        <v/>
      </c>
      <c r="R878" s="53" t="str">
        <f t="shared" si="193"/>
        <v/>
      </c>
      <c r="S878" s="53" t="str">
        <f t="shared" si="194"/>
        <v/>
      </c>
      <c r="T878" s="53" t="str">
        <f t="shared" si="195"/>
        <v/>
      </c>
    </row>
    <row r="879" spans="1:20">
      <c r="A879" s="47" t="str">
        <f>IF(archive!E879="","",archive!E879)</f>
        <v/>
      </c>
      <c r="B879" s="48" t="str">
        <f t="shared" si="182"/>
        <v/>
      </c>
      <c r="C879" s="49" t="str">
        <f>IF(archive!F879="","",archive!F879)</f>
        <v/>
      </c>
      <c r="D879" s="50" t="str">
        <f t="shared" si="183"/>
        <v/>
      </c>
      <c r="E879" s="50" t="str">
        <f t="shared" si="184"/>
        <v/>
      </c>
      <c r="F879" s="47" t="str">
        <f>IF(COUNTA(archive!H879:CI879)=0,"",COUNTA(archive!H879:CI879))</f>
        <v/>
      </c>
      <c r="G879" s="47" t="str">
        <f>IF(archive!G879="","",archive!G879)</f>
        <v/>
      </c>
      <c r="H879" s="51" t="str">
        <f>IF(archive!CJ879="","",archive!CJ879)</f>
        <v/>
      </c>
      <c r="I879" s="51" t="str">
        <f>IF(archive!CK879="","",archive!CK879)</f>
        <v/>
      </c>
      <c r="J879" s="47" t="str">
        <f t="shared" si="185"/>
        <v/>
      </c>
      <c r="K879" s="51" t="str">
        <f t="shared" si="186"/>
        <v/>
      </c>
      <c r="L879" s="52" t="str">
        <f t="shared" si="187"/>
        <v/>
      </c>
      <c r="M879" s="53" t="str">
        <f t="shared" si="188"/>
        <v/>
      </c>
      <c r="N879" s="53" t="str">
        <f t="shared" si="189"/>
        <v/>
      </c>
      <c r="O879" s="53" t="str">
        <f t="shared" si="190"/>
        <v/>
      </c>
      <c r="P879" s="53" t="str">
        <f t="shared" si="191"/>
        <v/>
      </c>
      <c r="Q879" s="53" t="str">
        <f t="shared" si="192"/>
        <v/>
      </c>
      <c r="R879" s="53" t="str">
        <f t="shared" si="193"/>
        <v/>
      </c>
      <c r="S879" s="53" t="str">
        <f t="shared" si="194"/>
        <v/>
      </c>
      <c r="T879" s="53" t="str">
        <f t="shared" si="195"/>
        <v/>
      </c>
    </row>
    <row r="880" spans="1:20">
      <c r="A880" s="47" t="str">
        <f>IF(archive!E880="","",archive!E880)</f>
        <v/>
      </c>
      <c r="B880" s="48" t="str">
        <f t="shared" si="182"/>
        <v/>
      </c>
      <c r="C880" s="49" t="str">
        <f>IF(archive!F880="","",archive!F880)</f>
        <v/>
      </c>
      <c r="D880" s="50" t="str">
        <f t="shared" si="183"/>
        <v/>
      </c>
      <c r="E880" s="50" t="str">
        <f t="shared" si="184"/>
        <v/>
      </c>
      <c r="F880" s="47" t="str">
        <f>IF(COUNTA(archive!H880:CI880)=0,"",COUNTA(archive!H880:CI880))</f>
        <v/>
      </c>
      <c r="G880" s="47" t="str">
        <f>IF(archive!G880="","",archive!G880)</f>
        <v/>
      </c>
      <c r="H880" s="51" t="str">
        <f>IF(archive!CJ880="","",archive!CJ880)</f>
        <v/>
      </c>
      <c r="I880" s="51" t="str">
        <f>IF(archive!CK880="","",archive!CK880)</f>
        <v/>
      </c>
      <c r="J880" s="47" t="str">
        <f t="shared" si="185"/>
        <v/>
      </c>
      <c r="K880" s="51" t="str">
        <f t="shared" si="186"/>
        <v/>
      </c>
      <c r="L880" s="52" t="str">
        <f t="shared" si="187"/>
        <v/>
      </c>
      <c r="M880" s="53" t="str">
        <f t="shared" si="188"/>
        <v/>
      </c>
      <c r="N880" s="53" t="str">
        <f t="shared" si="189"/>
        <v/>
      </c>
      <c r="O880" s="53" t="str">
        <f t="shared" si="190"/>
        <v/>
      </c>
      <c r="P880" s="53" t="str">
        <f t="shared" si="191"/>
        <v/>
      </c>
      <c r="Q880" s="53" t="str">
        <f t="shared" si="192"/>
        <v/>
      </c>
      <c r="R880" s="53" t="str">
        <f t="shared" si="193"/>
        <v/>
      </c>
      <c r="S880" s="53" t="str">
        <f t="shared" si="194"/>
        <v/>
      </c>
      <c r="T880" s="53" t="str">
        <f t="shared" si="195"/>
        <v/>
      </c>
    </row>
    <row r="881" spans="1:20">
      <c r="A881" s="47" t="str">
        <f>IF(archive!E881="","",archive!E881)</f>
        <v/>
      </c>
      <c r="B881" s="48" t="str">
        <f t="shared" si="182"/>
        <v/>
      </c>
      <c r="C881" s="49" t="str">
        <f>IF(archive!F881="","",archive!F881)</f>
        <v/>
      </c>
      <c r="D881" s="50" t="str">
        <f t="shared" si="183"/>
        <v/>
      </c>
      <c r="E881" s="50" t="str">
        <f t="shared" si="184"/>
        <v/>
      </c>
      <c r="F881" s="47" t="str">
        <f>IF(COUNTA(archive!H881:CI881)=0,"",COUNTA(archive!H881:CI881))</f>
        <v/>
      </c>
      <c r="G881" s="47" t="str">
        <f>IF(archive!G881="","",archive!G881)</f>
        <v/>
      </c>
      <c r="H881" s="51" t="str">
        <f>IF(archive!CJ881="","",archive!CJ881)</f>
        <v/>
      </c>
      <c r="I881" s="51" t="str">
        <f>IF(archive!CK881="","",archive!CK881)</f>
        <v/>
      </c>
      <c r="J881" s="47" t="str">
        <f t="shared" si="185"/>
        <v/>
      </c>
      <c r="K881" s="51" t="str">
        <f t="shared" si="186"/>
        <v/>
      </c>
      <c r="L881" s="52" t="str">
        <f t="shared" si="187"/>
        <v/>
      </c>
      <c r="M881" s="53" t="str">
        <f t="shared" si="188"/>
        <v/>
      </c>
      <c r="N881" s="53" t="str">
        <f t="shared" si="189"/>
        <v/>
      </c>
      <c r="O881" s="53" t="str">
        <f t="shared" si="190"/>
        <v/>
      </c>
      <c r="P881" s="53" t="str">
        <f t="shared" si="191"/>
        <v/>
      </c>
      <c r="Q881" s="53" t="str">
        <f t="shared" si="192"/>
        <v/>
      </c>
      <c r="R881" s="53" t="str">
        <f t="shared" si="193"/>
        <v/>
      </c>
      <c r="S881" s="53" t="str">
        <f t="shared" si="194"/>
        <v/>
      </c>
      <c r="T881" s="53" t="str">
        <f t="shared" si="195"/>
        <v/>
      </c>
    </row>
    <row r="882" spans="1:20">
      <c r="A882" s="47" t="str">
        <f>IF(archive!E882="","",archive!E882)</f>
        <v/>
      </c>
      <c r="B882" s="48" t="str">
        <f t="shared" si="182"/>
        <v/>
      </c>
      <c r="C882" s="49" t="str">
        <f>IF(archive!F882="","",archive!F882)</f>
        <v/>
      </c>
      <c r="D882" s="50" t="str">
        <f t="shared" si="183"/>
        <v/>
      </c>
      <c r="E882" s="50" t="str">
        <f t="shared" si="184"/>
        <v/>
      </c>
      <c r="F882" s="47" t="str">
        <f>IF(COUNTA(archive!H882:CI882)=0,"",COUNTA(archive!H882:CI882))</f>
        <v/>
      </c>
      <c r="G882" s="47" t="str">
        <f>IF(archive!G882="","",archive!G882)</f>
        <v/>
      </c>
      <c r="H882" s="51" t="str">
        <f>IF(archive!CJ882="","",archive!CJ882)</f>
        <v/>
      </c>
      <c r="I882" s="51" t="str">
        <f>IF(archive!CK882="","",archive!CK882)</f>
        <v/>
      </c>
      <c r="J882" s="47" t="str">
        <f t="shared" si="185"/>
        <v/>
      </c>
      <c r="K882" s="51" t="str">
        <f t="shared" si="186"/>
        <v/>
      </c>
      <c r="L882" s="52" t="str">
        <f t="shared" si="187"/>
        <v/>
      </c>
      <c r="M882" s="53" t="str">
        <f t="shared" si="188"/>
        <v/>
      </c>
      <c r="N882" s="53" t="str">
        <f t="shared" si="189"/>
        <v/>
      </c>
      <c r="O882" s="53" t="str">
        <f t="shared" si="190"/>
        <v/>
      </c>
      <c r="P882" s="53" t="str">
        <f t="shared" si="191"/>
        <v/>
      </c>
      <c r="Q882" s="53" t="str">
        <f t="shared" si="192"/>
        <v/>
      </c>
      <c r="R882" s="53" t="str">
        <f t="shared" si="193"/>
        <v/>
      </c>
      <c r="S882" s="53" t="str">
        <f t="shared" si="194"/>
        <v/>
      </c>
      <c r="T882" s="53" t="str">
        <f t="shared" si="195"/>
        <v/>
      </c>
    </row>
    <row r="883" spans="1:20">
      <c r="A883" s="47" t="str">
        <f>IF(archive!E883="","",archive!E883)</f>
        <v/>
      </c>
      <c r="B883" s="48" t="str">
        <f t="shared" si="182"/>
        <v/>
      </c>
      <c r="C883" s="49" t="str">
        <f>IF(archive!F883="","",archive!F883)</f>
        <v/>
      </c>
      <c r="D883" s="50" t="str">
        <f t="shared" si="183"/>
        <v/>
      </c>
      <c r="E883" s="50" t="str">
        <f t="shared" si="184"/>
        <v/>
      </c>
      <c r="F883" s="47" t="str">
        <f>IF(COUNTA(archive!H883:CI883)=0,"",COUNTA(archive!H883:CI883))</f>
        <v/>
      </c>
      <c r="G883" s="47" t="str">
        <f>IF(archive!G883="","",archive!G883)</f>
        <v/>
      </c>
      <c r="H883" s="51" t="str">
        <f>IF(archive!CJ883="","",archive!CJ883)</f>
        <v/>
      </c>
      <c r="I883" s="51" t="str">
        <f>IF(archive!CK883="","",archive!CK883)</f>
        <v/>
      </c>
      <c r="J883" s="47" t="str">
        <f t="shared" si="185"/>
        <v/>
      </c>
      <c r="K883" s="51" t="str">
        <f t="shared" si="186"/>
        <v/>
      </c>
      <c r="L883" s="52" t="str">
        <f t="shared" si="187"/>
        <v/>
      </c>
      <c r="M883" s="53" t="str">
        <f t="shared" si="188"/>
        <v/>
      </c>
      <c r="N883" s="53" t="str">
        <f t="shared" si="189"/>
        <v/>
      </c>
      <c r="O883" s="53" t="str">
        <f t="shared" si="190"/>
        <v/>
      </c>
      <c r="P883" s="53" t="str">
        <f t="shared" si="191"/>
        <v/>
      </c>
      <c r="Q883" s="53" t="str">
        <f t="shared" si="192"/>
        <v/>
      </c>
      <c r="R883" s="53" t="str">
        <f t="shared" si="193"/>
        <v/>
      </c>
      <c r="S883" s="53" t="str">
        <f t="shared" si="194"/>
        <v/>
      </c>
      <c r="T883" s="53" t="str">
        <f t="shared" si="195"/>
        <v/>
      </c>
    </row>
    <row r="884" spans="1:20">
      <c r="A884" s="47" t="str">
        <f>IF(archive!E884="","",archive!E884)</f>
        <v/>
      </c>
      <c r="B884" s="48" t="str">
        <f t="shared" si="182"/>
        <v/>
      </c>
      <c r="C884" s="49" t="str">
        <f>IF(archive!F884="","",archive!F884)</f>
        <v/>
      </c>
      <c r="D884" s="50" t="str">
        <f t="shared" si="183"/>
        <v/>
      </c>
      <c r="E884" s="50" t="str">
        <f t="shared" si="184"/>
        <v/>
      </c>
      <c r="F884" s="47" t="str">
        <f>IF(COUNTA(archive!H884:CI884)=0,"",COUNTA(archive!H884:CI884))</f>
        <v/>
      </c>
      <c r="G884" s="47" t="str">
        <f>IF(archive!G884="","",archive!G884)</f>
        <v/>
      </c>
      <c r="H884" s="51" t="str">
        <f>IF(archive!CJ884="","",archive!CJ884)</f>
        <v/>
      </c>
      <c r="I884" s="51" t="str">
        <f>IF(archive!CK884="","",archive!CK884)</f>
        <v/>
      </c>
      <c r="J884" s="47" t="str">
        <f t="shared" si="185"/>
        <v/>
      </c>
      <c r="K884" s="51" t="str">
        <f t="shared" si="186"/>
        <v/>
      </c>
      <c r="L884" s="52" t="str">
        <f t="shared" si="187"/>
        <v/>
      </c>
      <c r="M884" s="53" t="str">
        <f t="shared" si="188"/>
        <v/>
      </c>
      <c r="N884" s="53" t="str">
        <f t="shared" si="189"/>
        <v/>
      </c>
      <c r="O884" s="53" t="str">
        <f t="shared" si="190"/>
        <v/>
      </c>
      <c r="P884" s="53" t="str">
        <f t="shared" si="191"/>
        <v/>
      </c>
      <c r="Q884" s="53" t="str">
        <f t="shared" si="192"/>
        <v/>
      </c>
      <c r="R884" s="53" t="str">
        <f t="shared" si="193"/>
        <v/>
      </c>
      <c r="S884" s="53" t="str">
        <f t="shared" si="194"/>
        <v/>
      </c>
      <c r="T884" s="53" t="str">
        <f t="shared" si="195"/>
        <v/>
      </c>
    </row>
    <row r="885" spans="1:20">
      <c r="A885" s="47" t="str">
        <f>IF(archive!E885="","",archive!E885)</f>
        <v/>
      </c>
      <c r="B885" s="48" t="str">
        <f t="shared" si="182"/>
        <v/>
      </c>
      <c r="C885" s="49" t="str">
        <f>IF(archive!F885="","",archive!F885)</f>
        <v/>
      </c>
      <c r="D885" s="50" t="str">
        <f t="shared" si="183"/>
        <v/>
      </c>
      <c r="E885" s="50" t="str">
        <f t="shared" si="184"/>
        <v/>
      </c>
      <c r="F885" s="47" t="str">
        <f>IF(COUNTA(archive!H885:CI885)=0,"",COUNTA(archive!H885:CI885))</f>
        <v/>
      </c>
      <c r="G885" s="47" t="str">
        <f>IF(archive!G885="","",archive!G885)</f>
        <v/>
      </c>
      <c r="H885" s="51" t="str">
        <f>IF(archive!CJ885="","",archive!CJ885)</f>
        <v/>
      </c>
      <c r="I885" s="51" t="str">
        <f>IF(archive!CK885="","",archive!CK885)</f>
        <v/>
      </c>
      <c r="J885" s="47" t="str">
        <f t="shared" si="185"/>
        <v/>
      </c>
      <c r="K885" s="51" t="str">
        <f t="shared" si="186"/>
        <v/>
      </c>
      <c r="L885" s="52" t="str">
        <f t="shared" si="187"/>
        <v/>
      </c>
      <c r="M885" s="53" t="str">
        <f t="shared" si="188"/>
        <v/>
      </c>
      <c r="N885" s="53" t="str">
        <f t="shared" si="189"/>
        <v/>
      </c>
      <c r="O885" s="53" t="str">
        <f t="shared" si="190"/>
        <v/>
      </c>
      <c r="P885" s="53" t="str">
        <f t="shared" si="191"/>
        <v/>
      </c>
      <c r="Q885" s="53" t="str">
        <f t="shared" si="192"/>
        <v/>
      </c>
      <c r="R885" s="53" t="str">
        <f t="shared" si="193"/>
        <v/>
      </c>
      <c r="S885" s="53" t="str">
        <f t="shared" si="194"/>
        <v/>
      </c>
      <c r="T885" s="53" t="str">
        <f t="shared" si="195"/>
        <v/>
      </c>
    </row>
    <row r="886" spans="1:20">
      <c r="A886" s="47" t="str">
        <f>IF(archive!E886="","",archive!E886)</f>
        <v/>
      </c>
      <c r="B886" s="48" t="str">
        <f t="shared" si="182"/>
        <v/>
      </c>
      <c r="C886" s="49" t="str">
        <f>IF(archive!F886="","",archive!F886)</f>
        <v/>
      </c>
      <c r="D886" s="50" t="str">
        <f t="shared" si="183"/>
        <v/>
      </c>
      <c r="E886" s="50" t="str">
        <f t="shared" si="184"/>
        <v/>
      </c>
      <c r="F886" s="47" t="str">
        <f>IF(COUNTA(archive!H886:CI886)=0,"",COUNTA(archive!H886:CI886))</f>
        <v/>
      </c>
      <c r="G886" s="47" t="str">
        <f>IF(archive!G886="","",archive!G886)</f>
        <v/>
      </c>
      <c r="H886" s="51" t="str">
        <f>IF(archive!CJ886="","",archive!CJ886)</f>
        <v/>
      </c>
      <c r="I886" s="51" t="str">
        <f>IF(archive!CK886="","",archive!CK886)</f>
        <v/>
      </c>
      <c r="J886" s="47" t="str">
        <f t="shared" si="185"/>
        <v/>
      </c>
      <c r="K886" s="51" t="str">
        <f t="shared" si="186"/>
        <v/>
      </c>
      <c r="L886" s="52" t="str">
        <f t="shared" si="187"/>
        <v/>
      </c>
      <c r="M886" s="53" t="str">
        <f t="shared" si="188"/>
        <v/>
      </c>
      <c r="N886" s="53" t="str">
        <f t="shared" si="189"/>
        <v/>
      </c>
      <c r="O886" s="53" t="str">
        <f t="shared" si="190"/>
        <v/>
      </c>
      <c r="P886" s="53" t="str">
        <f t="shared" si="191"/>
        <v/>
      </c>
      <c r="Q886" s="53" t="str">
        <f t="shared" si="192"/>
        <v/>
      </c>
      <c r="R886" s="53" t="str">
        <f t="shared" si="193"/>
        <v/>
      </c>
      <c r="S886" s="53" t="str">
        <f t="shared" si="194"/>
        <v/>
      </c>
      <c r="T886" s="53" t="str">
        <f t="shared" si="195"/>
        <v/>
      </c>
    </row>
    <row r="887" spans="1:20">
      <c r="A887" s="47" t="str">
        <f>IF(archive!E887="","",archive!E887)</f>
        <v/>
      </c>
      <c r="B887" s="48" t="str">
        <f t="shared" si="182"/>
        <v/>
      </c>
      <c r="C887" s="49" t="str">
        <f>IF(archive!F887="","",archive!F887)</f>
        <v/>
      </c>
      <c r="D887" s="50" t="str">
        <f t="shared" si="183"/>
        <v/>
      </c>
      <c r="E887" s="50" t="str">
        <f t="shared" si="184"/>
        <v/>
      </c>
      <c r="F887" s="47" t="str">
        <f>IF(COUNTA(archive!H887:CI887)=0,"",COUNTA(archive!H887:CI887))</f>
        <v/>
      </c>
      <c r="G887" s="47" t="str">
        <f>IF(archive!G887="","",archive!G887)</f>
        <v/>
      </c>
      <c r="H887" s="51" t="str">
        <f>IF(archive!CJ887="","",archive!CJ887)</f>
        <v/>
      </c>
      <c r="I887" s="51" t="str">
        <f>IF(archive!CK887="","",archive!CK887)</f>
        <v/>
      </c>
      <c r="J887" s="47" t="str">
        <f t="shared" si="185"/>
        <v/>
      </c>
      <c r="K887" s="51" t="str">
        <f t="shared" si="186"/>
        <v/>
      </c>
      <c r="L887" s="52" t="str">
        <f t="shared" si="187"/>
        <v/>
      </c>
      <c r="M887" s="53" t="str">
        <f t="shared" si="188"/>
        <v/>
      </c>
      <c r="N887" s="53" t="str">
        <f t="shared" si="189"/>
        <v/>
      </c>
      <c r="O887" s="53" t="str">
        <f t="shared" si="190"/>
        <v/>
      </c>
      <c r="P887" s="53" t="str">
        <f t="shared" si="191"/>
        <v/>
      </c>
      <c r="Q887" s="53" t="str">
        <f t="shared" si="192"/>
        <v/>
      </c>
      <c r="R887" s="53" t="str">
        <f t="shared" si="193"/>
        <v/>
      </c>
      <c r="S887" s="53" t="str">
        <f t="shared" si="194"/>
        <v/>
      </c>
      <c r="T887" s="53" t="str">
        <f t="shared" si="195"/>
        <v/>
      </c>
    </row>
    <row r="888" spans="1:20">
      <c r="A888" s="47" t="str">
        <f>IF(archive!E888="","",archive!E888)</f>
        <v/>
      </c>
      <c r="B888" s="48" t="str">
        <f t="shared" si="182"/>
        <v/>
      </c>
      <c r="C888" s="49" t="str">
        <f>IF(archive!F888="","",archive!F888)</f>
        <v/>
      </c>
      <c r="D888" s="50" t="str">
        <f t="shared" si="183"/>
        <v/>
      </c>
      <c r="E888" s="50" t="str">
        <f t="shared" si="184"/>
        <v/>
      </c>
      <c r="F888" s="47" t="str">
        <f>IF(COUNTA(archive!H888:CI888)=0,"",COUNTA(archive!H888:CI888))</f>
        <v/>
      </c>
      <c r="G888" s="47" t="str">
        <f>IF(archive!G888="","",archive!G888)</f>
        <v/>
      </c>
      <c r="H888" s="51" t="str">
        <f>IF(archive!CJ888="","",archive!CJ888)</f>
        <v/>
      </c>
      <c r="I888" s="51" t="str">
        <f>IF(archive!CK888="","",archive!CK888)</f>
        <v/>
      </c>
      <c r="J888" s="47" t="str">
        <f t="shared" si="185"/>
        <v/>
      </c>
      <c r="K888" s="51" t="str">
        <f t="shared" si="186"/>
        <v/>
      </c>
      <c r="L888" s="52" t="str">
        <f t="shared" si="187"/>
        <v/>
      </c>
      <c r="M888" s="53" t="str">
        <f t="shared" si="188"/>
        <v/>
      </c>
      <c r="N888" s="53" t="str">
        <f t="shared" si="189"/>
        <v/>
      </c>
      <c r="O888" s="53" t="str">
        <f t="shared" si="190"/>
        <v/>
      </c>
      <c r="P888" s="53" t="str">
        <f t="shared" si="191"/>
        <v/>
      </c>
      <c r="Q888" s="53" t="str">
        <f t="shared" si="192"/>
        <v/>
      </c>
      <c r="R888" s="53" t="str">
        <f t="shared" si="193"/>
        <v/>
      </c>
      <c r="S888" s="53" t="str">
        <f t="shared" si="194"/>
        <v/>
      </c>
      <c r="T888" s="53" t="str">
        <f t="shared" si="195"/>
        <v/>
      </c>
    </row>
    <row r="889" spans="1:20">
      <c r="A889" s="47" t="str">
        <f>IF(archive!E889="","",archive!E889)</f>
        <v/>
      </c>
      <c r="B889" s="48" t="str">
        <f t="shared" si="182"/>
        <v/>
      </c>
      <c r="C889" s="49" t="str">
        <f>IF(archive!F889="","",archive!F889)</f>
        <v/>
      </c>
      <c r="D889" s="50" t="str">
        <f t="shared" si="183"/>
        <v/>
      </c>
      <c r="E889" s="50" t="str">
        <f t="shared" si="184"/>
        <v/>
      </c>
      <c r="F889" s="47" t="str">
        <f>IF(COUNTA(archive!H889:CI889)=0,"",COUNTA(archive!H889:CI889))</f>
        <v/>
      </c>
      <c r="G889" s="47" t="str">
        <f>IF(archive!G889="","",archive!G889)</f>
        <v/>
      </c>
      <c r="H889" s="51" t="str">
        <f>IF(archive!CJ889="","",archive!CJ889)</f>
        <v/>
      </c>
      <c r="I889" s="51" t="str">
        <f>IF(archive!CK889="","",archive!CK889)</f>
        <v/>
      </c>
      <c r="J889" s="47" t="str">
        <f t="shared" si="185"/>
        <v/>
      </c>
      <c r="K889" s="51" t="str">
        <f t="shared" si="186"/>
        <v/>
      </c>
      <c r="L889" s="52" t="str">
        <f t="shared" si="187"/>
        <v/>
      </c>
      <c r="M889" s="53" t="str">
        <f t="shared" si="188"/>
        <v/>
      </c>
      <c r="N889" s="53" t="str">
        <f t="shared" si="189"/>
        <v/>
      </c>
      <c r="O889" s="53" t="str">
        <f t="shared" si="190"/>
        <v/>
      </c>
      <c r="P889" s="53" t="str">
        <f t="shared" si="191"/>
        <v/>
      </c>
      <c r="Q889" s="53" t="str">
        <f t="shared" si="192"/>
        <v/>
      </c>
      <c r="R889" s="53" t="str">
        <f t="shared" si="193"/>
        <v/>
      </c>
      <c r="S889" s="53" t="str">
        <f t="shared" si="194"/>
        <v/>
      </c>
      <c r="T889" s="53" t="str">
        <f t="shared" si="195"/>
        <v/>
      </c>
    </row>
    <row r="890" spans="1:20">
      <c r="A890" s="47" t="str">
        <f>IF(archive!E890="","",archive!E890)</f>
        <v/>
      </c>
      <c r="B890" s="48" t="str">
        <f t="shared" si="182"/>
        <v/>
      </c>
      <c r="C890" s="49" t="str">
        <f>IF(archive!F890="","",archive!F890)</f>
        <v/>
      </c>
      <c r="D890" s="50" t="str">
        <f t="shared" si="183"/>
        <v/>
      </c>
      <c r="E890" s="50" t="str">
        <f t="shared" si="184"/>
        <v/>
      </c>
      <c r="F890" s="47" t="str">
        <f>IF(COUNTA(archive!H890:CI890)=0,"",COUNTA(archive!H890:CI890))</f>
        <v/>
      </c>
      <c r="G890" s="47" t="str">
        <f>IF(archive!G890="","",archive!G890)</f>
        <v/>
      </c>
      <c r="H890" s="51" t="str">
        <f>IF(archive!CJ890="","",archive!CJ890)</f>
        <v/>
      </c>
      <c r="I890" s="51" t="str">
        <f>IF(archive!CK890="","",archive!CK890)</f>
        <v/>
      </c>
      <c r="J890" s="47" t="str">
        <f t="shared" si="185"/>
        <v/>
      </c>
      <c r="K890" s="51" t="str">
        <f t="shared" si="186"/>
        <v/>
      </c>
      <c r="L890" s="52" t="str">
        <f t="shared" si="187"/>
        <v/>
      </c>
      <c r="M890" s="53" t="str">
        <f t="shared" si="188"/>
        <v/>
      </c>
      <c r="N890" s="53" t="str">
        <f t="shared" si="189"/>
        <v/>
      </c>
      <c r="O890" s="53" t="str">
        <f t="shared" si="190"/>
        <v/>
      </c>
      <c r="P890" s="53" t="str">
        <f t="shared" si="191"/>
        <v/>
      </c>
      <c r="Q890" s="53" t="str">
        <f t="shared" si="192"/>
        <v/>
      </c>
      <c r="R890" s="53" t="str">
        <f t="shared" si="193"/>
        <v/>
      </c>
      <c r="S890" s="53" t="str">
        <f t="shared" si="194"/>
        <v/>
      </c>
      <c r="T890" s="53" t="str">
        <f t="shared" si="195"/>
        <v/>
      </c>
    </row>
    <row r="891" spans="1:20">
      <c r="A891" s="47" t="str">
        <f>IF(archive!E891="","",archive!E891)</f>
        <v/>
      </c>
      <c r="B891" s="48" t="str">
        <f t="shared" si="182"/>
        <v/>
      </c>
      <c r="C891" s="49" t="str">
        <f>IF(archive!F891="","",archive!F891)</f>
        <v/>
      </c>
      <c r="D891" s="50" t="str">
        <f t="shared" si="183"/>
        <v/>
      </c>
      <c r="E891" s="50" t="str">
        <f t="shared" si="184"/>
        <v/>
      </c>
      <c r="F891" s="47" t="str">
        <f>IF(COUNTA(archive!H891:CI891)=0,"",COUNTA(archive!H891:CI891))</f>
        <v/>
      </c>
      <c r="G891" s="47" t="str">
        <f>IF(archive!G891="","",archive!G891)</f>
        <v/>
      </c>
      <c r="H891" s="51" t="str">
        <f>IF(archive!CJ891="","",archive!CJ891)</f>
        <v/>
      </c>
      <c r="I891" s="51" t="str">
        <f>IF(archive!CK891="","",archive!CK891)</f>
        <v/>
      </c>
      <c r="J891" s="47" t="str">
        <f t="shared" si="185"/>
        <v/>
      </c>
      <c r="K891" s="51" t="str">
        <f t="shared" si="186"/>
        <v/>
      </c>
      <c r="L891" s="52" t="str">
        <f t="shared" si="187"/>
        <v/>
      </c>
      <c r="M891" s="53" t="str">
        <f t="shared" si="188"/>
        <v/>
      </c>
      <c r="N891" s="53" t="str">
        <f t="shared" si="189"/>
        <v/>
      </c>
      <c r="O891" s="53" t="str">
        <f t="shared" si="190"/>
        <v/>
      </c>
      <c r="P891" s="53" t="str">
        <f t="shared" si="191"/>
        <v/>
      </c>
      <c r="Q891" s="53" t="str">
        <f t="shared" si="192"/>
        <v/>
      </c>
      <c r="R891" s="53" t="str">
        <f t="shared" si="193"/>
        <v/>
      </c>
      <c r="S891" s="53" t="str">
        <f t="shared" si="194"/>
        <v/>
      </c>
      <c r="T891" s="53" t="str">
        <f t="shared" si="195"/>
        <v/>
      </c>
    </row>
    <row r="892" spans="1:20">
      <c r="A892" s="47" t="str">
        <f>IF(archive!E892="","",archive!E892)</f>
        <v/>
      </c>
      <c r="B892" s="48" t="str">
        <f t="shared" si="182"/>
        <v/>
      </c>
      <c r="C892" s="49" t="str">
        <f>IF(archive!F892="","",archive!F892)</f>
        <v/>
      </c>
      <c r="D892" s="50" t="str">
        <f t="shared" si="183"/>
        <v/>
      </c>
      <c r="E892" s="50" t="str">
        <f t="shared" si="184"/>
        <v/>
      </c>
      <c r="F892" s="47" t="str">
        <f>IF(COUNTA(archive!H892:CI892)=0,"",COUNTA(archive!H892:CI892))</f>
        <v/>
      </c>
      <c r="G892" s="47" t="str">
        <f>IF(archive!G892="","",archive!G892)</f>
        <v/>
      </c>
      <c r="H892" s="51" t="str">
        <f>IF(archive!CJ892="","",archive!CJ892)</f>
        <v/>
      </c>
      <c r="I892" s="51" t="str">
        <f>IF(archive!CK892="","",archive!CK892)</f>
        <v/>
      </c>
      <c r="J892" s="47" t="str">
        <f t="shared" si="185"/>
        <v/>
      </c>
      <c r="K892" s="51" t="str">
        <f t="shared" si="186"/>
        <v/>
      </c>
      <c r="L892" s="52" t="str">
        <f t="shared" si="187"/>
        <v/>
      </c>
      <c r="M892" s="53" t="str">
        <f t="shared" si="188"/>
        <v/>
      </c>
      <c r="N892" s="53" t="str">
        <f t="shared" si="189"/>
        <v/>
      </c>
      <c r="O892" s="53" t="str">
        <f t="shared" si="190"/>
        <v/>
      </c>
      <c r="P892" s="53" t="str">
        <f t="shared" si="191"/>
        <v/>
      </c>
      <c r="Q892" s="53" t="str">
        <f t="shared" si="192"/>
        <v/>
      </c>
      <c r="R892" s="53" t="str">
        <f t="shared" si="193"/>
        <v/>
      </c>
      <c r="S892" s="53" t="str">
        <f t="shared" si="194"/>
        <v/>
      </c>
      <c r="T892" s="53" t="str">
        <f t="shared" si="195"/>
        <v/>
      </c>
    </row>
    <row r="893" spans="1:20">
      <c r="A893" s="47" t="str">
        <f>IF(archive!E893="","",archive!E893)</f>
        <v/>
      </c>
      <c r="B893" s="48" t="str">
        <f t="shared" si="182"/>
        <v/>
      </c>
      <c r="C893" s="49" t="str">
        <f>IF(archive!F893="","",archive!F893)</f>
        <v/>
      </c>
      <c r="D893" s="50" t="str">
        <f t="shared" si="183"/>
        <v/>
      </c>
      <c r="E893" s="50" t="str">
        <f t="shared" si="184"/>
        <v/>
      </c>
      <c r="F893" s="47" t="str">
        <f>IF(COUNTA(archive!H893:CI893)=0,"",COUNTA(archive!H893:CI893))</f>
        <v/>
      </c>
      <c r="G893" s="47" t="str">
        <f>IF(archive!G893="","",archive!G893)</f>
        <v/>
      </c>
      <c r="H893" s="51" t="str">
        <f>IF(archive!CJ893="","",archive!CJ893)</f>
        <v/>
      </c>
      <c r="I893" s="51" t="str">
        <f>IF(archive!CK893="","",archive!CK893)</f>
        <v/>
      </c>
      <c r="J893" s="47" t="str">
        <f t="shared" si="185"/>
        <v/>
      </c>
      <c r="K893" s="51" t="str">
        <f t="shared" si="186"/>
        <v/>
      </c>
      <c r="L893" s="52" t="str">
        <f t="shared" si="187"/>
        <v/>
      </c>
      <c r="M893" s="53" t="str">
        <f t="shared" si="188"/>
        <v/>
      </c>
      <c r="N893" s="53" t="str">
        <f t="shared" si="189"/>
        <v/>
      </c>
      <c r="O893" s="53" t="str">
        <f t="shared" si="190"/>
        <v/>
      </c>
      <c r="P893" s="53" t="str">
        <f t="shared" si="191"/>
        <v/>
      </c>
      <c r="Q893" s="53" t="str">
        <f t="shared" si="192"/>
        <v/>
      </c>
      <c r="R893" s="53" t="str">
        <f t="shared" si="193"/>
        <v/>
      </c>
      <c r="S893" s="53" t="str">
        <f t="shared" si="194"/>
        <v/>
      </c>
      <c r="T893" s="53" t="str">
        <f t="shared" si="195"/>
        <v/>
      </c>
    </row>
    <row r="894" spans="1:20">
      <c r="A894" s="47" t="str">
        <f>IF(archive!E894="","",archive!E894)</f>
        <v/>
      </c>
      <c r="B894" s="48" t="str">
        <f t="shared" si="182"/>
        <v/>
      </c>
      <c r="C894" s="49" t="str">
        <f>IF(archive!F894="","",archive!F894)</f>
        <v/>
      </c>
      <c r="D894" s="50" t="str">
        <f t="shared" si="183"/>
        <v/>
      </c>
      <c r="E894" s="50" t="str">
        <f t="shared" si="184"/>
        <v/>
      </c>
      <c r="F894" s="47" t="str">
        <f>IF(COUNTA(archive!H894:CI894)=0,"",COUNTA(archive!H894:CI894))</f>
        <v/>
      </c>
      <c r="G894" s="47" t="str">
        <f>IF(archive!G894="","",archive!G894)</f>
        <v/>
      </c>
      <c r="H894" s="51" t="str">
        <f>IF(archive!CJ894="","",archive!CJ894)</f>
        <v/>
      </c>
      <c r="I894" s="51" t="str">
        <f>IF(archive!CK894="","",archive!CK894)</f>
        <v/>
      </c>
      <c r="J894" s="47" t="str">
        <f t="shared" si="185"/>
        <v/>
      </c>
      <c r="K894" s="51" t="str">
        <f t="shared" si="186"/>
        <v/>
      </c>
      <c r="L894" s="52" t="str">
        <f t="shared" si="187"/>
        <v/>
      </c>
      <c r="M894" s="53" t="str">
        <f t="shared" si="188"/>
        <v/>
      </c>
      <c r="N894" s="53" t="str">
        <f t="shared" si="189"/>
        <v/>
      </c>
      <c r="O894" s="53" t="str">
        <f t="shared" si="190"/>
        <v/>
      </c>
      <c r="P894" s="53" t="str">
        <f t="shared" si="191"/>
        <v/>
      </c>
      <c r="Q894" s="53" t="str">
        <f t="shared" si="192"/>
        <v/>
      </c>
      <c r="R894" s="53" t="str">
        <f t="shared" si="193"/>
        <v/>
      </c>
      <c r="S894" s="53" t="str">
        <f t="shared" si="194"/>
        <v/>
      </c>
      <c r="T894" s="53" t="str">
        <f t="shared" si="195"/>
        <v/>
      </c>
    </row>
    <row r="895" spans="1:20">
      <c r="A895" s="47" t="str">
        <f>IF(archive!E895="","",archive!E895)</f>
        <v/>
      </c>
      <c r="B895" s="48" t="str">
        <f t="shared" si="182"/>
        <v/>
      </c>
      <c r="C895" s="49" t="str">
        <f>IF(archive!F895="","",archive!F895)</f>
        <v/>
      </c>
      <c r="D895" s="50" t="str">
        <f t="shared" si="183"/>
        <v/>
      </c>
      <c r="E895" s="50" t="str">
        <f t="shared" si="184"/>
        <v/>
      </c>
      <c r="F895" s="47" t="str">
        <f>IF(COUNTA(archive!H895:CI895)=0,"",COUNTA(archive!H895:CI895))</f>
        <v/>
      </c>
      <c r="G895" s="47" t="str">
        <f>IF(archive!G895="","",archive!G895)</f>
        <v/>
      </c>
      <c r="H895" s="51" t="str">
        <f>IF(archive!CJ895="","",archive!CJ895)</f>
        <v/>
      </c>
      <c r="I895" s="51" t="str">
        <f>IF(archive!CK895="","",archive!CK895)</f>
        <v/>
      </c>
      <c r="J895" s="47" t="str">
        <f t="shared" si="185"/>
        <v/>
      </c>
      <c r="K895" s="51" t="str">
        <f t="shared" si="186"/>
        <v/>
      </c>
      <c r="L895" s="52" t="str">
        <f t="shared" si="187"/>
        <v/>
      </c>
      <c r="M895" s="53" t="str">
        <f t="shared" si="188"/>
        <v/>
      </c>
      <c r="N895" s="53" t="str">
        <f t="shared" si="189"/>
        <v/>
      </c>
      <c r="O895" s="53" t="str">
        <f t="shared" si="190"/>
        <v/>
      </c>
      <c r="P895" s="53" t="str">
        <f t="shared" si="191"/>
        <v/>
      </c>
      <c r="Q895" s="53" t="str">
        <f t="shared" si="192"/>
        <v/>
      </c>
      <c r="R895" s="53" t="str">
        <f t="shared" si="193"/>
        <v/>
      </c>
      <c r="S895" s="53" t="str">
        <f t="shared" si="194"/>
        <v/>
      </c>
      <c r="T895" s="53" t="str">
        <f t="shared" si="195"/>
        <v/>
      </c>
    </row>
    <row r="896" spans="1:20">
      <c r="A896" s="47" t="str">
        <f>IF(archive!E896="","",archive!E896)</f>
        <v/>
      </c>
      <c r="B896" s="48" t="str">
        <f t="shared" si="182"/>
        <v/>
      </c>
      <c r="C896" s="49" t="str">
        <f>IF(archive!F896="","",archive!F896)</f>
        <v/>
      </c>
      <c r="D896" s="50" t="str">
        <f t="shared" si="183"/>
        <v/>
      </c>
      <c r="E896" s="50" t="str">
        <f t="shared" si="184"/>
        <v/>
      </c>
      <c r="F896" s="47" t="str">
        <f>IF(COUNTA(archive!H896:CI896)=0,"",COUNTA(archive!H896:CI896))</f>
        <v/>
      </c>
      <c r="G896" s="47" t="str">
        <f>IF(archive!G896="","",archive!G896)</f>
        <v/>
      </c>
      <c r="H896" s="51" t="str">
        <f>IF(archive!CJ896="","",archive!CJ896)</f>
        <v/>
      </c>
      <c r="I896" s="51" t="str">
        <f>IF(archive!CK896="","",archive!CK896)</f>
        <v/>
      </c>
      <c r="J896" s="47" t="str">
        <f t="shared" si="185"/>
        <v/>
      </c>
      <c r="K896" s="51" t="str">
        <f t="shared" si="186"/>
        <v/>
      </c>
      <c r="L896" s="52" t="str">
        <f t="shared" si="187"/>
        <v/>
      </c>
      <c r="M896" s="53" t="str">
        <f t="shared" si="188"/>
        <v/>
      </c>
      <c r="N896" s="53" t="str">
        <f t="shared" si="189"/>
        <v/>
      </c>
      <c r="O896" s="53" t="str">
        <f t="shared" si="190"/>
        <v/>
      </c>
      <c r="P896" s="53" t="str">
        <f t="shared" si="191"/>
        <v/>
      </c>
      <c r="Q896" s="53" t="str">
        <f t="shared" si="192"/>
        <v/>
      </c>
      <c r="R896" s="53" t="str">
        <f t="shared" si="193"/>
        <v/>
      </c>
      <c r="S896" s="53" t="str">
        <f t="shared" si="194"/>
        <v/>
      </c>
      <c r="T896" s="53" t="str">
        <f t="shared" si="195"/>
        <v/>
      </c>
    </row>
    <row r="897" spans="1:20">
      <c r="A897" s="47" t="str">
        <f>IF(archive!E897="","",archive!E897)</f>
        <v/>
      </c>
      <c r="B897" s="48" t="str">
        <f t="shared" si="182"/>
        <v/>
      </c>
      <c r="C897" s="49" t="str">
        <f>IF(archive!F897="","",archive!F897)</f>
        <v/>
      </c>
      <c r="D897" s="50" t="str">
        <f t="shared" si="183"/>
        <v/>
      </c>
      <c r="E897" s="50" t="str">
        <f t="shared" si="184"/>
        <v/>
      </c>
      <c r="F897" s="47" t="str">
        <f>IF(COUNTA(archive!H897:CI897)=0,"",COUNTA(archive!H897:CI897))</f>
        <v/>
      </c>
      <c r="G897" s="47" t="str">
        <f>IF(archive!G897="","",archive!G897)</f>
        <v/>
      </c>
      <c r="H897" s="51" t="str">
        <f>IF(archive!CJ897="","",archive!CJ897)</f>
        <v/>
      </c>
      <c r="I897" s="51" t="str">
        <f>IF(archive!CK897="","",archive!CK897)</f>
        <v/>
      </c>
      <c r="J897" s="47" t="str">
        <f t="shared" si="185"/>
        <v/>
      </c>
      <c r="K897" s="51" t="str">
        <f t="shared" si="186"/>
        <v/>
      </c>
      <c r="L897" s="52" t="str">
        <f t="shared" si="187"/>
        <v/>
      </c>
      <c r="M897" s="53" t="str">
        <f t="shared" si="188"/>
        <v/>
      </c>
      <c r="N897" s="53" t="str">
        <f t="shared" si="189"/>
        <v/>
      </c>
      <c r="O897" s="53" t="str">
        <f t="shared" si="190"/>
        <v/>
      </c>
      <c r="P897" s="53" t="str">
        <f t="shared" si="191"/>
        <v/>
      </c>
      <c r="Q897" s="53" t="str">
        <f t="shared" si="192"/>
        <v/>
      </c>
      <c r="R897" s="53" t="str">
        <f t="shared" si="193"/>
        <v/>
      </c>
      <c r="S897" s="53" t="str">
        <f t="shared" si="194"/>
        <v/>
      </c>
      <c r="T897" s="53" t="str">
        <f t="shared" si="195"/>
        <v/>
      </c>
    </row>
    <row r="898" spans="1:20">
      <c r="A898" s="47" t="str">
        <f>IF(archive!E898="","",archive!E898)</f>
        <v/>
      </c>
      <c r="B898" s="48" t="str">
        <f t="shared" si="182"/>
        <v/>
      </c>
      <c r="C898" s="49" t="str">
        <f>IF(archive!F898="","",archive!F898)</f>
        <v/>
      </c>
      <c r="D898" s="50" t="str">
        <f t="shared" si="183"/>
        <v/>
      </c>
      <c r="E898" s="50" t="str">
        <f t="shared" si="184"/>
        <v/>
      </c>
      <c r="F898" s="47" t="str">
        <f>IF(COUNTA(archive!H898:CI898)=0,"",COUNTA(archive!H898:CI898))</f>
        <v/>
      </c>
      <c r="G898" s="47" t="str">
        <f>IF(archive!G898="","",archive!G898)</f>
        <v/>
      </c>
      <c r="H898" s="51" t="str">
        <f>IF(archive!CJ898="","",archive!CJ898)</f>
        <v/>
      </c>
      <c r="I898" s="51" t="str">
        <f>IF(archive!CK898="","",archive!CK898)</f>
        <v/>
      </c>
      <c r="J898" s="47" t="str">
        <f t="shared" si="185"/>
        <v/>
      </c>
      <c r="K898" s="51" t="str">
        <f t="shared" si="186"/>
        <v/>
      </c>
      <c r="L898" s="52" t="str">
        <f t="shared" si="187"/>
        <v/>
      </c>
      <c r="M898" s="53" t="str">
        <f t="shared" si="188"/>
        <v/>
      </c>
      <c r="N898" s="53" t="str">
        <f t="shared" si="189"/>
        <v/>
      </c>
      <c r="O898" s="53" t="str">
        <f t="shared" si="190"/>
        <v/>
      </c>
      <c r="P898" s="53" t="str">
        <f t="shared" si="191"/>
        <v/>
      </c>
      <c r="Q898" s="53" t="str">
        <f t="shared" si="192"/>
        <v/>
      </c>
      <c r="R898" s="53" t="str">
        <f t="shared" si="193"/>
        <v/>
      </c>
      <c r="S898" s="53" t="str">
        <f t="shared" si="194"/>
        <v/>
      </c>
      <c r="T898" s="53" t="str">
        <f t="shared" si="195"/>
        <v/>
      </c>
    </row>
    <row r="899" spans="1:20">
      <c r="A899" s="47" t="str">
        <f>IF(archive!E899="","",archive!E899)</f>
        <v/>
      </c>
      <c r="B899" s="48" t="str">
        <f t="shared" si="182"/>
        <v/>
      </c>
      <c r="C899" s="49" t="str">
        <f>IF(archive!F899="","",archive!F899)</f>
        <v/>
      </c>
      <c r="D899" s="50" t="str">
        <f t="shared" si="183"/>
        <v/>
      </c>
      <c r="E899" s="50" t="str">
        <f t="shared" si="184"/>
        <v/>
      </c>
      <c r="F899" s="47" t="str">
        <f>IF(COUNTA(archive!H899:CI899)=0,"",COUNTA(archive!H899:CI899))</f>
        <v/>
      </c>
      <c r="G899" s="47" t="str">
        <f>IF(archive!G899="","",archive!G899)</f>
        <v/>
      </c>
      <c r="H899" s="51" t="str">
        <f>IF(archive!CJ899="","",archive!CJ899)</f>
        <v/>
      </c>
      <c r="I899" s="51" t="str">
        <f>IF(archive!CK899="","",archive!CK899)</f>
        <v/>
      </c>
      <c r="J899" s="47" t="str">
        <f t="shared" si="185"/>
        <v/>
      </c>
      <c r="K899" s="51" t="str">
        <f t="shared" si="186"/>
        <v/>
      </c>
      <c r="L899" s="52" t="str">
        <f t="shared" si="187"/>
        <v/>
      </c>
      <c r="M899" s="53" t="str">
        <f t="shared" si="188"/>
        <v/>
      </c>
      <c r="N899" s="53" t="str">
        <f t="shared" si="189"/>
        <v/>
      </c>
      <c r="O899" s="53" t="str">
        <f t="shared" si="190"/>
        <v/>
      </c>
      <c r="P899" s="53" t="str">
        <f t="shared" si="191"/>
        <v/>
      </c>
      <c r="Q899" s="53" t="str">
        <f t="shared" si="192"/>
        <v/>
      </c>
      <c r="R899" s="53" t="str">
        <f t="shared" si="193"/>
        <v/>
      </c>
      <c r="S899" s="53" t="str">
        <f t="shared" si="194"/>
        <v/>
      </c>
      <c r="T899" s="53" t="str">
        <f t="shared" si="195"/>
        <v/>
      </c>
    </row>
    <row r="900" spans="1:20">
      <c r="A900" s="47" t="str">
        <f>IF(archive!E900="","",archive!E900)</f>
        <v/>
      </c>
      <c r="B900" s="48" t="str">
        <f t="shared" ref="B900:B963" si="196">IF(C900="","",VLOOKUP($C900,Tare,2,0))</f>
        <v/>
      </c>
      <c r="C900" s="49" t="str">
        <f>IF(archive!F900="","",archive!F900)</f>
        <v/>
      </c>
      <c r="D900" s="50" t="str">
        <f t="shared" ref="D900:D963" si="197">IF(C900="","",C900+B900)</f>
        <v/>
      </c>
      <c r="E900" s="50" t="str">
        <f t="shared" ref="E900:E963" si="198">IF(C900="","",(C900*0.025)+D900)</f>
        <v/>
      </c>
      <c r="F900" s="47" t="str">
        <f>IF(COUNTA(archive!H900:CI900)=0,"",COUNTA(archive!H900:CI900))</f>
        <v/>
      </c>
      <c r="G900" s="47" t="str">
        <f>IF(archive!G900="","",archive!G900)</f>
        <v/>
      </c>
      <c r="H900" s="51" t="str">
        <f>IF(archive!CJ900="","",archive!CJ900)</f>
        <v/>
      </c>
      <c r="I900" s="51" t="str">
        <f>IF(archive!CK900="","",archive!CK900)</f>
        <v/>
      </c>
      <c r="J900" s="47" t="str">
        <f t="shared" ref="J900:J963" si="199">IF(F900="","",VLOOKUP(F900,Valeur_g,2,0))</f>
        <v/>
      </c>
      <c r="K900" s="51" t="str">
        <f t="shared" ref="K900:K963" si="200">IF(C900="","",D900+(J900*I900))</f>
        <v/>
      </c>
      <c r="L900" s="52" t="str">
        <f t="shared" ref="L900:L963" si="201">IF(C900="","",IF(K900&lt;H900,"Conforme","Non conforme"))</f>
        <v/>
      </c>
      <c r="M900" s="53" t="str">
        <f t="shared" ref="M900:M963" si="202">IF(C900="","",1)</f>
        <v/>
      </c>
      <c r="N900" s="53" t="str">
        <f t="shared" ref="N900:N963" si="203">IF(L900="","",COUNTIF(L900,"Non conforme"))</f>
        <v/>
      </c>
      <c r="O900" s="53" t="str">
        <f t="shared" ref="O900:O963" si="204">IF($C900="","",IF($C900=0.25,$G900,"-"))</f>
        <v/>
      </c>
      <c r="P900" s="53" t="str">
        <f t="shared" ref="P900:P963" si="205">IF($C900="","",IF($C900=0.4,$G900,"-"))</f>
        <v/>
      </c>
      <c r="Q900" s="53" t="str">
        <f t="shared" ref="Q900:Q963" si="206">IF($C900="","",IF($C900=0.5,$G900,"-"))</f>
        <v/>
      </c>
      <c r="R900" s="53" t="str">
        <f t="shared" ref="R900:R963" si="207">IF($C900="","",IF($C900=0.6,$G900,"-"))</f>
        <v/>
      </c>
      <c r="S900" s="53" t="str">
        <f t="shared" ref="S900:S963" si="208">IF($C900="","",IF($C900=0.8,$G900,"-"))</f>
        <v/>
      </c>
      <c r="T900" s="53" t="str">
        <f t="shared" ref="T900:T963" si="209">IF($C900="","",IF($C900=1,$G900,"-"))</f>
        <v/>
      </c>
    </row>
    <row r="901" spans="1:20">
      <c r="A901" s="47" t="str">
        <f>IF(archive!E901="","",archive!E901)</f>
        <v/>
      </c>
      <c r="B901" s="48" t="str">
        <f t="shared" si="196"/>
        <v/>
      </c>
      <c r="C901" s="49" t="str">
        <f>IF(archive!F901="","",archive!F901)</f>
        <v/>
      </c>
      <c r="D901" s="50" t="str">
        <f t="shared" si="197"/>
        <v/>
      </c>
      <c r="E901" s="50" t="str">
        <f t="shared" si="198"/>
        <v/>
      </c>
      <c r="F901" s="47" t="str">
        <f>IF(COUNTA(archive!H901:CI901)=0,"",COUNTA(archive!H901:CI901))</f>
        <v/>
      </c>
      <c r="G901" s="47" t="str">
        <f>IF(archive!G901="","",archive!G901)</f>
        <v/>
      </c>
      <c r="H901" s="51" t="str">
        <f>IF(archive!CJ901="","",archive!CJ901)</f>
        <v/>
      </c>
      <c r="I901" s="51" t="str">
        <f>IF(archive!CK901="","",archive!CK901)</f>
        <v/>
      </c>
      <c r="J901" s="47" t="str">
        <f t="shared" si="199"/>
        <v/>
      </c>
      <c r="K901" s="51" t="str">
        <f t="shared" si="200"/>
        <v/>
      </c>
      <c r="L901" s="52" t="str">
        <f t="shared" si="201"/>
        <v/>
      </c>
      <c r="M901" s="53" t="str">
        <f t="shared" si="202"/>
        <v/>
      </c>
      <c r="N901" s="53" t="str">
        <f t="shared" si="203"/>
        <v/>
      </c>
      <c r="O901" s="53" t="str">
        <f t="shared" si="204"/>
        <v/>
      </c>
      <c r="P901" s="53" t="str">
        <f t="shared" si="205"/>
        <v/>
      </c>
      <c r="Q901" s="53" t="str">
        <f t="shared" si="206"/>
        <v/>
      </c>
      <c r="R901" s="53" t="str">
        <f t="shared" si="207"/>
        <v/>
      </c>
      <c r="S901" s="53" t="str">
        <f t="shared" si="208"/>
        <v/>
      </c>
      <c r="T901" s="53" t="str">
        <f t="shared" si="209"/>
        <v/>
      </c>
    </row>
    <row r="902" spans="1:20">
      <c r="A902" s="47" t="str">
        <f>IF(archive!E902="","",archive!E902)</f>
        <v/>
      </c>
      <c r="B902" s="48" t="str">
        <f t="shared" si="196"/>
        <v/>
      </c>
      <c r="C902" s="49" t="str">
        <f>IF(archive!F902="","",archive!F902)</f>
        <v/>
      </c>
      <c r="D902" s="50" t="str">
        <f t="shared" si="197"/>
        <v/>
      </c>
      <c r="E902" s="50" t="str">
        <f t="shared" si="198"/>
        <v/>
      </c>
      <c r="F902" s="47" t="str">
        <f>IF(COUNTA(archive!H902:CI902)=0,"",COUNTA(archive!H902:CI902))</f>
        <v/>
      </c>
      <c r="G902" s="47" t="str">
        <f>IF(archive!G902="","",archive!G902)</f>
        <v/>
      </c>
      <c r="H902" s="51" t="str">
        <f>IF(archive!CJ902="","",archive!CJ902)</f>
        <v/>
      </c>
      <c r="I902" s="51" t="str">
        <f>IF(archive!CK902="","",archive!CK902)</f>
        <v/>
      </c>
      <c r="J902" s="47" t="str">
        <f t="shared" si="199"/>
        <v/>
      </c>
      <c r="K902" s="51" t="str">
        <f t="shared" si="200"/>
        <v/>
      </c>
      <c r="L902" s="52" t="str">
        <f t="shared" si="201"/>
        <v/>
      </c>
      <c r="M902" s="53" t="str">
        <f t="shared" si="202"/>
        <v/>
      </c>
      <c r="N902" s="53" t="str">
        <f t="shared" si="203"/>
        <v/>
      </c>
      <c r="O902" s="53" t="str">
        <f t="shared" si="204"/>
        <v/>
      </c>
      <c r="P902" s="53" t="str">
        <f t="shared" si="205"/>
        <v/>
      </c>
      <c r="Q902" s="53" t="str">
        <f t="shared" si="206"/>
        <v/>
      </c>
      <c r="R902" s="53" t="str">
        <f t="shared" si="207"/>
        <v/>
      </c>
      <c r="S902" s="53" t="str">
        <f t="shared" si="208"/>
        <v/>
      </c>
      <c r="T902" s="53" t="str">
        <f t="shared" si="209"/>
        <v/>
      </c>
    </row>
    <row r="903" spans="1:20">
      <c r="A903" s="47" t="str">
        <f>IF(archive!E903="","",archive!E903)</f>
        <v/>
      </c>
      <c r="B903" s="48" t="str">
        <f t="shared" si="196"/>
        <v/>
      </c>
      <c r="C903" s="49" t="str">
        <f>IF(archive!F903="","",archive!F903)</f>
        <v/>
      </c>
      <c r="D903" s="50" t="str">
        <f t="shared" si="197"/>
        <v/>
      </c>
      <c r="E903" s="50" t="str">
        <f t="shared" si="198"/>
        <v/>
      </c>
      <c r="F903" s="47" t="str">
        <f>IF(COUNTA(archive!H903:CI903)=0,"",COUNTA(archive!H903:CI903))</f>
        <v/>
      </c>
      <c r="G903" s="47" t="str">
        <f>IF(archive!G903="","",archive!G903)</f>
        <v/>
      </c>
      <c r="H903" s="51" t="str">
        <f>IF(archive!CJ903="","",archive!CJ903)</f>
        <v/>
      </c>
      <c r="I903" s="51" t="str">
        <f>IF(archive!CK903="","",archive!CK903)</f>
        <v/>
      </c>
      <c r="J903" s="47" t="str">
        <f t="shared" si="199"/>
        <v/>
      </c>
      <c r="K903" s="51" t="str">
        <f t="shared" si="200"/>
        <v/>
      </c>
      <c r="L903" s="52" t="str">
        <f t="shared" si="201"/>
        <v/>
      </c>
      <c r="M903" s="53" t="str">
        <f t="shared" si="202"/>
        <v/>
      </c>
      <c r="N903" s="53" t="str">
        <f t="shared" si="203"/>
        <v/>
      </c>
      <c r="O903" s="53" t="str">
        <f t="shared" si="204"/>
        <v/>
      </c>
      <c r="P903" s="53" t="str">
        <f t="shared" si="205"/>
        <v/>
      </c>
      <c r="Q903" s="53" t="str">
        <f t="shared" si="206"/>
        <v/>
      </c>
      <c r="R903" s="53" t="str">
        <f t="shared" si="207"/>
        <v/>
      </c>
      <c r="S903" s="53" t="str">
        <f t="shared" si="208"/>
        <v/>
      </c>
      <c r="T903" s="53" t="str">
        <f t="shared" si="209"/>
        <v/>
      </c>
    </row>
    <row r="904" spans="1:20">
      <c r="A904" s="47" t="str">
        <f>IF(archive!E904="","",archive!E904)</f>
        <v/>
      </c>
      <c r="B904" s="48" t="str">
        <f t="shared" si="196"/>
        <v/>
      </c>
      <c r="C904" s="49" t="str">
        <f>IF(archive!F904="","",archive!F904)</f>
        <v/>
      </c>
      <c r="D904" s="50" t="str">
        <f t="shared" si="197"/>
        <v/>
      </c>
      <c r="E904" s="50" t="str">
        <f t="shared" si="198"/>
        <v/>
      </c>
      <c r="F904" s="47" t="str">
        <f>IF(COUNTA(archive!H904:CI904)=0,"",COUNTA(archive!H904:CI904))</f>
        <v/>
      </c>
      <c r="G904" s="47" t="str">
        <f>IF(archive!G904="","",archive!G904)</f>
        <v/>
      </c>
      <c r="H904" s="51" t="str">
        <f>IF(archive!CJ904="","",archive!CJ904)</f>
        <v/>
      </c>
      <c r="I904" s="51" t="str">
        <f>IF(archive!CK904="","",archive!CK904)</f>
        <v/>
      </c>
      <c r="J904" s="47" t="str">
        <f t="shared" si="199"/>
        <v/>
      </c>
      <c r="K904" s="51" t="str">
        <f t="shared" si="200"/>
        <v/>
      </c>
      <c r="L904" s="52" t="str">
        <f t="shared" si="201"/>
        <v/>
      </c>
      <c r="M904" s="53" t="str">
        <f t="shared" si="202"/>
        <v/>
      </c>
      <c r="N904" s="53" t="str">
        <f t="shared" si="203"/>
        <v/>
      </c>
      <c r="O904" s="53" t="str">
        <f t="shared" si="204"/>
        <v/>
      </c>
      <c r="P904" s="53" t="str">
        <f t="shared" si="205"/>
        <v/>
      </c>
      <c r="Q904" s="53" t="str">
        <f t="shared" si="206"/>
        <v/>
      </c>
      <c r="R904" s="53" t="str">
        <f t="shared" si="207"/>
        <v/>
      </c>
      <c r="S904" s="53" t="str">
        <f t="shared" si="208"/>
        <v/>
      </c>
      <c r="T904" s="53" t="str">
        <f t="shared" si="209"/>
        <v/>
      </c>
    </row>
    <row r="905" spans="1:20">
      <c r="A905" s="47" t="str">
        <f>IF(archive!E905="","",archive!E905)</f>
        <v/>
      </c>
      <c r="B905" s="48" t="str">
        <f t="shared" si="196"/>
        <v/>
      </c>
      <c r="C905" s="49" t="str">
        <f>IF(archive!F905="","",archive!F905)</f>
        <v/>
      </c>
      <c r="D905" s="50" t="str">
        <f t="shared" si="197"/>
        <v/>
      </c>
      <c r="E905" s="50" t="str">
        <f t="shared" si="198"/>
        <v/>
      </c>
      <c r="F905" s="47" t="str">
        <f>IF(COUNTA(archive!H905:CI905)=0,"",COUNTA(archive!H905:CI905))</f>
        <v/>
      </c>
      <c r="G905" s="47" t="str">
        <f>IF(archive!G905="","",archive!G905)</f>
        <v/>
      </c>
      <c r="H905" s="51" t="str">
        <f>IF(archive!CJ905="","",archive!CJ905)</f>
        <v/>
      </c>
      <c r="I905" s="51" t="str">
        <f>IF(archive!CK905="","",archive!CK905)</f>
        <v/>
      </c>
      <c r="J905" s="47" t="str">
        <f t="shared" si="199"/>
        <v/>
      </c>
      <c r="K905" s="51" t="str">
        <f t="shared" si="200"/>
        <v/>
      </c>
      <c r="L905" s="52" t="str">
        <f t="shared" si="201"/>
        <v/>
      </c>
      <c r="M905" s="53" t="str">
        <f t="shared" si="202"/>
        <v/>
      </c>
      <c r="N905" s="53" t="str">
        <f t="shared" si="203"/>
        <v/>
      </c>
      <c r="O905" s="53" t="str">
        <f t="shared" si="204"/>
        <v/>
      </c>
      <c r="P905" s="53" t="str">
        <f t="shared" si="205"/>
        <v/>
      </c>
      <c r="Q905" s="53" t="str">
        <f t="shared" si="206"/>
        <v/>
      </c>
      <c r="R905" s="53" t="str">
        <f t="shared" si="207"/>
        <v/>
      </c>
      <c r="S905" s="53" t="str">
        <f t="shared" si="208"/>
        <v/>
      </c>
      <c r="T905" s="53" t="str">
        <f t="shared" si="209"/>
        <v/>
      </c>
    </row>
    <row r="906" spans="1:20">
      <c r="A906" s="47" t="str">
        <f>IF(archive!E906="","",archive!E906)</f>
        <v/>
      </c>
      <c r="B906" s="48" t="str">
        <f t="shared" si="196"/>
        <v/>
      </c>
      <c r="C906" s="49" t="str">
        <f>IF(archive!F906="","",archive!F906)</f>
        <v/>
      </c>
      <c r="D906" s="50" t="str">
        <f t="shared" si="197"/>
        <v/>
      </c>
      <c r="E906" s="50" t="str">
        <f t="shared" si="198"/>
        <v/>
      </c>
      <c r="F906" s="47" t="str">
        <f>IF(COUNTA(archive!H906:CI906)=0,"",COUNTA(archive!H906:CI906))</f>
        <v/>
      </c>
      <c r="G906" s="47" t="str">
        <f>IF(archive!G906="","",archive!G906)</f>
        <v/>
      </c>
      <c r="H906" s="51" t="str">
        <f>IF(archive!CJ906="","",archive!CJ906)</f>
        <v/>
      </c>
      <c r="I906" s="51" t="str">
        <f>IF(archive!CK906="","",archive!CK906)</f>
        <v/>
      </c>
      <c r="J906" s="47" t="str">
        <f t="shared" si="199"/>
        <v/>
      </c>
      <c r="K906" s="51" t="str">
        <f t="shared" si="200"/>
        <v/>
      </c>
      <c r="L906" s="52" t="str">
        <f t="shared" si="201"/>
        <v/>
      </c>
      <c r="M906" s="53" t="str">
        <f t="shared" si="202"/>
        <v/>
      </c>
      <c r="N906" s="53" t="str">
        <f t="shared" si="203"/>
        <v/>
      </c>
      <c r="O906" s="53" t="str">
        <f t="shared" si="204"/>
        <v/>
      </c>
      <c r="P906" s="53" t="str">
        <f t="shared" si="205"/>
        <v/>
      </c>
      <c r="Q906" s="53" t="str">
        <f t="shared" si="206"/>
        <v/>
      </c>
      <c r="R906" s="53" t="str">
        <f t="shared" si="207"/>
        <v/>
      </c>
      <c r="S906" s="53" t="str">
        <f t="shared" si="208"/>
        <v/>
      </c>
      <c r="T906" s="53" t="str">
        <f t="shared" si="209"/>
        <v/>
      </c>
    </row>
    <row r="907" spans="1:20">
      <c r="A907" s="47" t="str">
        <f>IF(archive!E907="","",archive!E907)</f>
        <v/>
      </c>
      <c r="B907" s="48" t="str">
        <f t="shared" si="196"/>
        <v/>
      </c>
      <c r="C907" s="49" t="str">
        <f>IF(archive!F907="","",archive!F907)</f>
        <v/>
      </c>
      <c r="D907" s="50" t="str">
        <f t="shared" si="197"/>
        <v/>
      </c>
      <c r="E907" s="50" t="str">
        <f t="shared" si="198"/>
        <v/>
      </c>
      <c r="F907" s="47" t="str">
        <f>IF(COUNTA(archive!H907:CI907)=0,"",COUNTA(archive!H907:CI907))</f>
        <v/>
      </c>
      <c r="G907" s="47" t="str">
        <f>IF(archive!G907="","",archive!G907)</f>
        <v/>
      </c>
      <c r="H907" s="51" t="str">
        <f>IF(archive!CJ907="","",archive!CJ907)</f>
        <v/>
      </c>
      <c r="I907" s="51" t="str">
        <f>IF(archive!CK907="","",archive!CK907)</f>
        <v/>
      </c>
      <c r="J907" s="47" t="str">
        <f t="shared" si="199"/>
        <v/>
      </c>
      <c r="K907" s="51" t="str">
        <f t="shared" si="200"/>
        <v/>
      </c>
      <c r="L907" s="52" t="str">
        <f t="shared" si="201"/>
        <v/>
      </c>
      <c r="M907" s="53" t="str">
        <f t="shared" si="202"/>
        <v/>
      </c>
      <c r="N907" s="53" t="str">
        <f t="shared" si="203"/>
        <v/>
      </c>
      <c r="O907" s="53" t="str">
        <f t="shared" si="204"/>
        <v/>
      </c>
      <c r="P907" s="53" t="str">
        <f t="shared" si="205"/>
        <v/>
      </c>
      <c r="Q907" s="53" t="str">
        <f t="shared" si="206"/>
        <v/>
      </c>
      <c r="R907" s="53" t="str">
        <f t="shared" si="207"/>
        <v/>
      </c>
      <c r="S907" s="53" t="str">
        <f t="shared" si="208"/>
        <v/>
      </c>
      <c r="T907" s="53" t="str">
        <f t="shared" si="209"/>
        <v/>
      </c>
    </row>
    <row r="908" spans="1:20">
      <c r="A908" s="47" t="str">
        <f>IF(archive!E908="","",archive!E908)</f>
        <v/>
      </c>
      <c r="B908" s="48" t="str">
        <f t="shared" si="196"/>
        <v/>
      </c>
      <c r="C908" s="49" t="str">
        <f>IF(archive!F908="","",archive!F908)</f>
        <v/>
      </c>
      <c r="D908" s="50" t="str">
        <f t="shared" si="197"/>
        <v/>
      </c>
      <c r="E908" s="50" t="str">
        <f t="shared" si="198"/>
        <v/>
      </c>
      <c r="F908" s="47" t="str">
        <f>IF(COUNTA(archive!H908:CI908)=0,"",COUNTA(archive!H908:CI908))</f>
        <v/>
      </c>
      <c r="G908" s="47" t="str">
        <f>IF(archive!G908="","",archive!G908)</f>
        <v/>
      </c>
      <c r="H908" s="51" t="str">
        <f>IF(archive!CJ908="","",archive!CJ908)</f>
        <v/>
      </c>
      <c r="I908" s="51" t="str">
        <f>IF(archive!CK908="","",archive!CK908)</f>
        <v/>
      </c>
      <c r="J908" s="47" t="str">
        <f t="shared" si="199"/>
        <v/>
      </c>
      <c r="K908" s="51" t="str">
        <f t="shared" si="200"/>
        <v/>
      </c>
      <c r="L908" s="52" t="str">
        <f t="shared" si="201"/>
        <v/>
      </c>
      <c r="M908" s="53" t="str">
        <f t="shared" si="202"/>
        <v/>
      </c>
      <c r="N908" s="53" t="str">
        <f t="shared" si="203"/>
        <v/>
      </c>
      <c r="O908" s="53" t="str">
        <f t="shared" si="204"/>
        <v/>
      </c>
      <c r="P908" s="53" t="str">
        <f t="shared" si="205"/>
        <v/>
      </c>
      <c r="Q908" s="53" t="str">
        <f t="shared" si="206"/>
        <v/>
      </c>
      <c r="R908" s="53" t="str">
        <f t="shared" si="207"/>
        <v/>
      </c>
      <c r="S908" s="53" t="str">
        <f t="shared" si="208"/>
        <v/>
      </c>
      <c r="T908" s="53" t="str">
        <f t="shared" si="209"/>
        <v/>
      </c>
    </row>
    <row r="909" spans="1:20">
      <c r="A909" s="47" t="str">
        <f>IF(archive!E909="","",archive!E909)</f>
        <v/>
      </c>
      <c r="B909" s="48" t="str">
        <f t="shared" si="196"/>
        <v/>
      </c>
      <c r="C909" s="49" t="str">
        <f>IF(archive!F909="","",archive!F909)</f>
        <v/>
      </c>
      <c r="D909" s="50" t="str">
        <f t="shared" si="197"/>
        <v/>
      </c>
      <c r="E909" s="50" t="str">
        <f t="shared" si="198"/>
        <v/>
      </c>
      <c r="F909" s="47" t="str">
        <f>IF(COUNTA(archive!H909:CI909)=0,"",COUNTA(archive!H909:CI909))</f>
        <v/>
      </c>
      <c r="G909" s="47" t="str">
        <f>IF(archive!G909="","",archive!G909)</f>
        <v/>
      </c>
      <c r="H909" s="51" t="str">
        <f>IF(archive!CJ909="","",archive!CJ909)</f>
        <v/>
      </c>
      <c r="I909" s="51" t="str">
        <f>IF(archive!CK909="","",archive!CK909)</f>
        <v/>
      </c>
      <c r="J909" s="47" t="str">
        <f t="shared" si="199"/>
        <v/>
      </c>
      <c r="K909" s="51" t="str">
        <f t="shared" si="200"/>
        <v/>
      </c>
      <c r="L909" s="52" t="str">
        <f t="shared" si="201"/>
        <v/>
      </c>
      <c r="M909" s="53" t="str">
        <f t="shared" si="202"/>
        <v/>
      </c>
      <c r="N909" s="53" t="str">
        <f t="shared" si="203"/>
        <v/>
      </c>
      <c r="O909" s="53" t="str">
        <f t="shared" si="204"/>
        <v/>
      </c>
      <c r="P909" s="53" t="str">
        <f t="shared" si="205"/>
        <v/>
      </c>
      <c r="Q909" s="53" t="str">
        <f t="shared" si="206"/>
        <v/>
      </c>
      <c r="R909" s="53" t="str">
        <f t="shared" si="207"/>
        <v/>
      </c>
      <c r="S909" s="53" t="str">
        <f t="shared" si="208"/>
        <v/>
      </c>
      <c r="T909" s="53" t="str">
        <f t="shared" si="209"/>
        <v/>
      </c>
    </row>
    <row r="910" spans="1:20">
      <c r="A910" s="47" t="str">
        <f>IF(archive!E910="","",archive!E910)</f>
        <v/>
      </c>
      <c r="B910" s="48" t="str">
        <f t="shared" si="196"/>
        <v/>
      </c>
      <c r="C910" s="49" t="str">
        <f>IF(archive!F910="","",archive!F910)</f>
        <v/>
      </c>
      <c r="D910" s="50" t="str">
        <f t="shared" si="197"/>
        <v/>
      </c>
      <c r="E910" s="50" t="str">
        <f t="shared" si="198"/>
        <v/>
      </c>
      <c r="F910" s="47" t="str">
        <f>IF(COUNTA(archive!H910:CI910)=0,"",COUNTA(archive!H910:CI910))</f>
        <v/>
      </c>
      <c r="G910" s="47" t="str">
        <f>IF(archive!G910="","",archive!G910)</f>
        <v/>
      </c>
      <c r="H910" s="51" t="str">
        <f>IF(archive!CJ910="","",archive!CJ910)</f>
        <v/>
      </c>
      <c r="I910" s="51" t="str">
        <f>IF(archive!CK910="","",archive!CK910)</f>
        <v/>
      </c>
      <c r="J910" s="47" t="str">
        <f t="shared" si="199"/>
        <v/>
      </c>
      <c r="K910" s="51" t="str">
        <f t="shared" si="200"/>
        <v/>
      </c>
      <c r="L910" s="52" t="str">
        <f t="shared" si="201"/>
        <v/>
      </c>
      <c r="M910" s="53" t="str">
        <f t="shared" si="202"/>
        <v/>
      </c>
      <c r="N910" s="53" t="str">
        <f t="shared" si="203"/>
        <v/>
      </c>
      <c r="O910" s="53" t="str">
        <f t="shared" si="204"/>
        <v/>
      </c>
      <c r="P910" s="53" t="str">
        <f t="shared" si="205"/>
        <v/>
      </c>
      <c r="Q910" s="53" t="str">
        <f t="shared" si="206"/>
        <v/>
      </c>
      <c r="R910" s="53" t="str">
        <f t="shared" si="207"/>
        <v/>
      </c>
      <c r="S910" s="53" t="str">
        <f t="shared" si="208"/>
        <v/>
      </c>
      <c r="T910" s="53" t="str">
        <f t="shared" si="209"/>
        <v/>
      </c>
    </row>
    <row r="911" spans="1:20">
      <c r="A911" s="47" t="str">
        <f>IF(archive!E911="","",archive!E911)</f>
        <v/>
      </c>
      <c r="B911" s="48" t="str">
        <f t="shared" si="196"/>
        <v/>
      </c>
      <c r="C911" s="49" t="str">
        <f>IF(archive!F911="","",archive!F911)</f>
        <v/>
      </c>
      <c r="D911" s="50" t="str">
        <f t="shared" si="197"/>
        <v/>
      </c>
      <c r="E911" s="50" t="str">
        <f t="shared" si="198"/>
        <v/>
      </c>
      <c r="F911" s="47" t="str">
        <f>IF(COUNTA(archive!H911:CI911)=0,"",COUNTA(archive!H911:CI911))</f>
        <v/>
      </c>
      <c r="G911" s="47" t="str">
        <f>IF(archive!G911="","",archive!G911)</f>
        <v/>
      </c>
      <c r="H911" s="51" t="str">
        <f>IF(archive!CJ911="","",archive!CJ911)</f>
        <v/>
      </c>
      <c r="I911" s="51" t="str">
        <f>IF(archive!CK911="","",archive!CK911)</f>
        <v/>
      </c>
      <c r="J911" s="47" t="str">
        <f t="shared" si="199"/>
        <v/>
      </c>
      <c r="K911" s="51" t="str">
        <f t="shared" si="200"/>
        <v/>
      </c>
      <c r="L911" s="52" t="str">
        <f t="shared" si="201"/>
        <v/>
      </c>
      <c r="M911" s="53" t="str">
        <f t="shared" si="202"/>
        <v/>
      </c>
      <c r="N911" s="53" t="str">
        <f t="shared" si="203"/>
        <v/>
      </c>
      <c r="O911" s="53" t="str">
        <f t="shared" si="204"/>
        <v/>
      </c>
      <c r="P911" s="53" t="str">
        <f t="shared" si="205"/>
        <v/>
      </c>
      <c r="Q911" s="53" t="str">
        <f t="shared" si="206"/>
        <v/>
      </c>
      <c r="R911" s="53" t="str">
        <f t="shared" si="207"/>
        <v/>
      </c>
      <c r="S911" s="53" t="str">
        <f t="shared" si="208"/>
        <v/>
      </c>
      <c r="T911" s="53" t="str">
        <f t="shared" si="209"/>
        <v/>
      </c>
    </row>
    <row r="912" spans="1:20">
      <c r="A912" s="47" t="str">
        <f>IF(archive!E912="","",archive!E912)</f>
        <v/>
      </c>
      <c r="B912" s="48" t="str">
        <f t="shared" si="196"/>
        <v/>
      </c>
      <c r="C912" s="49" t="str">
        <f>IF(archive!F912="","",archive!F912)</f>
        <v/>
      </c>
      <c r="D912" s="50" t="str">
        <f t="shared" si="197"/>
        <v/>
      </c>
      <c r="E912" s="50" t="str">
        <f t="shared" si="198"/>
        <v/>
      </c>
      <c r="F912" s="47" t="str">
        <f>IF(COUNTA(archive!H912:CI912)=0,"",COUNTA(archive!H912:CI912))</f>
        <v/>
      </c>
      <c r="G912" s="47" t="str">
        <f>IF(archive!G912="","",archive!G912)</f>
        <v/>
      </c>
      <c r="H912" s="51" t="str">
        <f>IF(archive!CJ912="","",archive!CJ912)</f>
        <v/>
      </c>
      <c r="I912" s="51" t="str">
        <f>IF(archive!CK912="","",archive!CK912)</f>
        <v/>
      </c>
      <c r="J912" s="47" t="str">
        <f t="shared" si="199"/>
        <v/>
      </c>
      <c r="K912" s="51" t="str">
        <f t="shared" si="200"/>
        <v/>
      </c>
      <c r="L912" s="52" t="str">
        <f t="shared" si="201"/>
        <v/>
      </c>
      <c r="M912" s="53" t="str">
        <f t="shared" si="202"/>
        <v/>
      </c>
      <c r="N912" s="53" t="str">
        <f t="shared" si="203"/>
        <v/>
      </c>
      <c r="O912" s="53" t="str">
        <f t="shared" si="204"/>
        <v/>
      </c>
      <c r="P912" s="53" t="str">
        <f t="shared" si="205"/>
        <v/>
      </c>
      <c r="Q912" s="53" t="str">
        <f t="shared" si="206"/>
        <v/>
      </c>
      <c r="R912" s="53" t="str">
        <f t="shared" si="207"/>
        <v/>
      </c>
      <c r="S912" s="53" t="str">
        <f t="shared" si="208"/>
        <v/>
      </c>
      <c r="T912" s="53" t="str">
        <f t="shared" si="209"/>
        <v/>
      </c>
    </row>
    <row r="913" spans="1:20">
      <c r="A913" s="47" t="str">
        <f>IF(archive!E913="","",archive!E913)</f>
        <v/>
      </c>
      <c r="B913" s="48" t="str">
        <f t="shared" si="196"/>
        <v/>
      </c>
      <c r="C913" s="49" t="str">
        <f>IF(archive!F913="","",archive!F913)</f>
        <v/>
      </c>
      <c r="D913" s="50" t="str">
        <f t="shared" si="197"/>
        <v/>
      </c>
      <c r="E913" s="50" t="str">
        <f t="shared" si="198"/>
        <v/>
      </c>
      <c r="F913" s="47" t="str">
        <f>IF(COUNTA(archive!H913:CI913)=0,"",COUNTA(archive!H913:CI913))</f>
        <v/>
      </c>
      <c r="G913" s="47" t="str">
        <f>IF(archive!G913="","",archive!G913)</f>
        <v/>
      </c>
      <c r="H913" s="51" t="str">
        <f>IF(archive!CJ913="","",archive!CJ913)</f>
        <v/>
      </c>
      <c r="I913" s="51" t="str">
        <f>IF(archive!CK913="","",archive!CK913)</f>
        <v/>
      </c>
      <c r="J913" s="47" t="str">
        <f t="shared" si="199"/>
        <v/>
      </c>
      <c r="K913" s="51" t="str">
        <f t="shared" si="200"/>
        <v/>
      </c>
      <c r="L913" s="52" t="str">
        <f t="shared" si="201"/>
        <v/>
      </c>
      <c r="M913" s="53" t="str">
        <f t="shared" si="202"/>
        <v/>
      </c>
      <c r="N913" s="53" t="str">
        <f t="shared" si="203"/>
        <v/>
      </c>
      <c r="O913" s="53" t="str">
        <f t="shared" si="204"/>
        <v/>
      </c>
      <c r="P913" s="53" t="str">
        <f t="shared" si="205"/>
        <v/>
      </c>
      <c r="Q913" s="53" t="str">
        <f t="shared" si="206"/>
        <v/>
      </c>
      <c r="R913" s="53" t="str">
        <f t="shared" si="207"/>
        <v/>
      </c>
      <c r="S913" s="53" t="str">
        <f t="shared" si="208"/>
        <v/>
      </c>
      <c r="T913" s="53" t="str">
        <f t="shared" si="209"/>
        <v/>
      </c>
    </row>
    <row r="914" spans="1:20">
      <c r="A914" s="47" t="str">
        <f>IF(archive!E914="","",archive!E914)</f>
        <v/>
      </c>
      <c r="B914" s="48" t="str">
        <f t="shared" si="196"/>
        <v/>
      </c>
      <c r="C914" s="49" t="str">
        <f>IF(archive!F914="","",archive!F914)</f>
        <v/>
      </c>
      <c r="D914" s="50" t="str">
        <f t="shared" si="197"/>
        <v/>
      </c>
      <c r="E914" s="50" t="str">
        <f t="shared" si="198"/>
        <v/>
      </c>
      <c r="F914" s="47" t="str">
        <f>IF(COUNTA(archive!H914:CI914)=0,"",COUNTA(archive!H914:CI914))</f>
        <v/>
      </c>
      <c r="G914" s="47" t="str">
        <f>IF(archive!G914="","",archive!G914)</f>
        <v/>
      </c>
      <c r="H914" s="51" t="str">
        <f>IF(archive!CJ914="","",archive!CJ914)</f>
        <v/>
      </c>
      <c r="I914" s="51" t="str">
        <f>IF(archive!CK914="","",archive!CK914)</f>
        <v/>
      </c>
      <c r="J914" s="47" t="str">
        <f t="shared" si="199"/>
        <v/>
      </c>
      <c r="K914" s="51" t="str">
        <f t="shared" si="200"/>
        <v/>
      </c>
      <c r="L914" s="52" t="str">
        <f t="shared" si="201"/>
        <v/>
      </c>
      <c r="M914" s="53" t="str">
        <f t="shared" si="202"/>
        <v/>
      </c>
      <c r="N914" s="53" t="str">
        <f t="shared" si="203"/>
        <v/>
      </c>
      <c r="O914" s="53" t="str">
        <f t="shared" si="204"/>
        <v/>
      </c>
      <c r="P914" s="53" t="str">
        <f t="shared" si="205"/>
        <v/>
      </c>
      <c r="Q914" s="53" t="str">
        <f t="shared" si="206"/>
        <v/>
      </c>
      <c r="R914" s="53" t="str">
        <f t="shared" si="207"/>
        <v/>
      </c>
      <c r="S914" s="53" t="str">
        <f t="shared" si="208"/>
        <v/>
      </c>
      <c r="T914" s="53" t="str">
        <f t="shared" si="209"/>
        <v/>
      </c>
    </row>
    <row r="915" spans="1:20">
      <c r="A915" s="47" t="str">
        <f>IF(archive!E915="","",archive!E915)</f>
        <v/>
      </c>
      <c r="B915" s="48" t="str">
        <f t="shared" si="196"/>
        <v/>
      </c>
      <c r="C915" s="49" t="str">
        <f>IF(archive!F915="","",archive!F915)</f>
        <v/>
      </c>
      <c r="D915" s="50" t="str">
        <f t="shared" si="197"/>
        <v/>
      </c>
      <c r="E915" s="50" t="str">
        <f t="shared" si="198"/>
        <v/>
      </c>
      <c r="F915" s="47" t="str">
        <f>IF(COUNTA(archive!H915:CI915)=0,"",COUNTA(archive!H915:CI915))</f>
        <v/>
      </c>
      <c r="G915" s="47" t="str">
        <f>IF(archive!G915="","",archive!G915)</f>
        <v/>
      </c>
      <c r="H915" s="51" t="str">
        <f>IF(archive!CJ915="","",archive!CJ915)</f>
        <v/>
      </c>
      <c r="I915" s="51" t="str">
        <f>IF(archive!CK915="","",archive!CK915)</f>
        <v/>
      </c>
      <c r="J915" s="47" t="str">
        <f t="shared" si="199"/>
        <v/>
      </c>
      <c r="K915" s="51" t="str">
        <f t="shared" si="200"/>
        <v/>
      </c>
      <c r="L915" s="52" t="str">
        <f t="shared" si="201"/>
        <v/>
      </c>
      <c r="M915" s="53" t="str">
        <f t="shared" si="202"/>
        <v/>
      </c>
      <c r="N915" s="53" t="str">
        <f t="shared" si="203"/>
        <v/>
      </c>
      <c r="O915" s="53" t="str">
        <f t="shared" si="204"/>
        <v/>
      </c>
      <c r="P915" s="53" t="str">
        <f t="shared" si="205"/>
        <v/>
      </c>
      <c r="Q915" s="53" t="str">
        <f t="shared" si="206"/>
        <v/>
      </c>
      <c r="R915" s="53" t="str">
        <f t="shared" si="207"/>
        <v/>
      </c>
      <c r="S915" s="53" t="str">
        <f t="shared" si="208"/>
        <v/>
      </c>
      <c r="T915" s="53" t="str">
        <f t="shared" si="209"/>
        <v/>
      </c>
    </row>
    <row r="916" spans="1:20">
      <c r="A916" s="47" t="str">
        <f>IF(archive!E916="","",archive!E916)</f>
        <v/>
      </c>
      <c r="B916" s="48" t="str">
        <f t="shared" si="196"/>
        <v/>
      </c>
      <c r="C916" s="49" t="str">
        <f>IF(archive!F916="","",archive!F916)</f>
        <v/>
      </c>
      <c r="D916" s="50" t="str">
        <f t="shared" si="197"/>
        <v/>
      </c>
      <c r="E916" s="50" t="str">
        <f t="shared" si="198"/>
        <v/>
      </c>
      <c r="F916" s="47" t="str">
        <f>IF(COUNTA(archive!H916:CI916)=0,"",COUNTA(archive!H916:CI916))</f>
        <v/>
      </c>
      <c r="G916" s="47" t="str">
        <f>IF(archive!G916="","",archive!G916)</f>
        <v/>
      </c>
      <c r="H916" s="51" t="str">
        <f>IF(archive!CJ916="","",archive!CJ916)</f>
        <v/>
      </c>
      <c r="I916" s="51" t="str">
        <f>IF(archive!CK916="","",archive!CK916)</f>
        <v/>
      </c>
      <c r="J916" s="47" t="str">
        <f t="shared" si="199"/>
        <v/>
      </c>
      <c r="K916" s="51" t="str">
        <f t="shared" si="200"/>
        <v/>
      </c>
      <c r="L916" s="52" t="str">
        <f t="shared" si="201"/>
        <v/>
      </c>
      <c r="M916" s="53" t="str">
        <f t="shared" si="202"/>
        <v/>
      </c>
      <c r="N916" s="53" t="str">
        <f t="shared" si="203"/>
        <v/>
      </c>
      <c r="O916" s="53" t="str">
        <f t="shared" si="204"/>
        <v/>
      </c>
      <c r="P916" s="53" t="str">
        <f t="shared" si="205"/>
        <v/>
      </c>
      <c r="Q916" s="53" t="str">
        <f t="shared" si="206"/>
        <v/>
      </c>
      <c r="R916" s="53" t="str">
        <f t="shared" si="207"/>
        <v/>
      </c>
      <c r="S916" s="53" t="str">
        <f t="shared" si="208"/>
        <v/>
      </c>
      <c r="T916" s="53" t="str">
        <f t="shared" si="209"/>
        <v/>
      </c>
    </row>
    <row r="917" spans="1:20">
      <c r="A917" s="47" t="str">
        <f>IF(archive!E917="","",archive!E917)</f>
        <v/>
      </c>
      <c r="B917" s="48" t="str">
        <f t="shared" si="196"/>
        <v/>
      </c>
      <c r="C917" s="49" t="str">
        <f>IF(archive!F917="","",archive!F917)</f>
        <v/>
      </c>
      <c r="D917" s="50" t="str">
        <f t="shared" si="197"/>
        <v/>
      </c>
      <c r="E917" s="50" t="str">
        <f t="shared" si="198"/>
        <v/>
      </c>
      <c r="F917" s="47" t="str">
        <f>IF(COUNTA(archive!H917:CI917)=0,"",COUNTA(archive!H917:CI917))</f>
        <v/>
      </c>
      <c r="G917" s="47" t="str">
        <f>IF(archive!G917="","",archive!G917)</f>
        <v/>
      </c>
      <c r="H917" s="51" t="str">
        <f>IF(archive!CJ917="","",archive!CJ917)</f>
        <v/>
      </c>
      <c r="I917" s="51" t="str">
        <f>IF(archive!CK917="","",archive!CK917)</f>
        <v/>
      </c>
      <c r="J917" s="47" t="str">
        <f t="shared" si="199"/>
        <v/>
      </c>
      <c r="K917" s="51" t="str">
        <f t="shared" si="200"/>
        <v/>
      </c>
      <c r="L917" s="52" t="str">
        <f t="shared" si="201"/>
        <v/>
      </c>
      <c r="M917" s="53" t="str">
        <f t="shared" si="202"/>
        <v/>
      </c>
      <c r="N917" s="53" t="str">
        <f t="shared" si="203"/>
        <v/>
      </c>
      <c r="O917" s="53" t="str">
        <f t="shared" si="204"/>
        <v/>
      </c>
      <c r="P917" s="53" t="str">
        <f t="shared" si="205"/>
        <v/>
      </c>
      <c r="Q917" s="53" t="str">
        <f t="shared" si="206"/>
        <v/>
      </c>
      <c r="R917" s="53" t="str">
        <f t="shared" si="207"/>
        <v/>
      </c>
      <c r="S917" s="53" t="str">
        <f t="shared" si="208"/>
        <v/>
      </c>
      <c r="T917" s="53" t="str">
        <f t="shared" si="209"/>
        <v/>
      </c>
    </row>
    <row r="918" spans="1:20">
      <c r="A918" s="47" t="str">
        <f>IF(archive!E918="","",archive!E918)</f>
        <v/>
      </c>
      <c r="B918" s="48" t="str">
        <f t="shared" si="196"/>
        <v/>
      </c>
      <c r="C918" s="49" t="str">
        <f>IF(archive!F918="","",archive!F918)</f>
        <v/>
      </c>
      <c r="D918" s="50" t="str">
        <f t="shared" si="197"/>
        <v/>
      </c>
      <c r="E918" s="50" t="str">
        <f t="shared" si="198"/>
        <v/>
      </c>
      <c r="F918" s="47" t="str">
        <f>IF(COUNTA(archive!H918:CI918)=0,"",COUNTA(archive!H918:CI918))</f>
        <v/>
      </c>
      <c r="G918" s="47" t="str">
        <f>IF(archive!G918="","",archive!G918)</f>
        <v/>
      </c>
      <c r="H918" s="51" t="str">
        <f>IF(archive!CJ918="","",archive!CJ918)</f>
        <v/>
      </c>
      <c r="I918" s="51" t="str">
        <f>IF(archive!CK918="","",archive!CK918)</f>
        <v/>
      </c>
      <c r="J918" s="47" t="str">
        <f t="shared" si="199"/>
        <v/>
      </c>
      <c r="K918" s="51" t="str">
        <f t="shared" si="200"/>
        <v/>
      </c>
      <c r="L918" s="52" t="str">
        <f t="shared" si="201"/>
        <v/>
      </c>
      <c r="M918" s="53" t="str">
        <f t="shared" si="202"/>
        <v/>
      </c>
      <c r="N918" s="53" t="str">
        <f t="shared" si="203"/>
        <v/>
      </c>
      <c r="O918" s="53" t="str">
        <f t="shared" si="204"/>
        <v/>
      </c>
      <c r="P918" s="53" t="str">
        <f t="shared" si="205"/>
        <v/>
      </c>
      <c r="Q918" s="53" t="str">
        <f t="shared" si="206"/>
        <v/>
      </c>
      <c r="R918" s="53" t="str">
        <f t="shared" si="207"/>
        <v/>
      </c>
      <c r="S918" s="53" t="str">
        <f t="shared" si="208"/>
        <v/>
      </c>
      <c r="T918" s="53" t="str">
        <f t="shared" si="209"/>
        <v/>
      </c>
    </row>
    <row r="919" spans="1:20">
      <c r="A919" s="47" t="str">
        <f>IF(archive!E919="","",archive!E919)</f>
        <v/>
      </c>
      <c r="B919" s="48" t="str">
        <f t="shared" si="196"/>
        <v/>
      </c>
      <c r="C919" s="49" t="str">
        <f>IF(archive!F919="","",archive!F919)</f>
        <v/>
      </c>
      <c r="D919" s="50" t="str">
        <f t="shared" si="197"/>
        <v/>
      </c>
      <c r="E919" s="50" t="str">
        <f t="shared" si="198"/>
        <v/>
      </c>
      <c r="F919" s="47" t="str">
        <f>IF(COUNTA(archive!H919:CI919)=0,"",COUNTA(archive!H919:CI919))</f>
        <v/>
      </c>
      <c r="G919" s="47" t="str">
        <f>IF(archive!G919="","",archive!G919)</f>
        <v/>
      </c>
      <c r="H919" s="51" t="str">
        <f>IF(archive!CJ919="","",archive!CJ919)</f>
        <v/>
      </c>
      <c r="I919" s="51" t="str">
        <f>IF(archive!CK919="","",archive!CK919)</f>
        <v/>
      </c>
      <c r="J919" s="47" t="str">
        <f t="shared" si="199"/>
        <v/>
      </c>
      <c r="K919" s="51" t="str">
        <f t="shared" si="200"/>
        <v/>
      </c>
      <c r="L919" s="52" t="str">
        <f t="shared" si="201"/>
        <v/>
      </c>
      <c r="M919" s="53" t="str">
        <f t="shared" si="202"/>
        <v/>
      </c>
      <c r="N919" s="53" t="str">
        <f t="shared" si="203"/>
        <v/>
      </c>
      <c r="O919" s="53" t="str">
        <f t="shared" si="204"/>
        <v/>
      </c>
      <c r="P919" s="53" t="str">
        <f t="shared" si="205"/>
        <v/>
      </c>
      <c r="Q919" s="53" t="str">
        <f t="shared" si="206"/>
        <v/>
      </c>
      <c r="R919" s="53" t="str">
        <f t="shared" si="207"/>
        <v/>
      </c>
      <c r="S919" s="53" t="str">
        <f t="shared" si="208"/>
        <v/>
      </c>
      <c r="T919" s="53" t="str">
        <f t="shared" si="209"/>
        <v/>
      </c>
    </row>
    <row r="920" spans="1:20">
      <c r="A920" s="47" t="str">
        <f>IF(archive!E920="","",archive!E920)</f>
        <v/>
      </c>
      <c r="B920" s="48" t="str">
        <f t="shared" si="196"/>
        <v/>
      </c>
      <c r="C920" s="49" t="str">
        <f>IF(archive!F920="","",archive!F920)</f>
        <v/>
      </c>
      <c r="D920" s="50" t="str">
        <f t="shared" si="197"/>
        <v/>
      </c>
      <c r="E920" s="50" t="str">
        <f t="shared" si="198"/>
        <v/>
      </c>
      <c r="F920" s="47" t="str">
        <f>IF(COUNTA(archive!H920:CI920)=0,"",COUNTA(archive!H920:CI920))</f>
        <v/>
      </c>
      <c r="G920" s="47" t="str">
        <f>IF(archive!G920="","",archive!G920)</f>
        <v/>
      </c>
      <c r="H920" s="51" t="str">
        <f>IF(archive!CJ920="","",archive!CJ920)</f>
        <v/>
      </c>
      <c r="I920" s="51" t="str">
        <f>IF(archive!CK920="","",archive!CK920)</f>
        <v/>
      </c>
      <c r="J920" s="47" t="str">
        <f t="shared" si="199"/>
        <v/>
      </c>
      <c r="K920" s="51" t="str">
        <f t="shared" si="200"/>
        <v/>
      </c>
      <c r="L920" s="52" t="str">
        <f t="shared" si="201"/>
        <v/>
      </c>
      <c r="M920" s="53" t="str">
        <f t="shared" si="202"/>
        <v/>
      </c>
      <c r="N920" s="53" t="str">
        <f t="shared" si="203"/>
        <v/>
      </c>
      <c r="O920" s="53" t="str">
        <f t="shared" si="204"/>
        <v/>
      </c>
      <c r="P920" s="53" t="str">
        <f t="shared" si="205"/>
        <v/>
      </c>
      <c r="Q920" s="53" t="str">
        <f t="shared" si="206"/>
        <v/>
      </c>
      <c r="R920" s="53" t="str">
        <f t="shared" si="207"/>
        <v/>
      </c>
      <c r="S920" s="53" t="str">
        <f t="shared" si="208"/>
        <v/>
      </c>
      <c r="T920" s="53" t="str">
        <f t="shared" si="209"/>
        <v/>
      </c>
    </row>
    <row r="921" spans="1:20">
      <c r="A921" s="47" t="str">
        <f>IF(archive!E921="","",archive!E921)</f>
        <v/>
      </c>
      <c r="B921" s="48" t="str">
        <f t="shared" si="196"/>
        <v/>
      </c>
      <c r="C921" s="49" t="str">
        <f>IF(archive!F921="","",archive!F921)</f>
        <v/>
      </c>
      <c r="D921" s="50" t="str">
        <f t="shared" si="197"/>
        <v/>
      </c>
      <c r="E921" s="50" t="str">
        <f t="shared" si="198"/>
        <v/>
      </c>
      <c r="F921" s="47" t="str">
        <f>IF(COUNTA(archive!H921:CI921)=0,"",COUNTA(archive!H921:CI921))</f>
        <v/>
      </c>
      <c r="G921" s="47" t="str">
        <f>IF(archive!G921="","",archive!G921)</f>
        <v/>
      </c>
      <c r="H921" s="51" t="str">
        <f>IF(archive!CJ921="","",archive!CJ921)</f>
        <v/>
      </c>
      <c r="I921" s="51" t="str">
        <f>IF(archive!CK921="","",archive!CK921)</f>
        <v/>
      </c>
      <c r="J921" s="47" t="str">
        <f t="shared" si="199"/>
        <v/>
      </c>
      <c r="K921" s="51" t="str">
        <f t="shared" si="200"/>
        <v/>
      </c>
      <c r="L921" s="52" t="str">
        <f t="shared" si="201"/>
        <v/>
      </c>
      <c r="M921" s="53" t="str">
        <f t="shared" si="202"/>
        <v/>
      </c>
      <c r="N921" s="53" t="str">
        <f t="shared" si="203"/>
        <v/>
      </c>
      <c r="O921" s="53" t="str">
        <f t="shared" si="204"/>
        <v/>
      </c>
      <c r="P921" s="53" t="str">
        <f t="shared" si="205"/>
        <v/>
      </c>
      <c r="Q921" s="53" t="str">
        <f t="shared" si="206"/>
        <v/>
      </c>
      <c r="R921" s="53" t="str">
        <f t="shared" si="207"/>
        <v/>
      </c>
      <c r="S921" s="53" t="str">
        <f t="shared" si="208"/>
        <v/>
      </c>
      <c r="T921" s="53" t="str">
        <f t="shared" si="209"/>
        <v/>
      </c>
    </row>
    <row r="922" spans="1:20">
      <c r="A922" s="47" t="str">
        <f>IF(archive!E922="","",archive!E922)</f>
        <v/>
      </c>
      <c r="B922" s="48" t="str">
        <f t="shared" si="196"/>
        <v/>
      </c>
      <c r="C922" s="49" t="str">
        <f>IF(archive!F922="","",archive!F922)</f>
        <v/>
      </c>
      <c r="D922" s="50" t="str">
        <f t="shared" si="197"/>
        <v/>
      </c>
      <c r="E922" s="50" t="str">
        <f t="shared" si="198"/>
        <v/>
      </c>
      <c r="F922" s="47" t="str">
        <f>IF(COUNTA(archive!H922:CI922)=0,"",COUNTA(archive!H922:CI922))</f>
        <v/>
      </c>
      <c r="G922" s="47" t="str">
        <f>IF(archive!G922="","",archive!G922)</f>
        <v/>
      </c>
      <c r="H922" s="51" t="str">
        <f>IF(archive!CJ922="","",archive!CJ922)</f>
        <v/>
      </c>
      <c r="I922" s="51" t="str">
        <f>IF(archive!CK922="","",archive!CK922)</f>
        <v/>
      </c>
      <c r="J922" s="47" t="str">
        <f t="shared" si="199"/>
        <v/>
      </c>
      <c r="K922" s="51" t="str">
        <f t="shared" si="200"/>
        <v/>
      </c>
      <c r="L922" s="52" t="str">
        <f t="shared" si="201"/>
        <v/>
      </c>
      <c r="M922" s="53" t="str">
        <f t="shared" si="202"/>
        <v/>
      </c>
      <c r="N922" s="53" t="str">
        <f t="shared" si="203"/>
        <v/>
      </c>
      <c r="O922" s="53" t="str">
        <f t="shared" si="204"/>
        <v/>
      </c>
      <c r="P922" s="53" t="str">
        <f t="shared" si="205"/>
        <v/>
      </c>
      <c r="Q922" s="53" t="str">
        <f t="shared" si="206"/>
        <v/>
      </c>
      <c r="R922" s="53" t="str">
        <f t="shared" si="207"/>
        <v/>
      </c>
      <c r="S922" s="53" t="str">
        <f t="shared" si="208"/>
        <v/>
      </c>
      <c r="T922" s="53" t="str">
        <f t="shared" si="209"/>
        <v/>
      </c>
    </row>
    <row r="923" spans="1:20">
      <c r="A923" s="47" t="str">
        <f>IF(archive!E923="","",archive!E923)</f>
        <v/>
      </c>
      <c r="B923" s="48" t="str">
        <f t="shared" si="196"/>
        <v/>
      </c>
      <c r="C923" s="49" t="str">
        <f>IF(archive!F923="","",archive!F923)</f>
        <v/>
      </c>
      <c r="D923" s="50" t="str">
        <f t="shared" si="197"/>
        <v/>
      </c>
      <c r="E923" s="50" t="str">
        <f t="shared" si="198"/>
        <v/>
      </c>
      <c r="F923" s="47" t="str">
        <f>IF(COUNTA(archive!H923:CI923)=0,"",COUNTA(archive!H923:CI923))</f>
        <v/>
      </c>
      <c r="G923" s="47" t="str">
        <f>IF(archive!G923="","",archive!G923)</f>
        <v/>
      </c>
      <c r="H923" s="51" t="str">
        <f>IF(archive!CJ923="","",archive!CJ923)</f>
        <v/>
      </c>
      <c r="I923" s="51" t="str">
        <f>IF(archive!CK923="","",archive!CK923)</f>
        <v/>
      </c>
      <c r="J923" s="47" t="str">
        <f t="shared" si="199"/>
        <v/>
      </c>
      <c r="K923" s="51" t="str">
        <f t="shared" si="200"/>
        <v/>
      </c>
      <c r="L923" s="52" t="str">
        <f t="shared" si="201"/>
        <v/>
      </c>
      <c r="M923" s="53" t="str">
        <f t="shared" si="202"/>
        <v/>
      </c>
      <c r="N923" s="53" t="str">
        <f t="shared" si="203"/>
        <v/>
      </c>
      <c r="O923" s="53" t="str">
        <f t="shared" si="204"/>
        <v/>
      </c>
      <c r="P923" s="53" t="str">
        <f t="shared" si="205"/>
        <v/>
      </c>
      <c r="Q923" s="53" t="str">
        <f t="shared" si="206"/>
        <v/>
      </c>
      <c r="R923" s="53" t="str">
        <f t="shared" si="207"/>
        <v/>
      </c>
      <c r="S923" s="53" t="str">
        <f t="shared" si="208"/>
        <v/>
      </c>
      <c r="T923" s="53" t="str">
        <f t="shared" si="209"/>
        <v/>
      </c>
    </row>
    <row r="924" spans="1:20">
      <c r="A924" s="47" t="str">
        <f>IF(archive!E924="","",archive!E924)</f>
        <v/>
      </c>
      <c r="B924" s="48" t="str">
        <f t="shared" si="196"/>
        <v/>
      </c>
      <c r="C924" s="49" t="str">
        <f>IF(archive!F924="","",archive!F924)</f>
        <v/>
      </c>
      <c r="D924" s="50" t="str">
        <f t="shared" si="197"/>
        <v/>
      </c>
      <c r="E924" s="50" t="str">
        <f t="shared" si="198"/>
        <v/>
      </c>
      <c r="F924" s="47" t="str">
        <f>IF(COUNTA(archive!H924:CI924)=0,"",COUNTA(archive!H924:CI924))</f>
        <v/>
      </c>
      <c r="G924" s="47" t="str">
        <f>IF(archive!G924="","",archive!G924)</f>
        <v/>
      </c>
      <c r="H924" s="51" t="str">
        <f>IF(archive!CJ924="","",archive!CJ924)</f>
        <v/>
      </c>
      <c r="I924" s="51" t="str">
        <f>IF(archive!CK924="","",archive!CK924)</f>
        <v/>
      </c>
      <c r="J924" s="47" t="str">
        <f t="shared" si="199"/>
        <v/>
      </c>
      <c r="K924" s="51" t="str">
        <f t="shared" si="200"/>
        <v/>
      </c>
      <c r="L924" s="52" t="str">
        <f t="shared" si="201"/>
        <v/>
      </c>
      <c r="M924" s="53" t="str">
        <f t="shared" si="202"/>
        <v/>
      </c>
      <c r="N924" s="53" t="str">
        <f t="shared" si="203"/>
        <v/>
      </c>
      <c r="O924" s="53" t="str">
        <f t="shared" si="204"/>
        <v/>
      </c>
      <c r="P924" s="53" t="str">
        <f t="shared" si="205"/>
        <v/>
      </c>
      <c r="Q924" s="53" t="str">
        <f t="shared" si="206"/>
        <v/>
      </c>
      <c r="R924" s="53" t="str">
        <f t="shared" si="207"/>
        <v/>
      </c>
      <c r="S924" s="53" t="str">
        <f t="shared" si="208"/>
        <v/>
      </c>
      <c r="T924" s="53" t="str">
        <f t="shared" si="209"/>
        <v/>
      </c>
    </row>
    <row r="925" spans="1:20">
      <c r="A925" s="47" t="str">
        <f>IF(archive!E925="","",archive!E925)</f>
        <v/>
      </c>
      <c r="B925" s="48" t="str">
        <f t="shared" si="196"/>
        <v/>
      </c>
      <c r="C925" s="49" t="str">
        <f>IF(archive!F925="","",archive!F925)</f>
        <v/>
      </c>
      <c r="D925" s="50" t="str">
        <f t="shared" si="197"/>
        <v/>
      </c>
      <c r="E925" s="50" t="str">
        <f t="shared" si="198"/>
        <v/>
      </c>
      <c r="F925" s="47" t="str">
        <f>IF(COUNTA(archive!H925:CI925)=0,"",COUNTA(archive!H925:CI925))</f>
        <v/>
      </c>
      <c r="G925" s="47" t="str">
        <f>IF(archive!G925="","",archive!G925)</f>
        <v/>
      </c>
      <c r="H925" s="51" t="str">
        <f>IF(archive!CJ925="","",archive!CJ925)</f>
        <v/>
      </c>
      <c r="I925" s="51" t="str">
        <f>IF(archive!CK925="","",archive!CK925)</f>
        <v/>
      </c>
      <c r="J925" s="47" t="str">
        <f t="shared" si="199"/>
        <v/>
      </c>
      <c r="K925" s="51" t="str">
        <f t="shared" si="200"/>
        <v/>
      </c>
      <c r="L925" s="52" t="str">
        <f t="shared" si="201"/>
        <v/>
      </c>
      <c r="M925" s="53" t="str">
        <f t="shared" si="202"/>
        <v/>
      </c>
      <c r="N925" s="53" t="str">
        <f t="shared" si="203"/>
        <v/>
      </c>
      <c r="O925" s="53" t="str">
        <f t="shared" si="204"/>
        <v/>
      </c>
      <c r="P925" s="53" t="str">
        <f t="shared" si="205"/>
        <v/>
      </c>
      <c r="Q925" s="53" t="str">
        <f t="shared" si="206"/>
        <v/>
      </c>
      <c r="R925" s="53" t="str">
        <f t="shared" si="207"/>
        <v/>
      </c>
      <c r="S925" s="53" t="str">
        <f t="shared" si="208"/>
        <v/>
      </c>
      <c r="T925" s="53" t="str">
        <f t="shared" si="209"/>
        <v/>
      </c>
    </row>
    <row r="926" spans="1:20">
      <c r="A926" s="47" t="str">
        <f>IF(archive!E926="","",archive!E926)</f>
        <v/>
      </c>
      <c r="B926" s="48" t="str">
        <f t="shared" si="196"/>
        <v/>
      </c>
      <c r="C926" s="49" t="str">
        <f>IF(archive!F926="","",archive!F926)</f>
        <v/>
      </c>
      <c r="D926" s="50" t="str">
        <f t="shared" si="197"/>
        <v/>
      </c>
      <c r="E926" s="50" t="str">
        <f t="shared" si="198"/>
        <v/>
      </c>
      <c r="F926" s="47" t="str">
        <f>IF(COUNTA(archive!H926:CI926)=0,"",COUNTA(archive!H926:CI926))</f>
        <v/>
      </c>
      <c r="G926" s="47" t="str">
        <f>IF(archive!G926="","",archive!G926)</f>
        <v/>
      </c>
      <c r="H926" s="51" t="str">
        <f>IF(archive!CJ926="","",archive!CJ926)</f>
        <v/>
      </c>
      <c r="I926" s="51" t="str">
        <f>IF(archive!CK926="","",archive!CK926)</f>
        <v/>
      </c>
      <c r="J926" s="47" t="str">
        <f t="shared" si="199"/>
        <v/>
      </c>
      <c r="K926" s="51" t="str">
        <f t="shared" si="200"/>
        <v/>
      </c>
      <c r="L926" s="52" t="str">
        <f t="shared" si="201"/>
        <v/>
      </c>
      <c r="M926" s="53" t="str">
        <f t="shared" si="202"/>
        <v/>
      </c>
      <c r="N926" s="53" t="str">
        <f t="shared" si="203"/>
        <v/>
      </c>
      <c r="O926" s="53" t="str">
        <f t="shared" si="204"/>
        <v/>
      </c>
      <c r="P926" s="53" t="str">
        <f t="shared" si="205"/>
        <v/>
      </c>
      <c r="Q926" s="53" t="str">
        <f t="shared" si="206"/>
        <v/>
      </c>
      <c r="R926" s="53" t="str">
        <f t="shared" si="207"/>
        <v/>
      </c>
      <c r="S926" s="53" t="str">
        <f t="shared" si="208"/>
        <v/>
      </c>
      <c r="T926" s="53" t="str">
        <f t="shared" si="209"/>
        <v/>
      </c>
    </row>
    <row r="927" spans="1:20">
      <c r="A927" s="47" t="str">
        <f>IF(archive!E927="","",archive!E927)</f>
        <v/>
      </c>
      <c r="B927" s="48" t="str">
        <f t="shared" si="196"/>
        <v/>
      </c>
      <c r="C927" s="49" t="str">
        <f>IF(archive!F927="","",archive!F927)</f>
        <v/>
      </c>
      <c r="D927" s="50" t="str">
        <f t="shared" si="197"/>
        <v/>
      </c>
      <c r="E927" s="50" t="str">
        <f t="shared" si="198"/>
        <v/>
      </c>
      <c r="F927" s="47" t="str">
        <f>IF(COUNTA(archive!H927:CI927)=0,"",COUNTA(archive!H927:CI927))</f>
        <v/>
      </c>
      <c r="G927" s="47" t="str">
        <f>IF(archive!G927="","",archive!G927)</f>
        <v/>
      </c>
      <c r="H927" s="51" t="str">
        <f>IF(archive!CJ927="","",archive!CJ927)</f>
        <v/>
      </c>
      <c r="I927" s="51" t="str">
        <f>IF(archive!CK927="","",archive!CK927)</f>
        <v/>
      </c>
      <c r="J927" s="47" t="str">
        <f t="shared" si="199"/>
        <v/>
      </c>
      <c r="K927" s="51" t="str">
        <f t="shared" si="200"/>
        <v/>
      </c>
      <c r="L927" s="52" t="str">
        <f t="shared" si="201"/>
        <v/>
      </c>
      <c r="M927" s="53" t="str">
        <f t="shared" si="202"/>
        <v/>
      </c>
      <c r="N927" s="53" t="str">
        <f t="shared" si="203"/>
        <v/>
      </c>
      <c r="O927" s="53" t="str">
        <f t="shared" si="204"/>
        <v/>
      </c>
      <c r="P927" s="53" t="str">
        <f t="shared" si="205"/>
        <v/>
      </c>
      <c r="Q927" s="53" t="str">
        <f t="shared" si="206"/>
        <v/>
      </c>
      <c r="R927" s="53" t="str">
        <f t="shared" si="207"/>
        <v/>
      </c>
      <c r="S927" s="53" t="str">
        <f t="shared" si="208"/>
        <v/>
      </c>
      <c r="T927" s="53" t="str">
        <f t="shared" si="209"/>
        <v/>
      </c>
    </row>
    <row r="928" spans="1:20">
      <c r="A928" s="47" t="str">
        <f>IF(archive!E928="","",archive!E928)</f>
        <v/>
      </c>
      <c r="B928" s="48" t="str">
        <f t="shared" si="196"/>
        <v/>
      </c>
      <c r="C928" s="49" t="str">
        <f>IF(archive!F928="","",archive!F928)</f>
        <v/>
      </c>
      <c r="D928" s="50" t="str">
        <f t="shared" si="197"/>
        <v/>
      </c>
      <c r="E928" s="50" t="str">
        <f t="shared" si="198"/>
        <v/>
      </c>
      <c r="F928" s="47" t="str">
        <f>IF(COUNTA(archive!H928:CI928)=0,"",COUNTA(archive!H928:CI928))</f>
        <v/>
      </c>
      <c r="G928" s="47" t="str">
        <f>IF(archive!G928="","",archive!G928)</f>
        <v/>
      </c>
      <c r="H928" s="51" t="str">
        <f>IF(archive!CJ928="","",archive!CJ928)</f>
        <v/>
      </c>
      <c r="I928" s="51" t="str">
        <f>IF(archive!CK928="","",archive!CK928)</f>
        <v/>
      </c>
      <c r="J928" s="47" t="str">
        <f t="shared" si="199"/>
        <v/>
      </c>
      <c r="K928" s="51" t="str">
        <f t="shared" si="200"/>
        <v/>
      </c>
      <c r="L928" s="52" t="str">
        <f t="shared" si="201"/>
        <v/>
      </c>
      <c r="M928" s="53" t="str">
        <f t="shared" si="202"/>
        <v/>
      </c>
      <c r="N928" s="53" t="str">
        <f t="shared" si="203"/>
        <v/>
      </c>
      <c r="O928" s="53" t="str">
        <f t="shared" si="204"/>
        <v/>
      </c>
      <c r="P928" s="53" t="str">
        <f t="shared" si="205"/>
        <v/>
      </c>
      <c r="Q928" s="53" t="str">
        <f t="shared" si="206"/>
        <v/>
      </c>
      <c r="R928" s="53" t="str">
        <f t="shared" si="207"/>
        <v/>
      </c>
      <c r="S928" s="53" t="str">
        <f t="shared" si="208"/>
        <v/>
      </c>
      <c r="T928" s="53" t="str">
        <f t="shared" si="209"/>
        <v/>
      </c>
    </row>
    <row r="929" spans="1:20">
      <c r="A929" s="47" t="str">
        <f>IF(archive!E929="","",archive!E929)</f>
        <v/>
      </c>
      <c r="B929" s="48" t="str">
        <f t="shared" si="196"/>
        <v/>
      </c>
      <c r="C929" s="49" t="str">
        <f>IF(archive!F929="","",archive!F929)</f>
        <v/>
      </c>
      <c r="D929" s="50" t="str">
        <f t="shared" si="197"/>
        <v/>
      </c>
      <c r="E929" s="50" t="str">
        <f t="shared" si="198"/>
        <v/>
      </c>
      <c r="F929" s="47" t="str">
        <f>IF(COUNTA(archive!H929:CI929)=0,"",COUNTA(archive!H929:CI929))</f>
        <v/>
      </c>
      <c r="G929" s="47" t="str">
        <f>IF(archive!G929="","",archive!G929)</f>
        <v/>
      </c>
      <c r="H929" s="51" t="str">
        <f>IF(archive!CJ929="","",archive!CJ929)</f>
        <v/>
      </c>
      <c r="I929" s="51" t="str">
        <f>IF(archive!CK929="","",archive!CK929)</f>
        <v/>
      </c>
      <c r="J929" s="47" t="str">
        <f t="shared" si="199"/>
        <v/>
      </c>
      <c r="K929" s="51" t="str">
        <f t="shared" si="200"/>
        <v/>
      </c>
      <c r="L929" s="52" t="str">
        <f t="shared" si="201"/>
        <v/>
      </c>
      <c r="M929" s="53" t="str">
        <f t="shared" si="202"/>
        <v/>
      </c>
      <c r="N929" s="53" t="str">
        <f t="shared" si="203"/>
        <v/>
      </c>
      <c r="O929" s="53" t="str">
        <f t="shared" si="204"/>
        <v/>
      </c>
      <c r="P929" s="53" t="str">
        <f t="shared" si="205"/>
        <v/>
      </c>
      <c r="Q929" s="53" t="str">
        <f t="shared" si="206"/>
        <v/>
      </c>
      <c r="R929" s="53" t="str">
        <f t="shared" si="207"/>
        <v/>
      </c>
      <c r="S929" s="53" t="str">
        <f t="shared" si="208"/>
        <v/>
      </c>
      <c r="T929" s="53" t="str">
        <f t="shared" si="209"/>
        <v/>
      </c>
    </row>
    <row r="930" spans="1:20">
      <c r="A930" s="47" t="str">
        <f>IF(archive!E930="","",archive!E930)</f>
        <v/>
      </c>
      <c r="B930" s="48" t="str">
        <f t="shared" si="196"/>
        <v/>
      </c>
      <c r="C930" s="49" t="str">
        <f>IF(archive!F930="","",archive!F930)</f>
        <v/>
      </c>
      <c r="D930" s="50" t="str">
        <f t="shared" si="197"/>
        <v/>
      </c>
      <c r="E930" s="50" t="str">
        <f t="shared" si="198"/>
        <v/>
      </c>
      <c r="F930" s="47" t="str">
        <f>IF(COUNTA(archive!H930:CI930)=0,"",COUNTA(archive!H930:CI930))</f>
        <v/>
      </c>
      <c r="G930" s="47" t="str">
        <f>IF(archive!G930="","",archive!G930)</f>
        <v/>
      </c>
      <c r="H930" s="51" t="str">
        <f>IF(archive!CJ930="","",archive!CJ930)</f>
        <v/>
      </c>
      <c r="I930" s="51" t="str">
        <f>IF(archive!CK930="","",archive!CK930)</f>
        <v/>
      </c>
      <c r="J930" s="47" t="str">
        <f t="shared" si="199"/>
        <v/>
      </c>
      <c r="K930" s="51" t="str">
        <f t="shared" si="200"/>
        <v/>
      </c>
      <c r="L930" s="52" t="str">
        <f t="shared" si="201"/>
        <v/>
      </c>
      <c r="M930" s="53" t="str">
        <f t="shared" si="202"/>
        <v/>
      </c>
      <c r="N930" s="53" t="str">
        <f t="shared" si="203"/>
        <v/>
      </c>
      <c r="O930" s="53" t="str">
        <f t="shared" si="204"/>
        <v/>
      </c>
      <c r="P930" s="53" t="str">
        <f t="shared" si="205"/>
        <v/>
      </c>
      <c r="Q930" s="53" t="str">
        <f t="shared" si="206"/>
        <v/>
      </c>
      <c r="R930" s="53" t="str">
        <f t="shared" si="207"/>
        <v/>
      </c>
      <c r="S930" s="53" t="str">
        <f t="shared" si="208"/>
        <v/>
      </c>
      <c r="T930" s="53" t="str">
        <f t="shared" si="209"/>
        <v/>
      </c>
    </row>
    <row r="931" spans="1:20">
      <c r="A931" s="47" t="str">
        <f>IF(archive!E931="","",archive!E931)</f>
        <v/>
      </c>
      <c r="B931" s="48" t="str">
        <f t="shared" si="196"/>
        <v/>
      </c>
      <c r="C931" s="49" t="str">
        <f>IF(archive!F931="","",archive!F931)</f>
        <v/>
      </c>
      <c r="D931" s="50" t="str">
        <f t="shared" si="197"/>
        <v/>
      </c>
      <c r="E931" s="50" t="str">
        <f t="shared" si="198"/>
        <v/>
      </c>
      <c r="F931" s="47" t="str">
        <f>IF(COUNTA(archive!H931:CI931)=0,"",COUNTA(archive!H931:CI931))</f>
        <v/>
      </c>
      <c r="G931" s="47" t="str">
        <f>IF(archive!G931="","",archive!G931)</f>
        <v/>
      </c>
      <c r="H931" s="51" t="str">
        <f>IF(archive!CJ931="","",archive!CJ931)</f>
        <v/>
      </c>
      <c r="I931" s="51" t="str">
        <f>IF(archive!CK931="","",archive!CK931)</f>
        <v/>
      </c>
      <c r="J931" s="47" t="str">
        <f t="shared" si="199"/>
        <v/>
      </c>
      <c r="K931" s="51" t="str">
        <f t="shared" si="200"/>
        <v/>
      </c>
      <c r="L931" s="52" t="str">
        <f t="shared" si="201"/>
        <v/>
      </c>
      <c r="M931" s="53" t="str">
        <f t="shared" si="202"/>
        <v/>
      </c>
      <c r="N931" s="53" t="str">
        <f t="shared" si="203"/>
        <v/>
      </c>
      <c r="O931" s="53" t="str">
        <f t="shared" si="204"/>
        <v/>
      </c>
      <c r="P931" s="53" t="str">
        <f t="shared" si="205"/>
        <v/>
      </c>
      <c r="Q931" s="53" t="str">
        <f t="shared" si="206"/>
        <v/>
      </c>
      <c r="R931" s="53" t="str">
        <f t="shared" si="207"/>
        <v/>
      </c>
      <c r="S931" s="53" t="str">
        <f t="shared" si="208"/>
        <v/>
      </c>
      <c r="T931" s="53" t="str">
        <f t="shared" si="209"/>
        <v/>
      </c>
    </row>
    <row r="932" spans="1:20">
      <c r="A932" s="47" t="str">
        <f>IF(archive!E932="","",archive!E932)</f>
        <v/>
      </c>
      <c r="B932" s="48" t="str">
        <f t="shared" si="196"/>
        <v/>
      </c>
      <c r="C932" s="49" t="str">
        <f>IF(archive!F932="","",archive!F932)</f>
        <v/>
      </c>
      <c r="D932" s="50" t="str">
        <f t="shared" si="197"/>
        <v/>
      </c>
      <c r="E932" s="50" t="str">
        <f t="shared" si="198"/>
        <v/>
      </c>
      <c r="F932" s="47" t="str">
        <f>IF(COUNTA(archive!H932:CI932)=0,"",COUNTA(archive!H932:CI932))</f>
        <v/>
      </c>
      <c r="G932" s="47" t="str">
        <f>IF(archive!G932="","",archive!G932)</f>
        <v/>
      </c>
      <c r="H932" s="51" t="str">
        <f>IF(archive!CJ932="","",archive!CJ932)</f>
        <v/>
      </c>
      <c r="I932" s="51" t="str">
        <f>IF(archive!CK932="","",archive!CK932)</f>
        <v/>
      </c>
      <c r="J932" s="47" t="str">
        <f t="shared" si="199"/>
        <v/>
      </c>
      <c r="K932" s="51" t="str">
        <f t="shared" si="200"/>
        <v/>
      </c>
      <c r="L932" s="52" t="str">
        <f t="shared" si="201"/>
        <v/>
      </c>
      <c r="M932" s="53" t="str">
        <f t="shared" si="202"/>
        <v/>
      </c>
      <c r="N932" s="53" t="str">
        <f t="shared" si="203"/>
        <v/>
      </c>
      <c r="O932" s="53" t="str">
        <f t="shared" si="204"/>
        <v/>
      </c>
      <c r="P932" s="53" t="str">
        <f t="shared" si="205"/>
        <v/>
      </c>
      <c r="Q932" s="53" t="str">
        <f t="shared" si="206"/>
        <v/>
      </c>
      <c r="R932" s="53" t="str">
        <f t="shared" si="207"/>
        <v/>
      </c>
      <c r="S932" s="53" t="str">
        <f t="shared" si="208"/>
        <v/>
      </c>
      <c r="T932" s="53" t="str">
        <f t="shared" si="209"/>
        <v/>
      </c>
    </row>
    <row r="933" spans="1:20">
      <c r="A933" s="47" t="str">
        <f>IF(archive!E933="","",archive!E933)</f>
        <v/>
      </c>
      <c r="B933" s="48" t="str">
        <f t="shared" si="196"/>
        <v/>
      </c>
      <c r="C933" s="49" t="str">
        <f>IF(archive!F933="","",archive!F933)</f>
        <v/>
      </c>
      <c r="D933" s="50" t="str">
        <f t="shared" si="197"/>
        <v/>
      </c>
      <c r="E933" s="50" t="str">
        <f t="shared" si="198"/>
        <v/>
      </c>
      <c r="F933" s="47" t="str">
        <f>IF(COUNTA(archive!H933:CI933)=0,"",COUNTA(archive!H933:CI933))</f>
        <v/>
      </c>
      <c r="G933" s="47" t="str">
        <f>IF(archive!G933="","",archive!G933)</f>
        <v/>
      </c>
      <c r="H933" s="51" t="str">
        <f>IF(archive!CJ933="","",archive!CJ933)</f>
        <v/>
      </c>
      <c r="I933" s="51" t="str">
        <f>IF(archive!CK933="","",archive!CK933)</f>
        <v/>
      </c>
      <c r="J933" s="47" t="str">
        <f t="shared" si="199"/>
        <v/>
      </c>
      <c r="K933" s="51" t="str">
        <f t="shared" si="200"/>
        <v/>
      </c>
      <c r="L933" s="52" t="str">
        <f t="shared" si="201"/>
        <v/>
      </c>
      <c r="M933" s="53" t="str">
        <f t="shared" si="202"/>
        <v/>
      </c>
      <c r="N933" s="53" t="str">
        <f t="shared" si="203"/>
        <v/>
      </c>
      <c r="O933" s="53" t="str">
        <f t="shared" si="204"/>
        <v/>
      </c>
      <c r="P933" s="53" t="str">
        <f t="shared" si="205"/>
        <v/>
      </c>
      <c r="Q933" s="53" t="str">
        <f t="shared" si="206"/>
        <v/>
      </c>
      <c r="R933" s="53" t="str">
        <f t="shared" si="207"/>
        <v/>
      </c>
      <c r="S933" s="53" t="str">
        <f t="shared" si="208"/>
        <v/>
      </c>
      <c r="T933" s="53" t="str">
        <f t="shared" si="209"/>
        <v/>
      </c>
    </row>
    <row r="934" spans="1:20">
      <c r="A934" s="47" t="str">
        <f>IF(archive!E934="","",archive!E934)</f>
        <v/>
      </c>
      <c r="B934" s="48" t="str">
        <f t="shared" si="196"/>
        <v/>
      </c>
      <c r="C934" s="49" t="str">
        <f>IF(archive!F934="","",archive!F934)</f>
        <v/>
      </c>
      <c r="D934" s="50" t="str">
        <f t="shared" si="197"/>
        <v/>
      </c>
      <c r="E934" s="50" t="str">
        <f t="shared" si="198"/>
        <v/>
      </c>
      <c r="F934" s="47" t="str">
        <f>IF(COUNTA(archive!H934:CI934)=0,"",COUNTA(archive!H934:CI934))</f>
        <v/>
      </c>
      <c r="G934" s="47" t="str">
        <f>IF(archive!G934="","",archive!G934)</f>
        <v/>
      </c>
      <c r="H934" s="51" t="str">
        <f>IF(archive!CJ934="","",archive!CJ934)</f>
        <v/>
      </c>
      <c r="I934" s="51" t="str">
        <f>IF(archive!CK934="","",archive!CK934)</f>
        <v/>
      </c>
      <c r="J934" s="47" t="str">
        <f t="shared" si="199"/>
        <v/>
      </c>
      <c r="K934" s="51" t="str">
        <f t="shared" si="200"/>
        <v/>
      </c>
      <c r="L934" s="52" t="str">
        <f t="shared" si="201"/>
        <v/>
      </c>
      <c r="M934" s="53" t="str">
        <f t="shared" si="202"/>
        <v/>
      </c>
      <c r="N934" s="53" t="str">
        <f t="shared" si="203"/>
        <v/>
      </c>
      <c r="O934" s="53" t="str">
        <f t="shared" si="204"/>
        <v/>
      </c>
      <c r="P934" s="53" t="str">
        <f t="shared" si="205"/>
        <v/>
      </c>
      <c r="Q934" s="53" t="str">
        <f t="shared" si="206"/>
        <v/>
      </c>
      <c r="R934" s="53" t="str">
        <f t="shared" si="207"/>
        <v/>
      </c>
      <c r="S934" s="53" t="str">
        <f t="shared" si="208"/>
        <v/>
      </c>
      <c r="T934" s="53" t="str">
        <f t="shared" si="209"/>
        <v/>
      </c>
    </row>
    <row r="935" spans="1:20">
      <c r="A935" s="47" t="str">
        <f>IF(archive!E935="","",archive!E935)</f>
        <v/>
      </c>
      <c r="B935" s="48" t="str">
        <f t="shared" si="196"/>
        <v/>
      </c>
      <c r="C935" s="49" t="str">
        <f>IF(archive!F935="","",archive!F935)</f>
        <v/>
      </c>
      <c r="D935" s="50" t="str">
        <f t="shared" si="197"/>
        <v/>
      </c>
      <c r="E935" s="50" t="str">
        <f t="shared" si="198"/>
        <v/>
      </c>
      <c r="F935" s="47" t="str">
        <f>IF(COUNTA(archive!H935:CI935)=0,"",COUNTA(archive!H935:CI935))</f>
        <v/>
      </c>
      <c r="G935" s="47" t="str">
        <f>IF(archive!G935="","",archive!G935)</f>
        <v/>
      </c>
      <c r="H935" s="51" t="str">
        <f>IF(archive!CJ935="","",archive!CJ935)</f>
        <v/>
      </c>
      <c r="I935" s="51" t="str">
        <f>IF(archive!CK935="","",archive!CK935)</f>
        <v/>
      </c>
      <c r="J935" s="47" t="str">
        <f t="shared" si="199"/>
        <v/>
      </c>
      <c r="K935" s="51" t="str">
        <f t="shared" si="200"/>
        <v/>
      </c>
      <c r="L935" s="52" t="str">
        <f t="shared" si="201"/>
        <v/>
      </c>
      <c r="M935" s="53" t="str">
        <f t="shared" si="202"/>
        <v/>
      </c>
      <c r="N935" s="53" t="str">
        <f t="shared" si="203"/>
        <v/>
      </c>
      <c r="O935" s="53" t="str">
        <f t="shared" si="204"/>
        <v/>
      </c>
      <c r="P935" s="53" t="str">
        <f t="shared" si="205"/>
        <v/>
      </c>
      <c r="Q935" s="53" t="str">
        <f t="shared" si="206"/>
        <v/>
      </c>
      <c r="R935" s="53" t="str">
        <f t="shared" si="207"/>
        <v/>
      </c>
      <c r="S935" s="53" t="str">
        <f t="shared" si="208"/>
        <v/>
      </c>
      <c r="T935" s="53" t="str">
        <f t="shared" si="209"/>
        <v/>
      </c>
    </row>
    <row r="936" spans="1:20">
      <c r="A936" s="47" t="str">
        <f>IF(archive!E936="","",archive!E936)</f>
        <v/>
      </c>
      <c r="B936" s="48" t="str">
        <f t="shared" si="196"/>
        <v/>
      </c>
      <c r="C936" s="49" t="str">
        <f>IF(archive!F936="","",archive!F936)</f>
        <v/>
      </c>
      <c r="D936" s="50" t="str">
        <f t="shared" si="197"/>
        <v/>
      </c>
      <c r="E936" s="50" t="str">
        <f t="shared" si="198"/>
        <v/>
      </c>
      <c r="F936" s="47" t="str">
        <f>IF(COUNTA(archive!H936:CI936)=0,"",COUNTA(archive!H936:CI936))</f>
        <v/>
      </c>
      <c r="G936" s="47" t="str">
        <f>IF(archive!G936="","",archive!G936)</f>
        <v/>
      </c>
      <c r="H936" s="51" t="str">
        <f>IF(archive!CJ936="","",archive!CJ936)</f>
        <v/>
      </c>
      <c r="I936" s="51" t="str">
        <f>IF(archive!CK936="","",archive!CK936)</f>
        <v/>
      </c>
      <c r="J936" s="47" t="str">
        <f t="shared" si="199"/>
        <v/>
      </c>
      <c r="K936" s="51" t="str">
        <f t="shared" si="200"/>
        <v/>
      </c>
      <c r="L936" s="52" t="str">
        <f t="shared" si="201"/>
        <v/>
      </c>
      <c r="M936" s="53" t="str">
        <f t="shared" si="202"/>
        <v/>
      </c>
      <c r="N936" s="53" t="str">
        <f t="shared" si="203"/>
        <v/>
      </c>
      <c r="O936" s="53" t="str">
        <f t="shared" si="204"/>
        <v/>
      </c>
      <c r="P936" s="53" t="str">
        <f t="shared" si="205"/>
        <v/>
      </c>
      <c r="Q936" s="53" t="str">
        <f t="shared" si="206"/>
        <v/>
      </c>
      <c r="R936" s="53" t="str">
        <f t="shared" si="207"/>
        <v/>
      </c>
      <c r="S936" s="53" t="str">
        <f t="shared" si="208"/>
        <v/>
      </c>
      <c r="T936" s="53" t="str">
        <f t="shared" si="209"/>
        <v/>
      </c>
    </row>
    <row r="937" spans="1:20">
      <c r="A937" s="47" t="str">
        <f>IF(archive!E937="","",archive!E937)</f>
        <v/>
      </c>
      <c r="B937" s="48" t="str">
        <f t="shared" si="196"/>
        <v/>
      </c>
      <c r="C937" s="49" t="str">
        <f>IF(archive!F937="","",archive!F937)</f>
        <v/>
      </c>
      <c r="D937" s="50" t="str">
        <f t="shared" si="197"/>
        <v/>
      </c>
      <c r="E937" s="50" t="str">
        <f t="shared" si="198"/>
        <v/>
      </c>
      <c r="F937" s="47" t="str">
        <f>IF(COUNTA(archive!H937:CI937)=0,"",COUNTA(archive!H937:CI937))</f>
        <v/>
      </c>
      <c r="G937" s="47" t="str">
        <f>IF(archive!G937="","",archive!G937)</f>
        <v/>
      </c>
      <c r="H937" s="51" t="str">
        <f>IF(archive!CJ937="","",archive!CJ937)</f>
        <v/>
      </c>
      <c r="I937" s="51" t="str">
        <f>IF(archive!CK937="","",archive!CK937)</f>
        <v/>
      </c>
      <c r="J937" s="47" t="str">
        <f t="shared" si="199"/>
        <v/>
      </c>
      <c r="K937" s="51" t="str">
        <f t="shared" si="200"/>
        <v/>
      </c>
      <c r="L937" s="52" t="str">
        <f t="shared" si="201"/>
        <v/>
      </c>
      <c r="M937" s="53" t="str">
        <f t="shared" si="202"/>
        <v/>
      </c>
      <c r="N937" s="53" t="str">
        <f t="shared" si="203"/>
        <v/>
      </c>
      <c r="O937" s="53" t="str">
        <f t="shared" si="204"/>
        <v/>
      </c>
      <c r="P937" s="53" t="str">
        <f t="shared" si="205"/>
        <v/>
      </c>
      <c r="Q937" s="53" t="str">
        <f t="shared" si="206"/>
        <v/>
      </c>
      <c r="R937" s="53" t="str">
        <f t="shared" si="207"/>
        <v/>
      </c>
      <c r="S937" s="53" t="str">
        <f t="shared" si="208"/>
        <v/>
      </c>
      <c r="T937" s="53" t="str">
        <f t="shared" si="209"/>
        <v/>
      </c>
    </row>
    <row r="938" spans="1:20">
      <c r="A938" s="47" t="str">
        <f>IF(archive!E938="","",archive!E938)</f>
        <v/>
      </c>
      <c r="B938" s="48" t="str">
        <f t="shared" si="196"/>
        <v/>
      </c>
      <c r="C938" s="49" t="str">
        <f>IF(archive!F938="","",archive!F938)</f>
        <v/>
      </c>
      <c r="D938" s="50" t="str">
        <f t="shared" si="197"/>
        <v/>
      </c>
      <c r="E938" s="50" t="str">
        <f t="shared" si="198"/>
        <v/>
      </c>
      <c r="F938" s="47" t="str">
        <f>IF(COUNTA(archive!H938:CI938)=0,"",COUNTA(archive!H938:CI938))</f>
        <v/>
      </c>
      <c r="G938" s="47" t="str">
        <f>IF(archive!G938="","",archive!G938)</f>
        <v/>
      </c>
      <c r="H938" s="51" t="str">
        <f>IF(archive!CJ938="","",archive!CJ938)</f>
        <v/>
      </c>
      <c r="I938" s="51" t="str">
        <f>IF(archive!CK938="","",archive!CK938)</f>
        <v/>
      </c>
      <c r="J938" s="47" t="str">
        <f t="shared" si="199"/>
        <v/>
      </c>
      <c r="K938" s="51" t="str">
        <f t="shared" si="200"/>
        <v/>
      </c>
      <c r="L938" s="52" t="str">
        <f t="shared" si="201"/>
        <v/>
      </c>
      <c r="M938" s="53" t="str">
        <f t="shared" si="202"/>
        <v/>
      </c>
      <c r="N938" s="53" t="str">
        <f t="shared" si="203"/>
        <v/>
      </c>
      <c r="O938" s="53" t="str">
        <f t="shared" si="204"/>
        <v/>
      </c>
      <c r="P938" s="53" t="str">
        <f t="shared" si="205"/>
        <v/>
      </c>
      <c r="Q938" s="53" t="str">
        <f t="shared" si="206"/>
        <v/>
      </c>
      <c r="R938" s="53" t="str">
        <f t="shared" si="207"/>
        <v/>
      </c>
      <c r="S938" s="53" t="str">
        <f t="shared" si="208"/>
        <v/>
      </c>
      <c r="T938" s="53" t="str">
        <f t="shared" si="209"/>
        <v/>
      </c>
    </row>
    <row r="939" spans="1:20">
      <c r="A939" s="47" t="str">
        <f>IF(archive!E939="","",archive!E939)</f>
        <v/>
      </c>
      <c r="B939" s="48" t="str">
        <f t="shared" si="196"/>
        <v/>
      </c>
      <c r="C939" s="49" t="str">
        <f>IF(archive!F939="","",archive!F939)</f>
        <v/>
      </c>
      <c r="D939" s="50" t="str">
        <f t="shared" si="197"/>
        <v/>
      </c>
      <c r="E939" s="50" t="str">
        <f t="shared" si="198"/>
        <v/>
      </c>
      <c r="F939" s="47" t="str">
        <f>IF(COUNTA(archive!H939:CI939)=0,"",COUNTA(archive!H939:CI939))</f>
        <v/>
      </c>
      <c r="G939" s="47" t="str">
        <f>IF(archive!G939="","",archive!G939)</f>
        <v/>
      </c>
      <c r="H939" s="51" t="str">
        <f>IF(archive!CJ939="","",archive!CJ939)</f>
        <v/>
      </c>
      <c r="I939" s="51" t="str">
        <f>IF(archive!CK939="","",archive!CK939)</f>
        <v/>
      </c>
      <c r="J939" s="47" t="str">
        <f t="shared" si="199"/>
        <v/>
      </c>
      <c r="K939" s="51" t="str">
        <f t="shared" si="200"/>
        <v/>
      </c>
      <c r="L939" s="52" t="str">
        <f t="shared" si="201"/>
        <v/>
      </c>
      <c r="M939" s="53" t="str">
        <f t="shared" si="202"/>
        <v/>
      </c>
      <c r="N939" s="53" t="str">
        <f t="shared" si="203"/>
        <v/>
      </c>
      <c r="O939" s="53" t="str">
        <f t="shared" si="204"/>
        <v/>
      </c>
      <c r="P939" s="53" t="str">
        <f t="shared" si="205"/>
        <v/>
      </c>
      <c r="Q939" s="53" t="str">
        <f t="shared" si="206"/>
        <v/>
      </c>
      <c r="R939" s="53" t="str">
        <f t="shared" si="207"/>
        <v/>
      </c>
      <c r="S939" s="53" t="str">
        <f t="shared" si="208"/>
        <v/>
      </c>
      <c r="T939" s="53" t="str">
        <f t="shared" si="209"/>
        <v/>
      </c>
    </row>
    <row r="940" spans="1:20">
      <c r="A940" s="47" t="str">
        <f>IF(archive!E940="","",archive!E940)</f>
        <v/>
      </c>
      <c r="B940" s="48" t="str">
        <f t="shared" si="196"/>
        <v/>
      </c>
      <c r="C940" s="49" t="str">
        <f>IF(archive!F940="","",archive!F940)</f>
        <v/>
      </c>
      <c r="D940" s="50" t="str">
        <f t="shared" si="197"/>
        <v/>
      </c>
      <c r="E940" s="50" t="str">
        <f t="shared" si="198"/>
        <v/>
      </c>
      <c r="F940" s="47" t="str">
        <f>IF(COUNTA(archive!H940:CI940)=0,"",COUNTA(archive!H940:CI940))</f>
        <v/>
      </c>
      <c r="G940" s="47" t="str">
        <f>IF(archive!G940="","",archive!G940)</f>
        <v/>
      </c>
      <c r="H940" s="51" t="str">
        <f>IF(archive!CJ940="","",archive!CJ940)</f>
        <v/>
      </c>
      <c r="I940" s="51" t="str">
        <f>IF(archive!CK940="","",archive!CK940)</f>
        <v/>
      </c>
      <c r="J940" s="47" t="str">
        <f t="shared" si="199"/>
        <v/>
      </c>
      <c r="K940" s="51" t="str">
        <f t="shared" si="200"/>
        <v/>
      </c>
      <c r="L940" s="52" t="str">
        <f t="shared" si="201"/>
        <v/>
      </c>
      <c r="M940" s="53" t="str">
        <f t="shared" si="202"/>
        <v/>
      </c>
      <c r="N940" s="53" t="str">
        <f t="shared" si="203"/>
        <v/>
      </c>
      <c r="O940" s="53" t="str">
        <f t="shared" si="204"/>
        <v/>
      </c>
      <c r="P940" s="53" t="str">
        <f t="shared" si="205"/>
        <v/>
      </c>
      <c r="Q940" s="53" t="str">
        <f t="shared" si="206"/>
        <v/>
      </c>
      <c r="R940" s="53" t="str">
        <f t="shared" si="207"/>
        <v/>
      </c>
      <c r="S940" s="53" t="str">
        <f t="shared" si="208"/>
        <v/>
      </c>
      <c r="T940" s="53" t="str">
        <f t="shared" si="209"/>
        <v/>
      </c>
    </row>
    <row r="941" spans="1:20">
      <c r="A941" s="47" t="str">
        <f>IF(archive!E941="","",archive!E941)</f>
        <v/>
      </c>
      <c r="B941" s="48" t="str">
        <f t="shared" si="196"/>
        <v/>
      </c>
      <c r="C941" s="49" t="str">
        <f>IF(archive!F941="","",archive!F941)</f>
        <v/>
      </c>
      <c r="D941" s="50" t="str">
        <f t="shared" si="197"/>
        <v/>
      </c>
      <c r="E941" s="50" t="str">
        <f t="shared" si="198"/>
        <v/>
      </c>
      <c r="F941" s="47" t="str">
        <f>IF(COUNTA(archive!H941:CI941)=0,"",COUNTA(archive!H941:CI941))</f>
        <v/>
      </c>
      <c r="G941" s="47" t="str">
        <f>IF(archive!G941="","",archive!G941)</f>
        <v/>
      </c>
      <c r="H941" s="51" t="str">
        <f>IF(archive!CJ941="","",archive!CJ941)</f>
        <v/>
      </c>
      <c r="I941" s="51" t="str">
        <f>IF(archive!CK941="","",archive!CK941)</f>
        <v/>
      </c>
      <c r="J941" s="47" t="str">
        <f t="shared" si="199"/>
        <v/>
      </c>
      <c r="K941" s="51" t="str">
        <f t="shared" si="200"/>
        <v/>
      </c>
      <c r="L941" s="52" t="str">
        <f t="shared" si="201"/>
        <v/>
      </c>
      <c r="M941" s="53" t="str">
        <f t="shared" si="202"/>
        <v/>
      </c>
      <c r="N941" s="53" t="str">
        <f t="shared" si="203"/>
        <v/>
      </c>
      <c r="O941" s="53" t="str">
        <f t="shared" si="204"/>
        <v/>
      </c>
      <c r="P941" s="53" t="str">
        <f t="shared" si="205"/>
        <v/>
      </c>
      <c r="Q941" s="53" t="str">
        <f t="shared" si="206"/>
        <v/>
      </c>
      <c r="R941" s="53" t="str">
        <f t="shared" si="207"/>
        <v/>
      </c>
      <c r="S941" s="53" t="str">
        <f t="shared" si="208"/>
        <v/>
      </c>
      <c r="T941" s="53" t="str">
        <f t="shared" si="209"/>
        <v/>
      </c>
    </row>
    <row r="942" spans="1:20">
      <c r="A942" s="47" t="str">
        <f>IF(archive!E942="","",archive!E942)</f>
        <v/>
      </c>
      <c r="B942" s="48" t="str">
        <f t="shared" si="196"/>
        <v/>
      </c>
      <c r="C942" s="49" t="str">
        <f>IF(archive!F942="","",archive!F942)</f>
        <v/>
      </c>
      <c r="D942" s="50" t="str">
        <f t="shared" si="197"/>
        <v/>
      </c>
      <c r="E942" s="50" t="str">
        <f t="shared" si="198"/>
        <v/>
      </c>
      <c r="F942" s="47" t="str">
        <f>IF(COUNTA(archive!H942:CI942)=0,"",COUNTA(archive!H942:CI942))</f>
        <v/>
      </c>
      <c r="G942" s="47" t="str">
        <f>IF(archive!G942="","",archive!G942)</f>
        <v/>
      </c>
      <c r="H942" s="51" t="str">
        <f>IF(archive!CJ942="","",archive!CJ942)</f>
        <v/>
      </c>
      <c r="I942" s="51" t="str">
        <f>IF(archive!CK942="","",archive!CK942)</f>
        <v/>
      </c>
      <c r="J942" s="47" t="str">
        <f t="shared" si="199"/>
        <v/>
      </c>
      <c r="K942" s="51" t="str">
        <f t="shared" si="200"/>
        <v/>
      </c>
      <c r="L942" s="52" t="str">
        <f t="shared" si="201"/>
        <v/>
      </c>
      <c r="M942" s="53" t="str">
        <f t="shared" si="202"/>
        <v/>
      </c>
      <c r="N942" s="53" t="str">
        <f t="shared" si="203"/>
        <v/>
      </c>
      <c r="O942" s="53" t="str">
        <f t="shared" si="204"/>
        <v/>
      </c>
      <c r="P942" s="53" t="str">
        <f t="shared" si="205"/>
        <v/>
      </c>
      <c r="Q942" s="53" t="str">
        <f t="shared" si="206"/>
        <v/>
      </c>
      <c r="R942" s="53" t="str">
        <f t="shared" si="207"/>
        <v/>
      </c>
      <c r="S942" s="53" t="str">
        <f t="shared" si="208"/>
        <v/>
      </c>
      <c r="T942" s="53" t="str">
        <f t="shared" si="209"/>
        <v/>
      </c>
    </row>
    <row r="943" spans="1:20">
      <c r="A943" s="47" t="str">
        <f>IF(archive!E943="","",archive!E943)</f>
        <v/>
      </c>
      <c r="B943" s="48" t="str">
        <f t="shared" si="196"/>
        <v/>
      </c>
      <c r="C943" s="49" t="str">
        <f>IF(archive!F943="","",archive!F943)</f>
        <v/>
      </c>
      <c r="D943" s="50" t="str">
        <f t="shared" si="197"/>
        <v/>
      </c>
      <c r="E943" s="50" t="str">
        <f t="shared" si="198"/>
        <v/>
      </c>
      <c r="F943" s="47" t="str">
        <f>IF(COUNTA(archive!H943:CI943)=0,"",COUNTA(archive!H943:CI943))</f>
        <v/>
      </c>
      <c r="G943" s="47" t="str">
        <f>IF(archive!G943="","",archive!G943)</f>
        <v/>
      </c>
      <c r="H943" s="51" t="str">
        <f>IF(archive!CJ943="","",archive!CJ943)</f>
        <v/>
      </c>
      <c r="I943" s="51" t="str">
        <f>IF(archive!CK943="","",archive!CK943)</f>
        <v/>
      </c>
      <c r="J943" s="47" t="str">
        <f t="shared" si="199"/>
        <v/>
      </c>
      <c r="K943" s="51" t="str">
        <f t="shared" si="200"/>
        <v/>
      </c>
      <c r="L943" s="52" t="str">
        <f t="shared" si="201"/>
        <v/>
      </c>
      <c r="M943" s="53" t="str">
        <f t="shared" si="202"/>
        <v/>
      </c>
      <c r="N943" s="53" t="str">
        <f t="shared" si="203"/>
        <v/>
      </c>
      <c r="O943" s="53" t="str">
        <f t="shared" si="204"/>
        <v/>
      </c>
      <c r="P943" s="53" t="str">
        <f t="shared" si="205"/>
        <v/>
      </c>
      <c r="Q943" s="53" t="str">
        <f t="shared" si="206"/>
        <v/>
      </c>
      <c r="R943" s="53" t="str">
        <f t="shared" si="207"/>
        <v/>
      </c>
      <c r="S943" s="53" t="str">
        <f t="shared" si="208"/>
        <v/>
      </c>
      <c r="T943" s="53" t="str">
        <f t="shared" si="209"/>
        <v/>
      </c>
    </row>
    <row r="944" spans="1:20">
      <c r="A944" s="47" t="str">
        <f>IF(archive!E944="","",archive!E944)</f>
        <v/>
      </c>
      <c r="B944" s="48" t="str">
        <f t="shared" si="196"/>
        <v/>
      </c>
      <c r="C944" s="49" t="str">
        <f>IF(archive!F944="","",archive!F944)</f>
        <v/>
      </c>
      <c r="D944" s="50" t="str">
        <f t="shared" si="197"/>
        <v/>
      </c>
      <c r="E944" s="50" t="str">
        <f t="shared" si="198"/>
        <v/>
      </c>
      <c r="F944" s="47" t="str">
        <f>IF(COUNTA(archive!H944:CI944)=0,"",COUNTA(archive!H944:CI944))</f>
        <v/>
      </c>
      <c r="G944" s="47" t="str">
        <f>IF(archive!G944="","",archive!G944)</f>
        <v/>
      </c>
      <c r="H944" s="51" t="str">
        <f>IF(archive!CJ944="","",archive!CJ944)</f>
        <v/>
      </c>
      <c r="I944" s="51" t="str">
        <f>IF(archive!CK944="","",archive!CK944)</f>
        <v/>
      </c>
      <c r="J944" s="47" t="str">
        <f t="shared" si="199"/>
        <v/>
      </c>
      <c r="K944" s="51" t="str">
        <f t="shared" si="200"/>
        <v/>
      </c>
      <c r="L944" s="52" t="str">
        <f t="shared" si="201"/>
        <v/>
      </c>
      <c r="M944" s="53" t="str">
        <f t="shared" si="202"/>
        <v/>
      </c>
      <c r="N944" s="53" t="str">
        <f t="shared" si="203"/>
        <v/>
      </c>
      <c r="O944" s="53" t="str">
        <f t="shared" si="204"/>
        <v/>
      </c>
      <c r="P944" s="53" t="str">
        <f t="shared" si="205"/>
        <v/>
      </c>
      <c r="Q944" s="53" t="str">
        <f t="shared" si="206"/>
        <v/>
      </c>
      <c r="R944" s="53" t="str">
        <f t="shared" si="207"/>
        <v/>
      </c>
      <c r="S944" s="53" t="str">
        <f t="shared" si="208"/>
        <v/>
      </c>
      <c r="T944" s="53" t="str">
        <f t="shared" si="209"/>
        <v/>
      </c>
    </row>
    <row r="945" spans="1:20">
      <c r="A945" s="47" t="str">
        <f>IF(archive!E945="","",archive!E945)</f>
        <v/>
      </c>
      <c r="B945" s="48" t="str">
        <f t="shared" si="196"/>
        <v/>
      </c>
      <c r="C945" s="49" t="str">
        <f>IF(archive!F945="","",archive!F945)</f>
        <v/>
      </c>
      <c r="D945" s="50" t="str">
        <f t="shared" si="197"/>
        <v/>
      </c>
      <c r="E945" s="50" t="str">
        <f t="shared" si="198"/>
        <v/>
      </c>
      <c r="F945" s="47" t="str">
        <f>IF(COUNTA(archive!H945:CI945)=0,"",COUNTA(archive!H945:CI945))</f>
        <v/>
      </c>
      <c r="G945" s="47" t="str">
        <f>IF(archive!G945="","",archive!G945)</f>
        <v/>
      </c>
      <c r="H945" s="51" t="str">
        <f>IF(archive!CJ945="","",archive!CJ945)</f>
        <v/>
      </c>
      <c r="I945" s="51" t="str">
        <f>IF(archive!CK945="","",archive!CK945)</f>
        <v/>
      </c>
      <c r="J945" s="47" t="str">
        <f t="shared" si="199"/>
        <v/>
      </c>
      <c r="K945" s="51" t="str">
        <f t="shared" si="200"/>
        <v/>
      </c>
      <c r="L945" s="52" t="str">
        <f t="shared" si="201"/>
        <v/>
      </c>
      <c r="M945" s="53" t="str">
        <f t="shared" si="202"/>
        <v/>
      </c>
      <c r="N945" s="53" t="str">
        <f t="shared" si="203"/>
        <v/>
      </c>
      <c r="O945" s="53" t="str">
        <f t="shared" si="204"/>
        <v/>
      </c>
      <c r="P945" s="53" t="str">
        <f t="shared" si="205"/>
        <v/>
      </c>
      <c r="Q945" s="53" t="str">
        <f t="shared" si="206"/>
        <v/>
      </c>
      <c r="R945" s="53" t="str">
        <f t="shared" si="207"/>
        <v/>
      </c>
      <c r="S945" s="53" t="str">
        <f t="shared" si="208"/>
        <v/>
      </c>
      <c r="T945" s="53" t="str">
        <f t="shared" si="209"/>
        <v/>
      </c>
    </row>
    <row r="946" spans="1:20">
      <c r="A946" s="47" t="str">
        <f>IF(archive!E946="","",archive!E946)</f>
        <v/>
      </c>
      <c r="B946" s="48" t="str">
        <f t="shared" si="196"/>
        <v/>
      </c>
      <c r="C946" s="49" t="str">
        <f>IF(archive!F946="","",archive!F946)</f>
        <v/>
      </c>
      <c r="D946" s="50" t="str">
        <f t="shared" si="197"/>
        <v/>
      </c>
      <c r="E946" s="50" t="str">
        <f t="shared" si="198"/>
        <v/>
      </c>
      <c r="F946" s="47" t="str">
        <f>IF(COUNTA(archive!H946:CI946)=0,"",COUNTA(archive!H946:CI946))</f>
        <v/>
      </c>
      <c r="G946" s="47" t="str">
        <f>IF(archive!G946="","",archive!G946)</f>
        <v/>
      </c>
      <c r="H946" s="51" t="str">
        <f>IF(archive!CJ946="","",archive!CJ946)</f>
        <v/>
      </c>
      <c r="I946" s="51" t="str">
        <f>IF(archive!CK946="","",archive!CK946)</f>
        <v/>
      </c>
      <c r="J946" s="47" t="str">
        <f t="shared" si="199"/>
        <v/>
      </c>
      <c r="K946" s="51" t="str">
        <f t="shared" si="200"/>
        <v/>
      </c>
      <c r="L946" s="52" t="str">
        <f t="shared" si="201"/>
        <v/>
      </c>
      <c r="M946" s="53" t="str">
        <f t="shared" si="202"/>
        <v/>
      </c>
      <c r="N946" s="53" t="str">
        <f t="shared" si="203"/>
        <v/>
      </c>
      <c r="O946" s="53" t="str">
        <f t="shared" si="204"/>
        <v/>
      </c>
      <c r="P946" s="53" t="str">
        <f t="shared" si="205"/>
        <v/>
      </c>
      <c r="Q946" s="53" t="str">
        <f t="shared" si="206"/>
        <v/>
      </c>
      <c r="R946" s="53" t="str">
        <f t="shared" si="207"/>
        <v/>
      </c>
      <c r="S946" s="53" t="str">
        <f t="shared" si="208"/>
        <v/>
      </c>
      <c r="T946" s="53" t="str">
        <f t="shared" si="209"/>
        <v/>
      </c>
    </row>
    <row r="947" spans="1:20">
      <c r="A947" s="47" t="str">
        <f>IF(archive!E947="","",archive!E947)</f>
        <v/>
      </c>
      <c r="B947" s="48" t="str">
        <f t="shared" si="196"/>
        <v/>
      </c>
      <c r="C947" s="49" t="str">
        <f>IF(archive!F947="","",archive!F947)</f>
        <v/>
      </c>
      <c r="D947" s="50" t="str">
        <f t="shared" si="197"/>
        <v/>
      </c>
      <c r="E947" s="50" t="str">
        <f t="shared" si="198"/>
        <v/>
      </c>
      <c r="F947" s="47" t="str">
        <f>IF(COUNTA(archive!H947:CI947)=0,"",COUNTA(archive!H947:CI947))</f>
        <v/>
      </c>
      <c r="G947" s="47" t="str">
        <f>IF(archive!G947="","",archive!G947)</f>
        <v/>
      </c>
      <c r="H947" s="51" t="str">
        <f>IF(archive!CJ947="","",archive!CJ947)</f>
        <v/>
      </c>
      <c r="I947" s="51" t="str">
        <f>IF(archive!CK947="","",archive!CK947)</f>
        <v/>
      </c>
      <c r="J947" s="47" t="str">
        <f t="shared" si="199"/>
        <v/>
      </c>
      <c r="K947" s="51" t="str">
        <f t="shared" si="200"/>
        <v/>
      </c>
      <c r="L947" s="52" t="str">
        <f t="shared" si="201"/>
        <v/>
      </c>
      <c r="M947" s="53" t="str">
        <f t="shared" si="202"/>
        <v/>
      </c>
      <c r="N947" s="53" t="str">
        <f t="shared" si="203"/>
        <v/>
      </c>
      <c r="O947" s="53" t="str">
        <f t="shared" si="204"/>
        <v/>
      </c>
      <c r="P947" s="53" t="str">
        <f t="shared" si="205"/>
        <v/>
      </c>
      <c r="Q947" s="53" t="str">
        <f t="shared" si="206"/>
        <v/>
      </c>
      <c r="R947" s="53" t="str">
        <f t="shared" si="207"/>
        <v/>
      </c>
      <c r="S947" s="53" t="str">
        <f t="shared" si="208"/>
        <v/>
      </c>
      <c r="T947" s="53" t="str">
        <f t="shared" si="209"/>
        <v/>
      </c>
    </row>
    <row r="948" spans="1:20">
      <c r="A948" s="47" t="str">
        <f>IF(archive!E948="","",archive!E948)</f>
        <v/>
      </c>
      <c r="B948" s="48" t="str">
        <f t="shared" si="196"/>
        <v/>
      </c>
      <c r="C948" s="49" t="str">
        <f>IF(archive!F948="","",archive!F948)</f>
        <v/>
      </c>
      <c r="D948" s="50" t="str">
        <f t="shared" si="197"/>
        <v/>
      </c>
      <c r="E948" s="50" t="str">
        <f t="shared" si="198"/>
        <v/>
      </c>
      <c r="F948" s="47" t="str">
        <f>IF(COUNTA(archive!H948:CI948)=0,"",COUNTA(archive!H948:CI948))</f>
        <v/>
      </c>
      <c r="G948" s="47" t="str">
        <f>IF(archive!G948="","",archive!G948)</f>
        <v/>
      </c>
      <c r="H948" s="51" t="str">
        <f>IF(archive!CJ948="","",archive!CJ948)</f>
        <v/>
      </c>
      <c r="I948" s="51" t="str">
        <f>IF(archive!CK948="","",archive!CK948)</f>
        <v/>
      </c>
      <c r="J948" s="47" t="str">
        <f t="shared" si="199"/>
        <v/>
      </c>
      <c r="K948" s="51" t="str">
        <f t="shared" si="200"/>
        <v/>
      </c>
      <c r="L948" s="52" t="str">
        <f t="shared" si="201"/>
        <v/>
      </c>
      <c r="M948" s="53" t="str">
        <f t="shared" si="202"/>
        <v/>
      </c>
      <c r="N948" s="53" t="str">
        <f t="shared" si="203"/>
        <v/>
      </c>
      <c r="O948" s="53" t="str">
        <f t="shared" si="204"/>
        <v/>
      </c>
      <c r="P948" s="53" t="str">
        <f t="shared" si="205"/>
        <v/>
      </c>
      <c r="Q948" s="53" t="str">
        <f t="shared" si="206"/>
        <v/>
      </c>
      <c r="R948" s="53" t="str">
        <f t="shared" si="207"/>
        <v/>
      </c>
      <c r="S948" s="53" t="str">
        <f t="shared" si="208"/>
        <v/>
      </c>
      <c r="T948" s="53" t="str">
        <f t="shared" si="209"/>
        <v/>
      </c>
    </row>
    <row r="949" spans="1:20">
      <c r="A949" s="47" t="str">
        <f>IF(archive!E949="","",archive!E949)</f>
        <v/>
      </c>
      <c r="B949" s="48" t="str">
        <f t="shared" si="196"/>
        <v/>
      </c>
      <c r="C949" s="49" t="str">
        <f>IF(archive!F949="","",archive!F949)</f>
        <v/>
      </c>
      <c r="D949" s="50" t="str">
        <f t="shared" si="197"/>
        <v/>
      </c>
      <c r="E949" s="50" t="str">
        <f t="shared" si="198"/>
        <v/>
      </c>
      <c r="F949" s="47" t="str">
        <f>IF(COUNTA(archive!H949:CI949)=0,"",COUNTA(archive!H949:CI949))</f>
        <v/>
      </c>
      <c r="G949" s="47" t="str">
        <f>IF(archive!G949="","",archive!G949)</f>
        <v/>
      </c>
      <c r="H949" s="51" t="str">
        <f>IF(archive!CJ949="","",archive!CJ949)</f>
        <v/>
      </c>
      <c r="I949" s="51" t="str">
        <f>IF(archive!CK949="","",archive!CK949)</f>
        <v/>
      </c>
      <c r="J949" s="47" t="str">
        <f t="shared" si="199"/>
        <v/>
      </c>
      <c r="K949" s="51" t="str">
        <f t="shared" si="200"/>
        <v/>
      </c>
      <c r="L949" s="52" t="str">
        <f t="shared" si="201"/>
        <v/>
      </c>
      <c r="M949" s="53" t="str">
        <f t="shared" si="202"/>
        <v/>
      </c>
      <c r="N949" s="53" t="str">
        <f t="shared" si="203"/>
        <v/>
      </c>
      <c r="O949" s="53" t="str">
        <f t="shared" si="204"/>
        <v/>
      </c>
      <c r="P949" s="53" t="str">
        <f t="shared" si="205"/>
        <v/>
      </c>
      <c r="Q949" s="53" t="str">
        <f t="shared" si="206"/>
        <v/>
      </c>
      <c r="R949" s="53" t="str">
        <f t="shared" si="207"/>
        <v/>
      </c>
      <c r="S949" s="53" t="str">
        <f t="shared" si="208"/>
        <v/>
      </c>
      <c r="T949" s="53" t="str">
        <f t="shared" si="209"/>
        <v/>
      </c>
    </row>
    <row r="950" spans="1:20">
      <c r="A950" s="47" t="str">
        <f>IF(archive!E950="","",archive!E950)</f>
        <v/>
      </c>
      <c r="B950" s="48" t="str">
        <f t="shared" si="196"/>
        <v/>
      </c>
      <c r="C950" s="49" t="str">
        <f>IF(archive!F950="","",archive!F950)</f>
        <v/>
      </c>
      <c r="D950" s="50" t="str">
        <f t="shared" si="197"/>
        <v/>
      </c>
      <c r="E950" s="50" t="str">
        <f t="shared" si="198"/>
        <v/>
      </c>
      <c r="F950" s="47" t="str">
        <f>IF(COUNTA(archive!H950:CI950)=0,"",COUNTA(archive!H950:CI950))</f>
        <v/>
      </c>
      <c r="G950" s="47" t="str">
        <f>IF(archive!G950="","",archive!G950)</f>
        <v/>
      </c>
      <c r="H950" s="51" t="str">
        <f>IF(archive!CJ950="","",archive!CJ950)</f>
        <v/>
      </c>
      <c r="I950" s="51" t="str">
        <f>IF(archive!CK950="","",archive!CK950)</f>
        <v/>
      </c>
      <c r="J950" s="47" t="str">
        <f t="shared" si="199"/>
        <v/>
      </c>
      <c r="K950" s="51" t="str">
        <f t="shared" si="200"/>
        <v/>
      </c>
      <c r="L950" s="52" t="str">
        <f t="shared" si="201"/>
        <v/>
      </c>
      <c r="M950" s="53" t="str">
        <f t="shared" si="202"/>
        <v/>
      </c>
      <c r="N950" s="53" t="str">
        <f t="shared" si="203"/>
        <v/>
      </c>
      <c r="O950" s="53" t="str">
        <f t="shared" si="204"/>
        <v/>
      </c>
      <c r="P950" s="53" t="str">
        <f t="shared" si="205"/>
        <v/>
      </c>
      <c r="Q950" s="53" t="str">
        <f t="shared" si="206"/>
        <v/>
      </c>
      <c r="R950" s="53" t="str">
        <f t="shared" si="207"/>
        <v/>
      </c>
      <c r="S950" s="53" t="str">
        <f t="shared" si="208"/>
        <v/>
      </c>
      <c r="T950" s="53" t="str">
        <f t="shared" si="209"/>
        <v/>
      </c>
    </row>
    <row r="951" spans="1:20">
      <c r="A951" s="47" t="str">
        <f>IF(archive!E951="","",archive!E951)</f>
        <v/>
      </c>
      <c r="B951" s="48" t="str">
        <f t="shared" si="196"/>
        <v/>
      </c>
      <c r="C951" s="49" t="str">
        <f>IF(archive!F951="","",archive!F951)</f>
        <v/>
      </c>
      <c r="D951" s="50" t="str">
        <f t="shared" si="197"/>
        <v/>
      </c>
      <c r="E951" s="50" t="str">
        <f t="shared" si="198"/>
        <v/>
      </c>
      <c r="F951" s="47" t="str">
        <f>IF(COUNTA(archive!H951:CI951)=0,"",COUNTA(archive!H951:CI951))</f>
        <v/>
      </c>
      <c r="G951" s="47" t="str">
        <f>IF(archive!G951="","",archive!G951)</f>
        <v/>
      </c>
      <c r="H951" s="51" t="str">
        <f>IF(archive!CJ951="","",archive!CJ951)</f>
        <v/>
      </c>
      <c r="I951" s="51" t="str">
        <f>IF(archive!CK951="","",archive!CK951)</f>
        <v/>
      </c>
      <c r="J951" s="47" t="str">
        <f t="shared" si="199"/>
        <v/>
      </c>
      <c r="K951" s="51" t="str">
        <f t="shared" si="200"/>
        <v/>
      </c>
      <c r="L951" s="52" t="str">
        <f t="shared" si="201"/>
        <v/>
      </c>
      <c r="M951" s="53" t="str">
        <f t="shared" si="202"/>
        <v/>
      </c>
      <c r="N951" s="53" t="str">
        <f t="shared" si="203"/>
        <v/>
      </c>
      <c r="O951" s="53" t="str">
        <f t="shared" si="204"/>
        <v/>
      </c>
      <c r="P951" s="53" t="str">
        <f t="shared" si="205"/>
        <v/>
      </c>
      <c r="Q951" s="53" t="str">
        <f t="shared" si="206"/>
        <v/>
      </c>
      <c r="R951" s="53" t="str">
        <f t="shared" si="207"/>
        <v/>
      </c>
      <c r="S951" s="53" t="str">
        <f t="shared" si="208"/>
        <v/>
      </c>
      <c r="T951" s="53" t="str">
        <f t="shared" si="209"/>
        <v/>
      </c>
    </row>
    <row r="952" spans="1:20">
      <c r="A952" s="47" t="str">
        <f>IF(archive!E952="","",archive!E952)</f>
        <v/>
      </c>
      <c r="B952" s="48" t="str">
        <f t="shared" si="196"/>
        <v/>
      </c>
      <c r="C952" s="49" t="str">
        <f>IF(archive!F952="","",archive!F952)</f>
        <v/>
      </c>
      <c r="D952" s="50" t="str">
        <f t="shared" si="197"/>
        <v/>
      </c>
      <c r="E952" s="50" t="str">
        <f t="shared" si="198"/>
        <v/>
      </c>
      <c r="F952" s="47" t="str">
        <f>IF(COUNTA(archive!H952:CI952)=0,"",COUNTA(archive!H952:CI952))</f>
        <v/>
      </c>
      <c r="G952" s="47" t="str">
        <f>IF(archive!G952="","",archive!G952)</f>
        <v/>
      </c>
      <c r="H952" s="51" t="str">
        <f>IF(archive!CJ952="","",archive!CJ952)</f>
        <v/>
      </c>
      <c r="I952" s="51" t="str">
        <f>IF(archive!CK952="","",archive!CK952)</f>
        <v/>
      </c>
      <c r="J952" s="47" t="str">
        <f t="shared" si="199"/>
        <v/>
      </c>
      <c r="K952" s="51" t="str">
        <f t="shared" si="200"/>
        <v/>
      </c>
      <c r="L952" s="52" t="str">
        <f t="shared" si="201"/>
        <v/>
      </c>
      <c r="M952" s="53" t="str">
        <f t="shared" si="202"/>
        <v/>
      </c>
      <c r="N952" s="53" t="str">
        <f t="shared" si="203"/>
        <v/>
      </c>
      <c r="O952" s="53" t="str">
        <f t="shared" si="204"/>
        <v/>
      </c>
      <c r="P952" s="53" t="str">
        <f t="shared" si="205"/>
        <v/>
      </c>
      <c r="Q952" s="53" t="str">
        <f t="shared" si="206"/>
        <v/>
      </c>
      <c r="R952" s="53" t="str">
        <f t="shared" si="207"/>
        <v/>
      </c>
      <c r="S952" s="53" t="str">
        <f t="shared" si="208"/>
        <v/>
      </c>
      <c r="T952" s="53" t="str">
        <f t="shared" si="209"/>
        <v/>
      </c>
    </row>
    <row r="953" spans="1:20">
      <c r="A953" s="47" t="str">
        <f>IF(archive!E953="","",archive!E953)</f>
        <v/>
      </c>
      <c r="B953" s="48" t="str">
        <f t="shared" si="196"/>
        <v/>
      </c>
      <c r="C953" s="49" t="str">
        <f>IF(archive!F953="","",archive!F953)</f>
        <v/>
      </c>
      <c r="D953" s="50" t="str">
        <f t="shared" si="197"/>
        <v/>
      </c>
      <c r="E953" s="50" t="str">
        <f t="shared" si="198"/>
        <v/>
      </c>
      <c r="F953" s="47" t="str">
        <f>IF(COUNTA(archive!H953:CI953)=0,"",COUNTA(archive!H953:CI953))</f>
        <v/>
      </c>
      <c r="G953" s="47" t="str">
        <f>IF(archive!G953="","",archive!G953)</f>
        <v/>
      </c>
      <c r="H953" s="51" t="str">
        <f>IF(archive!CJ953="","",archive!CJ953)</f>
        <v/>
      </c>
      <c r="I953" s="51" t="str">
        <f>IF(archive!CK953="","",archive!CK953)</f>
        <v/>
      </c>
      <c r="J953" s="47" t="str">
        <f t="shared" si="199"/>
        <v/>
      </c>
      <c r="K953" s="51" t="str">
        <f t="shared" si="200"/>
        <v/>
      </c>
      <c r="L953" s="52" t="str">
        <f t="shared" si="201"/>
        <v/>
      </c>
      <c r="M953" s="53" t="str">
        <f t="shared" si="202"/>
        <v/>
      </c>
      <c r="N953" s="53" t="str">
        <f t="shared" si="203"/>
        <v/>
      </c>
      <c r="O953" s="53" t="str">
        <f t="shared" si="204"/>
        <v/>
      </c>
      <c r="P953" s="53" t="str">
        <f t="shared" si="205"/>
        <v/>
      </c>
      <c r="Q953" s="53" t="str">
        <f t="shared" si="206"/>
        <v/>
      </c>
      <c r="R953" s="53" t="str">
        <f t="shared" si="207"/>
        <v/>
      </c>
      <c r="S953" s="53" t="str">
        <f t="shared" si="208"/>
        <v/>
      </c>
      <c r="T953" s="53" t="str">
        <f t="shared" si="209"/>
        <v/>
      </c>
    </row>
    <row r="954" spans="1:20">
      <c r="A954" s="47" t="str">
        <f>IF(archive!E954="","",archive!E954)</f>
        <v/>
      </c>
      <c r="B954" s="48" t="str">
        <f t="shared" si="196"/>
        <v/>
      </c>
      <c r="C954" s="49" t="str">
        <f>IF(archive!F954="","",archive!F954)</f>
        <v/>
      </c>
      <c r="D954" s="50" t="str">
        <f t="shared" si="197"/>
        <v/>
      </c>
      <c r="E954" s="50" t="str">
        <f t="shared" si="198"/>
        <v/>
      </c>
      <c r="F954" s="47" t="str">
        <f>IF(COUNTA(archive!H954:CI954)=0,"",COUNTA(archive!H954:CI954))</f>
        <v/>
      </c>
      <c r="G954" s="47" t="str">
        <f>IF(archive!G954="","",archive!G954)</f>
        <v/>
      </c>
      <c r="H954" s="51" t="str">
        <f>IF(archive!CJ954="","",archive!CJ954)</f>
        <v/>
      </c>
      <c r="I954" s="51" t="str">
        <f>IF(archive!CK954="","",archive!CK954)</f>
        <v/>
      </c>
      <c r="J954" s="47" t="str">
        <f t="shared" si="199"/>
        <v/>
      </c>
      <c r="K954" s="51" t="str">
        <f t="shared" si="200"/>
        <v/>
      </c>
      <c r="L954" s="52" t="str">
        <f t="shared" si="201"/>
        <v/>
      </c>
      <c r="M954" s="53" t="str">
        <f t="shared" si="202"/>
        <v/>
      </c>
      <c r="N954" s="53" t="str">
        <f t="shared" si="203"/>
        <v/>
      </c>
      <c r="O954" s="53" t="str">
        <f t="shared" si="204"/>
        <v/>
      </c>
      <c r="P954" s="53" t="str">
        <f t="shared" si="205"/>
        <v/>
      </c>
      <c r="Q954" s="53" t="str">
        <f t="shared" si="206"/>
        <v/>
      </c>
      <c r="R954" s="53" t="str">
        <f t="shared" si="207"/>
        <v/>
      </c>
      <c r="S954" s="53" t="str">
        <f t="shared" si="208"/>
        <v/>
      </c>
      <c r="T954" s="53" t="str">
        <f t="shared" si="209"/>
        <v/>
      </c>
    </row>
    <row r="955" spans="1:20">
      <c r="A955" s="47" t="str">
        <f>IF(archive!E955="","",archive!E955)</f>
        <v/>
      </c>
      <c r="B955" s="48" t="str">
        <f t="shared" si="196"/>
        <v/>
      </c>
      <c r="C955" s="49" t="str">
        <f>IF(archive!F955="","",archive!F955)</f>
        <v/>
      </c>
      <c r="D955" s="50" t="str">
        <f t="shared" si="197"/>
        <v/>
      </c>
      <c r="E955" s="50" t="str">
        <f t="shared" si="198"/>
        <v/>
      </c>
      <c r="F955" s="47" t="str">
        <f>IF(COUNTA(archive!H955:CI955)=0,"",COUNTA(archive!H955:CI955))</f>
        <v/>
      </c>
      <c r="G955" s="47" t="str">
        <f>IF(archive!G955="","",archive!G955)</f>
        <v/>
      </c>
      <c r="H955" s="51" t="str">
        <f>IF(archive!CJ955="","",archive!CJ955)</f>
        <v/>
      </c>
      <c r="I955" s="51" t="str">
        <f>IF(archive!CK955="","",archive!CK955)</f>
        <v/>
      </c>
      <c r="J955" s="47" t="str">
        <f t="shared" si="199"/>
        <v/>
      </c>
      <c r="K955" s="51" t="str">
        <f t="shared" si="200"/>
        <v/>
      </c>
      <c r="L955" s="52" t="str">
        <f t="shared" si="201"/>
        <v/>
      </c>
      <c r="M955" s="53" t="str">
        <f t="shared" si="202"/>
        <v/>
      </c>
      <c r="N955" s="53" t="str">
        <f t="shared" si="203"/>
        <v/>
      </c>
      <c r="O955" s="53" t="str">
        <f t="shared" si="204"/>
        <v/>
      </c>
      <c r="P955" s="53" t="str">
        <f t="shared" si="205"/>
        <v/>
      </c>
      <c r="Q955" s="53" t="str">
        <f t="shared" si="206"/>
        <v/>
      </c>
      <c r="R955" s="53" t="str">
        <f t="shared" si="207"/>
        <v/>
      </c>
      <c r="S955" s="53" t="str">
        <f t="shared" si="208"/>
        <v/>
      </c>
      <c r="T955" s="53" t="str">
        <f t="shared" si="209"/>
        <v/>
      </c>
    </row>
    <row r="956" spans="1:20">
      <c r="A956" s="47" t="str">
        <f>IF(archive!E956="","",archive!E956)</f>
        <v/>
      </c>
      <c r="B956" s="48" t="str">
        <f t="shared" si="196"/>
        <v/>
      </c>
      <c r="C956" s="49" t="str">
        <f>IF(archive!F956="","",archive!F956)</f>
        <v/>
      </c>
      <c r="D956" s="50" t="str">
        <f t="shared" si="197"/>
        <v/>
      </c>
      <c r="E956" s="50" t="str">
        <f t="shared" si="198"/>
        <v/>
      </c>
      <c r="F956" s="47" t="str">
        <f>IF(COUNTA(archive!H956:CI956)=0,"",COUNTA(archive!H956:CI956))</f>
        <v/>
      </c>
      <c r="G956" s="47" t="str">
        <f>IF(archive!G956="","",archive!G956)</f>
        <v/>
      </c>
      <c r="H956" s="51" t="str">
        <f>IF(archive!CJ956="","",archive!CJ956)</f>
        <v/>
      </c>
      <c r="I956" s="51" t="str">
        <f>IF(archive!CK956="","",archive!CK956)</f>
        <v/>
      </c>
      <c r="J956" s="47" t="str">
        <f t="shared" si="199"/>
        <v/>
      </c>
      <c r="K956" s="51" t="str">
        <f t="shared" si="200"/>
        <v/>
      </c>
      <c r="L956" s="52" t="str">
        <f t="shared" si="201"/>
        <v/>
      </c>
      <c r="M956" s="53" t="str">
        <f t="shared" si="202"/>
        <v/>
      </c>
      <c r="N956" s="53" t="str">
        <f t="shared" si="203"/>
        <v/>
      </c>
      <c r="O956" s="53" t="str">
        <f t="shared" si="204"/>
        <v/>
      </c>
      <c r="P956" s="53" t="str">
        <f t="shared" si="205"/>
        <v/>
      </c>
      <c r="Q956" s="53" t="str">
        <f t="shared" si="206"/>
        <v/>
      </c>
      <c r="R956" s="53" t="str">
        <f t="shared" si="207"/>
        <v/>
      </c>
      <c r="S956" s="53" t="str">
        <f t="shared" si="208"/>
        <v/>
      </c>
      <c r="T956" s="53" t="str">
        <f t="shared" si="209"/>
        <v/>
      </c>
    </row>
    <row r="957" spans="1:20">
      <c r="A957" s="47" t="str">
        <f>IF(archive!E957="","",archive!E957)</f>
        <v/>
      </c>
      <c r="B957" s="48" t="str">
        <f t="shared" si="196"/>
        <v/>
      </c>
      <c r="C957" s="49" t="str">
        <f>IF(archive!F957="","",archive!F957)</f>
        <v/>
      </c>
      <c r="D957" s="50" t="str">
        <f t="shared" si="197"/>
        <v/>
      </c>
      <c r="E957" s="50" t="str">
        <f t="shared" si="198"/>
        <v/>
      </c>
      <c r="F957" s="47" t="str">
        <f>IF(COUNTA(archive!H957:CI957)=0,"",COUNTA(archive!H957:CI957))</f>
        <v/>
      </c>
      <c r="G957" s="47" t="str">
        <f>IF(archive!G957="","",archive!G957)</f>
        <v/>
      </c>
      <c r="H957" s="51" t="str">
        <f>IF(archive!CJ957="","",archive!CJ957)</f>
        <v/>
      </c>
      <c r="I957" s="51" t="str">
        <f>IF(archive!CK957="","",archive!CK957)</f>
        <v/>
      </c>
      <c r="J957" s="47" t="str">
        <f t="shared" si="199"/>
        <v/>
      </c>
      <c r="K957" s="51" t="str">
        <f t="shared" si="200"/>
        <v/>
      </c>
      <c r="L957" s="52" t="str">
        <f t="shared" si="201"/>
        <v/>
      </c>
      <c r="M957" s="53" t="str">
        <f t="shared" si="202"/>
        <v/>
      </c>
      <c r="N957" s="53" t="str">
        <f t="shared" si="203"/>
        <v/>
      </c>
      <c r="O957" s="53" t="str">
        <f t="shared" si="204"/>
        <v/>
      </c>
      <c r="P957" s="53" t="str">
        <f t="shared" si="205"/>
        <v/>
      </c>
      <c r="Q957" s="53" t="str">
        <f t="shared" si="206"/>
        <v/>
      </c>
      <c r="R957" s="53" t="str">
        <f t="shared" si="207"/>
        <v/>
      </c>
      <c r="S957" s="53" t="str">
        <f t="shared" si="208"/>
        <v/>
      </c>
      <c r="T957" s="53" t="str">
        <f t="shared" si="209"/>
        <v/>
      </c>
    </row>
    <row r="958" spans="1:20">
      <c r="A958" s="47" t="str">
        <f>IF(archive!E958="","",archive!E958)</f>
        <v/>
      </c>
      <c r="B958" s="48" t="str">
        <f t="shared" si="196"/>
        <v/>
      </c>
      <c r="C958" s="49" t="str">
        <f>IF(archive!F958="","",archive!F958)</f>
        <v/>
      </c>
      <c r="D958" s="50" t="str">
        <f t="shared" si="197"/>
        <v/>
      </c>
      <c r="E958" s="50" t="str">
        <f t="shared" si="198"/>
        <v/>
      </c>
      <c r="F958" s="47" t="str">
        <f>IF(COUNTA(archive!H958:CI958)=0,"",COUNTA(archive!H958:CI958))</f>
        <v/>
      </c>
      <c r="G958" s="47" t="str">
        <f>IF(archive!G958="","",archive!G958)</f>
        <v/>
      </c>
      <c r="H958" s="51" t="str">
        <f>IF(archive!CJ958="","",archive!CJ958)</f>
        <v/>
      </c>
      <c r="I958" s="51" t="str">
        <f>IF(archive!CK958="","",archive!CK958)</f>
        <v/>
      </c>
      <c r="J958" s="47" t="str">
        <f t="shared" si="199"/>
        <v/>
      </c>
      <c r="K958" s="51" t="str">
        <f t="shared" si="200"/>
        <v/>
      </c>
      <c r="L958" s="52" t="str">
        <f t="shared" si="201"/>
        <v/>
      </c>
      <c r="M958" s="53" t="str">
        <f t="shared" si="202"/>
        <v/>
      </c>
      <c r="N958" s="53" t="str">
        <f t="shared" si="203"/>
        <v/>
      </c>
      <c r="O958" s="53" t="str">
        <f t="shared" si="204"/>
        <v/>
      </c>
      <c r="P958" s="53" t="str">
        <f t="shared" si="205"/>
        <v/>
      </c>
      <c r="Q958" s="53" t="str">
        <f t="shared" si="206"/>
        <v/>
      </c>
      <c r="R958" s="53" t="str">
        <f t="shared" si="207"/>
        <v/>
      </c>
      <c r="S958" s="53" t="str">
        <f t="shared" si="208"/>
        <v/>
      </c>
      <c r="T958" s="53" t="str">
        <f t="shared" si="209"/>
        <v/>
      </c>
    </row>
    <row r="959" spans="1:20">
      <c r="A959" s="47" t="str">
        <f>IF(archive!E959="","",archive!E959)</f>
        <v/>
      </c>
      <c r="B959" s="48" t="str">
        <f t="shared" si="196"/>
        <v/>
      </c>
      <c r="C959" s="49" t="str">
        <f>IF(archive!F959="","",archive!F959)</f>
        <v/>
      </c>
      <c r="D959" s="50" t="str">
        <f t="shared" si="197"/>
        <v/>
      </c>
      <c r="E959" s="50" t="str">
        <f t="shared" si="198"/>
        <v/>
      </c>
      <c r="F959" s="47" t="str">
        <f>IF(COUNTA(archive!H959:CI959)=0,"",COUNTA(archive!H959:CI959))</f>
        <v/>
      </c>
      <c r="G959" s="47" t="str">
        <f>IF(archive!G959="","",archive!G959)</f>
        <v/>
      </c>
      <c r="H959" s="51" t="str">
        <f>IF(archive!CJ959="","",archive!CJ959)</f>
        <v/>
      </c>
      <c r="I959" s="51" t="str">
        <f>IF(archive!CK959="","",archive!CK959)</f>
        <v/>
      </c>
      <c r="J959" s="47" t="str">
        <f t="shared" si="199"/>
        <v/>
      </c>
      <c r="K959" s="51" t="str">
        <f t="shared" si="200"/>
        <v/>
      </c>
      <c r="L959" s="52" t="str">
        <f t="shared" si="201"/>
        <v/>
      </c>
      <c r="M959" s="53" t="str">
        <f t="shared" si="202"/>
        <v/>
      </c>
      <c r="N959" s="53" t="str">
        <f t="shared" si="203"/>
        <v/>
      </c>
      <c r="O959" s="53" t="str">
        <f t="shared" si="204"/>
        <v/>
      </c>
      <c r="P959" s="53" t="str">
        <f t="shared" si="205"/>
        <v/>
      </c>
      <c r="Q959" s="53" t="str">
        <f t="shared" si="206"/>
        <v/>
      </c>
      <c r="R959" s="53" t="str">
        <f t="shared" si="207"/>
        <v/>
      </c>
      <c r="S959" s="53" t="str">
        <f t="shared" si="208"/>
        <v/>
      </c>
      <c r="T959" s="53" t="str">
        <f t="shared" si="209"/>
        <v/>
      </c>
    </row>
    <row r="960" spans="1:20">
      <c r="A960" s="47" t="str">
        <f>IF(archive!E960="","",archive!E960)</f>
        <v/>
      </c>
      <c r="B960" s="48" t="str">
        <f t="shared" si="196"/>
        <v/>
      </c>
      <c r="C960" s="49" t="str">
        <f>IF(archive!F960="","",archive!F960)</f>
        <v/>
      </c>
      <c r="D960" s="50" t="str">
        <f t="shared" si="197"/>
        <v/>
      </c>
      <c r="E960" s="50" t="str">
        <f t="shared" si="198"/>
        <v/>
      </c>
      <c r="F960" s="47" t="str">
        <f>IF(COUNTA(archive!H960:CI960)=0,"",COUNTA(archive!H960:CI960))</f>
        <v/>
      </c>
      <c r="G960" s="47" t="str">
        <f>IF(archive!G960="","",archive!G960)</f>
        <v/>
      </c>
      <c r="H960" s="51" t="str">
        <f>IF(archive!CJ960="","",archive!CJ960)</f>
        <v/>
      </c>
      <c r="I960" s="51" t="str">
        <f>IF(archive!CK960="","",archive!CK960)</f>
        <v/>
      </c>
      <c r="J960" s="47" t="str">
        <f t="shared" si="199"/>
        <v/>
      </c>
      <c r="K960" s="51" t="str">
        <f t="shared" si="200"/>
        <v/>
      </c>
      <c r="L960" s="52" t="str">
        <f t="shared" si="201"/>
        <v/>
      </c>
      <c r="M960" s="53" t="str">
        <f t="shared" si="202"/>
        <v/>
      </c>
      <c r="N960" s="53" t="str">
        <f t="shared" si="203"/>
        <v/>
      </c>
      <c r="O960" s="53" t="str">
        <f t="shared" si="204"/>
        <v/>
      </c>
      <c r="P960" s="53" t="str">
        <f t="shared" si="205"/>
        <v/>
      </c>
      <c r="Q960" s="53" t="str">
        <f t="shared" si="206"/>
        <v/>
      </c>
      <c r="R960" s="53" t="str">
        <f t="shared" si="207"/>
        <v/>
      </c>
      <c r="S960" s="53" t="str">
        <f t="shared" si="208"/>
        <v/>
      </c>
      <c r="T960" s="53" t="str">
        <f t="shared" si="209"/>
        <v/>
      </c>
    </row>
    <row r="961" spans="1:20">
      <c r="A961" s="47" t="str">
        <f>IF(archive!E961="","",archive!E961)</f>
        <v/>
      </c>
      <c r="B961" s="48" t="str">
        <f t="shared" si="196"/>
        <v/>
      </c>
      <c r="C961" s="49" t="str">
        <f>IF(archive!F961="","",archive!F961)</f>
        <v/>
      </c>
      <c r="D961" s="50" t="str">
        <f t="shared" si="197"/>
        <v/>
      </c>
      <c r="E961" s="50" t="str">
        <f t="shared" si="198"/>
        <v/>
      </c>
      <c r="F961" s="47" t="str">
        <f>IF(COUNTA(archive!H961:CI961)=0,"",COUNTA(archive!H961:CI961))</f>
        <v/>
      </c>
      <c r="G961" s="47" t="str">
        <f>IF(archive!G961="","",archive!G961)</f>
        <v/>
      </c>
      <c r="H961" s="51" t="str">
        <f>IF(archive!CJ961="","",archive!CJ961)</f>
        <v/>
      </c>
      <c r="I961" s="51" t="str">
        <f>IF(archive!CK961="","",archive!CK961)</f>
        <v/>
      </c>
      <c r="J961" s="47" t="str">
        <f t="shared" si="199"/>
        <v/>
      </c>
      <c r="K961" s="51" t="str">
        <f t="shared" si="200"/>
        <v/>
      </c>
      <c r="L961" s="52" t="str">
        <f t="shared" si="201"/>
        <v/>
      </c>
      <c r="M961" s="53" t="str">
        <f t="shared" si="202"/>
        <v/>
      </c>
      <c r="N961" s="53" t="str">
        <f t="shared" si="203"/>
        <v/>
      </c>
      <c r="O961" s="53" t="str">
        <f t="shared" si="204"/>
        <v/>
      </c>
      <c r="P961" s="53" t="str">
        <f t="shared" si="205"/>
        <v/>
      </c>
      <c r="Q961" s="53" t="str">
        <f t="shared" si="206"/>
        <v/>
      </c>
      <c r="R961" s="53" t="str">
        <f t="shared" si="207"/>
        <v/>
      </c>
      <c r="S961" s="53" t="str">
        <f t="shared" si="208"/>
        <v/>
      </c>
      <c r="T961" s="53" t="str">
        <f t="shared" si="209"/>
        <v/>
      </c>
    </row>
    <row r="962" spans="1:20">
      <c r="A962" s="47" t="str">
        <f>IF(archive!E962="","",archive!E962)</f>
        <v/>
      </c>
      <c r="B962" s="48" t="str">
        <f t="shared" si="196"/>
        <v/>
      </c>
      <c r="C962" s="49" t="str">
        <f>IF(archive!F962="","",archive!F962)</f>
        <v/>
      </c>
      <c r="D962" s="50" t="str">
        <f t="shared" si="197"/>
        <v/>
      </c>
      <c r="E962" s="50" t="str">
        <f t="shared" si="198"/>
        <v/>
      </c>
      <c r="F962" s="47" t="str">
        <f>IF(COUNTA(archive!H962:CI962)=0,"",COUNTA(archive!H962:CI962))</f>
        <v/>
      </c>
      <c r="G962" s="47" t="str">
        <f>IF(archive!G962="","",archive!G962)</f>
        <v/>
      </c>
      <c r="H962" s="51" t="str">
        <f>IF(archive!CJ962="","",archive!CJ962)</f>
        <v/>
      </c>
      <c r="I962" s="51" t="str">
        <f>IF(archive!CK962="","",archive!CK962)</f>
        <v/>
      </c>
      <c r="J962" s="47" t="str">
        <f t="shared" si="199"/>
        <v/>
      </c>
      <c r="K962" s="51" t="str">
        <f t="shared" si="200"/>
        <v/>
      </c>
      <c r="L962" s="52" t="str">
        <f t="shared" si="201"/>
        <v/>
      </c>
      <c r="M962" s="53" t="str">
        <f t="shared" si="202"/>
        <v/>
      </c>
      <c r="N962" s="53" t="str">
        <f t="shared" si="203"/>
        <v/>
      </c>
      <c r="O962" s="53" t="str">
        <f t="shared" si="204"/>
        <v/>
      </c>
      <c r="P962" s="53" t="str">
        <f t="shared" si="205"/>
        <v/>
      </c>
      <c r="Q962" s="53" t="str">
        <f t="shared" si="206"/>
        <v/>
      </c>
      <c r="R962" s="53" t="str">
        <f t="shared" si="207"/>
        <v/>
      </c>
      <c r="S962" s="53" t="str">
        <f t="shared" si="208"/>
        <v/>
      </c>
      <c r="T962" s="53" t="str">
        <f t="shared" si="209"/>
        <v/>
      </c>
    </row>
    <row r="963" spans="1:20">
      <c r="A963" s="47" t="str">
        <f>IF(archive!E963="","",archive!E963)</f>
        <v/>
      </c>
      <c r="B963" s="48" t="str">
        <f t="shared" si="196"/>
        <v/>
      </c>
      <c r="C963" s="49" t="str">
        <f>IF(archive!F963="","",archive!F963)</f>
        <v/>
      </c>
      <c r="D963" s="50" t="str">
        <f t="shared" si="197"/>
        <v/>
      </c>
      <c r="E963" s="50" t="str">
        <f t="shared" si="198"/>
        <v/>
      </c>
      <c r="F963" s="47" t="str">
        <f>IF(COUNTA(archive!H963:CI963)=0,"",COUNTA(archive!H963:CI963))</f>
        <v/>
      </c>
      <c r="G963" s="47" t="str">
        <f>IF(archive!G963="","",archive!G963)</f>
        <v/>
      </c>
      <c r="H963" s="51" t="str">
        <f>IF(archive!CJ963="","",archive!CJ963)</f>
        <v/>
      </c>
      <c r="I963" s="51" t="str">
        <f>IF(archive!CK963="","",archive!CK963)</f>
        <v/>
      </c>
      <c r="J963" s="47" t="str">
        <f t="shared" si="199"/>
        <v/>
      </c>
      <c r="K963" s="51" t="str">
        <f t="shared" si="200"/>
        <v/>
      </c>
      <c r="L963" s="52" t="str">
        <f t="shared" si="201"/>
        <v/>
      </c>
      <c r="M963" s="53" t="str">
        <f t="shared" si="202"/>
        <v/>
      </c>
      <c r="N963" s="53" t="str">
        <f t="shared" si="203"/>
        <v/>
      </c>
      <c r="O963" s="53" t="str">
        <f t="shared" si="204"/>
        <v/>
      </c>
      <c r="P963" s="53" t="str">
        <f t="shared" si="205"/>
        <v/>
      </c>
      <c r="Q963" s="53" t="str">
        <f t="shared" si="206"/>
        <v/>
      </c>
      <c r="R963" s="53" t="str">
        <f t="shared" si="207"/>
        <v/>
      </c>
      <c r="S963" s="53" t="str">
        <f t="shared" si="208"/>
        <v/>
      </c>
      <c r="T963" s="53" t="str">
        <f t="shared" si="209"/>
        <v/>
      </c>
    </row>
    <row r="964" spans="1:20">
      <c r="A964" s="47" t="str">
        <f>IF(archive!E964="","",archive!E964)</f>
        <v/>
      </c>
      <c r="B964" s="48" t="str">
        <f t="shared" ref="B964:B1027" si="210">IF(C964="","",VLOOKUP($C964,Tare,2,0))</f>
        <v/>
      </c>
      <c r="C964" s="49" t="str">
        <f>IF(archive!F964="","",archive!F964)</f>
        <v/>
      </c>
      <c r="D964" s="50" t="str">
        <f t="shared" ref="D964:D1027" si="211">IF(C964="","",C964+B964)</f>
        <v/>
      </c>
      <c r="E964" s="50" t="str">
        <f t="shared" ref="E964:E1027" si="212">IF(C964="","",(C964*0.025)+D964)</f>
        <v/>
      </c>
      <c r="F964" s="47" t="str">
        <f>IF(COUNTA(archive!H964:CI964)=0,"",COUNTA(archive!H964:CI964))</f>
        <v/>
      </c>
      <c r="G964" s="47" t="str">
        <f>IF(archive!G964="","",archive!G964)</f>
        <v/>
      </c>
      <c r="H964" s="51" t="str">
        <f>IF(archive!CJ964="","",archive!CJ964)</f>
        <v/>
      </c>
      <c r="I964" s="51" t="str">
        <f>IF(archive!CK964="","",archive!CK964)</f>
        <v/>
      </c>
      <c r="J964" s="47" t="str">
        <f t="shared" ref="J964:J1027" si="213">IF(F964="","",VLOOKUP(F964,Valeur_g,2,0))</f>
        <v/>
      </c>
      <c r="K964" s="51" t="str">
        <f t="shared" ref="K964:K1027" si="214">IF(C964="","",D964+(J964*I964))</f>
        <v/>
      </c>
      <c r="L964" s="52" t="str">
        <f t="shared" ref="L964:L1027" si="215">IF(C964="","",IF(K964&lt;H964,"Conforme","Non conforme"))</f>
        <v/>
      </c>
      <c r="M964" s="53" t="str">
        <f t="shared" ref="M964:M1027" si="216">IF(C964="","",1)</f>
        <v/>
      </c>
      <c r="N964" s="53" t="str">
        <f t="shared" ref="N964:N1027" si="217">IF(L964="","",COUNTIF(L964,"Non conforme"))</f>
        <v/>
      </c>
      <c r="O964" s="53" t="str">
        <f t="shared" ref="O964:O1027" si="218">IF($C964="","",IF($C964=0.25,$G964,"-"))</f>
        <v/>
      </c>
      <c r="P964" s="53" t="str">
        <f t="shared" ref="P964:P1027" si="219">IF($C964="","",IF($C964=0.4,$G964,"-"))</f>
        <v/>
      </c>
      <c r="Q964" s="53" t="str">
        <f t="shared" ref="Q964:Q1027" si="220">IF($C964="","",IF($C964=0.5,$G964,"-"))</f>
        <v/>
      </c>
      <c r="R964" s="53" t="str">
        <f t="shared" ref="R964:R1027" si="221">IF($C964="","",IF($C964=0.6,$G964,"-"))</f>
        <v/>
      </c>
      <c r="S964" s="53" t="str">
        <f t="shared" ref="S964:S1027" si="222">IF($C964="","",IF($C964=0.8,$G964,"-"))</f>
        <v/>
      </c>
      <c r="T964" s="53" t="str">
        <f t="shared" ref="T964:T1027" si="223">IF($C964="","",IF($C964=1,$G964,"-"))</f>
        <v/>
      </c>
    </row>
    <row r="965" spans="1:20">
      <c r="A965" s="47" t="str">
        <f>IF(archive!E965="","",archive!E965)</f>
        <v/>
      </c>
      <c r="B965" s="48" t="str">
        <f t="shared" si="210"/>
        <v/>
      </c>
      <c r="C965" s="49" t="str">
        <f>IF(archive!F965="","",archive!F965)</f>
        <v/>
      </c>
      <c r="D965" s="50" t="str">
        <f t="shared" si="211"/>
        <v/>
      </c>
      <c r="E965" s="50" t="str">
        <f t="shared" si="212"/>
        <v/>
      </c>
      <c r="F965" s="47" t="str">
        <f>IF(COUNTA(archive!H965:CI965)=0,"",COUNTA(archive!H965:CI965))</f>
        <v/>
      </c>
      <c r="G965" s="47" t="str">
        <f>IF(archive!G965="","",archive!G965)</f>
        <v/>
      </c>
      <c r="H965" s="51" t="str">
        <f>IF(archive!CJ965="","",archive!CJ965)</f>
        <v/>
      </c>
      <c r="I965" s="51" t="str">
        <f>IF(archive!CK965="","",archive!CK965)</f>
        <v/>
      </c>
      <c r="J965" s="47" t="str">
        <f t="shared" si="213"/>
        <v/>
      </c>
      <c r="K965" s="51" t="str">
        <f t="shared" si="214"/>
        <v/>
      </c>
      <c r="L965" s="52" t="str">
        <f t="shared" si="215"/>
        <v/>
      </c>
      <c r="M965" s="53" t="str">
        <f t="shared" si="216"/>
        <v/>
      </c>
      <c r="N965" s="53" t="str">
        <f t="shared" si="217"/>
        <v/>
      </c>
      <c r="O965" s="53" t="str">
        <f t="shared" si="218"/>
        <v/>
      </c>
      <c r="P965" s="53" t="str">
        <f t="shared" si="219"/>
        <v/>
      </c>
      <c r="Q965" s="53" t="str">
        <f t="shared" si="220"/>
        <v/>
      </c>
      <c r="R965" s="53" t="str">
        <f t="shared" si="221"/>
        <v/>
      </c>
      <c r="S965" s="53" t="str">
        <f t="shared" si="222"/>
        <v/>
      </c>
      <c r="T965" s="53" t="str">
        <f t="shared" si="223"/>
        <v/>
      </c>
    </row>
    <row r="966" spans="1:20">
      <c r="A966" s="47" t="str">
        <f>IF(archive!E966="","",archive!E966)</f>
        <v/>
      </c>
      <c r="B966" s="48" t="str">
        <f t="shared" si="210"/>
        <v/>
      </c>
      <c r="C966" s="49" t="str">
        <f>IF(archive!F966="","",archive!F966)</f>
        <v/>
      </c>
      <c r="D966" s="50" t="str">
        <f t="shared" si="211"/>
        <v/>
      </c>
      <c r="E966" s="50" t="str">
        <f t="shared" si="212"/>
        <v/>
      </c>
      <c r="F966" s="47" t="str">
        <f>IF(COUNTA(archive!H966:CI966)=0,"",COUNTA(archive!H966:CI966))</f>
        <v/>
      </c>
      <c r="G966" s="47" t="str">
        <f>IF(archive!G966="","",archive!G966)</f>
        <v/>
      </c>
      <c r="H966" s="51" t="str">
        <f>IF(archive!CJ966="","",archive!CJ966)</f>
        <v/>
      </c>
      <c r="I966" s="51" t="str">
        <f>IF(archive!CK966="","",archive!CK966)</f>
        <v/>
      </c>
      <c r="J966" s="47" t="str">
        <f t="shared" si="213"/>
        <v/>
      </c>
      <c r="K966" s="51" t="str">
        <f t="shared" si="214"/>
        <v/>
      </c>
      <c r="L966" s="52" t="str">
        <f t="shared" si="215"/>
        <v/>
      </c>
      <c r="M966" s="53" t="str">
        <f t="shared" si="216"/>
        <v/>
      </c>
      <c r="N966" s="53" t="str">
        <f t="shared" si="217"/>
        <v/>
      </c>
      <c r="O966" s="53" t="str">
        <f t="shared" si="218"/>
        <v/>
      </c>
      <c r="P966" s="53" t="str">
        <f t="shared" si="219"/>
        <v/>
      </c>
      <c r="Q966" s="53" t="str">
        <f t="shared" si="220"/>
        <v/>
      </c>
      <c r="R966" s="53" t="str">
        <f t="shared" si="221"/>
        <v/>
      </c>
      <c r="S966" s="53" t="str">
        <f t="shared" si="222"/>
        <v/>
      </c>
      <c r="T966" s="53" t="str">
        <f t="shared" si="223"/>
        <v/>
      </c>
    </row>
    <row r="967" spans="1:20">
      <c r="A967" s="47" t="str">
        <f>IF(archive!E967="","",archive!E967)</f>
        <v/>
      </c>
      <c r="B967" s="48" t="str">
        <f t="shared" si="210"/>
        <v/>
      </c>
      <c r="C967" s="49" t="str">
        <f>IF(archive!F967="","",archive!F967)</f>
        <v/>
      </c>
      <c r="D967" s="50" t="str">
        <f t="shared" si="211"/>
        <v/>
      </c>
      <c r="E967" s="50" t="str">
        <f t="shared" si="212"/>
        <v/>
      </c>
      <c r="F967" s="47" t="str">
        <f>IF(COUNTA(archive!H967:CI967)=0,"",COUNTA(archive!H967:CI967))</f>
        <v/>
      </c>
      <c r="G967" s="47" t="str">
        <f>IF(archive!G967="","",archive!G967)</f>
        <v/>
      </c>
      <c r="H967" s="51" t="str">
        <f>IF(archive!CJ967="","",archive!CJ967)</f>
        <v/>
      </c>
      <c r="I967" s="51" t="str">
        <f>IF(archive!CK967="","",archive!CK967)</f>
        <v/>
      </c>
      <c r="J967" s="47" t="str">
        <f t="shared" si="213"/>
        <v/>
      </c>
      <c r="K967" s="51" t="str">
        <f t="shared" si="214"/>
        <v/>
      </c>
      <c r="L967" s="52" t="str">
        <f t="shared" si="215"/>
        <v/>
      </c>
      <c r="M967" s="53" t="str">
        <f t="shared" si="216"/>
        <v/>
      </c>
      <c r="N967" s="53" t="str">
        <f t="shared" si="217"/>
        <v/>
      </c>
      <c r="O967" s="53" t="str">
        <f t="shared" si="218"/>
        <v/>
      </c>
      <c r="P967" s="53" t="str">
        <f t="shared" si="219"/>
        <v/>
      </c>
      <c r="Q967" s="53" t="str">
        <f t="shared" si="220"/>
        <v/>
      </c>
      <c r="R967" s="53" t="str">
        <f t="shared" si="221"/>
        <v/>
      </c>
      <c r="S967" s="53" t="str">
        <f t="shared" si="222"/>
        <v/>
      </c>
      <c r="T967" s="53" t="str">
        <f t="shared" si="223"/>
        <v/>
      </c>
    </row>
    <row r="968" spans="1:20">
      <c r="A968" s="47" t="str">
        <f>IF(archive!E968="","",archive!E968)</f>
        <v/>
      </c>
      <c r="B968" s="48" t="str">
        <f t="shared" si="210"/>
        <v/>
      </c>
      <c r="C968" s="49" t="str">
        <f>IF(archive!F968="","",archive!F968)</f>
        <v/>
      </c>
      <c r="D968" s="50" t="str">
        <f t="shared" si="211"/>
        <v/>
      </c>
      <c r="E968" s="50" t="str">
        <f t="shared" si="212"/>
        <v/>
      </c>
      <c r="F968" s="47" t="str">
        <f>IF(COUNTA(archive!H968:CI968)=0,"",COUNTA(archive!H968:CI968))</f>
        <v/>
      </c>
      <c r="G968" s="47" t="str">
        <f>IF(archive!G968="","",archive!G968)</f>
        <v/>
      </c>
      <c r="H968" s="51" t="str">
        <f>IF(archive!CJ968="","",archive!CJ968)</f>
        <v/>
      </c>
      <c r="I968" s="51" t="str">
        <f>IF(archive!CK968="","",archive!CK968)</f>
        <v/>
      </c>
      <c r="J968" s="47" t="str">
        <f t="shared" si="213"/>
        <v/>
      </c>
      <c r="K968" s="51" t="str">
        <f t="shared" si="214"/>
        <v/>
      </c>
      <c r="L968" s="52" t="str">
        <f t="shared" si="215"/>
        <v/>
      </c>
      <c r="M968" s="53" t="str">
        <f t="shared" si="216"/>
        <v/>
      </c>
      <c r="N968" s="53" t="str">
        <f t="shared" si="217"/>
        <v/>
      </c>
      <c r="O968" s="53" t="str">
        <f t="shared" si="218"/>
        <v/>
      </c>
      <c r="P968" s="53" t="str">
        <f t="shared" si="219"/>
        <v/>
      </c>
      <c r="Q968" s="53" t="str">
        <f t="shared" si="220"/>
        <v/>
      </c>
      <c r="R968" s="53" t="str">
        <f t="shared" si="221"/>
        <v/>
      </c>
      <c r="S968" s="53" t="str">
        <f t="shared" si="222"/>
        <v/>
      </c>
      <c r="T968" s="53" t="str">
        <f t="shared" si="223"/>
        <v/>
      </c>
    </row>
    <row r="969" spans="1:20">
      <c r="A969" s="47" t="str">
        <f>IF(archive!E969="","",archive!E969)</f>
        <v/>
      </c>
      <c r="B969" s="48" t="str">
        <f t="shared" si="210"/>
        <v/>
      </c>
      <c r="C969" s="49" t="str">
        <f>IF(archive!F969="","",archive!F969)</f>
        <v/>
      </c>
      <c r="D969" s="50" t="str">
        <f t="shared" si="211"/>
        <v/>
      </c>
      <c r="E969" s="50" t="str">
        <f t="shared" si="212"/>
        <v/>
      </c>
      <c r="F969" s="47" t="str">
        <f>IF(COUNTA(archive!H969:CI969)=0,"",COUNTA(archive!H969:CI969))</f>
        <v/>
      </c>
      <c r="G969" s="47" t="str">
        <f>IF(archive!G969="","",archive!G969)</f>
        <v/>
      </c>
      <c r="H969" s="51" t="str">
        <f>IF(archive!CJ969="","",archive!CJ969)</f>
        <v/>
      </c>
      <c r="I969" s="51" t="str">
        <f>IF(archive!CK969="","",archive!CK969)</f>
        <v/>
      </c>
      <c r="J969" s="47" t="str">
        <f t="shared" si="213"/>
        <v/>
      </c>
      <c r="K969" s="51" t="str">
        <f t="shared" si="214"/>
        <v/>
      </c>
      <c r="L969" s="52" t="str">
        <f t="shared" si="215"/>
        <v/>
      </c>
      <c r="M969" s="53" t="str">
        <f t="shared" si="216"/>
        <v/>
      </c>
      <c r="N969" s="53" t="str">
        <f t="shared" si="217"/>
        <v/>
      </c>
      <c r="O969" s="53" t="str">
        <f t="shared" si="218"/>
        <v/>
      </c>
      <c r="P969" s="53" t="str">
        <f t="shared" si="219"/>
        <v/>
      </c>
      <c r="Q969" s="53" t="str">
        <f t="shared" si="220"/>
        <v/>
      </c>
      <c r="R969" s="53" t="str">
        <f t="shared" si="221"/>
        <v/>
      </c>
      <c r="S969" s="53" t="str">
        <f t="shared" si="222"/>
        <v/>
      </c>
      <c r="T969" s="53" t="str">
        <f t="shared" si="223"/>
        <v/>
      </c>
    </row>
    <row r="970" spans="1:20">
      <c r="A970" s="47" t="str">
        <f>IF(archive!E970="","",archive!E970)</f>
        <v/>
      </c>
      <c r="B970" s="48" t="str">
        <f t="shared" si="210"/>
        <v/>
      </c>
      <c r="C970" s="49" t="str">
        <f>IF(archive!F970="","",archive!F970)</f>
        <v/>
      </c>
      <c r="D970" s="50" t="str">
        <f t="shared" si="211"/>
        <v/>
      </c>
      <c r="E970" s="50" t="str">
        <f t="shared" si="212"/>
        <v/>
      </c>
      <c r="F970" s="47" t="str">
        <f>IF(COUNTA(archive!H970:CI970)=0,"",COUNTA(archive!H970:CI970))</f>
        <v/>
      </c>
      <c r="G970" s="47" t="str">
        <f>IF(archive!G970="","",archive!G970)</f>
        <v/>
      </c>
      <c r="H970" s="51" t="str">
        <f>IF(archive!CJ970="","",archive!CJ970)</f>
        <v/>
      </c>
      <c r="I970" s="51" t="str">
        <f>IF(archive!CK970="","",archive!CK970)</f>
        <v/>
      </c>
      <c r="J970" s="47" t="str">
        <f t="shared" si="213"/>
        <v/>
      </c>
      <c r="K970" s="51" t="str">
        <f t="shared" si="214"/>
        <v/>
      </c>
      <c r="L970" s="52" t="str">
        <f t="shared" si="215"/>
        <v/>
      </c>
      <c r="M970" s="53" t="str">
        <f t="shared" si="216"/>
        <v/>
      </c>
      <c r="N970" s="53" t="str">
        <f t="shared" si="217"/>
        <v/>
      </c>
      <c r="O970" s="53" t="str">
        <f t="shared" si="218"/>
        <v/>
      </c>
      <c r="P970" s="53" t="str">
        <f t="shared" si="219"/>
        <v/>
      </c>
      <c r="Q970" s="53" t="str">
        <f t="shared" si="220"/>
        <v/>
      </c>
      <c r="R970" s="53" t="str">
        <f t="shared" si="221"/>
        <v/>
      </c>
      <c r="S970" s="53" t="str">
        <f t="shared" si="222"/>
        <v/>
      </c>
      <c r="T970" s="53" t="str">
        <f t="shared" si="223"/>
        <v/>
      </c>
    </row>
    <row r="971" spans="1:20">
      <c r="A971" s="47" t="str">
        <f>IF(archive!E971="","",archive!E971)</f>
        <v/>
      </c>
      <c r="B971" s="48" t="str">
        <f t="shared" si="210"/>
        <v/>
      </c>
      <c r="C971" s="49" t="str">
        <f>IF(archive!F971="","",archive!F971)</f>
        <v/>
      </c>
      <c r="D971" s="50" t="str">
        <f t="shared" si="211"/>
        <v/>
      </c>
      <c r="E971" s="50" t="str">
        <f t="shared" si="212"/>
        <v/>
      </c>
      <c r="F971" s="47" t="str">
        <f>IF(COUNTA(archive!H971:CI971)=0,"",COUNTA(archive!H971:CI971))</f>
        <v/>
      </c>
      <c r="G971" s="47" t="str">
        <f>IF(archive!G971="","",archive!G971)</f>
        <v/>
      </c>
      <c r="H971" s="51" t="str">
        <f>IF(archive!CJ971="","",archive!CJ971)</f>
        <v/>
      </c>
      <c r="I971" s="51" t="str">
        <f>IF(archive!CK971="","",archive!CK971)</f>
        <v/>
      </c>
      <c r="J971" s="47" t="str">
        <f t="shared" si="213"/>
        <v/>
      </c>
      <c r="K971" s="51" t="str">
        <f t="shared" si="214"/>
        <v/>
      </c>
      <c r="L971" s="52" t="str">
        <f t="shared" si="215"/>
        <v/>
      </c>
      <c r="M971" s="53" t="str">
        <f t="shared" si="216"/>
        <v/>
      </c>
      <c r="N971" s="53" t="str">
        <f t="shared" si="217"/>
        <v/>
      </c>
      <c r="O971" s="53" t="str">
        <f t="shared" si="218"/>
        <v/>
      </c>
      <c r="P971" s="53" t="str">
        <f t="shared" si="219"/>
        <v/>
      </c>
      <c r="Q971" s="53" t="str">
        <f t="shared" si="220"/>
        <v/>
      </c>
      <c r="R971" s="53" t="str">
        <f t="shared" si="221"/>
        <v/>
      </c>
      <c r="S971" s="53" t="str">
        <f t="shared" si="222"/>
        <v/>
      </c>
      <c r="T971" s="53" t="str">
        <f t="shared" si="223"/>
        <v/>
      </c>
    </row>
    <row r="972" spans="1:20">
      <c r="A972" s="47" t="str">
        <f>IF(archive!E972="","",archive!E972)</f>
        <v/>
      </c>
      <c r="B972" s="48" t="str">
        <f t="shared" si="210"/>
        <v/>
      </c>
      <c r="C972" s="49" t="str">
        <f>IF(archive!F972="","",archive!F972)</f>
        <v/>
      </c>
      <c r="D972" s="50" t="str">
        <f t="shared" si="211"/>
        <v/>
      </c>
      <c r="E972" s="50" t="str">
        <f t="shared" si="212"/>
        <v/>
      </c>
      <c r="F972" s="47" t="str">
        <f>IF(COUNTA(archive!H972:CI972)=0,"",COUNTA(archive!H972:CI972))</f>
        <v/>
      </c>
      <c r="G972" s="47" t="str">
        <f>IF(archive!G972="","",archive!G972)</f>
        <v/>
      </c>
      <c r="H972" s="51" t="str">
        <f>IF(archive!CJ972="","",archive!CJ972)</f>
        <v/>
      </c>
      <c r="I972" s="51" t="str">
        <f>IF(archive!CK972="","",archive!CK972)</f>
        <v/>
      </c>
      <c r="J972" s="47" t="str">
        <f t="shared" si="213"/>
        <v/>
      </c>
      <c r="K972" s="51" t="str">
        <f t="shared" si="214"/>
        <v/>
      </c>
      <c r="L972" s="52" t="str">
        <f t="shared" si="215"/>
        <v/>
      </c>
      <c r="M972" s="53" t="str">
        <f t="shared" si="216"/>
        <v/>
      </c>
      <c r="N972" s="53" t="str">
        <f t="shared" si="217"/>
        <v/>
      </c>
      <c r="O972" s="53" t="str">
        <f t="shared" si="218"/>
        <v/>
      </c>
      <c r="P972" s="53" t="str">
        <f t="shared" si="219"/>
        <v/>
      </c>
      <c r="Q972" s="53" t="str">
        <f t="shared" si="220"/>
        <v/>
      </c>
      <c r="R972" s="53" t="str">
        <f t="shared" si="221"/>
        <v/>
      </c>
      <c r="S972" s="53" t="str">
        <f t="shared" si="222"/>
        <v/>
      </c>
      <c r="T972" s="53" t="str">
        <f t="shared" si="223"/>
        <v/>
      </c>
    </row>
    <row r="973" spans="1:20">
      <c r="A973" s="47" t="str">
        <f>IF(archive!E973="","",archive!E973)</f>
        <v/>
      </c>
      <c r="B973" s="48" t="str">
        <f t="shared" si="210"/>
        <v/>
      </c>
      <c r="C973" s="49" t="str">
        <f>IF(archive!F973="","",archive!F973)</f>
        <v/>
      </c>
      <c r="D973" s="50" t="str">
        <f t="shared" si="211"/>
        <v/>
      </c>
      <c r="E973" s="50" t="str">
        <f t="shared" si="212"/>
        <v/>
      </c>
      <c r="F973" s="47" t="str">
        <f>IF(COUNTA(archive!H973:CI973)=0,"",COUNTA(archive!H973:CI973))</f>
        <v/>
      </c>
      <c r="G973" s="47" t="str">
        <f>IF(archive!G973="","",archive!G973)</f>
        <v/>
      </c>
      <c r="H973" s="51" t="str">
        <f>IF(archive!CJ973="","",archive!CJ973)</f>
        <v/>
      </c>
      <c r="I973" s="51" t="str">
        <f>IF(archive!CK973="","",archive!CK973)</f>
        <v/>
      </c>
      <c r="J973" s="47" t="str">
        <f t="shared" si="213"/>
        <v/>
      </c>
      <c r="K973" s="51" t="str">
        <f t="shared" si="214"/>
        <v/>
      </c>
      <c r="L973" s="52" t="str">
        <f t="shared" si="215"/>
        <v/>
      </c>
      <c r="M973" s="53" t="str">
        <f t="shared" si="216"/>
        <v/>
      </c>
      <c r="N973" s="53" t="str">
        <f t="shared" si="217"/>
        <v/>
      </c>
      <c r="O973" s="53" t="str">
        <f t="shared" si="218"/>
        <v/>
      </c>
      <c r="P973" s="53" t="str">
        <f t="shared" si="219"/>
        <v/>
      </c>
      <c r="Q973" s="53" t="str">
        <f t="shared" si="220"/>
        <v/>
      </c>
      <c r="R973" s="53" t="str">
        <f t="shared" si="221"/>
        <v/>
      </c>
      <c r="S973" s="53" t="str">
        <f t="shared" si="222"/>
        <v/>
      </c>
      <c r="T973" s="53" t="str">
        <f t="shared" si="223"/>
        <v/>
      </c>
    </row>
    <row r="974" spans="1:20">
      <c r="A974" s="47" t="str">
        <f>IF(archive!E974="","",archive!E974)</f>
        <v/>
      </c>
      <c r="B974" s="48" t="str">
        <f t="shared" si="210"/>
        <v/>
      </c>
      <c r="C974" s="49" t="str">
        <f>IF(archive!F974="","",archive!F974)</f>
        <v/>
      </c>
      <c r="D974" s="50" t="str">
        <f t="shared" si="211"/>
        <v/>
      </c>
      <c r="E974" s="50" t="str">
        <f t="shared" si="212"/>
        <v/>
      </c>
      <c r="F974" s="47" t="str">
        <f>IF(COUNTA(archive!H974:CI974)=0,"",COUNTA(archive!H974:CI974))</f>
        <v/>
      </c>
      <c r="G974" s="47" t="str">
        <f>IF(archive!G974="","",archive!G974)</f>
        <v/>
      </c>
      <c r="H974" s="51" t="str">
        <f>IF(archive!CJ974="","",archive!CJ974)</f>
        <v/>
      </c>
      <c r="I974" s="51" t="str">
        <f>IF(archive!CK974="","",archive!CK974)</f>
        <v/>
      </c>
      <c r="J974" s="47" t="str">
        <f t="shared" si="213"/>
        <v/>
      </c>
      <c r="K974" s="51" t="str">
        <f t="shared" si="214"/>
        <v/>
      </c>
      <c r="L974" s="52" t="str">
        <f t="shared" si="215"/>
        <v/>
      </c>
      <c r="M974" s="53" t="str">
        <f t="shared" si="216"/>
        <v/>
      </c>
      <c r="N974" s="53" t="str">
        <f t="shared" si="217"/>
        <v/>
      </c>
      <c r="O974" s="53" t="str">
        <f t="shared" si="218"/>
        <v/>
      </c>
      <c r="P974" s="53" t="str">
        <f t="shared" si="219"/>
        <v/>
      </c>
      <c r="Q974" s="53" t="str">
        <f t="shared" si="220"/>
        <v/>
      </c>
      <c r="R974" s="53" t="str">
        <f t="shared" si="221"/>
        <v/>
      </c>
      <c r="S974" s="53" t="str">
        <f t="shared" si="222"/>
        <v/>
      </c>
      <c r="T974" s="53" t="str">
        <f t="shared" si="223"/>
        <v/>
      </c>
    </row>
    <row r="975" spans="1:20">
      <c r="A975" s="47" t="str">
        <f>IF(archive!E975="","",archive!E975)</f>
        <v/>
      </c>
      <c r="B975" s="48" t="str">
        <f t="shared" si="210"/>
        <v/>
      </c>
      <c r="C975" s="49" t="str">
        <f>IF(archive!F975="","",archive!F975)</f>
        <v/>
      </c>
      <c r="D975" s="50" t="str">
        <f t="shared" si="211"/>
        <v/>
      </c>
      <c r="E975" s="50" t="str">
        <f t="shared" si="212"/>
        <v/>
      </c>
      <c r="F975" s="47" t="str">
        <f>IF(COUNTA(archive!H975:CI975)=0,"",COUNTA(archive!H975:CI975))</f>
        <v/>
      </c>
      <c r="G975" s="47" t="str">
        <f>IF(archive!G975="","",archive!G975)</f>
        <v/>
      </c>
      <c r="H975" s="51" t="str">
        <f>IF(archive!CJ975="","",archive!CJ975)</f>
        <v/>
      </c>
      <c r="I975" s="51" t="str">
        <f>IF(archive!CK975="","",archive!CK975)</f>
        <v/>
      </c>
      <c r="J975" s="47" t="str">
        <f t="shared" si="213"/>
        <v/>
      </c>
      <c r="K975" s="51" t="str">
        <f t="shared" si="214"/>
        <v/>
      </c>
      <c r="L975" s="52" t="str">
        <f t="shared" si="215"/>
        <v/>
      </c>
      <c r="M975" s="53" t="str">
        <f t="shared" si="216"/>
        <v/>
      </c>
      <c r="N975" s="53" t="str">
        <f t="shared" si="217"/>
        <v/>
      </c>
      <c r="O975" s="53" t="str">
        <f t="shared" si="218"/>
        <v/>
      </c>
      <c r="P975" s="53" t="str">
        <f t="shared" si="219"/>
        <v/>
      </c>
      <c r="Q975" s="53" t="str">
        <f t="shared" si="220"/>
        <v/>
      </c>
      <c r="R975" s="53" t="str">
        <f t="shared" si="221"/>
        <v/>
      </c>
      <c r="S975" s="53" t="str">
        <f t="shared" si="222"/>
        <v/>
      </c>
      <c r="T975" s="53" t="str">
        <f t="shared" si="223"/>
        <v/>
      </c>
    </row>
    <row r="976" spans="1:20">
      <c r="A976" s="47" t="str">
        <f>IF(archive!E976="","",archive!E976)</f>
        <v/>
      </c>
      <c r="B976" s="48" t="str">
        <f t="shared" si="210"/>
        <v/>
      </c>
      <c r="C976" s="49" t="str">
        <f>IF(archive!F976="","",archive!F976)</f>
        <v/>
      </c>
      <c r="D976" s="50" t="str">
        <f t="shared" si="211"/>
        <v/>
      </c>
      <c r="E976" s="50" t="str">
        <f t="shared" si="212"/>
        <v/>
      </c>
      <c r="F976" s="47" t="str">
        <f>IF(COUNTA(archive!H976:CI976)=0,"",COUNTA(archive!H976:CI976))</f>
        <v/>
      </c>
      <c r="G976" s="47" t="str">
        <f>IF(archive!G976="","",archive!G976)</f>
        <v/>
      </c>
      <c r="H976" s="51" t="str">
        <f>IF(archive!CJ976="","",archive!CJ976)</f>
        <v/>
      </c>
      <c r="I976" s="51" t="str">
        <f>IF(archive!CK976="","",archive!CK976)</f>
        <v/>
      </c>
      <c r="J976" s="47" t="str">
        <f t="shared" si="213"/>
        <v/>
      </c>
      <c r="K976" s="51" t="str">
        <f t="shared" si="214"/>
        <v/>
      </c>
      <c r="L976" s="52" t="str">
        <f t="shared" si="215"/>
        <v/>
      </c>
      <c r="M976" s="53" t="str">
        <f t="shared" si="216"/>
        <v/>
      </c>
      <c r="N976" s="53" t="str">
        <f t="shared" si="217"/>
        <v/>
      </c>
      <c r="O976" s="53" t="str">
        <f t="shared" si="218"/>
        <v/>
      </c>
      <c r="P976" s="53" t="str">
        <f t="shared" si="219"/>
        <v/>
      </c>
      <c r="Q976" s="53" t="str">
        <f t="shared" si="220"/>
        <v/>
      </c>
      <c r="R976" s="53" t="str">
        <f t="shared" si="221"/>
        <v/>
      </c>
      <c r="S976" s="53" t="str">
        <f t="shared" si="222"/>
        <v/>
      </c>
      <c r="T976" s="53" t="str">
        <f t="shared" si="223"/>
        <v/>
      </c>
    </row>
    <row r="977" spans="1:20">
      <c r="A977" s="47" t="str">
        <f>IF(archive!E977="","",archive!E977)</f>
        <v/>
      </c>
      <c r="B977" s="48" t="str">
        <f t="shared" si="210"/>
        <v/>
      </c>
      <c r="C977" s="49" t="str">
        <f>IF(archive!F977="","",archive!F977)</f>
        <v/>
      </c>
      <c r="D977" s="50" t="str">
        <f t="shared" si="211"/>
        <v/>
      </c>
      <c r="E977" s="50" t="str">
        <f t="shared" si="212"/>
        <v/>
      </c>
      <c r="F977" s="47" t="str">
        <f>IF(COUNTA(archive!H977:CI977)=0,"",COUNTA(archive!H977:CI977))</f>
        <v/>
      </c>
      <c r="G977" s="47" t="str">
        <f>IF(archive!G977="","",archive!G977)</f>
        <v/>
      </c>
      <c r="H977" s="51" t="str">
        <f>IF(archive!CJ977="","",archive!CJ977)</f>
        <v/>
      </c>
      <c r="I977" s="51" t="str">
        <f>IF(archive!CK977="","",archive!CK977)</f>
        <v/>
      </c>
      <c r="J977" s="47" t="str">
        <f t="shared" si="213"/>
        <v/>
      </c>
      <c r="K977" s="51" t="str">
        <f t="shared" si="214"/>
        <v/>
      </c>
      <c r="L977" s="52" t="str">
        <f t="shared" si="215"/>
        <v/>
      </c>
      <c r="M977" s="53" t="str">
        <f t="shared" si="216"/>
        <v/>
      </c>
      <c r="N977" s="53" t="str">
        <f t="shared" si="217"/>
        <v/>
      </c>
      <c r="O977" s="53" t="str">
        <f t="shared" si="218"/>
        <v/>
      </c>
      <c r="P977" s="53" t="str">
        <f t="shared" si="219"/>
        <v/>
      </c>
      <c r="Q977" s="53" t="str">
        <f t="shared" si="220"/>
        <v/>
      </c>
      <c r="R977" s="53" t="str">
        <f t="shared" si="221"/>
        <v/>
      </c>
      <c r="S977" s="53" t="str">
        <f t="shared" si="222"/>
        <v/>
      </c>
      <c r="T977" s="53" t="str">
        <f t="shared" si="223"/>
        <v/>
      </c>
    </row>
    <row r="978" spans="1:20">
      <c r="A978" s="47" t="str">
        <f>IF(archive!E978="","",archive!E978)</f>
        <v/>
      </c>
      <c r="B978" s="48" t="str">
        <f t="shared" si="210"/>
        <v/>
      </c>
      <c r="C978" s="49" t="str">
        <f>IF(archive!F978="","",archive!F978)</f>
        <v/>
      </c>
      <c r="D978" s="50" t="str">
        <f t="shared" si="211"/>
        <v/>
      </c>
      <c r="E978" s="50" t="str">
        <f t="shared" si="212"/>
        <v/>
      </c>
      <c r="F978" s="47" t="str">
        <f>IF(COUNTA(archive!H978:CI978)=0,"",COUNTA(archive!H978:CI978))</f>
        <v/>
      </c>
      <c r="G978" s="47" t="str">
        <f>IF(archive!G978="","",archive!G978)</f>
        <v/>
      </c>
      <c r="H978" s="51" t="str">
        <f>IF(archive!CJ978="","",archive!CJ978)</f>
        <v/>
      </c>
      <c r="I978" s="51" t="str">
        <f>IF(archive!CK978="","",archive!CK978)</f>
        <v/>
      </c>
      <c r="J978" s="47" t="str">
        <f t="shared" si="213"/>
        <v/>
      </c>
      <c r="K978" s="51" t="str">
        <f t="shared" si="214"/>
        <v/>
      </c>
      <c r="L978" s="52" t="str">
        <f t="shared" si="215"/>
        <v/>
      </c>
      <c r="M978" s="53" t="str">
        <f t="shared" si="216"/>
        <v/>
      </c>
      <c r="N978" s="53" t="str">
        <f t="shared" si="217"/>
        <v/>
      </c>
      <c r="O978" s="53" t="str">
        <f t="shared" si="218"/>
        <v/>
      </c>
      <c r="P978" s="53" t="str">
        <f t="shared" si="219"/>
        <v/>
      </c>
      <c r="Q978" s="53" t="str">
        <f t="shared" si="220"/>
        <v/>
      </c>
      <c r="R978" s="53" t="str">
        <f t="shared" si="221"/>
        <v/>
      </c>
      <c r="S978" s="53" t="str">
        <f t="shared" si="222"/>
        <v/>
      </c>
      <c r="T978" s="53" t="str">
        <f t="shared" si="223"/>
        <v/>
      </c>
    </row>
    <row r="979" spans="1:20">
      <c r="A979" s="47" t="str">
        <f>IF(archive!E979="","",archive!E979)</f>
        <v/>
      </c>
      <c r="B979" s="48" t="str">
        <f t="shared" si="210"/>
        <v/>
      </c>
      <c r="C979" s="49" t="str">
        <f>IF(archive!F979="","",archive!F979)</f>
        <v/>
      </c>
      <c r="D979" s="50" t="str">
        <f t="shared" si="211"/>
        <v/>
      </c>
      <c r="E979" s="50" t="str">
        <f t="shared" si="212"/>
        <v/>
      </c>
      <c r="F979" s="47" t="str">
        <f>IF(COUNTA(archive!H979:CI979)=0,"",COUNTA(archive!H979:CI979))</f>
        <v/>
      </c>
      <c r="G979" s="47" t="str">
        <f>IF(archive!G979="","",archive!G979)</f>
        <v/>
      </c>
      <c r="H979" s="51" t="str">
        <f>IF(archive!CJ979="","",archive!CJ979)</f>
        <v/>
      </c>
      <c r="I979" s="51" t="str">
        <f>IF(archive!CK979="","",archive!CK979)</f>
        <v/>
      </c>
      <c r="J979" s="47" t="str">
        <f t="shared" si="213"/>
        <v/>
      </c>
      <c r="K979" s="51" t="str">
        <f t="shared" si="214"/>
        <v/>
      </c>
      <c r="L979" s="52" t="str">
        <f t="shared" si="215"/>
        <v/>
      </c>
      <c r="M979" s="53" t="str">
        <f t="shared" si="216"/>
        <v/>
      </c>
      <c r="N979" s="53" t="str">
        <f t="shared" si="217"/>
        <v/>
      </c>
      <c r="O979" s="53" t="str">
        <f t="shared" si="218"/>
        <v/>
      </c>
      <c r="P979" s="53" t="str">
        <f t="shared" si="219"/>
        <v/>
      </c>
      <c r="Q979" s="53" t="str">
        <f t="shared" si="220"/>
        <v/>
      </c>
      <c r="R979" s="53" t="str">
        <f t="shared" si="221"/>
        <v/>
      </c>
      <c r="S979" s="53" t="str">
        <f t="shared" si="222"/>
        <v/>
      </c>
      <c r="T979" s="53" t="str">
        <f t="shared" si="223"/>
        <v/>
      </c>
    </row>
    <row r="980" spans="1:20">
      <c r="A980" s="47" t="str">
        <f>IF(archive!E980="","",archive!E980)</f>
        <v/>
      </c>
      <c r="B980" s="48" t="str">
        <f t="shared" si="210"/>
        <v/>
      </c>
      <c r="C980" s="49" t="str">
        <f>IF(archive!F980="","",archive!F980)</f>
        <v/>
      </c>
      <c r="D980" s="50" t="str">
        <f t="shared" si="211"/>
        <v/>
      </c>
      <c r="E980" s="50" t="str">
        <f t="shared" si="212"/>
        <v/>
      </c>
      <c r="F980" s="47" t="str">
        <f>IF(COUNTA(archive!H980:CI980)=0,"",COUNTA(archive!H980:CI980))</f>
        <v/>
      </c>
      <c r="G980" s="47" t="str">
        <f>IF(archive!G980="","",archive!G980)</f>
        <v/>
      </c>
      <c r="H980" s="51" t="str">
        <f>IF(archive!CJ980="","",archive!CJ980)</f>
        <v/>
      </c>
      <c r="I980" s="51" t="str">
        <f>IF(archive!CK980="","",archive!CK980)</f>
        <v/>
      </c>
      <c r="J980" s="47" t="str">
        <f t="shared" si="213"/>
        <v/>
      </c>
      <c r="K980" s="51" t="str">
        <f t="shared" si="214"/>
        <v/>
      </c>
      <c r="L980" s="52" t="str">
        <f t="shared" si="215"/>
        <v/>
      </c>
      <c r="M980" s="53" t="str">
        <f t="shared" si="216"/>
        <v/>
      </c>
      <c r="N980" s="53" t="str">
        <f t="shared" si="217"/>
        <v/>
      </c>
      <c r="O980" s="53" t="str">
        <f t="shared" si="218"/>
        <v/>
      </c>
      <c r="P980" s="53" t="str">
        <f t="shared" si="219"/>
        <v/>
      </c>
      <c r="Q980" s="53" t="str">
        <f t="shared" si="220"/>
        <v/>
      </c>
      <c r="R980" s="53" t="str">
        <f t="shared" si="221"/>
        <v/>
      </c>
      <c r="S980" s="53" t="str">
        <f t="shared" si="222"/>
        <v/>
      </c>
      <c r="T980" s="53" t="str">
        <f t="shared" si="223"/>
        <v/>
      </c>
    </row>
    <row r="981" spans="1:20">
      <c r="A981" s="47" t="str">
        <f>IF(archive!E981="","",archive!E981)</f>
        <v/>
      </c>
      <c r="B981" s="48" t="str">
        <f t="shared" si="210"/>
        <v/>
      </c>
      <c r="C981" s="49" t="str">
        <f>IF(archive!F981="","",archive!F981)</f>
        <v/>
      </c>
      <c r="D981" s="50" t="str">
        <f t="shared" si="211"/>
        <v/>
      </c>
      <c r="E981" s="50" t="str">
        <f t="shared" si="212"/>
        <v/>
      </c>
      <c r="F981" s="47" t="str">
        <f>IF(COUNTA(archive!H981:CI981)=0,"",COUNTA(archive!H981:CI981))</f>
        <v/>
      </c>
      <c r="G981" s="47" t="str">
        <f>IF(archive!G981="","",archive!G981)</f>
        <v/>
      </c>
      <c r="H981" s="51" t="str">
        <f>IF(archive!CJ981="","",archive!CJ981)</f>
        <v/>
      </c>
      <c r="I981" s="51" t="str">
        <f>IF(archive!CK981="","",archive!CK981)</f>
        <v/>
      </c>
      <c r="J981" s="47" t="str">
        <f t="shared" si="213"/>
        <v/>
      </c>
      <c r="K981" s="51" t="str">
        <f t="shared" si="214"/>
        <v/>
      </c>
      <c r="L981" s="52" t="str">
        <f t="shared" si="215"/>
        <v/>
      </c>
      <c r="M981" s="53" t="str">
        <f t="shared" si="216"/>
        <v/>
      </c>
      <c r="N981" s="53" t="str">
        <f t="shared" si="217"/>
        <v/>
      </c>
      <c r="O981" s="53" t="str">
        <f t="shared" si="218"/>
        <v/>
      </c>
      <c r="P981" s="53" t="str">
        <f t="shared" si="219"/>
        <v/>
      </c>
      <c r="Q981" s="53" t="str">
        <f t="shared" si="220"/>
        <v/>
      </c>
      <c r="R981" s="53" t="str">
        <f t="shared" si="221"/>
        <v/>
      </c>
      <c r="S981" s="53" t="str">
        <f t="shared" si="222"/>
        <v/>
      </c>
      <c r="T981" s="53" t="str">
        <f t="shared" si="223"/>
        <v/>
      </c>
    </row>
    <row r="982" spans="1:20">
      <c r="A982" s="47" t="str">
        <f>IF(archive!E982="","",archive!E982)</f>
        <v/>
      </c>
      <c r="B982" s="48" t="str">
        <f t="shared" si="210"/>
        <v/>
      </c>
      <c r="C982" s="49" t="str">
        <f>IF(archive!F982="","",archive!F982)</f>
        <v/>
      </c>
      <c r="D982" s="50" t="str">
        <f t="shared" si="211"/>
        <v/>
      </c>
      <c r="E982" s="50" t="str">
        <f t="shared" si="212"/>
        <v/>
      </c>
      <c r="F982" s="47" t="str">
        <f>IF(COUNTA(archive!H982:CI982)=0,"",COUNTA(archive!H982:CI982))</f>
        <v/>
      </c>
      <c r="G982" s="47" t="str">
        <f>IF(archive!G982="","",archive!G982)</f>
        <v/>
      </c>
      <c r="H982" s="51" t="str">
        <f>IF(archive!CJ982="","",archive!CJ982)</f>
        <v/>
      </c>
      <c r="I982" s="51" t="str">
        <f>IF(archive!CK982="","",archive!CK982)</f>
        <v/>
      </c>
      <c r="J982" s="47" t="str">
        <f t="shared" si="213"/>
        <v/>
      </c>
      <c r="K982" s="51" t="str">
        <f t="shared" si="214"/>
        <v/>
      </c>
      <c r="L982" s="52" t="str">
        <f t="shared" si="215"/>
        <v/>
      </c>
      <c r="M982" s="53" t="str">
        <f t="shared" si="216"/>
        <v/>
      </c>
      <c r="N982" s="53" t="str">
        <f t="shared" si="217"/>
        <v/>
      </c>
      <c r="O982" s="53" t="str">
        <f t="shared" si="218"/>
        <v/>
      </c>
      <c r="P982" s="53" t="str">
        <f t="shared" si="219"/>
        <v/>
      </c>
      <c r="Q982" s="53" t="str">
        <f t="shared" si="220"/>
        <v/>
      </c>
      <c r="R982" s="53" t="str">
        <f t="shared" si="221"/>
        <v/>
      </c>
      <c r="S982" s="53" t="str">
        <f t="shared" si="222"/>
        <v/>
      </c>
      <c r="T982" s="53" t="str">
        <f t="shared" si="223"/>
        <v/>
      </c>
    </row>
    <row r="983" spans="1:20">
      <c r="A983" s="47" t="str">
        <f>IF(archive!E983="","",archive!E983)</f>
        <v/>
      </c>
      <c r="B983" s="48" t="str">
        <f t="shared" si="210"/>
        <v/>
      </c>
      <c r="C983" s="49" t="str">
        <f>IF(archive!F983="","",archive!F983)</f>
        <v/>
      </c>
      <c r="D983" s="50" t="str">
        <f t="shared" si="211"/>
        <v/>
      </c>
      <c r="E983" s="50" t="str">
        <f t="shared" si="212"/>
        <v/>
      </c>
      <c r="F983" s="47" t="str">
        <f>IF(COUNTA(archive!H983:CI983)=0,"",COUNTA(archive!H983:CI983))</f>
        <v/>
      </c>
      <c r="G983" s="47" t="str">
        <f>IF(archive!G983="","",archive!G983)</f>
        <v/>
      </c>
      <c r="H983" s="51" t="str">
        <f>IF(archive!CJ983="","",archive!CJ983)</f>
        <v/>
      </c>
      <c r="I983" s="51" t="str">
        <f>IF(archive!CK983="","",archive!CK983)</f>
        <v/>
      </c>
      <c r="J983" s="47" t="str">
        <f t="shared" si="213"/>
        <v/>
      </c>
      <c r="K983" s="51" t="str">
        <f t="shared" si="214"/>
        <v/>
      </c>
      <c r="L983" s="52" t="str">
        <f t="shared" si="215"/>
        <v/>
      </c>
      <c r="M983" s="53" t="str">
        <f t="shared" si="216"/>
        <v/>
      </c>
      <c r="N983" s="53" t="str">
        <f t="shared" si="217"/>
        <v/>
      </c>
      <c r="O983" s="53" t="str">
        <f t="shared" si="218"/>
        <v/>
      </c>
      <c r="P983" s="53" t="str">
        <f t="shared" si="219"/>
        <v/>
      </c>
      <c r="Q983" s="53" t="str">
        <f t="shared" si="220"/>
        <v/>
      </c>
      <c r="R983" s="53" t="str">
        <f t="shared" si="221"/>
        <v/>
      </c>
      <c r="S983" s="53" t="str">
        <f t="shared" si="222"/>
        <v/>
      </c>
      <c r="T983" s="53" t="str">
        <f t="shared" si="223"/>
        <v/>
      </c>
    </row>
    <row r="984" spans="1:20">
      <c r="A984" s="47" t="str">
        <f>IF(archive!E984="","",archive!E984)</f>
        <v/>
      </c>
      <c r="B984" s="48" t="str">
        <f t="shared" si="210"/>
        <v/>
      </c>
      <c r="C984" s="49" t="str">
        <f>IF(archive!F984="","",archive!F984)</f>
        <v/>
      </c>
      <c r="D984" s="50" t="str">
        <f t="shared" si="211"/>
        <v/>
      </c>
      <c r="E984" s="50" t="str">
        <f t="shared" si="212"/>
        <v/>
      </c>
      <c r="F984" s="47" t="str">
        <f>IF(COUNTA(archive!H984:CI984)=0,"",COUNTA(archive!H984:CI984))</f>
        <v/>
      </c>
      <c r="G984" s="47" t="str">
        <f>IF(archive!G984="","",archive!G984)</f>
        <v/>
      </c>
      <c r="H984" s="51" t="str">
        <f>IF(archive!CJ984="","",archive!CJ984)</f>
        <v/>
      </c>
      <c r="I984" s="51" t="str">
        <f>IF(archive!CK984="","",archive!CK984)</f>
        <v/>
      </c>
      <c r="J984" s="47" t="str">
        <f t="shared" si="213"/>
        <v/>
      </c>
      <c r="K984" s="51" t="str">
        <f t="shared" si="214"/>
        <v/>
      </c>
      <c r="L984" s="52" t="str">
        <f t="shared" si="215"/>
        <v/>
      </c>
      <c r="M984" s="53" t="str">
        <f t="shared" si="216"/>
        <v/>
      </c>
      <c r="N984" s="53" t="str">
        <f t="shared" si="217"/>
        <v/>
      </c>
      <c r="O984" s="53" t="str">
        <f t="shared" si="218"/>
        <v/>
      </c>
      <c r="P984" s="53" t="str">
        <f t="shared" si="219"/>
        <v/>
      </c>
      <c r="Q984" s="53" t="str">
        <f t="shared" si="220"/>
        <v/>
      </c>
      <c r="R984" s="53" t="str">
        <f t="shared" si="221"/>
        <v/>
      </c>
      <c r="S984" s="53" t="str">
        <f t="shared" si="222"/>
        <v/>
      </c>
      <c r="T984" s="53" t="str">
        <f t="shared" si="223"/>
        <v/>
      </c>
    </row>
    <row r="985" spans="1:20">
      <c r="A985" s="47" t="str">
        <f>IF(archive!E985="","",archive!E985)</f>
        <v/>
      </c>
      <c r="B985" s="48" t="str">
        <f t="shared" si="210"/>
        <v/>
      </c>
      <c r="C985" s="49" t="str">
        <f>IF(archive!F985="","",archive!F985)</f>
        <v/>
      </c>
      <c r="D985" s="50" t="str">
        <f t="shared" si="211"/>
        <v/>
      </c>
      <c r="E985" s="50" t="str">
        <f t="shared" si="212"/>
        <v/>
      </c>
      <c r="F985" s="47" t="str">
        <f>IF(COUNTA(archive!H985:CI985)=0,"",COUNTA(archive!H985:CI985))</f>
        <v/>
      </c>
      <c r="G985" s="47" t="str">
        <f>IF(archive!G985="","",archive!G985)</f>
        <v/>
      </c>
      <c r="H985" s="51" t="str">
        <f>IF(archive!CJ985="","",archive!CJ985)</f>
        <v/>
      </c>
      <c r="I985" s="51" t="str">
        <f>IF(archive!CK985="","",archive!CK985)</f>
        <v/>
      </c>
      <c r="J985" s="47" t="str">
        <f t="shared" si="213"/>
        <v/>
      </c>
      <c r="K985" s="51" t="str">
        <f t="shared" si="214"/>
        <v/>
      </c>
      <c r="L985" s="52" t="str">
        <f t="shared" si="215"/>
        <v/>
      </c>
      <c r="M985" s="53" t="str">
        <f t="shared" si="216"/>
        <v/>
      </c>
      <c r="N985" s="53" t="str">
        <f t="shared" si="217"/>
        <v/>
      </c>
      <c r="O985" s="53" t="str">
        <f t="shared" si="218"/>
        <v/>
      </c>
      <c r="P985" s="53" t="str">
        <f t="shared" si="219"/>
        <v/>
      </c>
      <c r="Q985" s="53" t="str">
        <f t="shared" si="220"/>
        <v/>
      </c>
      <c r="R985" s="53" t="str">
        <f t="shared" si="221"/>
        <v/>
      </c>
      <c r="S985" s="53" t="str">
        <f t="shared" si="222"/>
        <v/>
      </c>
      <c r="T985" s="53" t="str">
        <f t="shared" si="223"/>
        <v/>
      </c>
    </row>
    <row r="986" spans="1:20">
      <c r="A986" s="47" t="str">
        <f>IF(archive!E986="","",archive!E986)</f>
        <v/>
      </c>
      <c r="B986" s="48" t="str">
        <f t="shared" si="210"/>
        <v/>
      </c>
      <c r="C986" s="49" t="str">
        <f>IF(archive!F986="","",archive!F986)</f>
        <v/>
      </c>
      <c r="D986" s="50" t="str">
        <f t="shared" si="211"/>
        <v/>
      </c>
      <c r="E986" s="50" t="str">
        <f t="shared" si="212"/>
        <v/>
      </c>
      <c r="F986" s="47" t="str">
        <f>IF(COUNTA(archive!H986:CI986)=0,"",COUNTA(archive!H986:CI986))</f>
        <v/>
      </c>
      <c r="G986" s="47" t="str">
        <f>IF(archive!G986="","",archive!G986)</f>
        <v/>
      </c>
      <c r="H986" s="51" t="str">
        <f>IF(archive!CJ986="","",archive!CJ986)</f>
        <v/>
      </c>
      <c r="I986" s="51" t="str">
        <f>IF(archive!CK986="","",archive!CK986)</f>
        <v/>
      </c>
      <c r="J986" s="47" t="str">
        <f t="shared" si="213"/>
        <v/>
      </c>
      <c r="K986" s="51" t="str">
        <f t="shared" si="214"/>
        <v/>
      </c>
      <c r="L986" s="52" t="str">
        <f t="shared" si="215"/>
        <v/>
      </c>
      <c r="M986" s="53" t="str">
        <f t="shared" si="216"/>
        <v/>
      </c>
      <c r="N986" s="53" t="str">
        <f t="shared" si="217"/>
        <v/>
      </c>
      <c r="O986" s="53" t="str">
        <f t="shared" si="218"/>
        <v/>
      </c>
      <c r="P986" s="53" t="str">
        <f t="shared" si="219"/>
        <v/>
      </c>
      <c r="Q986" s="53" t="str">
        <f t="shared" si="220"/>
        <v/>
      </c>
      <c r="R986" s="53" t="str">
        <f t="shared" si="221"/>
        <v/>
      </c>
      <c r="S986" s="53" t="str">
        <f t="shared" si="222"/>
        <v/>
      </c>
      <c r="T986" s="53" t="str">
        <f t="shared" si="223"/>
        <v/>
      </c>
    </row>
    <row r="987" spans="1:20">
      <c r="A987" s="47" t="str">
        <f>IF(archive!E987="","",archive!E987)</f>
        <v/>
      </c>
      <c r="B987" s="48" t="str">
        <f t="shared" si="210"/>
        <v/>
      </c>
      <c r="C987" s="49" t="str">
        <f>IF(archive!F987="","",archive!F987)</f>
        <v/>
      </c>
      <c r="D987" s="50" t="str">
        <f t="shared" si="211"/>
        <v/>
      </c>
      <c r="E987" s="50" t="str">
        <f t="shared" si="212"/>
        <v/>
      </c>
      <c r="F987" s="47" t="str">
        <f>IF(COUNTA(archive!H987:CI987)=0,"",COUNTA(archive!H987:CI987))</f>
        <v/>
      </c>
      <c r="G987" s="47" t="str">
        <f>IF(archive!G987="","",archive!G987)</f>
        <v/>
      </c>
      <c r="H987" s="51" t="str">
        <f>IF(archive!CJ987="","",archive!CJ987)</f>
        <v/>
      </c>
      <c r="I987" s="51" t="str">
        <f>IF(archive!CK987="","",archive!CK987)</f>
        <v/>
      </c>
      <c r="J987" s="47" t="str">
        <f t="shared" si="213"/>
        <v/>
      </c>
      <c r="K987" s="51" t="str">
        <f t="shared" si="214"/>
        <v/>
      </c>
      <c r="L987" s="52" t="str">
        <f t="shared" si="215"/>
        <v/>
      </c>
      <c r="M987" s="53" t="str">
        <f t="shared" si="216"/>
        <v/>
      </c>
      <c r="N987" s="53" t="str">
        <f t="shared" si="217"/>
        <v/>
      </c>
      <c r="O987" s="53" t="str">
        <f t="shared" si="218"/>
        <v/>
      </c>
      <c r="P987" s="53" t="str">
        <f t="shared" si="219"/>
        <v/>
      </c>
      <c r="Q987" s="53" t="str">
        <f t="shared" si="220"/>
        <v/>
      </c>
      <c r="R987" s="53" t="str">
        <f t="shared" si="221"/>
        <v/>
      </c>
      <c r="S987" s="53" t="str">
        <f t="shared" si="222"/>
        <v/>
      </c>
      <c r="T987" s="53" t="str">
        <f t="shared" si="223"/>
        <v/>
      </c>
    </row>
    <row r="988" spans="1:20">
      <c r="A988" s="47" t="str">
        <f>IF(archive!E988="","",archive!E988)</f>
        <v/>
      </c>
      <c r="B988" s="48" t="str">
        <f t="shared" si="210"/>
        <v/>
      </c>
      <c r="C988" s="49" t="str">
        <f>IF(archive!F988="","",archive!F988)</f>
        <v/>
      </c>
      <c r="D988" s="50" t="str">
        <f t="shared" si="211"/>
        <v/>
      </c>
      <c r="E988" s="50" t="str">
        <f t="shared" si="212"/>
        <v/>
      </c>
      <c r="F988" s="47" t="str">
        <f>IF(COUNTA(archive!H988:CI988)=0,"",COUNTA(archive!H988:CI988))</f>
        <v/>
      </c>
      <c r="G988" s="47" t="str">
        <f>IF(archive!G988="","",archive!G988)</f>
        <v/>
      </c>
      <c r="H988" s="51" t="str">
        <f>IF(archive!CJ988="","",archive!CJ988)</f>
        <v/>
      </c>
      <c r="I988" s="51" t="str">
        <f>IF(archive!CK988="","",archive!CK988)</f>
        <v/>
      </c>
      <c r="J988" s="47" t="str">
        <f t="shared" si="213"/>
        <v/>
      </c>
      <c r="K988" s="51" t="str">
        <f t="shared" si="214"/>
        <v/>
      </c>
      <c r="L988" s="52" t="str">
        <f t="shared" si="215"/>
        <v/>
      </c>
      <c r="M988" s="53" t="str">
        <f t="shared" si="216"/>
        <v/>
      </c>
      <c r="N988" s="53" t="str">
        <f t="shared" si="217"/>
        <v/>
      </c>
      <c r="O988" s="53" t="str">
        <f t="shared" si="218"/>
        <v/>
      </c>
      <c r="P988" s="53" t="str">
        <f t="shared" si="219"/>
        <v/>
      </c>
      <c r="Q988" s="53" t="str">
        <f t="shared" si="220"/>
        <v/>
      </c>
      <c r="R988" s="53" t="str">
        <f t="shared" si="221"/>
        <v/>
      </c>
      <c r="S988" s="53" t="str">
        <f t="shared" si="222"/>
        <v/>
      </c>
      <c r="T988" s="53" t="str">
        <f t="shared" si="223"/>
        <v/>
      </c>
    </row>
    <row r="989" spans="1:20">
      <c r="A989" s="47" t="str">
        <f>IF(archive!E989="","",archive!E989)</f>
        <v/>
      </c>
      <c r="B989" s="48" t="str">
        <f t="shared" si="210"/>
        <v/>
      </c>
      <c r="C989" s="49" t="str">
        <f>IF(archive!F989="","",archive!F989)</f>
        <v/>
      </c>
      <c r="D989" s="50" t="str">
        <f t="shared" si="211"/>
        <v/>
      </c>
      <c r="E989" s="50" t="str">
        <f t="shared" si="212"/>
        <v/>
      </c>
      <c r="F989" s="47" t="str">
        <f>IF(COUNTA(archive!H989:CI989)=0,"",COUNTA(archive!H989:CI989))</f>
        <v/>
      </c>
      <c r="G989" s="47" t="str">
        <f>IF(archive!G989="","",archive!G989)</f>
        <v/>
      </c>
      <c r="H989" s="51" t="str">
        <f>IF(archive!CJ989="","",archive!CJ989)</f>
        <v/>
      </c>
      <c r="I989" s="51" t="str">
        <f>IF(archive!CK989="","",archive!CK989)</f>
        <v/>
      </c>
      <c r="J989" s="47" t="str">
        <f t="shared" si="213"/>
        <v/>
      </c>
      <c r="K989" s="51" t="str">
        <f t="shared" si="214"/>
        <v/>
      </c>
      <c r="L989" s="52" t="str">
        <f t="shared" si="215"/>
        <v/>
      </c>
      <c r="M989" s="53" t="str">
        <f t="shared" si="216"/>
        <v/>
      </c>
      <c r="N989" s="53" t="str">
        <f t="shared" si="217"/>
        <v/>
      </c>
      <c r="O989" s="53" t="str">
        <f t="shared" si="218"/>
        <v/>
      </c>
      <c r="P989" s="53" t="str">
        <f t="shared" si="219"/>
        <v/>
      </c>
      <c r="Q989" s="53" t="str">
        <f t="shared" si="220"/>
        <v/>
      </c>
      <c r="R989" s="53" t="str">
        <f t="shared" si="221"/>
        <v/>
      </c>
      <c r="S989" s="53" t="str">
        <f t="shared" si="222"/>
        <v/>
      </c>
      <c r="T989" s="53" t="str">
        <f t="shared" si="223"/>
        <v/>
      </c>
    </row>
    <row r="990" spans="1:20">
      <c r="A990" s="47" t="str">
        <f>IF(archive!E990="","",archive!E990)</f>
        <v/>
      </c>
      <c r="B990" s="48" t="str">
        <f t="shared" si="210"/>
        <v/>
      </c>
      <c r="C990" s="49" t="str">
        <f>IF(archive!F990="","",archive!F990)</f>
        <v/>
      </c>
      <c r="D990" s="50" t="str">
        <f t="shared" si="211"/>
        <v/>
      </c>
      <c r="E990" s="50" t="str">
        <f t="shared" si="212"/>
        <v/>
      </c>
      <c r="F990" s="47" t="str">
        <f>IF(COUNTA(archive!H990:CI990)=0,"",COUNTA(archive!H990:CI990))</f>
        <v/>
      </c>
      <c r="G990" s="47" t="str">
        <f>IF(archive!G990="","",archive!G990)</f>
        <v/>
      </c>
      <c r="H990" s="51" t="str">
        <f>IF(archive!CJ990="","",archive!CJ990)</f>
        <v/>
      </c>
      <c r="I990" s="51" t="str">
        <f>IF(archive!CK990="","",archive!CK990)</f>
        <v/>
      </c>
      <c r="J990" s="47" t="str">
        <f t="shared" si="213"/>
        <v/>
      </c>
      <c r="K990" s="51" t="str">
        <f t="shared" si="214"/>
        <v/>
      </c>
      <c r="L990" s="52" t="str">
        <f t="shared" si="215"/>
        <v/>
      </c>
      <c r="M990" s="53" t="str">
        <f t="shared" si="216"/>
        <v/>
      </c>
      <c r="N990" s="53" t="str">
        <f t="shared" si="217"/>
        <v/>
      </c>
      <c r="O990" s="53" t="str">
        <f t="shared" si="218"/>
        <v/>
      </c>
      <c r="P990" s="53" t="str">
        <f t="shared" si="219"/>
        <v/>
      </c>
      <c r="Q990" s="53" t="str">
        <f t="shared" si="220"/>
        <v/>
      </c>
      <c r="R990" s="53" t="str">
        <f t="shared" si="221"/>
        <v/>
      </c>
      <c r="S990" s="53" t="str">
        <f t="shared" si="222"/>
        <v/>
      </c>
      <c r="T990" s="53" t="str">
        <f t="shared" si="223"/>
        <v/>
      </c>
    </row>
    <row r="991" spans="1:20">
      <c r="A991" s="47" t="str">
        <f>IF(archive!E991="","",archive!E991)</f>
        <v/>
      </c>
      <c r="B991" s="48" t="str">
        <f t="shared" si="210"/>
        <v/>
      </c>
      <c r="C991" s="49" t="str">
        <f>IF(archive!F991="","",archive!F991)</f>
        <v/>
      </c>
      <c r="D991" s="50" t="str">
        <f t="shared" si="211"/>
        <v/>
      </c>
      <c r="E991" s="50" t="str">
        <f t="shared" si="212"/>
        <v/>
      </c>
      <c r="F991" s="47" t="str">
        <f>IF(COUNTA(archive!H991:CI991)=0,"",COUNTA(archive!H991:CI991))</f>
        <v/>
      </c>
      <c r="G991" s="47" t="str">
        <f>IF(archive!G991="","",archive!G991)</f>
        <v/>
      </c>
      <c r="H991" s="51" t="str">
        <f>IF(archive!CJ991="","",archive!CJ991)</f>
        <v/>
      </c>
      <c r="I991" s="51" t="str">
        <f>IF(archive!CK991="","",archive!CK991)</f>
        <v/>
      </c>
      <c r="J991" s="47" t="str">
        <f t="shared" si="213"/>
        <v/>
      </c>
      <c r="K991" s="51" t="str">
        <f t="shared" si="214"/>
        <v/>
      </c>
      <c r="L991" s="52" t="str">
        <f t="shared" si="215"/>
        <v/>
      </c>
      <c r="M991" s="53" t="str">
        <f t="shared" si="216"/>
        <v/>
      </c>
      <c r="N991" s="53" t="str">
        <f t="shared" si="217"/>
        <v/>
      </c>
      <c r="O991" s="53" t="str">
        <f t="shared" si="218"/>
        <v/>
      </c>
      <c r="P991" s="53" t="str">
        <f t="shared" si="219"/>
        <v/>
      </c>
      <c r="Q991" s="53" t="str">
        <f t="shared" si="220"/>
        <v/>
      </c>
      <c r="R991" s="53" t="str">
        <f t="shared" si="221"/>
        <v/>
      </c>
      <c r="S991" s="53" t="str">
        <f t="shared" si="222"/>
        <v/>
      </c>
      <c r="T991" s="53" t="str">
        <f t="shared" si="223"/>
        <v/>
      </c>
    </row>
    <row r="992" spans="1:20">
      <c r="A992" s="47" t="str">
        <f>IF(archive!E992="","",archive!E992)</f>
        <v/>
      </c>
      <c r="B992" s="48" t="str">
        <f t="shared" si="210"/>
        <v/>
      </c>
      <c r="C992" s="49" t="str">
        <f>IF(archive!F992="","",archive!F992)</f>
        <v/>
      </c>
      <c r="D992" s="50" t="str">
        <f t="shared" si="211"/>
        <v/>
      </c>
      <c r="E992" s="50" t="str">
        <f t="shared" si="212"/>
        <v/>
      </c>
      <c r="F992" s="47" t="str">
        <f>IF(COUNTA(archive!H992:CI992)=0,"",COUNTA(archive!H992:CI992))</f>
        <v/>
      </c>
      <c r="G992" s="47" t="str">
        <f>IF(archive!G992="","",archive!G992)</f>
        <v/>
      </c>
      <c r="H992" s="51" t="str">
        <f>IF(archive!CJ992="","",archive!CJ992)</f>
        <v/>
      </c>
      <c r="I992" s="51" t="str">
        <f>IF(archive!CK992="","",archive!CK992)</f>
        <v/>
      </c>
      <c r="J992" s="47" t="str">
        <f t="shared" si="213"/>
        <v/>
      </c>
      <c r="K992" s="51" t="str">
        <f t="shared" si="214"/>
        <v/>
      </c>
      <c r="L992" s="52" t="str">
        <f t="shared" si="215"/>
        <v/>
      </c>
      <c r="M992" s="53" t="str">
        <f t="shared" si="216"/>
        <v/>
      </c>
      <c r="N992" s="53" t="str">
        <f t="shared" si="217"/>
        <v/>
      </c>
      <c r="O992" s="53" t="str">
        <f t="shared" si="218"/>
        <v/>
      </c>
      <c r="P992" s="53" t="str">
        <f t="shared" si="219"/>
        <v/>
      </c>
      <c r="Q992" s="53" t="str">
        <f t="shared" si="220"/>
        <v/>
      </c>
      <c r="R992" s="53" t="str">
        <f t="shared" si="221"/>
        <v/>
      </c>
      <c r="S992" s="53" t="str">
        <f t="shared" si="222"/>
        <v/>
      </c>
      <c r="T992" s="53" t="str">
        <f t="shared" si="223"/>
        <v/>
      </c>
    </row>
    <row r="993" spans="1:20">
      <c r="A993" s="47" t="str">
        <f>IF(archive!E993="","",archive!E993)</f>
        <v/>
      </c>
      <c r="B993" s="48" t="str">
        <f t="shared" si="210"/>
        <v/>
      </c>
      <c r="C993" s="49" t="str">
        <f>IF(archive!F993="","",archive!F993)</f>
        <v/>
      </c>
      <c r="D993" s="50" t="str">
        <f t="shared" si="211"/>
        <v/>
      </c>
      <c r="E993" s="50" t="str">
        <f t="shared" si="212"/>
        <v/>
      </c>
      <c r="F993" s="47" t="str">
        <f>IF(COUNTA(archive!H993:CI993)=0,"",COUNTA(archive!H993:CI993))</f>
        <v/>
      </c>
      <c r="G993" s="47" t="str">
        <f>IF(archive!G993="","",archive!G993)</f>
        <v/>
      </c>
      <c r="H993" s="51" t="str">
        <f>IF(archive!CJ993="","",archive!CJ993)</f>
        <v/>
      </c>
      <c r="I993" s="51" t="str">
        <f>IF(archive!CK993="","",archive!CK993)</f>
        <v/>
      </c>
      <c r="J993" s="47" t="str">
        <f t="shared" si="213"/>
        <v/>
      </c>
      <c r="K993" s="51" t="str">
        <f t="shared" si="214"/>
        <v/>
      </c>
      <c r="L993" s="52" t="str">
        <f t="shared" si="215"/>
        <v/>
      </c>
      <c r="M993" s="53" t="str">
        <f t="shared" si="216"/>
        <v/>
      </c>
      <c r="N993" s="53" t="str">
        <f t="shared" si="217"/>
        <v/>
      </c>
      <c r="O993" s="53" t="str">
        <f t="shared" si="218"/>
        <v/>
      </c>
      <c r="P993" s="53" t="str">
        <f t="shared" si="219"/>
        <v/>
      </c>
      <c r="Q993" s="53" t="str">
        <f t="shared" si="220"/>
        <v/>
      </c>
      <c r="R993" s="53" t="str">
        <f t="shared" si="221"/>
        <v/>
      </c>
      <c r="S993" s="53" t="str">
        <f t="shared" si="222"/>
        <v/>
      </c>
      <c r="T993" s="53" t="str">
        <f t="shared" si="223"/>
        <v/>
      </c>
    </row>
    <row r="994" spans="1:20">
      <c r="A994" s="47" t="str">
        <f>IF(archive!E994="","",archive!E994)</f>
        <v/>
      </c>
      <c r="B994" s="48" t="str">
        <f t="shared" si="210"/>
        <v/>
      </c>
      <c r="C994" s="49" t="str">
        <f>IF(archive!F994="","",archive!F994)</f>
        <v/>
      </c>
      <c r="D994" s="50" t="str">
        <f t="shared" si="211"/>
        <v/>
      </c>
      <c r="E994" s="50" t="str">
        <f t="shared" si="212"/>
        <v/>
      </c>
      <c r="F994" s="47" t="str">
        <f>IF(COUNTA(archive!H994:CI994)=0,"",COUNTA(archive!H994:CI994))</f>
        <v/>
      </c>
      <c r="G994" s="47" t="str">
        <f>IF(archive!G994="","",archive!G994)</f>
        <v/>
      </c>
      <c r="H994" s="51" t="str">
        <f>IF(archive!CJ994="","",archive!CJ994)</f>
        <v/>
      </c>
      <c r="I994" s="51" t="str">
        <f>IF(archive!CK994="","",archive!CK994)</f>
        <v/>
      </c>
      <c r="J994" s="47" t="str">
        <f t="shared" si="213"/>
        <v/>
      </c>
      <c r="K994" s="51" t="str">
        <f t="shared" si="214"/>
        <v/>
      </c>
      <c r="L994" s="52" t="str">
        <f t="shared" si="215"/>
        <v/>
      </c>
      <c r="M994" s="53" t="str">
        <f t="shared" si="216"/>
        <v/>
      </c>
      <c r="N994" s="53" t="str">
        <f t="shared" si="217"/>
        <v/>
      </c>
      <c r="O994" s="53" t="str">
        <f t="shared" si="218"/>
        <v/>
      </c>
      <c r="P994" s="53" t="str">
        <f t="shared" si="219"/>
        <v/>
      </c>
      <c r="Q994" s="53" t="str">
        <f t="shared" si="220"/>
        <v/>
      </c>
      <c r="R994" s="53" t="str">
        <f t="shared" si="221"/>
        <v/>
      </c>
      <c r="S994" s="53" t="str">
        <f t="shared" si="222"/>
        <v/>
      </c>
      <c r="T994" s="53" t="str">
        <f t="shared" si="223"/>
        <v/>
      </c>
    </row>
    <row r="995" spans="1:20">
      <c r="A995" s="47" t="str">
        <f>IF(archive!E995="","",archive!E995)</f>
        <v/>
      </c>
      <c r="B995" s="48" t="str">
        <f t="shared" si="210"/>
        <v/>
      </c>
      <c r="C995" s="49" t="str">
        <f>IF(archive!F995="","",archive!F995)</f>
        <v/>
      </c>
      <c r="D995" s="50" t="str">
        <f t="shared" si="211"/>
        <v/>
      </c>
      <c r="E995" s="50" t="str">
        <f t="shared" si="212"/>
        <v/>
      </c>
      <c r="F995" s="47" t="str">
        <f>IF(COUNTA(archive!H995:CI995)=0,"",COUNTA(archive!H995:CI995))</f>
        <v/>
      </c>
      <c r="G995" s="47" t="str">
        <f>IF(archive!G995="","",archive!G995)</f>
        <v/>
      </c>
      <c r="H995" s="51" t="str">
        <f>IF(archive!CJ995="","",archive!CJ995)</f>
        <v/>
      </c>
      <c r="I995" s="51" t="str">
        <f>IF(archive!CK995="","",archive!CK995)</f>
        <v/>
      </c>
      <c r="J995" s="47" t="str">
        <f t="shared" si="213"/>
        <v/>
      </c>
      <c r="K995" s="51" t="str">
        <f t="shared" si="214"/>
        <v/>
      </c>
      <c r="L995" s="52" t="str">
        <f t="shared" si="215"/>
        <v/>
      </c>
      <c r="M995" s="53" t="str">
        <f t="shared" si="216"/>
        <v/>
      </c>
      <c r="N995" s="53" t="str">
        <f t="shared" si="217"/>
        <v/>
      </c>
      <c r="O995" s="53" t="str">
        <f t="shared" si="218"/>
        <v/>
      </c>
      <c r="P995" s="53" t="str">
        <f t="shared" si="219"/>
        <v/>
      </c>
      <c r="Q995" s="53" t="str">
        <f t="shared" si="220"/>
        <v/>
      </c>
      <c r="R995" s="53" t="str">
        <f t="shared" si="221"/>
        <v/>
      </c>
      <c r="S995" s="53" t="str">
        <f t="shared" si="222"/>
        <v/>
      </c>
      <c r="T995" s="53" t="str">
        <f t="shared" si="223"/>
        <v/>
      </c>
    </row>
    <row r="996" spans="1:20">
      <c r="A996" s="47" t="str">
        <f>IF(archive!E996="","",archive!E996)</f>
        <v/>
      </c>
      <c r="B996" s="48" t="str">
        <f t="shared" si="210"/>
        <v/>
      </c>
      <c r="C996" s="49" t="str">
        <f>IF(archive!F996="","",archive!F996)</f>
        <v/>
      </c>
      <c r="D996" s="50" t="str">
        <f t="shared" si="211"/>
        <v/>
      </c>
      <c r="E996" s="50" t="str">
        <f t="shared" si="212"/>
        <v/>
      </c>
      <c r="F996" s="47" t="str">
        <f>IF(COUNTA(archive!H996:CI996)=0,"",COUNTA(archive!H996:CI996))</f>
        <v/>
      </c>
      <c r="G996" s="47" t="str">
        <f>IF(archive!G996="","",archive!G996)</f>
        <v/>
      </c>
      <c r="H996" s="51" t="str">
        <f>IF(archive!CJ996="","",archive!CJ996)</f>
        <v/>
      </c>
      <c r="I996" s="51" t="str">
        <f>IF(archive!CK996="","",archive!CK996)</f>
        <v/>
      </c>
      <c r="J996" s="47" t="str">
        <f t="shared" si="213"/>
        <v/>
      </c>
      <c r="K996" s="51" t="str">
        <f t="shared" si="214"/>
        <v/>
      </c>
      <c r="L996" s="52" t="str">
        <f t="shared" si="215"/>
        <v/>
      </c>
      <c r="M996" s="53" t="str">
        <f t="shared" si="216"/>
        <v/>
      </c>
      <c r="N996" s="53" t="str">
        <f t="shared" si="217"/>
        <v/>
      </c>
      <c r="O996" s="53" t="str">
        <f t="shared" si="218"/>
        <v/>
      </c>
      <c r="P996" s="53" t="str">
        <f t="shared" si="219"/>
        <v/>
      </c>
      <c r="Q996" s="53" t="str">
        <f t="shared" si="220"/>
        <v/>
      </c>
      <c r="R996" s="53" t="str">
        <f t="shared" si="221"/>
        <v/>
      </c>
      <c r="S996" s="53" t="str">
        <f t="shared" si="222"/>
        <v/>
      </c>
      <c r="T996" s="53" t="str">
        <f t="shared" si="223"/>
        <v/>
      </c>
    </row>
    <row r="997" spans="1:20">
      <c r="A997" s="47" t="str">
        <f>IF(archive!E997="","",archive!E997)</f>
        <v/>
      </c>
      <c r="B997" s="48" t="str">
        <f t="shared" si="210"/>
        <v/>
      </c>
      <c r="C997" s="49" t="str">
        <f>IF(archive!F997="","",archive!F997)</f>
        <v/>
      </c>
      <c r="D997" s="50" t="str">
        <f t="shared" si="211"/>
        <v/>
      </c>
      <c r="E997" s="50" t="str">
        <f t="shared" si="212"/>
        <v/>
      </c>
      <c r="F997" s="47" t="str">
        <f>IF(COUNTA(archive!H997:CI997)=0,"",COUNTA(archive!H997:CI997))</f>
        <v/>
      </c>
      <c r="G997" s="47" t="str">
        <f>IF(archive!G997="","",archive!G997)</f>
        <v/>
      </c>
      <c r="H997" s="51" t="str">
        <f>IF(archive!CJ997="","",archive!CJ997)</f>
        <v/>
      </c>
      <c r="I997" s="51" t="str">
        <f>IF(archive!CK997="","",archive!CK997)</f>
        <v/>
      </c>
      <c r="J997" s="47" t="str">
        <f t="shared" si="213"/>
        <v/>
      </c>
      <c r="K997" s="51" t="str">
        <f t="shared" si="214"/>
        <v/>
      </c>
      <c r="L997" s="52" t="str">
        <f t="shared" si="215"/>
        <v/>
      </c>
      <c r="M997" s="53" t="str">
        <f t="shared" si="216"/>
        <v/>
      </c>
      <c r="N997" s="53" t="str">
        <f t="shared" si="217"/>
        <v/>
      </c>
      <c r="O997" s="53" t="str">
        <f t="shared" si="218"/>
        <v/>
      </c>
      <c r="P997" s="53" t="str">
        <f t="shared" si="219"/>
        <v/>
      </c>
      <c r="Q997" s="53" t="str">
        <f t="shared" si="220"/>
        <v/>
      </c>
      <c r="R997" s="53" t="str">
        <f t="shared" si="221"/>
        <v/>
      </c>
      <c r="S997" s="53" t="str">
        <f t="shared" si="222"/>
        <v/>
      </c>
      <c r="T997" s="53" t="str">
        <f t="shared" si="223"/>
        <v/>
      </c>
    </row>
    <row r="998" spans="1:20">
      <c r="A998" s="47" t="str">
        <f>IF(archive!E998="","",archive!E998)</f>
        <v/>
      </c>
      <c r="B998" s="48" t="str">
        <f t="shared" si="210"/>
        <v/>
      </c>
      <c r="C998" s="49" t="str">
        <f>IF(archive!F998="","",archive!F998)</f>
        <v/>
      </c>
      <c r="D998" s="50" t="str">
        <f t="shared" si="211"/>
        <v/>
      </c>
      <c r="E998" s="50" t="str">
        <f t="shared" si="212"/>
        <v/>
      </c>
      <c r="F998" s="47" t="str">
        <f>IF(COUNTA(archive!H998:CI998)=0,"",COUNTA(archive!H998:CI998))</f>
        <v/>
      </c>
      <c r="G998" s="47" t="str">
        <f>IF(archive!G998="","",archive!G998)</f>
        <v/>
      </c>
      <c r="H998" s="51" t="str">
        <f>IF(archive!CJ998="","",archive!CJ998)</f>
        <v/>
      </c>
      <c r="I998" s="51" t="str">
        <f>IF(archive!CK998="","",archive!CK998)</f>
        <v/>
      </c>
      <c r="J998" s="47" t="str">
        <f t="shared" si="213"/>
        <v/>
      </c>
      <c r="K998" s="51" t="str">
        <f t="shared" si="214"/>
        <v/>
      </c>
      <c r="L998" s="52" t="str">
        <f t="shared" si="215"/>
        <v/>
      </c>
      <c r="M998" s="53" t="str">
        <f t="shared" si="216"/>
        <v/>
      </c>
      <c r="N998" s="53" t="str">
        <f t="shared" si="217"/>
        <v/>
      </c>
      <c r="O998" s="53" t="str">
        <f t="shared" si="218"/>
        <v/>
      </c>
      <c r="P998" s="53" t="str">
        <f t="shared" si="219"/>
        <v/>
      </c>
      <c r="Q998" s="53" t="str">
        <f t="shared" si="220"/>
        <v/>
      </c>
      <c r="R998" s="53" t="str">
        <f t="shared" si="221"/>
        <v/>
      </c>
      <c r="S998" s="53" t="str">
        <f t="shared" si="222"/>
        <v/>
      </c>
      <c r="T998" s="53" t="str">
        <f t="shared" si="223"/>
        <v/>
      </c>
    </row>
    <row r="999" spans="1:20">
      <c r="A999" s="47" t="str">
        <f>IF(archive!E999="","",archive!E999)</f>
        <v/>
      </c>
      <c r="B999" s="48" t="str">
        <f t="shared" si="210"/>
        <v/>
      </c>
      <c r="C999" s="49" t="str">
        <f>IF(archive!F999="","",archive!F999)</f>
        <v/>
      </c>
      <c r="D999" s="50" t="str">
        <f t="shared" si="211"/>
        <v/>
      </c>
      <c r="E999" s="50" t="str">
        <f t="shared" si="212"/>
        <v/>
      </c>
      <c r="F999" s="47" t="str">
        <f>IF(COUNTA(archive!H999:CI999)=0,"",COUNTA(archive!H999:CI999))</f>
        <v/>
      </c>
      <c r="G999" s="47" t="str">
        <f>IF(archive!G999="","",archive!G999)</f>
        <v/>
      </c>
      <c r="H999" s="51" t="str">
        <f>IF(archive!CJ999="","",archive!CJ999)</f>
        <v/>
      </c>
      <c r="I999" s="51" t="str">
        <f>IF(archive!CK999="","",archive!CK999)</f>
        <v/>
      </c>
      <c r="J999" s="47" t="str">
        <f t="shared" si="213"/>
        <v/>
      </c>
      <c r="K999" s="51" t="str">
        <f t="shared" si="214"/>
        <v/>
      </c>
      <c r="L999" s="52" t="str">
        <f t="shared" si="215"/>
        <v/>
      </c>
      <c r="M999" s="53" t="str">
        <f t="shared" si="216"/>
        <v/>
      </c>
      <c r="N999" s="53" t="str">
        <f t="shared" si="217"/>
        <v/>
      </c>
      <c r="O999" s="53" t="str">
        <f t="shared" si="218"/>
        <v/>
      </c>
      <c r="P999" s="53" t="str">
        <f t="shared" si="219"/>
        <v/>
      </c>
      <c r="Q999" s="53" t="str">
        <f t="shared" si="220"/>
        <v/>
      </c>
      <c r="R999" s="53" t="str">
        <f t="shared" si="221"/>
        <v/>
      </c>
      <c r="S999" s="53" t="str">
        <f t="shared" si="222"/>
        <v/>
      </c>
      <c r="T999" s="53" t="str">
        <f t="shared" si="223"/>
        <v/>
      </c>
    </row>
    <row r="1000" spans="1:20">
      <c r="A1000" s="47" t="str">
        <f>IF(archive!E1000="","",archive!E1000)</f>
        <v/>
      </c>
      <c r="B1000" s="48" t="str">
        <f t="shared" si="210"/>
        <v/>
      </c>
      <c r="C1000" s="49" t="str">
        <f>IF(archive!F1000="","",archive!F1000)</f>
        <v/>
      </c>
      <c r="D1000" s="50" t="str">
        <f t="shared" si="211"/>
        <v/>
      </c>
      <c r="E1000" s="50" t="str">
        <f t="shared" si="212"/>
        <v/>
      </c>
      <c r="F1000" s="47" t="str">
        <f>IF(COUNTA(archive!H1000:CI1000)=0,"",COUNTA(archive!H1000:CI1000))</f>
        <v/>
      </c>
      <c r="G1000" s="47" t="str">
        <f>IF(archive!G1000="","",archive!G1000)</f>
        <v/>
      </c>
      <c r="H1000" s="51" t="str">
        <f>IF(archive!CJ1000="","",archive!CJ1000)</f>
        <v/>
      </c>
      <c r="I1000" s="51" t="str">
        <f>IF(archive!CK1000="","",archive!CK1000)</f>
        <v/>
      </c>
      <c r="J1000" s="47" t="str">
        <f t="shared" si="213"/>
        <v/>
      </c>
      <c r="K1000" s="51" t="str">
        <f t="shared" si="214"/>
        <v/>
      </c>
      <c r="L1000" s="52" t="str">
        <f t="shared" si="215"/>
        <v/>
      </c>
      <c r="M1000" s="53" t="str">
        <f t="shared" si="216"/>
        <v/>
      </c>
      <c r="N1000" s="53" t="str">
        <f t="shared" si="217"/>
        <v/>
      </c>
      <c r="O1000" s="53" t="str">
        <f t="shared" si="218"/>
        <v/>
      </c>
      <c r="P1000" s="53" t="str">
        <f t="shared" si="219"/>
        <v/>
      </c>
      <c r="Q1000" s="53" t="str">
        <f t="shared" si="220"/>
        <v/>
      </c>
      <c r="R1000" s="53" t="str">
        <f t="shared" si="221"/>
        <v/>
      </c>
      <c r="S1000" s="53" t="str">
        <f t="shared" si="222"/>
        <v/>
      </c>
      <c r="T1000" s="53" t="str">
        <f t="shared" si="223"/>
        <v/>
      </c>
    </row>
    <row r="1001" spans="1:20">
      <c r="A1001" s="47" t="str">
        <f>IF(archive!E1001="","",archive!E1001)</f>
        <v/>
      </c>
      <c r="B1001" s="48" t="str">
        <f t="shared" si="210"/>
        <v/>
      </c>
      <c r="C1001" s="49" t="str">
        <f>IF(archive!F1001="","",archive!F1001)</f>
        <v/>
      </c>
      <c r="D1001" s="50" t="str">
        <f t="shared" si="211"/>
        <v/>
      </c>
      <c r="E1001" s="50" t="str">
        <f t="shared" si="212"/>
        <v/>
      </c>
      <c r="F1001" s="47" t="str">
        <f>IF(COUNTA(archive!H1001:CI1001)=0,"",COUNTA(archive!H1001:CI1001))</f>
        <v/>
      </c>
      <c r="G1001" s="47" t="str">
        <f>IF(archive!G1001="","",archive!G1001)</f>
        <v/>
      </c>
      <c r="H1001" s="51" t="str">
        <f>IF(archive!CJ1001="","",archive!CJ1001)</f>
        <v/>
      </c>
      <c r="I1001" s="51" t="str">
        <f>IF(archive!CK1001="","",archive!CK1001)</f>
        <v/>
      </c>
      <c r="J1001" s="47" t="str">
        <f t="shared" si="213"/>
        <v/>
      </c>
      <c r="K1001" s="51" t="str">
        <f t="shared" si="214"/>
        <v/>
      </c>
      <c r="L1001" s="52" t="str">
        <f t="shared" si="215"/>
        <v/>
      </c>
      <c r="M1001" s="53" t="str">
        <f t="shared" si="216"/>
        <v/>
      </c>
      <c r="N1001" s="53" t="str">
        <f t="shared" si="217"/>
        <v/>
      </c>
      <c r="O1001" s="53" t="str">
        <f t="shared" si="218"/>
        <v/>
      </c>
      <c r="P1001" s="53" t="str">
        <f t="shared" si="219"/>
        <v/>
      </c>
      <c r="Q1001" s="53" t="str">
        <f t="shared" si="220"/>
        <v/>
      </c>
      <c r="R1001" s="53" t="str">
        <f t="shared" si="221"/>
        <v/>
      </c>
      <c r="S1001" s="53" t="str">
        <f t="shared" si="222"/>
        <v/>
      </c>
      <c r="T1001" s="53" t="str">
        <f t="shared" si="223"/>
        <v/>
      </c>
    </row>
    <row r="1002" spans="1:20">
      <c r="A1002" s="47" t="str">
        <f>IF(archive!E1002="","",archive!E1002)</f>
        <v/>
      </c>
      <c r="B1002" s="48" t="str">
        <f t="shared" si="210"/>
        <v/>
      </c>
      <c r="C1002" s="49" t="str">
        <f>IF(archive!F1002="","",archive!F1002)</f>
        <v/>
      </c>
      <c r="D1002" s="50" t="str">
        <f t="shared" si="211"/>
        <v/>
      </c>
      <c r="E1002" s="50" t="str">
        <f t="shared" si="212"/>
        <v/>
      </c>
      <c r="F1002" s="47" t="str">
        <f>IF(COUNTA(archive!H1002:CI1002)=0,"",COUNTA(archive!H1002:CI1002))</f>
        <v/>
      </c>
      <c r="G1002" s="47" t="str">
        <f>IF(archive!G1002="","",archive!G1002)</f>
        <v/>
      </c>
      <c r="H1002" s="51" t="str">
        <f>IF(archive!CJ1002="","",archive!CJ1002)</f>
        <v/>
      </c>
      <c r="I1002" s="51" t="str">
        <f>IF(archive!CK1002="","",archive!CK1002)</f>
        <v/>
      </c>
      <c r="J1002" s="47" t="str">
        <f t="shared" si="213"/>
        <v/>
      </c>
      <c r="K1002" s="51" t="str">
        <f t="shared" si="214"/>
        <v/>
      </c>
      <c r="L1002" s="52" t="str">
        <f t="shared" si="215"/>
        <v/>
      </c>
      <c r="M1002" s="53" t="str">
        <f t="shared" si="216"/>
        <v/>
      </c>
      <c r="N1002" s="53" t="str">
        <f t="shared" si="217"/>
        <v/>
      </c>
      <c r="O1002" s="53" t="str">
        <f t="shared" si="218"/>
        <v/>
      </c>
      <c r="P1002" s="53" t="str">
        <f t="shared" si="219"/>
        <v/>
      </c>
      <c r="Q1002" s="53" t="str">
        <f t="shared" si="220"/>
        <v/>
      </c>
      <c r="R1002" s="53" t="str">
        <f t="shared" si="221"/>
        <v/>
      </c>
      <c r="S1002" s="53" t="str">
        <f t="shared" si="222"/>
        <v/>
      </c>
      <c r="T1002" s="53" t="str">
        <f t="shared" si="223"/>
        <v/>
      </c>
    </row>
    <row r="1003" spans="1:20">
      <c r="A1003" s="47" t="str">
        <f>IF(archive!E1003="","",archive!E1003)</f>
        <v/>
      </c>
      <c r="B1003" s="48" t="str">
        <f t="shared" si="210"/>
        <v/>
      </c>
      <c r="C1003" s="49" t="str">
        <f>IF(archive!F1003="","",archive!F1003)</f>
        <v/>
      </c>
      <c r="D1003" s="50" t="str">
        <f t="shared" si="211"/>
        <v/>
      </c>
      <c r="E1003" s="50" t="str">
        <f t="shared" si="212"/>
        <v/>
      </c>
      <c r="F1003" s="47" t="str">
        <f>IF(COUNTA(archive!H1003:CI1003)=0,"",COUNTA(archive!H1003:CI1003))</f>
        <v/>
      </c>
      <c r="G1003" s="47" t="str">
        <f>IF(archive!G1003="","",archive!G1003)</f>
        <v/>
      </c>
      <c r="H1003" s="51" t="str">
        <f>IF(archive!CJ1003="","",archive!CJ1003)</f>
        <v/>
      </c>
      <c r="I1003" s="51" t="str">
        <f>IF(archive!CK1003="","",archive!CK1003)</f>
        <v/>
      </c>
      <c r="J1003" s="47" t="str">
        <f t="shared" si="213"/>
        <v/>
      </c>
      <c r="K1003" s="51" t="str">
        <f t="shared" si="214"/>
        <v/>
      </c>
      <c r="L1003" s="52" t="str">
        <f t="shared" si="215"/>
        <v/>
      </c>
      <c r="M1003" s="53" t="str">
        <f t="shared" si="216"/>
        <v/>
      </c>
      <c r="N1003" s="53" t="str">
        <f t="shared" si="217"/>
        <v/>
      </c>
      <c r="O1003" s="53" t="str">
        <f t="shared" si="218"/>
        <v/>
      </c>
      <c r="P1003" s="53" t="str">
        <f t="shared" si="219"/>
        <v/>
      </c>
      <c r="Q1003" s="53" t="str">
        <f t="shared" si="220"/>
        <v/>
      </c>
      <c r="R1003" s="53" t="str">
        <f t="shared" si="221"/>
        <v/>
      </c>
      <c r="S1003" s="53" t="str">
        <f t="shared" si="222"/>
        <v/>
      </c>
      <c r="T1003" s="53" t="str">
        <f t="shared" si="223"/>
        <v/>
      </c>
    </row>
    <row r="1004" spans="1:20">
      <c r="A1004" s="47" t="str">
        <f>IF(archive!E1004="","",archive!E1004)</f>
        <v/>
      </c>
      <c r="B1004" s="48" t="str">
        <f t="shared" si="210"/>
        <v/>
      </c>
      <c r="C1004" s="49" t="str">
        <f>IF(archive!F1004="","",archive!F1004)</f>
        <v/>
      </c>
      <c r="D1004" s="50" t="str">
        <f t="shared" si="211"/>
        <v/>
      </c>
      <c r="E1004" s="50" t="str">
        <f t="shared" si="212"/>
        <v/>
      </c>
      <c r="F1004" s="47" t="str">
        <f>IF(COUNTA(archive!H1004:CI1004)=0,"",COUNTA(archive!H1004:CI1004))</f>
        <v/>
      </c>
      <c r="G1004" s="47" t="str">
        <f>IF(archive!G1004="","",archive!G1004)</f>
        <v/>
      </c>
      <c r="H1004" s="51" t="str">
        <f>IF(archive!CJ1004="","",archive!CJ1004)</f>
        <v/>
      </c>
      <c r="I1004" s="51" t="str">
        <f>IF(archive!CK1004="","",archive!CK1004)</f>
        <v/>
      </c>
      <c r="J1004" s="47" t="str">
        <f t="shared" si="213"/>
        <v/>
      </c>
      <c r="K1004" s="51" t="str">
        <f t="shared" si="214"/>
        <v/>
      </c>
      <c r="L1004" s="52" t="str">
        <f t="shared" si="215"/>
        <v/>
      </c>
      <c r="M1004" s="53" t="str">
        <f t="shared" si="216"/>
        <v/>
      </c>
      <c r="N1004" s="53" t="str">
        <f t="shared" si="217"/>
        <v/>
      </c>
      <c r="O1004" s="53" t="str">
        <f t="shared" si="218"/>
        <v/>
      </c>
      <c r="P1004" s="53" t="str">
        <f t="shared" si="219"/>
        <v/>
      </c>
      <c r="Q1004" s="53" t="str">
        <f t="shared" si="220"/>
        <v/>
      </c>
      <c r="R1004" s="53" t="str">
        <f t="shared" si="221"/>
        <v/>
      </c>
      <c r="S1004" s="53" t="str">
        <f t="shared" si="222"/>
        <v/>
      </c>
      <c r="T1004" s="53" t="str">
        <f t="shared" si="223"/>
        <v/>
      </c>
    </row>
    <row r="1005" spans="1:20">
      <c r="A1005" s="47" t="str">
        <f>IF(archive!E1005="","",archive!E1005)</f>
        <v/>
      </c>
      <c r="B1005" s="48" t="str">
        <f t="shared" si="210"/>
        <v/>
      </c>
      <c r="C1005" s="49" t="str">
        <f>IF(archive!F1005="","",archive!F1005)</f>
        <v/>
      </c>
      <c r="D1005" s="50" t="str">
        <f t="shared" si="211"/>
        <v/>
      </c>
      <c r="E1005" s="50" t="str">
        <f t="shared" si="212"/>
        <v/>
      </c>
      <c r="F1005" s="47" t="str">
        <f>IF(COUNTA(archive!H1005:CI1005)=0,"",COUNTA(archive!H1005:CI1005))</f>
        <v/>
      </c>
      <c r="G1005" s="47" t="str">
        <f>IF(archive!G1005="","",archive!G1005)</f>
        <v/>
      </c>
      <c r="H1005" s="51" t="str">
        <f>IF(archive!CJ1005="","",archive!CJ1005)</f>
        <v/>
      </c>
      <c r="I1005" s="51" t="str">
        <f>IF(archive!CK1005="","",archive!CK1005)</f>
        <v/>
      </c>
      <c r="J1005" s="47" t="str">
        <f t="shared" si="213"/>
        <v/>
      </c>
      <c r="K1005" s="51" t="str">
        <f t="shared" si="214"/>
        <v/>
      </c>
      <c r="L1005" s="52" t="str">
        <f t="shared" si="215"/>
        <v/>
      </c>
      <c r="M1005" s="53" t="str">
        <f t="shared" si="216"/>
        <v/>
      </c>
      <c r="N1005" s="53" t="str">
        <f t="shared" si="217"/>
        <v/>
      </c>
      <c r="O1005" s="53" t="str">
        <f t="shared" si="218"/>
        <v/>
      </c>
      <c r="P1005" s="53" t="str">
        <f t="shared" si="219"/>
        <v/>
      </c>
      <c r="Q1005" s="53" t="str">
        <f t="shared" si="220"/>
        <v/>
      </c>
      <c r="R1005" s="53" t="str">
        <f t="shared" si="221"/>
        <v/>
      </c>
      <c r="S1005" s="53" t="str">
        <f t="shared" si="222"/>
        <v/>
      </c>
      <c r="T1005" s="53" t="str">
        <f t="shared" si="223"/>
        <v/>
      </c>
    </row>
    <row r="1006" spans="1:20">
      <c r="A1006" s="47" t="str">
        <f>IF(archive!E1006="","",archive!E1006)</f>
        <v/>
      </c>
      <c r="B1006" s="48" t="str">
        <f t="shared" si="210"/>
        <v/>
      </c>
      <c r="C1006" s="49" t="str">
        <f>IF(archive!F1006="","",archive!F1006)</f>
        <v/>
      </c>
      <c r="D1006" s="50" t="str">
        <f t="shared" si="211"/>
        <v/>
      </c>
      <c r="E1006" s="50" t="str">
        <f t="shared" si="212"/>
        <v/>
      </c>
      <c r="F1006" s="47" t="str">
        <f>IF(COUNTA(archive!H1006:CI1006)=0,"",COUNTA(archive!H1006:CI1006))</f>
        <v/>
      </c>
      <c r="G1006" s="47" t="str">
        <f>IF(archive!G1006="","",archive!G1006)</f>
        <v/>
      </c>
      <c r="H1006" s="51" t="str">
        <f>IF(archive!CJ1006="","",archive!CJ1006)</f>
        <v/>
      </c>
      <c r="I1006" s="51" t="str">
        <f>IF(archive!CK1006="","",archive!CK1006)</f>
        <v/>
      </c>
      <c r="J1006" s="47" t="str">
        <f t="shared" si="213"/>
        <v/>
      </c>
      <c r="K1006" s="51" t="str">
        <f t="shared" si="214"/>
        <v/>
      </c>
      <c r="L1006" s="52" t="str">
        <f t="shared" si="215"/>
        <v/>
      </c>
      <c r="M1006" s="53" t="str">
        <f t="shared" si="216"/>
        <v/>
      </c>
      <c r="N1006" s="53" t="str">
        <f t="shared" si="217"/>
        <v/>
      </c>
      <c r="O1006" s="53" t="str">
        <f t="shared" si="218"/>
        <v/>
      </c>
      <c r="P1006" s="53" t="str">
        <f t="shared" si="219"/>
        <v/>
      </c>
      <c r="Q1006" s="53" t="str">
        <f t="shared" si="220"/>
        <v/>
      </c>
      <c r="R1006" s="53" t="str">
        <f t="shared" si="221"/>
        <v/>
      </c>
      <c r="S1006" s="53" t="str">
        <f t="shared" si="222"/>
        <v/>
      </c>
      <c r="T1006" s="53" t="str">
        <f t="shared" si="223"/>
        <v/>
      </c>
    </row>
    <row r="1007" spans="1:20">
      <c r="A1007" s="47" t="str">
        <f>IF(archive!E1007="","",archive!E1007)</f>
        <v/>
      </c>
      <c r="B1007" s="48" t="str">
        <f t="shared" si="210"/>
        <v/>
      </c>
      <c r="C1007" s="49" t="str">
        <f>IF(archive!F1007="","",archive!F1007)</f>
        <v/>
      </c>
      <c r="D1007" s="50" t="str">
        <f t="shared" si="211"/>
        <v/>
      </c>
      <c r="E1007" s="50" t="str">
        <f t="shared" si="212"/>
        <v/>
      </c>
      <c r="F1007" s="47" t="str">
        <f>IF(COUNTA(archive!H1007:CI1007)=0,"",COUNTA(archive!H1007:CI1007))</f>
        <v/>
      </c>
      <c r="G1007" s="47" t="str">
        <f>IF(archive!G1007="","",archive!G1007)</f>
        <v/>
      </c>
      <c r="H1007" s="51" t="str">
        <f>IF(archive!CJ1007="","",archive!CJ1007)</f>
        <v/>
      </c>
      <c r="I1007" s="51" t="str">
        <f>IF(archive!CK1007="","",archive!CK1007)</f>
        <v/>
      </c>
      <c r="J1007" s="47" t="str">
        <f t="shared" si="213"/>
        <v/>
      </c>
      <c r="K1007" s="51" t="str">
        <f t="shared" si="214"/>
        <v/>
      </c>
      <c r="L1007" s="52" t="str">
        <f t="shared" si="215"/>
        <v/>
      </c>
      <c r="M1007" s="53" t="str">
        <f t="shared" si="216"/>
        <v/>
      </c>
      <c r="N1007" s="53" t="str">
        <f t="shared" si="217"/>
        <v/>
      </c>
      <c r="O1007" s="53" t="str">
        <f t="shared" si="218"/>
        <v/>
      </c>
      <c r="P1007" s="53" t="str">
        <f t="shared" si="219"/>
        <v/>
      </c>
      <c r="Q1007" s="53" t="str">
        <f t="shared" si="220"/>
        <v/>
      </c>
      <c r="R1007" s="53" t="str">
        <f t="shared" si="221"/>
        <v/>
      </c>
      <c r="S1007" s="53" t="str">
        <f t="shared" si="222"/>
        <v/>
      </c>
      <c r="T1007" s="53" t="str">
        <f t="shared" si="223"/>
        <v/>
      </c>
    </row>
    <row r="1008" spans="1:20">
      <c r="A1008" s="47" t="str">
        <f>IF(archive!E1008="","",archive!E1008)</f>
        <v/>
      </c>
      <c r="B1008" s="48" t="str">
        <f t="shared" si="210"/>
        <v/>
      </c>
      <c r="C1008" s="49" t="str">
        <f>IF(archive!F1008="","",archive!F1008)</f>
        <v/>
      </c>
      <c r="D1008" s="50" t="str">
        <f t="shared" si="211"/>
        <v/>
      </c>
      <c r="E1008" s="50" t="str">
        <f t="shared" si="212"/>
        <v/>
      </c>
      <c r="F1008" s="47" t="str">
        <f>IF(COUNTA(archive!H1008:CI1008)=0,"",COUNTA(archive!H1008:CI1008))</f>
        <v/>
      </c>
      <c r="G1008" s="47" t="str">
        <f>IF(archive!G1008="","",archive!G1008)</f>
        <v/>
      </c>
      <c r="H1008" s="51" t="str">
        <f>IF(archive!CJ1008="","",archive!CJ1008)</f>
        <v/>
      </c>
      <c r="I1008" s="51" t="str">
        <f>IF(archive!CK1008="","",archive!CK1008)</f>
        <v/>
      </c>
      <c r="J1008" s="47" t="str">
        <f t="shared" si="213"/>
        <v/>
      </c>
      <c r="K1008" s="51" t="str">
        <f t="shared" si="214"/>
        <v/>
      </c>
      <c r="L1008" s="52" t="str">
        <f t="shared" si="215"/>
        <v/>
      </c>
      <c r="M1008" s="53" t="str">
        <f t="shared" si="216"/>
        <v/>
      </c>
      <c r="N1008" s="53" t="str">
        <f t="shared" si="217"/>
        <v/>
      </c>
      <c r="O1008" s="53" t="str">
        <f t="shared" si="218"/>
        <v/>
      </c>
      <c r="P1008" s="53" t="str">
        <f t="shared" si="219"/>
        <v/>
      </c>
      <c r="Q1008" s="53" t="str">
        <f t="shared" si="220"/>
        <v/>
      </c>
      <c r="R1008" s="53" t="str">
        <f t="shared" si="221"/>
        <v/>
      </c>
      <c r="S1008" s="53" t="str">
        <f t="shared" si="222"/>
        <v/>
      </c>
      <c r="T1008" s="53" t="str">
        <f t="shared" si="223"/>
        <v/>
      </c>
    </row>
    <row r="1009" spans="1:20">
      <c r="A1009" s="47" t="str">
        <f>IF(archive!E1009="","",archive!E1009)</f>
        <v/>
      </c>
      <c r="B1009" s="48" t="str">
        <f t="shared" si="210"/>
        <v/>
      </c>
      <c r="C1009" s="49" t="str">
        <f>IF(archive!F1009="","",archive!F1009)</f>
        <v/>
      </c>
      <c r="D1009" s="50" t="str">
        <f t="shared" si="211"/>
        <v/>
      </c>
      <c r="E1009" s="50" t="str">
        <f t="shared" si="212"/>
        <v/>
      </c>
      <c r="F1009" s="47" t="str">
        <f>IF(COUNTA(archive!H1009:CI1009)=0,"",COUNTA(archive!H1009:CI1009))</f>
        <v/>
      </c>
      <c r="G1009" s="47" t="str">
        <f>IF(archive!G1009="","",archive!G1009)</f>
        <v/>
      </c>
      <c r="H1009" s="51" t="str">
        <f>IF(archive!CJ1009="","",archive!CJ1009)</f>
        <v/>
      </c>
      <c r="I1009" s="51" t="str">
        <f>IF(archive!CK1009="","",archive!CK1009)</f>
        <v/>
      </c>
      <c r="J1009" s="47" t="str">
        <f t="shared" si="213"/>
        <v/>
      </c>
      <c r="K1009" s="51" t="str">
        <f t="shared" si="214"/>
        <v/>
      </c>
      <c r="L1009" s="52" t="str">
        <f t="shared" si="215"/>
        <v/>
      </c>
      <c r="M1009" s="53" t="str">
        <f t="shared" si="216"/>
        <v/>
      </c>
      <c r="N1009" s="53" t="str">
        <f t="shared" si="217"/>
        <v/>
      </c>
      <c r="O1009" s="53" t="str">
        <f t="shared" si="218"/>
        <v/>
      </c>
      <c r="P1009" s="53" t="str">
        <f t="shared" si="219"/>
        <v/>
      </c>
      <c r="Q1009" s="53" t="str">
        <f t="shared" si="220"/>
        <v/>
      </c>
      <c r="R1009" s="53" t="str">
        <f t="shared" si="221"/>
        <v/>
      </c>
      <c r="S1009" s="53" t="str">
        <f t="shared" si="222"/>
        <v/>
      </c>
      <c r="T1009" s="53" t="str">
        <f t="shared" si="223"/>
        <v/>
      </c>
    </row>
    <row r="1010" spans="1:20">
      <c r="A1010" s="47" t="str">
        <f>IF(archive!E1010="","",archive!E1010)</f>
        <v/>
      </c>
      <c r="B1010" s="48" t="str">
        <f t="shared" si="210"/>
        <v/>
      </c>
      <c r="C1010" s="49" t="str">
        <f>IF(archive!F1010="","",archive!F1010)</f>
        <v/>
      </c>
      <c r="D1010" s="50" t="str">
        <f t="shared" si="211"/>
        <v/>
      </c>
      <c r="E1010" s="50" t="str">
        <f t="shared" si="212"/>
        <v/>
      </c>
      <c r="F1010" s="47" t="str">
        <f>IF(COUNTA(archive!H1010:CI1010)=0,"",COUNTA(archive!H1010:CI1010))</f>
        <v/>
      </c>
      <c r="G1010" s="47" t="str">
        <f>IF(archive!G1010="","",archive!G1010)</f>
        <v/>
      </c>
      <c r="H1010" s="51" t="str">
        <f>IF(archive!CJ1010="","",archive!CJ1010)</f>
        <v/>
      </c>
      <c r="I1010" s="51" t="str">
        <f>IF(archive!CK1010="","",archive!CK1010)</f>
        <v/>
      </c>
      <c r="J1010" s="47" t="str">
        <f t="shared" si="213"/>
        <v/>
      </c>
      <c r="K1010" s="51" t="str">
        <f t="shared" si="214"/>
        <v/>
      </c>
      <c r="L1010" s="52" t="str">
        <f t="shared" si="215"/>
        <v/>
      </c>
      <c r="M1010" s="53" t="str">
        <f t="shared" si="216"/>
        <v/>
      </c>
      <c r="N1010" s="53" t="str">
        <f t="shared" si="217"/>
        <v/>
      </c>
      <c r="O1010" s="53" t="str">
        <f t="shared" si="218"/>
        <v/>
      </c>
      <c r="P1010" s="53" t="str">
        <f t="shared" si="219"/>
        <v/>
      </c>
      <c r="Q1010" s="53" t="str">
        <f t="shared" si="220"/>
        <v/>
      </c>
      <c r="R1010" s="53" t="str">
        <f t="shared" si="221"/>
        <v/>
      </c>
      <c r="S1010" s="53" t="str">
        <f t="shared" si="222"/>
        <v/>
      </c>
      <c r="T1010" s="53" t="str">
        <f t="shared" si="223"/>
        <v/>
      </c>
    </row>
    <row r="1011" spans="1:20">
      <c r="A1011" s="47" t="str">
        <f>IF(archive!E1011="","",archive!E1011)</f>
        <v/>
      </c>
      <c r="B1011" s="48" t="str">
        <f t="shared" si="210"/>
        <v/>
      </c>
      <c r="C1011" s="49" t="str">
        <f>IF(archive!F1011="","",archive!F1011)</f>
        <v/>
      </c>
      <c r="D1011" s="50" t="str">
        <f t="shared" si="211"/>
        <v/>
      </c>
      <c r="E1011" s="50" t="str">
        <f t="shared" si="212"/>
        <v/>
      </c>
      <c r="F1011" s="47" t="str">
        <f>IF(COUNTA(archive!H1011:CI1011)=0,"",COUNTA(archive!H1011:CI1011))</f>
        <v/>
      </c>
      <c r="G1011" s="47" t="str">
        <f>IF(archive!G1011="","",archive!G1011)</f>
        <v/>
      </c>
      <c r="H1011" s="51" t="str">
        <f>IF(archive!CJ1011="","",archive!CJ1011)</f>
        <v/>
      </c>
      <c r="I1011" s="51" t="str">
        <f>IF(archive!CK1011="","",archive!CK1011)</f>
        <v/>
      </c>
      <c r="J1011" s="47" t="str">
        <f t="shared" si="213"/>
        <v/>
      </c>
      <c r="K1011" s="51" t="str">
        <f t="shared" si="214"/>
        <v/>
      </c>
      <c r="L1011" s="52" t="str">
        <f t="shared" si="215"/>
        <v/>
      </c>
      <c r="M1011" s="53" t="str">
        <f t="shared" si="216"/>
        <v/>
      </c>
      <c r="N1011" s="53" t="str">
        <f t="shared" si="217"/>
        <v/>
      </c>
      <c r="O1011" s="53" t="str">
        <f t="shared" si="218"/>
        <v/>
      </c>
      <c r="P1011" s="53" t="str">
        <f t="shared" si="219"/>
        <v/>
      </c>
      <c r="Q1011" s="53" t="str">
        <f t="shared" si="220"/>
        <v/>
      </c>
      <c r="R1011" s="53" t="str">
        <f t="shared" si="221"/>
        <v/>
      </c>
      <c r="S1011" s="53" t="str">
        <f t="shared" si="222"/>
        <v/>
      </c>
      <c r="T1011" s="53" t="str">
        <f t="shared" si="223"/>
        <v/>
      </c>
    </row>
    <row r="1012" spans="1:20">
      <c r="A1012" s="47" t="str">
        <f>IF(archive!E1012="","",archive!E1012)</f>
        <v/>
      </c>
      <c r="B1012" s="48" t="str">
        <f t="shared" si="210"/>
        <v/>
      </c>
      <c r="C1012" s="49" t="str">
        <f>IF(archive!F1012="","",archive!F1012)</f>
        <v/>
      </c>
      <c r="D1012" s="50" t="str">
        <f t="shared" si="211"/>
        <v/>
      </c>
      <c r="E1012" s="50" t="str">
        <f t="shared" si="212"/>
        <v/>
      </c>
      <c r="F1012" s="47" t="str">
        <f>IF(COUNTA(archive!H1012:CI1012)=0,"",COUNTA(archive!H1012:CI1012))</f>
        <v/>
      </c>
      <c r="G1012" s="47" t="str">
        <f>IF(archive!G1012="","",archive!G1012)</f>
        <v/>
      </c>
      <c r="H1012" s="51" t="str">
        <f>IF(archive!CJ1012="","",archive!CJ1012)</f>
        <v/>
      </c>
      <c r="I1012" s="51" t="str">
        <f>IF(archive!CK1012="","",archive!CK1012)</f>
        <v/>
      </c>
      <c r="J1012" s="47" t="str">
        <f t="shared" si="213"/>
        <v/>
      </c>
      <c r="K1012" s="51" t="str">
        <f t="shared" si="214"/>
        <v/>
      </c>
      <c r="L1012" s="52" t="str">
        <f t="shared" si="215"/>
        <v/>
      </c>
      <c r="M1012" s="53" t="str">
        <f t="shared" si="216"/>
        <v/>
      </c>
      <c r="N1012" s="53" t="str">
        <f t="shared" si="217"/>
        <v/>
      </c>
      <c r="O1012" s="53" t="str">
        <f t="shared" si="218"/>
        <v/>
      </c>
      <c r="P1012" s="53" t="str">
        <f t="shared" si="219"/>
        <v/>
      </c>
      <c r="Q1012" s="53" t="str">
        <f t="shared" si="220"/>
        <v/>
      </c>
      <c r="R1012" s="53" t="str">
        <f t="shared" si="221"/>
        <v/>
      </c>
      <c r="S1012" s="53" t="str">
        <f t="shared" si="222"/>
        <v/>
      </c>
      <c r="T1012" s="53" t="str">
        <f t="shared" si="223"/>
        <v/>
      </c>
    </row>
    <row r="1013" spans="1:20">
      <c r="A1013" s="47" t="str">
        <f>IF(archive!E1013="","",archive!E1013)</f>
        <v/>
      </c>
      <c r="B1013" s="48" t="str">
        <f t="shared" si="210"/>
        <v/>
      </c>
      <c r="C1013" s="49" t="str">
        <f>IF(archive!F1013="","",archive!F1013)</f>
        <v/>
      </c>
      <c r="D1013" s="50" t="str">
        <f t="shared" si="211"/>
        <v/>
      </c>
      <c r="E1013" s="50" t="str">
        <f t="shared" si="212"/>
        <v/>
      </c>
      <c r="F1013" s="47" t="str">
        <f>IF(COUNTA(archive!H1013:CI1013)=0,"",COUNTA(archive!H1013:CI1013))</f>
        <v/>
      </c>
      <c r="G1013" s="47" t="str">
        <f>IF(archive!G1013="","",archive!G1013)</f>
        <v/>
      </c>
      <c r="H1013" s="51" t="str">
        <f>IF(archive!CJ1013="","",archive!CJ1013)</f>
        <v/>
      </c>
      <c r="I1013" s="51" t="str">
        <f>IF(archive!CK1013="","",archive!CK1013)</f>
        <v/>
      </c>
      <c r="J1013" s="47" t="str">
        <f t="shared" si="213"/>
        <v/>
      </c>
      <c r="K1013" s="51" t="str">
        <f t="shared" si="214"/>
        <v/>
      </c>
      <c r="L1013" s="52" t="str">
        <f t="shared" si="215"/>
        <v/>
      </c>
      <c r="M1013" s="53" t="str">
        <f t="shared" si="216"/>
        <v/>
      </c>
      <c r="N1013" s="53" t="str">
        <f t="shared" si="217"/>
        <v/>
      </c>
      <c r="O1013" s="53" t="str">
        <f t="shared" si="218"/>
        <v/>
      </c>
      <c r="P1013" s="53" t="str">
        <f t="shared" si="219"/>
        <v/>
      </c>
      <c r="Q1013" s="53" t="str">
        <f t="shared" si="220"/>
        <v/>
      </c>
      <c r="R1013" s="53" t="str">
        <f t="shared" si="221"/>
        <v/>
      </c>
      <c r="S1013" s="53" t="str">
        <f t="shared" si="222"/>
        <v/>
      </c>
      <c r="T1013" s="53" t="str">
        <f t="shared" si="223"/>
        <v/>
      </c>
    </row>
    <row r="1014" spans="1:20">
      <c r="A1014" s="47" t="str">
        <f>IF(archive!E1014="","",archive!E1014)</f>
        <v/>
      </c>
      <c r="B1014" s="48" t="str">
        <f t="shared" si="210"/>
        <v/>
      </c>
      <c r="C1014" s="49" t="str">
        <f>IF(archive!F1014="","",archive!F1014)</f>
        <v/>
      </c>
      <c r="D1014" s="50" t="str">
        <f t="shared" si="211"/>
        <v/>
      </c>
      <c r="E1014" s="50" t="str">
        <f t="shared" si="212"/>
        <v/>
      </c>
      <c r="F1014" s="47" t="str">
        <f>IF(COUNTA(archive!H1014:CI1014)=0,"",COUNTA(archive!H1014:CI1014))</f>
        <v/>
      </c>
      <c r="G1014" s="47" t="str">
        <f>IF(archive!G1014="","",archive!G1014)</f>
        <v/>
      </c>
      <c r="H1014" s="51" t="str">
        <f>IF(archive!CJ1014="","",archive!CJ1014)</f>
        <v/>
      </c>
      <c r="I1014" s="51" t="str">
        <f>IF(archive!CK1014="","",archive!CK1014)</f>
        <v/>
      </c>
      <c r="J1014" s="47" t="str">
        <f t="shared" si="213"/>
        <v/>
      </c>
      <c r="K1014" s="51" t="str">
        <f t="shared" si="214"/>
        <v/>
      </c>
      <c r="L1014" s="52" t="str">
        <f t="shared" si="215"/>
        <v/>
      </c>
      <c r="M1014" s="53" t="str">
        <f t="shared" si="216"/>
        <v/>
      </c>
      <c r="N1014" s="53" t="str">
        <f t="shared" si="217"/>
        <v/>
      </c>
      <c r="O1014" s="53" t="str">
        <f t="shared" si="218"/>
        <v/>
      </c>
      <c r="P1014" s="53" t="str">
        <f t="shared" si="219"/>
        <v/>
      </c>
      <c r="Q1014" s="53" t="str">
        <f t="shared" si="220"/>
        <v/>
      </c>
      <c r="R1014" s="53" t="str">
        <f t="shared" si="221"/>
        <v/>
      </c>
      <c r="S1014" s="53" t="str">
        <f t="shared" si="222"/>
        <v/>
      </c>
      <c r="T1014" s="53" t="str">
        <f t="shared" si="223"/>
        <v/>
      </c>
    </row>
    <row r="1015" spans="1:20">
      <c r="A1015" s="47" t="str">
        <f>IF(archive!E1015="","",archive!E1015)</f>
        <v/>
      </c>
      <c r="B1015" s="48" t="str">
        <f t="shared" si="210"/>
        <v/>
      </c>
      <c r="C1015" s="49" t="str">
        <f>IF(archive!F1015="","",archive!F1015)</f>
        <v/>
      </c>
      <c r="D1015" s="50" t="str">
        <f t="shared" si="211"/>
        <v/>
      </c>
      <c r="E1015" s="50" t="str">
        <f t="shared" si="212"/>
        <v/>
      </c>
      <c r="F1015" s="47" t="str">
        <f>IF(COUNTA(archive!H1015:CI1015)=0,"",COUNTA(archive!H1015:CI1015))</f>
        <v/>
      </c>
      <c r="G1015" s="47" t="str">
        <f>IF(archive!G1015="","",archive!G1015)</f>
        <v/>
      </c>
      <c r="H1015" s="51" t="str">
        <f>IF(archive!CJ1015="","",archive!CJ1015)</f>
        <v/>
      </c>
      <c r="I1015" s="51" t="str">
        <f>IF(archive!CK1015="","",archive!CK1015)</f>
        <v/>
      </c>
      <c r="J1015" s="47" t="str">
        <f t="shared" si="213"/>
        <v/>
      </c>
      <c r="K1015" s="51" t="str">
        <f t="shared" si="214"/>
        <v/>
      </c>
      <c r="L1015" s="52" t="str">
        <f t="shared" si="215"/>
        <v/>
      </c>
      <c r="M1015" s="53" t="str">
        <f t="shared" si="216"/>
        <v/>
      </c>
      <c r="N1015" s="53" t="str">
        <f t="shared" si="217"/>
        <v/>
      </c>
      <c r="O1015" s="53" t="str">
        <f t="shared" si="218"/>
        <v/>
      </c>
      <c r="P1015" s="53" t="str">
        <f t="shared" si="219"/>
        <v/>
      </c>
      <c r="Q1015" s="53" t="str">
        <f t="shared" si="220"/>
        <v/>
      </c>
      <c r="R1015" s="53" t="str">
        <f t="shared" si="221"/>
        <v/>
      </c>
      <c r="S1015" s="53" t="str">
        <f t="shared" si="222"/>
        <v/>
      </c>
      <c r="T1015" s="53" t="str">
        <f t="shared" si="223"/>
        <v/>
      </c>
    </row>
    <row r="1016" spans="1:20">
      <c r="A1016" s="47" t="str">
        <f>IF(archive!E1016="","",archive!E1016)</f>
        <v/>
      </c>
      <c r="B1016" s="48" t="str">
        <f t="shared" si="210"/>
        <v/>
      </c>
      <c r="C1016" s="49" t="str">
        <f>IF(archive!F1016="","",archive!F1016)</f>
        <v/>
      </c>
      <c r="D1016" s="50" t="str">
        <f t="shared" si="211"/>
        <v/>
      </c>
      <c r="E1016" s="50" t="str">
        <f t="shared" si="212"/>
        <v/>
      </c>
      <c r="F1016" s="47" t="str">
        <f>IF(COUNTA(archive!H1016:CI1016)=0,"",COUNTA(archive!H1016:CI1016))</f>
        <v/>
      </c>
      <c r="G1016" s="47" t="str">
        <f>IF(archive!G1016="","",archive!G1016)</f>
        <v/>
      </c>
      <c r="H1016" s="51" t="str">
        <f>IF(archive!CJ1016="","",archive!CJ1016)</f>
        <v/>
      </c>
      <c r="I1016" s="51" t="str">
        <f>IF(archive!CK1016="","",archive!CK1016)</f>
        <v/>
      </c>
      <c r="J1016" s="47" t="str">
        <f t="shared" si="213"/>
        <v/>
      </c>
      <c r="K1016" s="51" t="str">
        <f t="shared" si="214"/>
        <v/>
      </c>
      <c r="L1016" s="52" t="str">
        <f t="shared" si="215"/>
        <v/>
      </c>
      <c r="M1016" s="53" t="str">
        <f t="shared" si="216"/>
        <v/>
      </c>
      <c r="N1016" s="53" t="str">
        <f t="shared" si="217"/>
        <v/>
      </c>
      <c r="O1016" s="53" t="str">
        <f t="shared" si="218"/>
        <v/>
      </c>
      <c r="P1016" s="53" t="str">
        <f t="shared" si="219"/>
        <v/>
      </c>
      <c r="Q1016" s="53" t="str">
        <f t="shared" si="220"/>
        <v/>
      </c>
      <c r="R1016" s="53" t="str">
        <f t="shared" si="221"/>
        <v/>
      </c>
      <c r="S1016" s="53" t="str">
        <f t="shared" si="222"/>
        <v/>
      </c>
      <c r="T1016" s="53" t="str">
        <f t="shared" si="223"/>
        <v/>
      </c>
    </row>
    <row r="1017" spans="1:20">
      <c r="A1017" s="47" t="str">
        <f>IF(archive!E1017="","",archive!E1017)</f>
        <v/>
      </c>
      <c r="B1017" s="48" t="str">
        <f t="shared" si="210"/>
        <v/>
      </c>
      <c r="C1017" s="49" t="str">
        <f>IF(archive!F1017="","",archive!F1017)</f>
        <v/>
      </c>
      <c r="D1017" s="50" t="str">
        <f t="shared" si="211"/>
        <v/>
      </c>
      <c r="E1017" s="50" t="str">
        <f t="shared" si="212"/>
        <v/>
      </c>
      <c r="F1017" s="47" t="str">
        <f>IF(COUNTA(archive!H1017:CI1017)=0,"",COUNTA(archive!H1017:CI1017))</f>
        <v/>
      </c>
      <c r="G1017" s="47" t="str">
        <f>IF(archive!G1017="","",archive!G1017)</f>
        <v/>
      </c>
      <c r="H1017" s="51" t="str">
        <f>IF(archive!CJ1017="","",archive!CJ1017)</f>
        <v/>
      </c>
      <c r="I1017" s="51" t="str">
        <f>IF(archive!CK1017="","",archive!CK1017)</f>
        <v/>
      </c>
      <c r="J1017" s="47" t="str">
        <f t="shared" si="213"/>
        <v/>
      </c>
      <c r="K1017" s="51" t="str">
        <f t="shared" si="214"/>
        <v/>
      </c>
      <c r="L1017" s="52" t="str">
        <f t="shared" si="215"/>
        <v/>
      </c>
      <c r="M1017" s="53" t="str">
        <f t="shared" si="216"/>
        <v/>
      </c>
      <c r="N1017" s="53" t="str">
        <f t="shared" si="217"/>
        <v/>
      </c>
      <c r="O1017" s="53" t="str">
        <f t="shared" si="218"/>
        <v/>
      </c>
      <c r="P1017" s="53" t="str">
        <f t="shared" si="219"/>
        <v/>
      </c>
      <c r="Q1017" s="53" t="str">
        <f t="shared" si="220"/>
        <v/>
      </c>
      <c r="R1017" s="53" t="str">
        <f t="shared" si="221"/>
        <v/>
      </c>
      <c r="S1017" s="53" t="str">
        <f t="shared" si="222"/>
        <v/>
      </c>
      <c r="T1017" s="53" t="str">
        <f t="shared" si="223"/>
        <v/>
      </c>
    </row>
    <row r="1018" spans="1:20">
      <c r="A1018" s="47" t="str">
        <f>IF(archive!E1018="","",archive!E1018)</f>
        <v/>
      </c>
      <c r="B1018" s="48" t="str">
        <f t="shared" si="210"/>
        <v/>
      </c>
      <c r="C1018" s="49" t="str">
        <f>IF(archive!F1018="","",archive!F1018)</f>
        <v/>
      </c>
      <c r="D1018" s="50" t="str">
        <f t="shared" si="211"/>
        <v/>
      </c>
      <c r="E1018" s="50" t="str">
        <f t="shared" si="212"/>
        <v/>
      </c>
      <c r="F1018" s="47" t="str">
        <f>IF(COUNTA(archive!H1018:CI1018)=0,"",COUNTA(archive!H1018:CI1018))</f>
        <v/>
      </c>
      <c r="G1018" s="47" t="str">
        <f>IF(archive!G1018="","",archive!G1018)</f>
        <v/>
      </c>
      <c r="H1018" s="51" t="str">
        <f>IF(archive!CJ1018="","",archive!CJ1018)</f>
        <v/>
      </c>
      <c r="I1018" s="51" t="str">
        <f>IF(archive!CK1018="","",archive!CK1018)</f>
        <v/>
      </c>
      <c r="J1018" s="47" t="str">
        <f t="shared" si="213"/>
        <v/>
      </c>
      <c r="K1018" s="51" t="str">
        <f t="shared" si="214"/>
        <v/>
      </c>
      <c r="L1018" s="52" t="str">
        <f t="shared" si="215"/>
        <v/>
      </c>
      <c r="M1018" s="53" t="str">
        <f t="shared" si="216"/>
        <v/>
      </c>
      <c r="N1018" s="53" t="str">
        <f t="shared" si="217"/>
        <v/>
      </c>
      <c r="O1018" s="53" t="str">
        <f t="shared" si="218"/>
        <v/>
      </c>
      <c r="P1018" s="53" t="str">
        <f t="shared" si="219"/>
        <v/>
      </c>
      <c r="Q1018" s="53" t="str">
        <f t="shared" si="220"/>
        <v/>
      </c>
      <c r="R1018" s="53" t="str">
        <f t="shared" si="221"/>
        <v/>
      </c>
      <c r="S1018" s="53" t="str">
        <f t="shared" si="222"/>
        <v/>
      </c>
      <c r="T1018" s="53" t="str">
        <f t="shared" si="223"/>
        <v/>
      </c>
    </row>
    <row r="1019" spans="1:20">
      <c r="A1019" s="47" t="str">
        <f>IF(archive!E1019="","",archive!E1019)</f>
        <v/>
      </c>
      <c r="B1019" s="48" t="str">
        <f t="shared" si="210"/>
        <v/>
      </c>
      <c r="C1019" s="49" t="str">
        <f>IF(archive!F1019="","",archive!F1019)</f>
        <v/>
      </c>
      <c r="D1019" s="50" t="str">
        <f t="shared" si="211"/>
        <v/>
      </c>
      <c r="E1019" s="50" t="str">
        <f t="shared" si="212"/>
        <v/>
      </c>
      <c r="F1019" s="47" t="str">
        <f>IF(COUNTA(archive!H1019:CI1019)=0,"",COUNTA(archive!H1019:CI1019))</f>
        <v/>
      </c>
      <c r="G1019" s="47" t="str">
        <f>IF(archive!G1019="","",archive!G1019)</f>
        <v/>
      </c>
      <c r="H1019" s="51" t="str">
        <f>IF(archive!CJ1019="","",archive!CJ1019)</f>
        <v/>
      </c>
      <c r="I1019" s="51" t="str">
        <f>IF(archive!CK1019="","",archive!CK1019)</f>
        <v/>
      </c>
      <c r="J1019" s="47" t="str">
        <f t="shared" si="213"/>
        <v/>
      </c>
      <c r="K1019" s="51" t="str">
        <f t="shared" si="214"/>
        <v/>
      </c>
      <c r="L1019" s="52" t="str">
        <f t="shared" si="215"/>
        <v/>
      </c>
      <c r="M1019" s="53" t="str">
        <f t="shared" si="216"/>
        <v/>
      </c>
      <c r="N1019" s="53" t="str">
        <f t="shared" si="217"/>
        <v/>
      </c>
      <c r="O1019" s="53" t="str">
        <f t="shared" si="218"/>
        <v/>
      </c>
      <c r="P1019" s="53" t="str">
        <f t="shared" si="219"/>
        <v/>
      </c>
      <c r="Q1019" s="53" t="str">
        <f t="shared" si="220"/>
        <v/>
      </c>
      <c r="R1019" s="53" t="str">
        <f t="shared" si="221"/>
        <v/>
      </c>
      <c r="S1019" s="53" t="str">
        <f t="shared" si="222"/>
        <v/>
      </c>
      <c r="T1019" s="53" t="str">
        <f t="shared" si="223"/>
        <v/>
      </c>
    </row>
    <row r="1020" spans="1:20">
      <c r="A1020" s="47" t="str">
        <f>IF(archive!E1020="","",archive!E1020)</f>
        <v/>
      </c>
      <c r="B1020" s="48" t="str">
        <f t="shared" si="210"/>
        <v/>
      </c>
      <c r="C1020" s="49" t="str">
        <f>IF(archive!F1020="","",archive!F1020)</f>
        <v/>
      </c>
      <c r="D1020" s="50" t="str">
        <f t="shared" si="211"/>
        <v/>
      </c>
      <c r="E1020" s="50" t="str">
        <f t="shared" si="212"/>
        <v/>
      </c>
      <c r="F1020" s="47" t="str">
        <f>IF(COUNTA(archive!H1020:CI1020)=0,"",COUNTA(archive!H1020:CI1020))</f>
        <v/>
      </c>
      <c r="G1020" s="47" t="str">
        <f>IF(archive!G1020="","",archive!G1020)</f>
        <v/>
      </c>
      <c r="H1020" s="51" t="str">
        <f>IF(archive!CJ1020="","",archive!CJ1020)</f>
        <v/>
      </c>
      <c r="I1020" s="51" t="str">
        <f>IF(archive!CK1020="","",archive!CK1020)</f>
        <v/>
      </c>
      <c r="J1020" s="47" t="str">
        <f t="shared" si="213"/>
        <v/>
      </c>
      <c r="K1020" s="51" t="str">
        <f t="shared" si="214"/>
        <v/>
      </c>
      <c r="L1020" s="52" t="str">
        <f t="shared" si="215"/>
        <v/>
      </c>
      <c r="M1020" s="53" t="str">
        <f t="shared" si="216"/>
        <v/>
      </c>
      <c r="N1020" s="53" t="str">
        <f t="shared" si="217"/>
        <v/>
      </c>
      <c r="O1020" s="53" t="str">
        <f t="shared" si="218"/>
        <v/>
      </c>
      <c r="P1020" s="53" t="str">
        <f t="shared" si="219"/>
        <v/>
      </c>
      <c r="Q1020" s="53" t="str">
        <f t="shared" si="220"/>
        <v/>
      </c>
      <c r="R1020" s="53" t="str">
        <f t="shared" si="221"/>
        <v/>
      </c>
      <c r="S1020" s="53" t="str">
        <f t="shared" si="222"/>
        <v/>
      </c>
      <c r="T1020" s="53" t="str">
        <f t="shared" si="223"/>
        <v/>
      </c>
    </row>
    <row r="1021" spans="1:20">
      <c r="A1021" s="47" t="str">
        <f>IF(archive!E1021="","",archive!E1021)</f>
        <v/>
      </c>
      <c r="B1021" s="48" t="str">
        <f t="shared" si="210"/>
        <v/>
      </c>
      <c r="C1021" s="49" t="str">
        <f>IF(archive!F1021="","",archive!F1021)</f>
        <v/>
      </c>
      <c r="D1021" s="50" t="str">
        <f t="shared" si="211"/>
        <v/>
      </c>
      <c r="E1021" s="50" t="str">
        <f t="shared" si="212"/>
        <v/>
      </c>
      <c r="F1021" s="47" t="str">
        <f>IF(COUNTA(archive!H1021:CI1021)=0,"",COUNTA(archive!H1021:CI1021))</f>
        <v/>
      </c>
      <c r="G1021" s="47" t="str">
        <f>IF(archive!G1021="","",archive!G1021)</f>
        <v/>
      </c>
      <c r="H1021" s="51" t="str">
        <f>IF(archive!CJ1021="","",archive!CJ1021)</f>
        <v/>
      </c>
      <c r="I1021" s="51" t="str">
        <f>IF(archive!CK1021="","",archive!CK1021)</f>
        <v/>
      </c>
      <c r="J1021" s="47" t="str">
        <f t="shared" si="213"/>
        <v/>
      </c>
      <c r="K1021" s="51" t="str">
        <f t="shared" si="214"/>
        <v/>
      </c>
      <c r="L1021" s="52" t="str">
        <f t="shared" si="215"/>
        <v/>
      </c>
      <c r="M1021" s="53" t="str">
        <f t="shared" si="216"/>
        <v/>
      </c>
      <c r="N1021" s="53" t="str">
        <f t="shared" si="217"/>
        <v/>
      </c>
      <c r="O1021" s="53" t="str">
        <f t="shared" si="218"/>
        <v/>
      </c>
      <c r="P1021" s="53" t="str">
        <f t="shared" si="219"/>
        <v/>
      </c>
      <c r="Q1021" s="53" t="str">
        <f t="shared" si="220"/>
        <v/>
      </c>
      <c r="R1021" s="53" t="str">
        <f t="shared" si="221"/>
        <v/>
      </c>
      <c r="S1021" s="53" t="str">
        <f t="shared" si="222"/>
        <v/>
      </c>
      <c r="T1021" s="53" t="str">
        <f t="shared" si="223"/>
        <v/>
      </c>
    </row>
    <row r="1022" spans="1:20">
      <c r="A1022" s="47" t="str">
        <f>IF(archive!E1022="","",archive!E1022)</f>
        <v/>
      </c>
      <c r="B1022" s="48" t="str">
        <f t="shared" si="210"/>
        <v/>
      </c>
      <c r="C1022" s="49" t="str">
        <f>IF(archive!F1022="","",archive!F1022)</f>
        <v/>
      </c>
      <c r="D1022" s="50" t="str">
        <f t="shared" si="211"/>
        <v/>
      </c>
      <c r="E1022" s="50" t="str">
        <f t="shared" si="212"/>
        <v/>
      </c>
      <c r="F1022" s="47" t="str">
        <f>IF(COUNTA(archive!H1022:CI1022)=0,"",COUNTA(archive!H1022:CI1022))</f>
        <v/>
      </c>
      <c r="G1022" s="47" t="str">
        <f>IF(archive!G1022="","",archive!G1022)</f>
        <v/>
      </c>
      <c r="H1022" s="51" t="str">
        <f>IF(archive!CJ1022="","",archive!CJ1022)</f>
        <v/>
      </c>
      <c r="I1022" s="51" t="str">
        <f>IF(archive!CK1022="","",archive!CK1022)</f>
        <v/>
      </c>
      <c r="J1022" s="47" t="str">
        <f t="shared" si="213"/>
        <v/>
      </c>
      <c r="K1022" s="51" t="str">
        <f t="shared" si="214"/>
        <v/>
      </c>
      <c r="L1022" s="52" t="str">
        <f t="shared" si="215"/>
        <v/>
      </c>
      <c r="M1022" s="53" t="str">
        <f t="shared" si="216"/>
        <v/>
      </c>
      <c r="N1022" s="53" t="str">
        <f t="shared" si="217"/>
        <v/>
      </c>
      <c r="O1022" s="53" t="str">
        <f t="shared" si="218"/>
        <v/>
      </c>
      <c r="P1022" s="53" t="str">
        <f t="shared" si="219"/>
        <v/>
      </c>
      <c r="Q1022" s="53" t="str">
        <f t="shared" si="220"/>
        <v/>
      </c>
      <c r="R1022" s="53" t="str">
        <f t="shared" si="221"/>
        <v/>
      </c>
      <c r="S1022" s="53" t="str">
        <f t="shared" si="222"/>
        <v/>
      </c>
      <c r="T1022" s="53" t="str">
        <f t="shared" si="223"/>
        <v/>
      </c>
    </row>
    <row r="1023" spans="1:20">
      <c r="A1023" s="47" t="str">
        <f>IF(archive!E1023="","",archive!E1023)</f>
        <v/>
      </c>
      <c r="B1023" s="48" t="str">
        <f t="shared" si="210"/>
        <v/>
      </c>
      <c r="C1023" s="49" t="str">
        <f>IF(archive!F1023="","",archive!F1023)</f>
        <v/>
      </c>
      <c r="D1023" s="50" t="str">
        <f t="shared" si="211"/>
        <v/>
      </c>
      <c r="E1023" s="50" t="str">
        <f t="shared" si="212"/>
        <v/>
      </c>
      <c r="F1023" s="47" t="str">
        <f>IF(COUNTA(archive!H1023:CI1023)=0,"",COUNTA(archive!H1023:CI1023))</f>
        <v/>
      </c>
      <c r="G1023" s="47" t="str">
        <f>IF(archive!G1023="","",archive!G1023)</f>
        <v/>
      </c>
      <c r="H1023" s="51" t="str">
        <f>IF(archive!CJ1023="","",archive!CJ1023)</f>
        <v/>
      </c>
      <c r="I1023" s="51" t="str">
        <f>IF(archive!CK1023="","",archive!CK1023)</f>
        <v/>
      </c>
      <c r="J1023" s="47" t="str">
        <f t="shared" si="213"/>
        <v/>
      </c>
      <c r="K1023" s="51" t="str">
        <f t="shared" si="214"/>
        <v/>
      </c>
      <c r="L1023" s="52" t="str">
        <f t="shared" si="215"/>
        <v/>
      </c>
      <c r="M1023" s="53" t="str">
        <f t="shared" si="216"/>
        <v/>
      </c>
      <c r="N1023" s="53" t="str">
        <f t="shared" si="217"/>
        <v/>
      </c>
      <c r="O1023" s="53" t="str">
        <f t="shared" si="218"/>
        <v/>
      </c>
      <c r="P1023" s="53" t="str">
        <f t="shared" si="219"/>
        <v/>
      </c>
      <c r="Q1023" s="53" t="str">
        <f t="shared" si="220"/>
        <v/>
      </c>
      <c r="R1023" s="53" t="str">
        <f t="shared" si="221"/>
        <v/>
      </c>
      <c r="S1023" s="53" t="str">
        <f t="shared" si="222"/>
        <v/>
      </c>
      <c r="T1023" s="53" t="str">
        <f t="shared" si="223"/>
        <v/>
      </c>
    </row>
    <row r="1024" spans="1:20">
      <c r="A1024" s="47" t="str">
        <f>IF(archive!E1024="","",archive!E1024)</f>
        <v/>
      </c>
      <c r="B1024" s="48" t="str">
        <f t="shared" si="210"/>
        <v/>
      </c>
      <c r="C1024" s="49" t="str">
        <f>IF(archive!F1024="","",archive!F1024)</f>
        <v/>
      </c>
      <c r="D1024" s="50" t="str">
        <f t="shared" si="211"/>
        <v/>
      </c>
      <c r="E1024" s="50" t="str">
        <f t="shared" si="212"/>
        <v/>
      </c>
      <c r="F1024" s="47" t="str">
        <f>IF(COUNTA(archive!H1024:CI1024)=0,"",COUNTA(archive!H1024:CI1024))</f>
        <v/>
      </c>
      <c r="G1024" s="47" t="str">
        <f>IF(archive!G1024="","",archive!G1024)</f>
        <v/>
      </c>
      <c r="H1024" s="51" t="str">
        <f>IF(archive!CJ1024="","",archive!CJ1024)</f>
        <v/>
      </c>
      <c r="I1024" s="51" t="str">
        <f>IF(archive!CK1024="","",archive!CK1024)</f>
        <v/>
      </c>
      <c r="J1024" s="47" t="str">
        <f t="shared" si="213"/>
        <v/>
      </c>
      <c r="K1024" s="51" t="str">
        <f t="shared" si="214"/>
        <v/>
      </c>
      <c r="L1024" s="52" t="str">
        <f t="shared" si="215"/>
        <v/>
      </c>
      <c r="M1024" s="53" t="str">
        <f t="shared" si="216"/>
        <v/>
      </c>
      <c r="N1024" s="53" t="str">
        <f t="shared" si="217"/>
        <v/>
      </c>
      <c r="O1024" s="53" t="str">
        <f t="shared" si="218"/>
        <v/>
      </c>
      <c r="P1024" s="53" t="str">
        <f t="shared" si="219"/>
        <v/>
      </c>
      <c r="Q1024" s="53" t="str">
        <f t="shared" si="220"/>
        <v/>
      </c>
      <c r="R1024" s="53" t="str">
        <f t="shared" si="221"/>
        <v/>
      </c>
      <c r="S1024" s="53" t="str">
        <f t="shared" si="222"/>
        <v/>
      </c>
      <c r="T1024" s="53" t="str">
        <f t="shared" si="223"/>
        <v/>
      </c>
    </row>
    <row r="1025" spans="1:20">
      <c r="A1025" s="47" t="str">
        <f>IF(archive!E1025="","",archive!E1025)</f>
        <v/>
      </c>
      <c r="B1025" s="48" t="str">
        <f t="shared" si="210"/>
        <v/>
      </c>
      <c r="C1025" s="49" t="str">
        <f>IF(archive!F1025="","",archive!F1025)</f>
        <v/>
      </c>
      <c r="D1025" s="50" t="str">
        <f t="shared" si="211"/>
        <v/>
      </c>
      <c r="E1025" s="50" t="str">
        <f t="shared" si="212"/>
        <v/>
      </c>
      <c r="F1025" s="47" t="str">
        <f>IF(COUNTA(archive!H1025:CI1025)=0,"",COUNTA(archive!H1025:CI1025))</f>
        <v/>
      </c>
      <c r="G1025" s="47" t="str">
        <f>IF(archive!G1025="","",archive!G1025)</f>
        <v/>
      </c>
      <c r="H1025" s="51" t="str">
        <f>IF(archive!CJ1025="","",archive!CJ1025)</f>
        <v/>
      </c>
      <c r="I1025" s="51" t="str">
        <f>IF(archive!CK1025="","",archive!CK1025)</f>
        <v/>
      </c>
      <c r="J1025" s="47" t="str">
        <f t="shared" si="213"/>
        <v/>
      </c>
      <c r="K1025" s="51" t="str">
        <f t="shared" si="214"/>
        <v/>
      </c>
      <c r="L1025" s="52" t="str">
        <f t="shared" si="215"/>
        <v/>
      </c>
      <c r="M1025" s="53" t="str">
        <f t="shared" si="216"/>
        <v/>
      </c>
      <c r="N1025" s="53" t="str">
        <f t="shared" si="217"/>
        <v/>
      </c>
      <c r="O1025" s="53" t="str">
        <f t="shared" si="218"/>
        <v/>
      </c>
      <c r="P1025" s="53" t="str">
        <f t="shared" si="219"/>
        <v/>
      </c>
      <c r="Q1025" s="53" t="str">
        <f t="shared" si="220"/>
        <v/>
      </c>
      <c r="R1025" s="53" t="str">
        <f t="shared" si="221"/>
        <v/>
      </c>
      <c r="S1025" s="53" t="str">
        <f t="shared" si="222"/>
        <v/>
      </c>
      <c r="T1025" s="53" t="str">
        <f t="shared" si="223"/>
        <v/>
      </c>
    </row>
    <row r="1026" spans="1:20">
      <c r="A1026" s="47" t="str">
        <f>IF(archive!E1026="","",archive!E1026)</f>
        <v/>
      </c>
      <c r="B1026" s="48" t="str">
        <f t="shared" si="210"/>
        <v/>
      </c>
      <c r="C1026" s="49" t="str">
        <f>IF(archive!F1026="","",archive!F1026)</f>
        <v/>
      </c>
      <c r="D1026" s="50" t="str">
        <f t="shared" si="211"/>
        <v/>
      </c>
      <c r="E1026" s="50" t="str">
        <f t="shared" si="212"/>
        <v/>
      </c>
      <c r="F1026" s="47" t="str">
        <f>IF(COUNTA(archive!H1026:CI1026)=0,"",COUNTA(archive!H1026:CI1026))</f>
        <v/>
      </c>
      <c r="G1026" s="47" t="str">
        <f>IF(archive!G1026="","",archive!G1026)</f>
        <v/>
      </c>
      <c r="H1026" s="51" t="str">
        <f>IF(archive!CJ1026="","",archive!CJ1026)</f>
        <v/>
      </c>
      <c r="I1026" s="51" t="str">
        <f>IF(archive!CK1026="","",archive!CK1026)</f>
        <v/>
      </c>
      <c r="J1026" s="47" t="str">
        <f t="shared" si="213"/>
        <v/>
      </c>
      <c r="K1026" s="51" t="str">
        <f t="shared" si="214"/>
        <v/>
      </c>
      <c r="L1026" s="52" t="str">
        <f t="shared" si="215"/>
        <v/>
      </c>
      <c r="M1026" s="53" t="str">
        <f t="shared" si="216"/>
        <v/>
      </c>
      <c r="N1026" s="53" t="str">
        <f t="shared" si="217"/>
        <v/>
      </c>
      <c r="O1026" s="53" t="str">
        <f t="shared" si="218"/>
        <v/>
      </c>
      <c r="P1026" s="53" t="str">
        <f t="shared" si="219"/>
        <v/>
      </c>
      <c r="Q1026" s="53" t="str">
        <f t="shared" si="220"/>
        <v/>
      </c>
      <c r="R1026" s="53" t="str">
        <f t="shared" si="221"/>
        <v/>
      </c>
      <c r="S1026" s="53" t="str">
        <f t="shared" si="222"/>
        <v/>
      </c>
      <c r="T1026" s="53" t="str">
        <f t="shared" si="223"/>
        <v/>
      </c>
    </row>
    <row r="1027" spans="1:20">
      <c r="A1027" s="47" t="str">
        <f>IF(archive!E1027="","",archive!E1027)</f>
        <v/>
      </c>
      <c r="B1027" s="48" t="str">
        <f t="shared" si="210"/>
        <v/>
      </c>
      <c r="C1027" s="49" t="str">
        <f>IF(archive!F1027="","",archive!F1027)</f>
        <v/>
      </c>
      <c r="D1027" s="50" t="str">
        <f t="shared" si="211"/>
        <v/>
      </c>
      <c r="E1027" s="50" t="str">
        <f t="shared" si="212"/>
        <v/>
      </c>
      <c r="F1027" s="47" t="str">
        <f>IF(COUNTA(archive!H1027:CI1027)=0,"",COUNTA(archive!H1027:CI1027))</f>
        <v/>
      </c>
      <c r="G1027" s="47" t="str">
        <f>IF(archive!G1027="","",archive!G1027)</f>
        <v/>
      </c>
      <c r="H1027" s="51" t="str">
        <f>IF(archive!CJ1027="","",archive!CJ1027)</f>
        <v/>
      </c>
      <c r="I1027" s="51" t="str">
        <f>IF(archive!CK1027="","",archive!CK1027)</f>
        <v/>
      </c>
      <c r="J1027" s="47" t="str">
        <f t="shared" si="213"/>
        <v/>
      </c>
      <c r="K1027" s="51" t="str">
        <f t="shared" si="214"/>
        <v/>
      </c>
      <c r="L1027" s="52" t="str">
        <f t="shared" si="215"/>
        <v/>
      </c>
      <c r="M1027" s="53" t="str">
        <f t="shared" si="216"/>
        <v/>
      </c>
      <c r="N1027" s="53" t="str">
        <f t="shared" si="217"/>
        <v/>
      </c>
      <c r="O1027" s="53" t="str">
        <f t="shared" si="218"/>
        <v/>
      </c>
      <c r="P1027" s="53" t="str">
        <f t="shared" si="219"/>
        <v/>
      </c>
      <c r="Q1027" s="53" t="str">
        <f t="shared" si="220"/>
        <v/>
      </c>
      <c r="R1027" s="53" t="str">
        <f t="shared" si="221"/>
        <v/>
      </c>
      <c r="S1027" s="53" t="str">
        <f t="shared" si="222"/>
        <v/>
      </c>
      <c r="T1027" s="53" t="str">
        <f t="shared" si="223"/>
        <v/>
      </c>
    </row>
    <row r="1028" spans="1:20">
      <c r="A1028" s="47" t="str">
        <f>IF(archive!E1028="","",archive!E1028)</f>
        <v/>
      </c>
      <c r="B1028" s="48" t="str">
        <f t="shared" ref="B1028:B1091" si="224">IF(C1028="","",VLOOKUP($C1028,Tare,2,0))</f>
        <v/>
      </c>
      <c r="C1028" s="49" t="str">
        <f>IF(archive!F1028="","",archive!F1028)</f>
        <v/>
      </c>
      <c r="D1028" s="50" t="str">
        <f t="shared" ref="D1028:D1091" si="225">IF(C1028="","",C1028+B1028)</f>
        <v/>
      </c>
      <c r="E1028" s="50" t="str">
        <f t="shared" ref="E1028:E1091" si="226">IF(C1028="","",(C1028*0.025)+D1028)</f>
        <v/>
      </c>
      <c r="F1028" s="47" t="str">
        <f>IF(COUNTA(archive!H1028:CI1028)=0,"",COUNTA(archive!H1028:CI1028))</f>
        <v/>
      </c>
      <c r="G1028" s="47" t="str">
        <f>IF(archive!G1028="","",archive!G1028)</f>
        <v/>
      </c>
      <c r="H1028" s="51" t="str">
        <f>IF(archive!CJ1028="","",archive!CJ1028)</f>
        <v/>
      </c>
      <c r="I1028" s="51" t="str">
        <f>IF(archive!CK1028="","",archive!CK1028)</f>
        <v/>
      </c>
      <c r="J1028" s="47" t="str">
        <f t="shared" ref="J1028:J1091" si="227">IF(F1028="","",VLOOKUP(F1028,Valeur_g,2,0))</f>
        <v/>
      </c>
      <c r="K1028" s="51" t="str">
        <f t="shared" ref="K1028:K1091" si="228">IF(C1028="","",D1028+(J1028*I1028))</f>
        <v/>
      </c>
      <c r="L1028" s="52" t="str">
        <f t="shared" ref="L1028:L1091" si="229">IF(C1028="","",IF(K1028&lt;H1028,"Conforme","Non conforme"))</f>
        <v/>
      </c>
      <c r="M1028" s="53" t="str">
        <f t="shared" ref="M1028:M1091" si="230">IF(C1028="","",1)</f>
        <v/>
      </c>
      <c r="N1028" s="53" t="str">
        <f t="shared" ref="N1028:N1091" si="231">IF(L1028="","",COUNTIF(L1028,"Non conforme"))</f>
        <v/>
      </c>
      <c r="O1028" s="53" t="str">
        <f t="shared" ref="O1028:O1091" si="232">IF($C1028="","",IF($C1028=0.25,$G1028,"-"))</f>
        <v/>
      </c>
      <c r="P1028" s="53" t="str">
        <f t="shared" ref="P1028:P1091" si="233">IF($C1028="","",IF($C1028=0.4,$G1028,"-"))</f>
        <v/>
      </c>
      <c r="Q1028" s="53" t="str">
        <f t="shared" ref="Q1028:Q1091" si="234">IF($C1028="","",IF($C1028=0.5,$G1028,"-"))</f>
        <v/>
      </c>
      <c r="R1028" s="53" t="str">
        <f t="shared" ref="R1028:R1091" si="235">IF($C1028="","",IF($C1028=0.6,$G1028,"-"))</f>
        <v/>
      </c>
      <c r="S1028" s="53" t="str">
        <f t="shared" ref="S1028:S1091" si="236">IF($C1028="","",IF($C1028=0.8,$G1028,"-"))</f>
        <v/>
      </c>
      <c r="T1028" s="53" t="str">
        <f t="shared" ref="T1028:T1091" si="237">IF($C1028="","",IF($C1028=1,$G1028,"-"))</f>
        <v/>
      </c>
    </row>
    <row r="1029" spans="1:20">
      <c r="A1029" s="47" t="str">
        <f>IF(archive!E1029="","",archive!E1029)</f>
        <v/>
      </c>
      <c r="B1029" s="48" t="str">
        <f t="shared" si="224"/>
        <v/>
      </c>
      <c r="C1029" s="49" t="str">
        <f>IF(archive!F1029="","",archive!F1029)</f>
        <v/>
      </c>
      <c r="D1029" s="50" t="str">
        <f t="shared" si="225"/>
        <v/>
      </c>
      <c r="E1029" s="50" t="str">
        <f t="shared" si="226"/>
        <v/>
      </c>
      <c r="F1029" s="47" t="str">
        <f>IF(COUNTA(archive!H1029:CI1029)=0,"",COUNTA(archive!H1029:CI1029))</f>
        <v/>
      </c>
      <c r="G1029" s="47" t="str">
        <f>IF(archive!G1029="","",archive!G1029)</f>
        <v/>
      </c>
      <c r="H1029" s="51" t="str">
        <f>IF(archive!CJ1029="","",archive!CJ1029)</f>
        <v/>
      </c>
      <c r="I1029" s="51" t="str">
        <f>IF(archive!CK1029="","",archive!CK1029)</f>
        <v/>
      </c>
      <c r="J1029" s="47" t="str">
        <f t="shared" si="227"/>
        <v/>
      </c>
      <c r="K1029" s="51" t="str">
        <f t="shared" si="228"/>
        <v/>
      </c>
      <c r="L1029" s="52" t="str">
        <f t="shared" si="229"/>
        <v/>
      </c>
      <c r="M1029" s="53" t="str">
        <f t="shared" si="230"/>
        <v/>
      </c>
      <c r="N1029" s="53" t="str">
        <f t="shared" si="231"/>
        <v/>
      </c>
      <c r="O1029" s="53" t="str">
        <f t="shared" si="232"/>
        <v/>
      </c>
      <c r="P1029" s="53" t="str">
        <f t="shared" si="233"/>
        <v/>
      </c>
      <c r="Q1029" s="53" t="str">
        <f t="shared" si="234"/>
        <v/>
      </c>
      <c r="R1029" s="53" t="str">
        <f t="shared" si="235"/>
        <v/>
      </c>
      <c r="S1029" s="53" t="str">
        <f t="shared" si="236"/>
        <v/>
      </c>
      <c r="T1029" s="53" t="str">
        <f t="shared" si="237"/>
        <v/>
      </c>
    </row>
    <row r="1030" spans="1:20">
      <c r="A1030" s="47" t="str">
        <f>IF(archive!E1030="","",archive!E1030)</f>
        <v/>
      </c>
      <c r="B1030" s="48" t="str">
        <f t="shared" si="224"/>
        <v/>
      </c>
      <c r="C1030" s="49" t="str">
        <f>IF(archive!F1030="","",archive!F1030)</f>
        <v/>
      </c>
      <c r="D1030" s="50" t="str">
        <f t="shared" si="225"/>
        <v/>
      </c>
      <c r="E1030" s="50" t="str">
        <f t="shared" si="226"/>
        <v/>
      </c>
      <c r="F1030" s="47" t="str">
        <f>IF(COUNTA(archive!H1030:CI1030)=0,"",COUNTA(archive!H1030:CI1030))</f>
        <v/>
      </c>
      <c r="G1030" s="47" t="str">
        <f>IF(archive!G1030="","",archive!G1030)</f>
        <v/>
      </c>
      <c r="H1030" s="51" t="str">
        <f>IF(archive!CJ1030="","",archive!CJ1030)</f>
        <v/>
      </c>
      <c r="I1030" s="51" t="str">
        <f>IF(archive!CK1030="","",archive!CK1030)</f>
        <v/>
      </c>
      <c r="J1030" s="47" t="str">
        <f t="shared" si="227"/>
        <v/>
      </c>
      <c r="K1030" s="51" t="str">
        <f t="shared" si="228"/>
        <v/>
      </c>
      <c r="L1030" s="52" t="str">
        <f t="shared" si="229"/>
        <v/>
      </c>
      <c r="M1030" s="53" t="str">
        <f t="shared" si="230"/>
        <v/>
      </c>
      <c r="N1030" s="53" t="str">
        <f t="shared" si="231"/>
        <v/>
      </c>
      <c r="O1030" s="53" t="str">
        <f t="shared" si="232"/>
        <v/>
      </c>
      <c r="P1030" s="53" t="str">
        <f t="shared" si="233"/>
        <v/>
      </c>
      <c r="Q1030" s="53" t="str">
        <f t="shared" si="234"/>
        <v/>
      </c>
      <c r="R1030" s="53" t="str">
        <f t="shared" si="235"/>
        <v/>
      </c>
      <c r="S1030" s="53" t="str">
        <f t="shared" si="236"/>
        <v/>
      </c>
      <c r="T1030" s="53" t="str">
        <f t="shared" si="237"/>
        <v/>
      </c>
    </row>
    <row r="1031" spans="1:20">
      <c r="A1031" s="47" t="str">
        <f>IF(archive!E1031="","",archive!E1031)</f>
        <v/>
      </c>
      <c r="B1031" s="48" t="str">
        <f t="shared" si="224"/>
        <v/>
      </c>
      <c r="C1031" s="49" t="str">
        <f>IF(archive!F1031="","",archive!F1031)</f>
        <v/>
      </c>
      <c r="D1031" s="50" t="str">
        <f t="shared" si="225"/>
        <v/>
      </c>
      <c r="E1031" s="50" t="str">
        <f t="shared" si="226"/>
        <v/>
      </c>
      <c r="F1031" s="47" t="str">
        <f>IF(COUNTA(archive!H1031:CI1031)=0,"",COUNTA(archive!H1031:CI1031))</f>
        <v/>
      </c>
      <c r="G1031" s="47" t="str">
        <f>IF(archive!G1031="","",archive!G1031)</f>
        <v/>
      </c>
      <c r="H1031" s="51" t="str">
        <f>IF(archive!CJ1031="","",archive!CJ1031)</f>
        <v/>
      </c>
      <c r="I1031" s="51" t="str">
        <f>IF(archive!CK1031="","",archive!CK1031)</f>
        <v/>
      </c>
      <c r="J1031" s="47" t="str">
        <f t="shared" si="227"/>
        <v/>
      </c>
      <c r="K1031" s="51" t="str">
        <f t="shared" si="228"/>
        <v/>
      </c>
      <c r="L1031" s="52" t="str">
        <f t="shared" si="229"/>
        <v/>
      </c>
      <c r="M1031" s="53" t="str">
        <f t="shared" si="230"/>
        <v/>
      </c>
      <c r="N1031" s="53" t="str">
        <f t="shared" si="231"/>
        <v/>
      </c>
      <c r="O1031" s="53" t="str">
        <f t="shared" si="232"/>
        <v/>
      </c>
      <c r="P1031" s="53" t="str">
        <f t="shared" si="233"/>
        <v/>
      </c>
      <c r="Q1031" s="53" t="str">
        <f t="shared" si="234"/>
        <v/>
      </c>
      <c r="R1031" s="53" t="str">
        <f t="shared" si="235"/>
        <v/>
      </c>
      <c r="S1031" s="53" t="str">
        <f t="shared" si="236"/>
        <v/>
      </c>
      <c r="T1031" s="53" t="str">
        <f t="shared" si="237"/>
        <v/>
      </c>
    </row>
    <row r="1032" spans="1:20">
      <c r="A1032" s="47" t="str">
        <f>IF(archive!E1032="","",archive!E1032)</f>
        <v/>
      </c>
      <c r="B1032" s="48" t="str">
        <f t="shared" si="224"/>
        <v/>
      </c>
      <c r="C1032" s="49" t="str">
        <f>IF(archive!F1032="","",archive!F1032)</f>
        <v/>
      </c>
      <c r="D1032" s="50" t="str">
        <f t="shared" si="225"/>
        <v/>
      </c>
      <c r="E1032" s="50" t="str">
        <f t="shared" si="226"/>
        <v/>
      </c>
      <c r="F1032" s="47" t="str">
        <f>IF(COUNTA(archive!H1032:CI1032)=0,"",COUNTA(archive!H1032:CI1032))</f>
        <v/>
      </c>
      <c r="G1032" s="47" t="str">
        <f>IF(archive!G1032="","",archive!G1032)</f>
        <v/>
      </c>
      <c r="H1032" s="51" t="str">
        <f>IF(archive!CJ1032="","",archive!CJ1032)</f>
        <v/>
      </c>
      <c r="I1032" s="51" t="str">
        <f>IF(archive!CK1032="","",archive!CK1032)</f>
        <v/>
      </c>
      <c r="J1032" s="47" t="str">
        <f t="shared" si="227"/>
        <v/>
      </c>
      <c r="K1032" s="51" t="str">
        <f t="shared" si="228"/>
        <v/>
      </c>
      <c r="L1032" s="52" t="str">
        <f t="shared" si="229"/>
        <v/>
      </c>
      <c r="M1032" s="53" t="str">
        <f t="shared" si="230"/>
        <v/>
      </c>
      <c r="N1032" s="53" t="str">
        <f t="shared" si="231"/>
        <v/>
      </c>
      <c r="O1032" s="53" t="str">
        <f t="shared" si="232"/>
        <v/>
      </c>
      <c r="P1032" s="53" t="str">
        <f t="shared" si="233"/>
        <v/>
      </c>
      <c r="Q1032" s="53" t="str">
        <f t="shared" si="234"/>
        <v/>
      </c>
      <c r="R1032" s="53" t="str">
        <f t="shared" si="235"/>
        <v/>
      </c>
      <c r="S1032" s="53" t="str">
        <f t="shared" si="236"/>
        <v/>
      </c>
      <c r="T1032" s="53" t="str">
        <f t="shared" si="237"/>
        <v/>
      </c>
    </row>
    <row r="1033" spans="1:20">
      <c r="A1033" s="47" t="str">
        <f>IF(archive!E1033="","",archive!E1033)</f>
        <v/>
      </c>
      <c r="B1033" s="48" t="str">
        <f t="shared" si="224"/>
        <v/>
      </c>
      <c r="C1033" s="49" t="str">
        <f>IF(archive!F1033="","",archive!F1033)</f>
        <v/>
      </c>
      <c r="D1033" s="50" t="str">
        <f t="shared" si="225"/>
        <v/>
      </c>
      <c r="E1033" s="50" t="str">
        <f t="shared" si="226"/>
        <v/>
      </c>
      <c r="F1033" s="47" t="str">
        <f>IF(COUNTA(archive!H1033:CI1033)=0,"",COUNTA(archive!H1033:CI1033))</f>
        <v/>
      </c>
      <c r="G1033" s="47" t="str">
        <f>IF(archive!G1033="","",archive!G1033)</f>
        <v/>
      </c>
      <c r="H1033" s="51" t="str">
        <f>IF(archive!CJ1033="","",archive!CJ1033)</f>
        <v/>
      </c>
      <c r="I1033" s="51" t="str">
        <f>IF(archive!CK1033="","",archive!CK1033)</f>
        <v/>
      </c>
      <c r="J1033" s="47" t="str">
        <f t="shared" si="227"/>
        <v/>
      </c>
      <c r="K1033" s="51" t="str">
        <f t="shared" si="228"/>
        <v/>
      </c>
      <c r="L1033" s="52" t="str">
        <f t="shared" si="229"/>
        <v/>
      </c>
      <c r="M1033" s="53" t="str">
        <f t="shared" si="230"/>
        <v/>
      </c>
      <c r="N1033" s="53" t="str">
        <f t="shared" si="231"/>
        <v/>
      </c>
      <c r="O1033" s="53" t="str">
        <f t="shared" si="232"/>
        <v/>
      </c>
      <c r="P1033" s="53" t="str">
        <f t="shared" si="233"/>
        <v/>
      </c>
      <c r="Q1033" s="53" t="str">
        <f t="shared" si="234"/>
        <v/>
      </c>
      <c r="R1033" s="53" t="str">
        <f t="shared" si="235"/>
        <v/>
      </c>
      <c r="S1033" s="53" t="str">
        <f t="shared" si="236"/>
        <v/>
      </c>
      <c r="T1033" s="53" t="str">
        <f t="shared" si="237"/>
        <v/>
      </c>
    </row>
    <row r="1034" spans="1:20">
      <c r="A1034" s="47" t="str">
        <f>IF(archive!E1034="","",archive!E1034)</f>
        <v/>
      </c>
      <c r="B1034" s="48" t="str">
        <f t="shared" si="224"/>
        <v/>
      </c>
      <c r="C1034" s="49" t="str">
        <f>IF(archive!F1034="","",archive!F1034)</f>
        <v/>
      </c>
      <c r="D1034" s="50" t="str">
        <f t="shared" si="225"/>
        <v/>
      </c>
      <c r="E1034" s="50" t="str">
        <f t="shared" si="226"/>
        <v/>
      </c>
      <c r="F1034" s="47" t="str">
        <f>IF(COUNTA(archive!H1034:CI1034)=0,"",COUNTA(archive!H1034:CI1034))</f>
        <v/>
      </c>
      <c r="G1034" s="47" t="str">
        <f>IF(archive!G1034="","",archive!G1034)</f>
        <v/>
      </c>
      <c r="H1034" s="51" t="str">
        <f>IF(archive!CJ1034="","",archive!CJ1034)</f>
        <v/>
      </c>
      <c r="I1034" s="51" t="str">
        <f>IF(archive!CK1034="","",archive!CK1034)</f>
        <v/>
      </c>
      <c r="J1034" s="47" t="str">
        <f t="shared" si="227"/>
        <v/>
      </c>
      <c r="K1034" s="51" t="str">
        <f t="shared" si="228"/>
        <v/>
      </c>
      <c r="L1034" s="52" t="str">
        <f t="shared" si="229"/>
        <v/>
      </c>
      <c r="M1034" s="53" t="str">
        <f t="shared" si="230"/>
        <v/>
      </c>
      <c r="N1034" s="53" t="str">
        <f t="shared" si="231"/>
        <v/>
      </c>
      <c r="O1034" s="53" t="str">
        <f t="shared" si="232"/>
        <v/>
      </c>
      <c r="P1034" s="53" t="str">
        <f t="shared" si="233"/>
        <v/>
      </c>
      <c r="Q1034" s="53" t="str">
        <f t="shared" si="234"/>
        <v/>
      </c>
      <c r="R1034" s="53" t="str">
        <f t="shared" si="235"/>
        <v/>
      </c>
      <c r="S1034" s="53" t="str">
        <f t="shared" si="236"/>
        <v/>
      </c>
      <c r="T1034" s="53" t="str">
        <f t="shared" si="237"/>
        <v/>
      </c>
    </row>
    <row r="1035" spans="1:20">
      <c r="A1035" s="47" t="str">
        <f>IF(archive!E1035="","",archive!E1035)</f>
        <v/>
      </c>
      <c r="B1035" s="48" t="str">
        <f t="shared" si="224"/>
        <v/>
      </c>
      <c r="C1035" s="49" t="str">
        <f>IF(archive!F1035="","",archive!F1035)</f>
        <v/>
      </c>
      <c r="D1035" s="50" t="str">
        <f t="shared" si="225"/>
        <v/>
      </c>
      <c r="E1035" s="50" t="str">
        <f t="shared" si="226"/>
        <v/>
      </c>
      <c r="F1035" s="47" t="str">
        <f>IF(COUNTA(archive!H1035:CI1035)=0,"",COUNTA(archive!H1035:CI1035))</f>
        <v/>
      </c>
      <c r="G1035" s="47" t="str">
        <f>IF(archive!G1035="","",archive!G1035)</f>
        <v/>
      </c>
      <c r="H1035" s="51" t="str">
        <f>IF(archive!CJ1035="","",archive!CJ1035)</f>
        <v/>
      </c>
      <c r="I1035" s="51" t="str">
        <f>IF(archive!CK1035="","",archive!CK1035)</f>
        <v/>
      </c>
      <c r="J1035" s="47" t="str">
        <f t="shared" si="227"/>
        <v/>
      </c>
      <c r="K1035" s="51" t="str">
        <f t="shared" si="228"/>
        <v/>
      </c>
      <c r="L1035" s="52" t="str">
        <f t="shared" si="229"/>
        <v/>
      </c>
      <c r="M1035" s="53" t="str">
        <f t="shared" si="230"/>
        <v/>
      </c>
      <c r="N1035" s="53" t="str">
        <f t="shared" si="231"/>
        <v/>
      </c>
      <c r="O1035" s="53" t="str">
        <f t="shared" si="232"/>
        <v/>
      </c>
      <c r="P1035" s="53" t="str">
        <f t="shared" si="233"/>
        <v/>
      </c>
      <c r="Q1035" s="53" t="str">
        <f t="shared" si="234"/>
        <v/>
      </c>
      <c r="R1035" s="53" t="str">
        <f t="shared" si="235"/>
        <v/>
      </c>
      <c r="S1035" s="53" t="str">
        <f t="shared" si="236"/>
        <v/>
      </c>
      <c r="T1035" s="53" t="str">
        <f t="shared" si="237"/>
        <v/>
      </c>
    </row>
    <row r="1036" spans="1:20">
      <c r="A1036" s="47" t="str">
        <f>IF(archive!E1036="","",archive!E1036)</f>
        <v/>
      </c>
      <c r="B1036" s="48" t="str">
        <f t="shared" si="224"/>
        <v/>
      </c>
      <c r="C1036" s="49" t="str">
        <f>IF(archive!F1036="","",archive!F1036)</f>
        <v/>
      </c>
      <c r="D1036" s="50" t="str">
        <f t="shared" si="225"/>
        <v/>
      </c>
      <c r="E1036" s="50" t="str">
        <f t="shared" si="226"/>
        <v/>
      </c>
      <c r="F1036" s="47" t="str">
        <f>IF(COUNTA(archive!H1036:CI1036)=0,"",COUNTA(archive!H1036:CI1036))</f>
        <v/>
      </c>
      <c r="G1036" s="47" t="str">
        <f>IF(archive!G1036="","",archive!G1036)</f>
        <v/>
      </c>
      <c r="H1036" s="51" t="str">
        <f>IF(archive!CJ1036="","",archive!CJ1036)</f>
        <v/>
      </c>
      <c r="I1036" s="51" t="str">
        <f>IF(archive!CK1036="","",archive!CK1036)</f>
        <v/>
      </c>
      <c r="J1036" s="47" t="str">
        <f t="shared" si="227"/>
        <v/>
      </c>
      <c r="K1036" s="51" t="str">
        <f t="shared" si="228"/>
        <v/>
      </c>
      <c r="L1036" s="52" t="str">
        <f t="shared" si="229"/>
        <v/>
      </c>
      <c r="M1036" s="53" t="str">
        <f t="shared" si="230"/>
        <v/>
      </c>
      <c r="N1036" s="53" t="str">
        <f t="shared" si="231"/>
        <v/>
      </c>
      <c r="O1036" s="53" t="str">
        <f t="shared" si="232"/>
        <v/>
      </c>
      <c r="P1036" s="53" t="str">
        <f t="shared" si="233"/>
        <v/>
      </c>
      <c r="Q1036" s="53" t="str">
        <f t="shared" si="234"/>
        <v/>
      </c>
      <c r="R1036" s="53" t="str">
        <f t="shared" si="235"/>
        <v/>
      </c>
      <c r="S1036" s="53" t="str">
        <f t="shared" si="236"/>
        <v/>
      </c>
      <c r="T1036" s="53" t="str">
        <f t="shared" si="237"/>
        <v/>
      </c>
    </row>
    <row r="1037" spans="1:20">
      <c r="A1037" s="47" t="str">
        <f>IF(archive!E1037="","",archive!E1037)</f>
        <v/>
      </c>
      <c r="B1037" s="48" t="str">
        <f t="shared" si="224"/>
        <v/>
      </c>
      <c r="C1037" s="49" t="str">
        <f>IF(archive!F1037="","",archive!F1037)</f>
        <v/>
      </c>
      <c r="D1037" s="50" t="str">
        <f t="shared" si="225"/>
        <v/>
      </c>
      <c r="E1037" s="50" t="str">
        <f t="shared" si="226"/>
        <v/>
      </c>
      <c r="F1037" s="47" t="str">
        <f>IF(COUNTA(archive!H1037:CI1037)=0,"",COUNTA(archive!H1037:CI1037))</f>
        <v/>
      </c>
      <c r="G1037" s="47" t="str">
        <f>IF(archive!G1037="","",archive!G1037)</f>
        <v/>
      </c>
      <c r="H1037" s="51" t="str">
        <f>IF(archive!CJ1037="","",archive!CJ1037)</f>
        <v/>
      </c>
      <c r="I1037" s="51" t="str">
        <f>IF(archive!CK1037="","",archive!CK1037)</f>
        <v/>
      </c>
      <c r="J1037" s="47" t="str">
        <f t="shared" si="227"/>
        <v/>
      </c>
      <c r="K1037" s="51" t="str">
        <f t="shared" si="228"/>
        <v/>
      </c>
      <c r="L1037" s="52" t="str">
        <f t="shared" si="229"/>
        <v/>
      </c>
      <c r="M1037" s="53" t="str">
        <f t="shared" si="230"/>
        <v/>
      </c>
      <c r="N1037" s="53" t="str">
        <f t="shared" si="231"/>
        <v/>
      </c>
      <c r="O1037" s="53" t="str">
        <f t="shared" si="232"/>
        <v/>
      </c>
      <c r="P1037" s="53" t="str">
        <f t="shared" si="233"/>
        <v/>
      </c>
      <c r="Q1037" s="53" t="str">
        <f t="shared" si="234"/>
        <v/>
      </c>
      <c r="R1037" s="53" t="str">
        <f t="shared" si="235"/>
        <v/>
      </c>
      <c r="S1037" s="53" t="str">
        <f t="shared" si="236"/>
        <v/>
      </c>
      <c r="T1037" s="53" t="str">
        <f t="shared" si="237"/>
        <v/>
      </c>
    </row>
    <row r="1038" spans="1:20">
      <c r="A1038" s="47" t="str">
        <f>IF(archive!E1038="","",archive!E1038)</f>
        <v/>
      </c>
      <c r="B1038" s="48" t="str">
        <f t="shared" si="224"/>
        <v/>
      </c>
      <c r="C1038" s="49" t="str">
        <f>IF(archive!F1038="","",archive!F1038)</f>
        <v/>
      </c>
      <c r="D1038" s="50" t="str">
        <f t="shared" si="225"/>
        <v/>
      </c>
      <c r="E1038" s="50" t="str">
        <f t="shared" si="226"/>
        <v/>
      </c>
      <c r="F1038" s="47" t="str">
        <f>IF(COUNTA(archive!H1038:CI1038)=0,"",COUNTA(archive!H1038:CI1038))</f>
        <v/>
      </c>
      <c r="G1038" s="47" t="str">
        <f>IF(archive!G1038="","",archive!G1038)</f>
        <v/>
      </c>
      <c r="H1038" s="51" t="str">
        <f>IF(archive!CJ1038="","",archive!CJ1038)</f>
        <v/>
      </c>
      <c r="I1038" s="51" t="str">
        <f>IF(archive!CK1038="","",archive!CK1038)</f>
        <v/>
      </c>
      <c r="J1038" s="47" t="str">
        <f t="shared" si="227"/>
        <v/>
      </c>
      <c r="K1038" s="51" t="str">
        <f t="shared" si="228"/>
        <v/>
      </c>
      <c r="L1038" s="52" t="str">
        <f t="shared" si="229"/>
        <v/>
      </c>
      <c r="M1038" s="53" t="str">
        <f t="shared" si="230"/>
        <v/>
      </c>
      <c r="N1038" s="53" t="str">
        <f t="shared" si="231"/>
        <v/>
      </c>
      <c r="O1038" s="53" t="str">
        <f t="shared" si="232"/>
        <v/>
      </c>
      <c r="P1038" s="53" t="str">
        <f t="shared" si="233"/>
        <v/>
      </c>
      <c r="Q1038" s="53" t="str">
        <f t="shared" si="234"/>
        <v/>
      </c>
      <c r="R1038" s="53" t="str">
        <f t="shared" si="235"/>
        <v/>
      </c>
      <c r="S1038" s="53" t="str">
        <f t="shared" si="236"/>
        <v/>
      </c>
      <c r="T1038" s="53" t="str">
        <f t="shared" si="237"/>
        <v/>
      </c>
    </row>
    <row r="1039" spans="1:20">
      <c r="A1039" s="47" t="str">
        <f>IF(archive!E1039="","",archive!E1039)</f>
        <v/>
      </c>
      <c r="B1039" s="48" t="str">
        <f t="shared" si="224"/>
        <v/>
      </c>
      <c r="C1039" s="49" t="str">
        <f>IF(archive!F1039="","",archive!F1039)</f>
        <v/>
      </c>
      <c r="D1039" s="50" t="str">
        <f t="shared" si="225"/>
        <v/>
      </c>
      <c r="E1039" s="50" t="str">
        <f t="shared" si="226"/>
        <v/>
      </c>
      <c r="F1039" s="47" t="str">
        <f>IF(COUNTA(archive!H1039:CI1039)=0,"",COUNTA(archive!H1039:CI1039))</f>
        <v/>
      </c>
      <c r="G1039" s="47" t="str">
        <f>IF(archive!G1039="","",archive!G1039)</f>
        <v/>
      </c>
      <c r="H1039" s="51" t="str">
        <f>IF(archive!CJ1039="","",archive!CJ1039)</f>
        <v/>
      </c>
      <c r="I1039" s="51" t="str">
        <f>IF(archive!CK1039="","",archive!CK1039)</f>
        <v/>
      </c>
      <c r="J1039" s="47" t="str">
        <f t="shared" si="227"/>
        <v/>
      </c>
      <c r="K1039" s="51" t="str">
        <f t="shared" si="228"/>
        <v/>
      </c>
      <c r="L1039" s="52" t="str">
        <f t="shared" si="229"/>
        <v/>
      </c>
      <c r="M1039" s="53" t="str">
        <f t="shared" si="230"/>
        <v/>
      </c>
      <c r="N1039" s="53" t="str">
        <f t="shared" si="231"/>
        <v/>
      </c>
      <c r="O1039" s="53" t="str">
        <f t="shared" si="232"/>
        <v/>
      </c>
      <c r="P1039" s="53" t="str">
        <f t="shared" si="233"/>
        <v/>
      </c>
      <c r="Q1039" s="53" t="str">
        <f t="shared" si="234"/>
        <v/>
      </c>
      <c r="R1039" s="53" t="str">
        <f t="shared" si="235"/>
        <v/>
      </c>
      <c r="S1039" s="53" t="str">
        <f t="shared" si="236"/>
        <v/>
      </c>
      <c r="T1039" s="53" t="str">
        <f t="shared" si="237"/>
        <v/>
      </c>
    </row>
    <row r="1040" spans="1:20">
      <c r="A1040" s="47" t="str">
        <f>IF(archive!E1040="","",archive!E1040)</f>
        <v/>
      </c>
      <c r="B1040" s="48" t="str">
        <f t="shared" si="224"/>
        <v/>
      </c>
      <c r="C1040" s="49" t="str">
        <f>IF(archive!F1040="","",archive!F1040)</f>
        <v/>
      </c>
      <c r="D1040" s="50" t="str">
        <f t="shared" si="225"/>
        <v/>
      </c>
      <c r="E1040" s="50" t="str">
        <f t="shared" si="226"/>
        <v/>
      </c>
      <c r="F1040" s="47" t="str">
        <f>IF(COUNTA(archive!H1040:CI1040)=0,"",COUNTA(archive!H1040:CI1040))</f>
        <v/>
      </c>
      <c r="G1040" s="47" t="str">
        <f>IF(archive!G1040="","",archive!G1040)</f>
        <v/>
      </c>
      <c r="H1040" s="51" t="str">
        <f>IF(archive!CJ1040="","",archive!CJ1040)</f>
        <v/>
      </c>
      <c r="I1040" s="51" t="str">
        <f>IF(archive!CK1040="","",archive!CK1040)</f>
        <v/>
      </c>
      <c r="J1040" s="47" t="str">
        <f t="shared" si="227"/>
        <v/>
      </c>
      <c r="K1040" s="51" t="str">
        <f t="shared" si="228"/>
        <v/>
      </c>
      <c r="L1040" s="52" t="str">
        <f t="shared" si="229"/>
        <v/>
      </c>
      <c r="M1040" s="53" t="str">
        <f t="shared" si="230"/>
        <v/>
      </c>
      <c r="N1040" s="53" t="str">
        <f t="shared" si="231"/>
        <v/>
      </c>
      <c r="O1040" s="53" t="str">
        <f t="shared" si="232"/>
        <v/>
      </c>
      <c r="P1040" s="53" t="str">
        <f t="shared" si="233"/>
        <v/>
      </c>
      <c r="Q1040" s="53" t="str">
        <f t="shared" si="234"/>
        <v/>
      </c>
      <c r="R1040" s="53" t="str">
        <f t="shared" si="235"/>
        <v/>
      </c>
      <c r="S1040" s="53" t="str">
        <f t="shared" si="236"/>
        <v/>
      </c>
      <c r="T1040" s="53" t="str">
        <f t="shared" si="237"/>
        <v/>
      </c>
    </row>
    <row r="1041" spans="1:20">
      <c r="A1041" s="47" t="str">
        <f>IF(archive!E1041="","",archive!E1041)</f>
        <v/>
      </c>
      <c r="B1041" s="48" t="str">
        <f t="shared" si="224"/>
        <v/>
      </c>
      <c r="C1041" s="49" t="str">
        <f>IF(archive!F1041="","",archive!F1041)</f>
        <v/>
      </c>
      <c r="D1041" s="50" t="str">
        <f t="shared" si="225"/>
        <v/>
      </c>
      <c r="E1041" s="50" t="str">
        <f t="shared" si="226"/>
        <v/>
      </c>
      <c r="F1041" s="47" t="str">
        <f>IF(COUNTA(archive!H1041:CI1041)=0,"",COUNTA(archive!H1041:CI1041))</f>
        <v/>
      </c>
      <c r="G1041" s="47" t="str">
        <f>IF(archive!G1041="","",archive!G1041)</f>
        <v/>
      </c>
      <c r="H1041" s="51" t="str">
        <f>IF(archive!CJ1041="","",archive!CJ1041)</f>
        <v/>
      </c>
      <c r="I1041" s="51" t="str">
        <f>IF(archive!CK1041="","",archive!CK1041)</f>
        <v/>
      </c>
      <c r="J1041" s="47" t="str">
        <f t="shared" si="227"/>
        <v/>
      </c>
      <c r="K1041" s="51" t="str">
        <f t="shared" si="228"/>
        <v/>
      </c>
      <c r="L1041" s="52" t="str">
        <f t="shared" si="229"/>
        <v/>
      </c>
      <c r="M1041" s="53" t="str">
        <f t="shared" si="230"/>
        <v/>
      </c>
      <c r="N1041" s="53" t="str">
        <f t="shared" si="231"/>
        <v/>
      </c>
      <c r="O1041" s="53" t="str">
        <f t="shared" si="232"/>
        <v/>
      </c>
      <c r="P1041" s="53" t="str">
        <f t="shared" si="233"/>
        <v/>
      </c>
      <c r="Q1041" s="53" t="str">
        <f t="shared" si="234"/>
        <v/>
      </c>
      <c r="R1041" s="53" t="str">
        <f t="shared" si="235"/>
        <v/>
      </c>
      <c r="S1041" s="53" t="str">
        <f t="shared" si="236"/>
        <v/>
      </c>
      <c r="T1041" s="53" t="str">
        <f t="shared" si="237"/>
        <v/>
      </c>
    </row>
    <row r="1042" spans="1:20">
      <c r="A1042" s="47" t="str">
        <f>IF(archive!E1042="","",archive!E1042)</f>
        <v/>
      </c>
      <c r="B1042" s="48" t="str">
        <f t="shared" si="224"/>
        <v/>
      </c>
      <c r="C1042" s="49" t="str">
        <f>IF(archive!F1042="","",archive!F1042)</f>
        <v/>
      </c>
      <c r="D1042" s="50" t="str">
        <f t="shared" si="225"/>
        <v/>
      </c>
      <c r="E1042" s="50" t="str">
        <f t="shared" si="226"/>
        <v/>
      </c>
      <c r="F1042" s="47" t="str">
        <f>IF(COUNTA(archive!H1042:CI1042)=0,"",COUNTA(archive!H1042:CI1042))</f>
        <v/>
      </c>
      <c r="G1042" s="47" t="str">
        <f>IF(archive!G1042="","",archive!G1042)</f>
        <v/>
      </c>
      <c r="H1042" s="51" t="str">
        <f>IF(archive!CJ1042="","",archive!CJ1042)</f>
        <v/>
      </c>
      <c r="I1042" s="51" t="str">
        <f>IF(archive!CK1042="","",archive!CK1042)</f>
        <v/>
      </c>
      <c r="J1042" s="47" t="str">
        <f t="shared" si="227"/>
        <v/>
      </c>
      <c r="K1042" s="51" t="str">
        <f t="shared" si="228"/>
        <v/>
      </c>
      <c r="L1042" s="52" t="str">
        <f t="shared" si="229"/>
        <v/>
      </c>
      <c r="M1042" s="53" t="str">
        <f t="shared" si="230"/>
        <v/>
      </c>
      <c r="N1042" s="53" t="str">
        <f t="shared" si="231"/>
        <v/>
      </c>
      <c r="O1042" s="53" t="str">
        <f t="shared" si="232"/>
        <v/>
      </c>
      <c r="P1042" s="53" t="str">
        <f t="shared" si="233"/>
        <v/>
      </c>
      <c r="Q1042" s="53" t="str">
        <f t="shared" si="234"/>
        <v/>
      </c>
      <c r="R1042" s="53" t="str">
        <f t="shared" si="235"/>
        <v/>
      </c>
      <c r="S1042" s="53" t="str">
        <f t="shared" si="236"/>
        <v/>
      </c>
      <c r="T1042" s="53" t="str">
        <f t="shared" si="237"/>
        <v/>
      </c>
    </row>
    <row r="1043" spans="1:20">
      <c r="A1043" s="47" t="str">
        <f>IF(archive!E1043="","",archive!E1043)</f>
        <v/>
      </c>
      <c r="B1043" s="48" t="str">
        <f t="shared" si="224"/>
        <v/>
      </c>
      <c r="C1043" s="49" t="str">
        <f>IF(archive!F1043="","",archive!F1043)</f>
        <v/>
      </c>
      <c r="D1043" s="50" t="str">
        <f t="shared" si="225"/>
        <v/>
      </c>
      <c r="E1043" s="50" t="str">
        <f t="shared" si="226"/>
        <v/>
      </c>
      <c r="F1043" s="47" t="str">
        <f>IF(COUNTA(archive!H1043:CI1043)=0,"",COUNTA(archive!H1043:CI1043))</f>
        <v/>
      </c>
      <c r="G1043" s="47" t="str">
        <f>IF(archive!G1043="","",archive!G1043)</f>
        <v/>
      </c>
      <c r="H1043" s="51" t="str">
        <f>IF(archive!CJ1043="","",archive!CJ1043)</f>
        <v/>
      </c>
      <c r="I1043" s="51" t="str">
        <f>IF(archive!CK1043="","",archive!CK1043)</f>
        <v/>
      </c>
      <c r="J1043" s="47" t="str">
        <f t="shared" si="227"/>
        <v/>
      </c>
      <c r="K1043" s="51" t="str">
        <f t="shared" si="228"/>
        <v/>
      </c>
      <c r="L1043" s="52" t="str">
        <f t="shared" si="229"/>
        <v/>
      </c>
      <c r="M1043" s="53" t="str">
        <f t="shared" si="230"/>
        <v/>
      </c>
      <c r="N1043" s="53" t="str">
        <f t="shared" si="231"/>
        <v/>
      </c>
      <c r="O1043" s="53" t="str">
        <f t="shared" si="232"/>
        <v/>
      </c>
      <c r="P1043" s="53" t="str">
        <f t="shared" si="233"/>
        <v/>
      </c>
      <c r="Q1043" s="53" t="str">
        <f t="shared" si="234"/>
        <v/>
      </c>
      <c r="R1043" s="53" t="str">
        <f t="shared" si="235"/>
        <v/>
      </c>
      <c r="S1043" s="53" t="str">
        <f t="shared" si="236"/>
        <v/>
      </c>
      <c r="T1043" s="53" t="str">
        <f t="shared" si="237"/>
        <v/>
      </c>
    </row>
    <row r="1044" spans="1:20">
      <c r="A1044" s="47" t="str">
        <f>IF(archive!E1044="","",archive!E1044)</f>
        <v/>
      </c>
      <c r="B1044" s="48" t="str">
        <f t="shared" si="224"/>
        <v/>
      </c>
      <c r="C1044" s="49" t="str">
        <f>IF(archive!F1044="","",archive!F1044)</f>
        <v/>
      </c>
      <c r="D1044" s="50" t="str">
        <f t="shared" si="225"/>
        <v/>
      </c>
      <c r="E1044" s="50" t="str">
        <f t="shared" si="226"/>
        <v/>
      </c>
      <c r="F1044" s="47" t="str">
        <f>IF(COUNTA(archive!H1044:CI1044)=0,"",COUNTA(archive!H1044:CI1044))</f>
        <v/>
      </c>
      <c r="G1044" s="47" t="str">
        <f>IF(archive!G1044="","",archive!G1044)</f>
        <v/>
      </c>
      <c r="H1044" s="51" t="str">
        <f>IF(archive!CJ1044="","",archive!CJ1044)</f>
        <v/>
      </c>
      <c r="I1044" s="51" t="str">
        <f>IF(archive!CK1044="","",archive!CK1044)</f>
        <v/>
      </c>
      <c r="J1044" s="47" t="str">
        <f t="shared" si="227"/>
        <v/>
      </c>
      <c r="K1044" s="51" t="str">
        <f t="shared" si="228"/>
        <v/>
      </c>
      <c r="L1044" s="52" t="str">
        <f t="shared" si="229"/>
        <v/>
      </c>
      <c r="M1044" s="53" t="str">
        <f t="shared" si="230"/>
        <v/>
      </c>
      <c r="N1044" s="53" t="str">
        <f t="shared" si="231"/>
        <v/>
      </c>
      <c r="O1044" s="53" t="str">
        <f t="shared" si="232"/>
        <v/>
      </c>
      <c r="P1044" s="53" t="str">
        <f t="shared" si="233"/>
        <v/>
      </c>
      <c r="Q1044" s="53" t="str">
        <f t="shared" si="234"/>
        <v/>
      </c>
      <c r="R1044" s="53" t="str">
        <f t="shared" si="235"/>
        <v/>
      </c>
      <c r="S1044" s="53" t="str">
        <f t="shared" si="236"/>
        <v/>
      </c>
      <c r="T1044" s="53" t="str">
        <f t="shared" si="237"/>
        <v/>
      </c>
    </row>
    <row r="1045" spans="1:20">
      <c r="A1045" s="47" t="str">
        <f>IF(archive!E1045="","",archive!E1045)</f>
        <v/>
      </c>
      <c r="B1045" s="48" t="str">
        <f t="shared" si="224"/>
        <v/>
      </c>
      <c r="C1045" s="49" t="str">
        <f>IF(archive!F1045="","",archive!F1045)</f>
        <v/>
      </c>
      <c r="D1045" s="50" t="str">
        <f t="shared" si="225"/>
        <v/>
      </c>
      <c r="E1045" s="50" t="str">
        <f t="shared" si="226"/>
        <v/>
      </c>
      <c r="F1045" s="47" t="str">
        <f>IF(COUNTA(archive!H1045:CI1045)=0,"",COUNTA(archive!H1045:CI1045))</f>
        <v/>
      </c>
      <c r="G1045" s="47" t="str">
        <f>IF(archive!G1045="","",archive!G1045)</f>
        <v/>
      </c>
      <c r="H1045" s="51" t="str">
        <f>IF(archive!CJ1045="","",archive!CJ1045)</f>
        <v/>
      </c>
      <c r="I1045" s="51" t="str">
        <f>IF(archive!CK1045="","",archive!CK1045)</f>
        <v/>
      </c>
      <c r="J1045" s="47" t="str">
        <f t="shared" si="227"/>
        <v/>
      </c>
      <c r="K1045" s="51" t="str">
        <f t="shared" si="228"/>
        <v/>
      </c>
      <c r="L1045" s="52" t="str">
        <f t="shared" si="229"/>
        <v/>
      </c>
      <c r="M1045" s="53" t="str">
        <f t="shared" si="230"/>
        <v/>
      </c>
      <c r="N1045" s="53" t="str">
        <f t="shared" si="231"/>
        <v/>
      </c>
      <c r="O1045" s="53" t="str">
        <f t="shared" si="232"/>
        <v/>
      </c>
      <c r="P1045" s="53" t="str">
        <f t="shared" si="233"/>
        <v/>
      </c>
      <c r="Q1045" s="53" t="str">
        <f t="shared" si="234"/>
        <v/>
      </c>
      <c r="R1045" s="53" t="str">
        <f t="shared" si="235"/>
        <v/>
      </c>
      <c r="S1045" s="53" t="str">
        <f t="shared" si="236"/>
        <v/>
      </c>
      <c r="T1045" s="53" t="str">
        <f t="shared" si="237"/>
        <v/>
      </c>
    </row>
    <row r="1046" spans="1:20">
      <c r="A1046" s="47" t="str">
        <f>IF(archive!E1046="","",archive!E1046)</f>
        <v/>
      </c>
      <c r="B1046" s="48" t="str">
        <f t="shared" si="224"/>
        <v/>
      </c>
      <c r="C1046" s="49" t="str">
        <f>IF(archive!F1046="","",archive!F1046)</f>
        <v/>
      </c>
      <c r="D1046" s="50" t="str">
        <f t="shared" si="225"/>
        <v/>
      </c>
      <c r="E1046" s="50" t="str">
        <f t="shared" si="226"/>
        <v/>
      </c>
      <c r="F1046" s="47" t="str">
        <f>IF(COUNTA(archive!H1046:CI1046)=0,"",COUNTA(archive!H1046:CI1046))</f>
        <v/>
      </c>
      <c r="G1046" s="47" t="str">
        <f>IF(archive!G1046="","",archive!G1046)</f>
        <v/>
      </c>
      <c r="H1046" s="51" t="str">
        <f>IF(archive!CJ1046="","",archive!CJ1046)</f>
        <v/>
      </c>
      <c r="I1046" s="51" t="str">
        <f>IF(archive!CK1046="","",archive!CK1046)</f>
        <v/>
      </c>
      <c r="J1046" s="47" t="str">
        <f t="shared" si="227"/>
        <v/>
      </c>
      <c r="K1046" s="51" t="str">
        <f t="shared" si="228"/>
        <v/>
      </c>
      <c r="L1046" s="52" t="str">
        <f t="shared" si="229"/>
        <v/>
      </c>
      <c r="M1046" s="53" t="str">
        <f t="shared" si="230"/>
        <v/>
      </c>
      <c r="N1046" s="53" t="str">
        <f t="shared" si="231"/>
        <v/>
      </c>
      <c r="O1046" s="53" t="str">
        <f t="shared" si="232"/>
        <v/>
      </c>
      <c r="P1046" s="53" t="str">
        <f t="shared" si="233"/>
        <v/>
      </c>
      <c r="Q1046" s="53" t="str">
        <f t="shared" si="234"/>
        <v/>
      </c>
      <c r="R1046" s="53" t="str">
        <f t="shared" si="235"/>
        <v/>
      </c>
      <c r="S1046" s="53" t="str">
        <f t="shared" si="236"/>
        <v/>
      </c>
      <c r="T1046" s="53" t="str">
        <f t="shared" si="237"/>
        <v/>
      </c>
    </row>
    <row r="1047" spans="1:20">
      <c r="A1047" s="47" t="str">
        <f>IF(archive!E1047="","",archive!E1047)</f>
        <v/>
      </c>
      <c r="B1047" s="48" t="str">
        <f t="shared" si="224"/>
        <v/>
      </c>
      <c r="C1047" s="49" t="str">
        <f>IF(archive!F1047="","",archive!F1047)</f>
        <v/>
      </c>
      <c r="D1047" s="50" t="str">
        <f t="shared" si="225"/>
        <v/>
      </c>
      <c r="E1047" s="50" t="str">
        <f t="shared" si="226"/>
        <v/>
      </c>
      <c r="F1047" s="47" t="str">
        <f>IF(COUNTA(archive!H1047:CI1047)=0,"",COUNTA(archive!H1047:CI1047))</f>
        <v/>
      </c>
      <c r="G1047" s="47" t="str">
        <f>IF(archive!G1047="","",archive!G1047)</f>
        <v/>
      </c>
      <c r="H1047" s="51" t="str">
        <f>IF(archive!CJ1047="","",archive!CJ1047)</f>
        <v/>
      </c>
      <c r="I1047" s="51" t="str">
        <f>IF(archive!CK1047="","",archive!CK1047)</f>
        <v/>
      </c>
      <c r="J1047" s="47" t="str">
        <f t="shared" si="227"/>
        <v/>
      </c>
      <c r="K1047" s="51" t="str">
        <f t="shared" si="228"/>
        <v/>
      </c>
      <c r="L1047" s="52" t="str">
        <f t="shared" si="229"/>
        <v/>
      </c>
      <c r="M1047" s="53" t="str">
        <f t="shared" si="230"/>
        <v/>
      </c>
      <c r="N1047" s="53" t="str">
        <f t="shared" si="231"/>
        <v/>
      </c>
      <c r="O1047" s="53" t="str">
        <f t="shared" si="232"/>
        <v/>
      </c>
      <c r="P1047" s="53" t="str">
        <f t="shared" si="233"/>
        <v/>
      </c>
      <c r="Q1047" s="53" t="str">
        <f t="shared" si="234"/>
        <v/>
      </c>
      <c r="R1047" s="53" t="str">
        <f t="shared" si="235"/>
        <v/>
      </c>
      <c r="S1047" s="53" t="str">
        <f t="shared" si="236"/>
        <v/>
      </c>
      <c r="T1047" s="53" t="str">
        <f t="shared" si="237"/>
        <v/>
      </c>
    </row>
    <row r="1048" spans="1:20">
      <c r="A1048" s="47" t="str">
        <f>IF(archive!E1048="","",archive!E1048)</f>
        <v/>
      </c>
      <c r="B1048" s="48" t="str">
        <f t="shared" si="224"/>
        <v/>
      </c>
      <c r="C1048" s="49" t="str">
        <f>IF(archive!F1048="","",archive!F1048)</f>
        <v/>
      </c>
      <c r="D1048" s="50" t="str">
        <f t="shared" si="225"/>
        <v/>
      </c>
      <c r="E1048" s="50" t="str">
        <f t="shared" si="226"/>
        <v/>
      </c>
      <c r="F1048" s="47" t="str">
        <f>IF(COUNTA(archive!H1048:CI1048)=0,"",COUNTA(archive!H1048:CI1048))</f>
        <v/>
      </c>
      <c r="G1048" s="47" t="str">
        <f>IF(archive!G1048="","",archive!G1048)</f>
        <v/>
      </c>
      <c r="H1048" s="51" t="str">
        <f>IF(archive!CJ1048="","",archive!CJ1048)</f>
        <v/>
      </c>
      <c r="I1048" s="51" t="str">
        <f>IF(archive!CK1048="","",archive!CK1048)</f>
        <v/>
      </c>
      <c r="J1048" s="47" t="str">
        <f t="shared" si="227"/>
        <v/>
      </c>
      <c r="K1048" s="51" t="str">
        <f t="shared" si="228"/>
        <v/>
      </c>
      <c r="L1048" s="52" t="str">
        <f t="shared" si="229"/>
        <v/>
      </c>
      <c r="M1048" s="53" t="str">
        <f t="shared" si="230"/>
        <v/>
      </c>
      <c r="N1048" s="53" t="str">
        <f t="shared" si="231"/>
        <v/>
      </c>
      <c r="O1048" s="53" t="str">
        <f t="shared" si="232"/>
        <v/>
      </c>
      <c r="P1048" s="53" t="str">
        <f t="shared" si="233"/>
        <v/>
      </c>
      <c r="Q1048" s="53" t="str">
        <f t="shared" si="234"/>
        <v/>
      </c>
      <c r="R1048" s="53" t="str">
        <f t="shared" si="235"/>
        <v/>
      </c>
      <c r="S1048" s="53" t="str">
        <f t="shared" si="236"/>
        <v/>
      </c>
      <c r="T1048" s="53" t="str">
        <f t="shared" si="237"/>
        <v/>
      </c>
    </row>
    <row r="1049" spans="1:20">
      <c r="A1049" s="47" t="str">
        <f>IF(archive!E1049="","",archive!E1049)</f>
        <v/>
      </c>
      <c r="B1049" s="48" t="str">
        <f t="shared" si="224"/>
        <v/>
      </c>
      <c r="C1049" s="49" t="str">
        <f>IF(archive!F1049="","",archive!F1049)</f>
        <v/>
      </c>
      <c r="D1049" s="50" t="str">
        <f t="shared" si="225"/>
        <v/>
      </c>
      <c r="E1049" s="50" t="str">
        <f t="shared" si="226"/>
        <v/>
      </c>
      <c r="F1049" s="47" t="str">
        <f>IF(COUNTA(archive!H1049:CI1049)=0,"",COUNTA(archive!H1049:CI1049))</f>
        <v/>
      </c>
      <c r="G1049" s="47" t="str">
        <f>IF(archive!G1049="","",archive!G1049)</f>
        <v/>
      </c>
      <c r="H1049" s="51" t="str">
        <f>IF(archive!CJ1049="","",archive!CJ1049)</f>
        <v/>
      </c>
      <c r="I1049" s="51" t="str">
        <f>IF(archive!CK1049="","",archive!CK1049)</f>
        <v/>
      </c>
      <c r="J1049" s="47" t="str">
        <f t="shared" si="227"/>
        <v/>
      </c>
      <c r="K1049" s="51" t="str">
        <f t="shared" si="228"/>
        <v/>
      </c>
      <c r="L1049" s="52" t="str">
        <f t="shared" si="229"/>
        <v/>
      </c>
      <c r="M1049" s="53" t="str">
        <f t="shared" si="230"/>
        <v/>
      </c>
      <c r="N1049" s="53" t="str">
        <f t="shared" si="231"/>
        <v/>
      </c>
      <c r="O1049" s="53" t="str">
        <f t="shared" si="232"/>
        <v/>
      </c>
      <c r="P1049" s="53" t="str">
        <f t="shared" si="233"/>
        <v/>
      </c>
      <c r="Q1049" s="53" t="str">
        <f t="shared" si="234"/>
        <v/>
      </c>
      <c r="R1049" s="53" t="str">
        <f t="shared" si="235"/>
        <v/>
      </c>
      <c r="S1049" s="53" t="str">
        <f t="shared" si="236"/>
        <v/>
      </c>
      <c r="T1049" s="53" t="str">
        <f t="shared" si="237"/>
        <v/>
      </c>
    </row>
    <row r="1050" spans="1:20">
      <c r="A1050" s="47" t="str">
        <f>IF(archive!E1050="","",archive!E1050)</f>
        <v/>
      </c>
      <c r="B1050" s="48" t="str">
        <f t="shared" si="224"/>
        <v/>
      </c>
      <c r="C1050" s="49" t="str">
        <f>IF(archive!F1050="","",archive!F1050)</f>
        <v/>
      </c>
      <c r="D1050" s="50" t="str">
        <f t="shared" si="225"/>
        <v/>
      </c>
      <c r="E1050" s="50" t="str">
        <f t="shared" si="226"/>
        <v/>
      </c>
      <c r="F1050" s="47" t="str">
        <f>IF(COUNTA(archive!H1050:CI1050)=0,"",COUNTA(archive!H1050:CI1050))</f>
        <v/>
      </c>
      <c r="G1050" s="47" t="str">
        <f>IF(archive!G1050="","",archive!G1050)</f>
        <v/>
      </c>
      <c r="H1050" s="51" t="str">
        <f>IF(archive!CJ1050="","",archive!CJ1050)</f>
        <v/>
      </c>
      <c r="I1050" s="51" t="str">
        <f>IF(archive!CK1050="","",archive!CK1050)</f>
        <v/>
      </c>
      <c r="J1050" s="47" t="str">
        <f t="shared" si="227"/>
        <v/>
      </c>
      <c r="K1050" s="51" t="str">
        <f t="shared" si="228"/>
        <v/>
      </c>
      <c r="L1050" s="52" t="str">
        <f t="shared" si="229"/>
        <v/>
      </c>
      <c r="M1050" s="53" t="str">
        <f t="shared" si="230"/>
        <v/>
      </c>
      <c r="N1050" s="53" t="str">
        <f t="shared" si="231"/>
        <v/>
      </c>
      <c r="O1050" s="53" t="str">
        <f t="shared" si="232"/>
        <v/>
      </c>
      <c r="P1050" s="53" t="str">
        <f t="shared" si="233"/>
        <v/>
      </c>
      <c r="Q1050" s="53" t="str">
        <f t="shared" si="234"/>
        <v/>
      </c>
      <c r="R1050" s="53" t="str">
        <f t="shared" si="235"/>
        <v/>
      </c>
      <c r="S1050" s="53" t="str">
        <f t="shared" si="236"/>
        <v/>
      </c>
      <c r="T1050" s="53" t="str">
        <f t="shared" si="237"/>
        <v/>
      </c>
    </row>
    <row r="1051" spans="1:20">
      <c r="A1051" s="47" t="str">
        <f>IF(archive!E1051="","",archive!E1051)</f>
        <v/>
      </c>
      <c r="B1051" s="48" t="str">
        <f t="shared" si="224"/>
        <v/>
      </c>
      <c r="C1051" s="49" t="str">
        <f>IF(archive!F1051="","",archive!F1051)</f>
        <v/>
      </c>
      <c r="D1051" s="50" t="str">
        <f t="shared" si="225"/>
        <v/>
      </c>
      <c r="E1051" s="50" t="str">
        <f t="shared" si="226"/>
        <v/>
      </c>
      <c r="F1051" s="47" t="str">
        <f>IF(COUNTA(archive!H1051:CI1051)=0,"",COUNTA(archive!H1051:CI1051))</f>
        <v/>
      </c>
      <c r="G1051" s="47" t="str">
        <f>IF(archive!G1051="","",archive!G1051)</f>
        <v/>
      </c>
      <c r="H1051" s="51" t="str">
        <f>IF(archive!CJ1051="","",archive!CJ1051)</f>
        <v/>
      </c>
      <c r="I1051" s="51" t="str">
        <f>IF(archive!CK1051="","",archive!CK1051)</f>
        <v/>
      </c>
      <c r="J1051" s="47" t="str">
        <f t="shared" si="227"/>
        <v/>
      </c>
      <c r="K1051" s="51" t="str">
        <f t="shared" si="228"/>
        <v/>
      </c>
      <c r="L1051" s="52" t="str">
        <f t="shared" si="229"/>
        <v/>
      </c>
      <c r="M1051" s="53" t="str">
        <f t="shared" si="230"/>
        <v/>
      </c>
      <c r="N1051" s="53" t="str">
        <f t="shared" si="231"/>
        <v/>
      </c>
      <c r="O1051" s="53" t="str">
        <f t="shared" si="232"/>
        <v/>
      </c>
      <c r="P1051" s="53" t="str">
        <f t="shared" si="233"/>
        <v/>
      </c>
      <c r="Q1051" s="53" t="str">
        <f t="shared" si="234"/>
        <v/>
      </c>
      <c r="R1051" s="53" t="str">
        <f t="shared" si="235"/>
        <v/>
      </c>
      <c r="S1051" s="53" t="str">
        <f t="shared" si="236"/>
        <v/>
      </c>
      <c r="T1051" s="53" t="str">
        <f t="shared" si="237"/>
        <v/>
      </c>
    </row>
    <row r="1052" spans="1:20">
      <c r="A1052" s="47" t="str">
        <f>IF(archive!E1052="","",archive!E1052)</f>
        <v/>
      </c>
      <c r="B1052" s="48" t="str">
        <f t="shared" si="224"/>
        <v/>
      </c>
      <c r="C1052" s="49" t="str">
        <f>IF(archive!F1052="","",archive!F1052)</f>
        <v/>
      </c>
      <c r="D1052" s="50" t="str">
        <f t="shared" si="225"/>
        <v/>
      </c>
      <c r="E1052" s="50" t="str">
        <f t="shared" si="226"/>
        <v/>
      </c>
      <c r="F1052" s="47" t="str">
        <f>IF(COUNTA(archive!H1052:CI1052)=0,"",COUNTA(archive!H1052:CI1052))</f>
        <v/>
      </c>
      <c r="G1052" s="47" t="str">
        <f>IF(archive!G1052="","",archive!G1052)</f>
        <v/>
      </c>
      <c r="H1052" s="51" t="str">
        <f>IF(archive!CJ1052="","",archive!CJ1052)</f>
        <v/>
      </c>
      <c r="I1052" s="51" t="str">
        <f>IF(archive!CK1052="","",archive!CK1052)</f>
        <v/>
      </c>
      <c r="J1052" s="47" t="str">
        <f t="shared" si="227"/>
        <v/>
      </c>
      <c r="K1052" s="51" t="str">
        <f t="shared" si="228"/>
        <v/>
      </c>
      <c r="L1052" s="52" t="str">
        <f t="shared" si="229"/>
        <v/>
      </c>
      <c r="M1052" s="53" t="str">
        <f t="shared" si="230"/>
        <v/>
      </c>
      <c r="N1052" s="53" t="str">
        <f t="shared" si="231"/>
        <v/>
      </c>
      <c r="O1052" s="53" t="str">
        <f t="shared" si="232"/>
        <v/>
      </c>
      <c r="P1052" s="53" t="str">
        <f t="shared" si="233"/>
        <v/>
      </c>
      <c r="Q1052" s="53" t="str">
        <f t="shared" si="234"/>
        <v/>
      </c>
      <c r="R1052" s="53" t="str">
        <f t="shared" si="235"/>
        <v/>
      </c>
      <c r="S1052" s="53" t="str">
        <f t="shared" si="236"/>
        <v/>
      </c>
      <c r="T1052" s="53" t="str">
        <f t="shared" si="237"/>
        <v/>
      </c>
    </row>
    <row r="1053" spans="1:20">
      <c r="A1053" s="47" t="str">
        <f>IF(archive!E1053="","",archive!E1053)</f>
        <v/>
      </c>
      <c r="B1053" s="48" t="str">
        <f t="shared" si="224"/>
        <v/>
      </c>
      <c r="C1053" s="49" t="str">
        <f>IF(archive!F1053="","",archive!F1053)</f>
        <v/>
      </c>
      <c r="D1053" s="50" t="str">
        <f t="shared" si="225"/>
        <v/>
      </c>
      <c r="E1053" s="50" t="str">
        <f t="shared" si="226"/>
        <v/>
      </c>
      <c r="F1053" s="47" t="str">
        <f>IF(COUNTA(archive!H1053:CI1053)=0,"",COUNTA(archive!H1053:CI1053))</f>
        <v/>
      </c>
      <c r="G1053" s="47" t="str">
        <f>IF(archive!G1053="","",archive!G1053)</f>
        <v/>
      </c>
      <c r="H1053" s="51" t="str">
        <f>IF(archive!CJ1053="","",archive!CJ1053)</f>
        <v/>
      </c>
      <c r="I1053" s="51" t="str">
        <f>IF(archive!CK1053="","",archive!CK1053)</f>
        <v/>
      </c>
      <c r="J1053" s="47" t="str">
        <f t="shared" si="227"/>
        <v/>
      </c>
      <c r="K1053" s="51" t="str">
        <f t="shared" si="228"/>
        <v/>
      </c>
      <c r="L1053" s="52" t="str">
        <f t="shared" si="229"/>
        <v/>
      </c>
      <c r="M1053" s="53" t="str">
        <f t="shared" si="230"/>
        <v/>
      </c>
      <c r="N1053" s="53" t="str">
        <f t="shared" si="231"/>
        <v/>
      </c>
      <c r="O1053" s="53" t="str">
        <f t="shared" si="232"/>
        <v/>
      </c>
      <c r="P1053" s="53" t="str">
        <f t="shared" si="233"/>
        <v/>
      </c>
      <c r="Q1053" s="53" t="str">
        <f t="shared" si="234"/>
        <v/>
      </c>
      <c r="R1053" s="53" t="str">
        <f t="shared" si="235"/>
        <v/>
      </c>
      <c r="S1053" s="53" t="str">
        <f t="shared" si="236"/>
        <v/>
      </c>
      <c r="T1053" s="53" t="str">
        <f t="shared" si="237"/>
        <v/>
      </c>
    </row>
    <row r="1054" spans="1:20">
      <c r="A1054" s="47" t="str">
        <f>IF(archive!E1054="","",archive!E1054)</f>
        <v/>
      </c>
      <c r="B1054" s="48" t="str">
        <f t="shared" si="224"/>
        <v/>
      </c>
      <c r="C1054" s="49" t="str">
        <f>IF(archive!F1054="","",archive!F1054)</f>
        <v/>
      </c>
      <c r="D1054" s="50" t="str">
        <f t="shared" si="225"/>
        <v/>
      </c>
      <c r="E1054" s="50" t="str">
        <f t="shared" si="226"/>
        <v/>
      </c>
      <c r="F1054" s="47" t="str">
        <f>IF(COUNTA(archive!H1054:CI1054)=0,"",COUNTA(archive!H1054:CI1054))</f>
        <v/>
      </c>
      <c r="G1054" s="47" t="str">
        <f>IF(archive!G1054="","",archive!G1054)</f>
        <v/>
      </c>
      <c r="H1054" s="51" t="str">
        <f>IF(archive!CJ1054="","",archive!CJ1054)</f>
        <v/>
      </c>
      <c r="I1054" s="51" t="str">
        <f>IF(archive!CK1054="","",archive!CK1054)</f>
        <v/>
      </c>
      <c r="J1054" s="47" t="str">
        <f t="shared" si="227"/>
        <v/>
      </c>
      <c r="K1054" s="51" t="str">
        <f t="shared" si="228"/>
        <v/>
      </c>
      <c r="L1054" s="52" t="str">
        <f t="shared" si="229"/>
        <v/>
      </c>
      <c r="M1054" s="53" t="str">
        <f t="shared" si="230"/>
        <v/>
      </c>
      <c r="N1054" s="53" t="str">
        <f t="shared" si="231"/>
        <v/>
      </c>
      <c r="O1054" s="53" t="str">
        <f t="shared" si="232"/>
        <v/>
      </c>
      <c r="P1054" s="53" t="str">
        <f t="shared" si="233"/>
        <v/>
      </c>
      <c r="Q1054" s="53" t="str">
        <f t="shared" si="234"/>
        <v/>
      </c>
      <c r="R1054" s="53" t="str">
        <f t="shared" si="235"/>
        <v/>
      </c>
      <c r="S1054" s="53" t="str">
        <f t="shared" si="236"/>
        <v/>
      </c>
      <c r="T1054" s="53" t="str">
        <f t="shared" si="237"/>
        <v/>
      </c>
    </row>
    <row r="1055" spans="1:20">
      <c r="A1055" s="47" t="str">
        <f>IF(archive!E1055="","",archive!E1055)</f>
        <v/>
      </c>
      <c r="B1055" s="48" t="str">
        <f t="shared" si="224"/>
        <v/>
      </c>
      <c r="C1055" s="49" t="str">
        <f>IF(archive!F1055="","",archive!F1055)</f>
        <v/>
      </c>
      <c r="D1055" s="50" t="str">
        <f t="shared" si="225"/>
        <v/>
      </c>
      <c r="E1055" s="50" t="str">
        <f t="shared" si="226"/>
        <v/>
      </c>
      <c r="F1055" s="47" t="str">
        <f>IF(COUNTA(archive!H1055:CI1055)=0,"",COUNTA(archive!H1055:CI1055))</f>
        <v/>
      </c>
      <c r="G1055" s="47" t="str">
        <f>IF(archive!G1055="","",archive!G1055)</f>
        <v/>
      </c>
      <c r="H1055" s="51" t="str">
        <f>IF(archive!CJ1055="","",archive!CJ1055)</f>
        <v/>
      </c>
      <c r="I1055" s="51" t="str">
        <f>IF(archive!CK1055="","",archive!CK1055)</f>
        <v/>
      </c>
      <c r="J1055" s="47" t="str">
        <f t="shared" si="227"/>
        <v/>
      </c>
      <c r="K1055" s="51" t="str">
        <f t="shared" si="228"/>
        <v/>
      </c>
      <c r="L1055" s="52" t="str">
        <f t="shared" si="229"/>
        <v/>
      </c>
      <c r="M1055" s="53" t="str">
        <f t="shared" si="230"/>
        <v/>
      </c>
      <c r="N1055" s="53" t="str">
        <f t="shared" si="231"/>
        <v/>
      </c>
      <c r="O1055" s="53" t="str">
        <f t="shared" si="232"/>
        <v/>
      </c>
      <c r="P1055" s="53" t="str">
        <f t="shared" si="233"/>
        <v/>
      </c>
      <c r="Q1055" s="53" t="str">
        <f t="shared" si="234"/>
        <v/>
      </c>
      <c r="R1055" s="53" t="str">
        <f t="shared" si="235"/>
        <v/>
      </c>
      <c r="S1055" s="53" t="str">
        <f t="shared" si="236"/>
        <v/>
      </c>
      <c r="T1055" s="53" t="str">
        <f t="shared" si="237"/>
        <v/>
      </c>
    </row>
    <row r="1056" spans="1:20">
      <c r="A1056" s="47" t="str">
        <f>IF(archive!E1056="","",archive!E1056)</f>
        <v/>
      </c>
      <c r="B1056" s="48" t="str">
        <f t="shared" si="224"/>
        <v/>
      </c>
      <c r="C1056" s="49" t="str">
        <f>IF(archive!F1056="","",archive!F1056)</f>
        <v/>
      </c>
      <c r="D1056" s="50" t="str">
        <f t="shared" si="225"/>
        <v/>
      </c>
      <c r="E1056" s="50" t="str">
        <f t="shared" si="226"/>
        <v/>
      </c>
      <c r="F1056" s="47" t="str">
        <f>IF(COUNTA(archive!H1056:CI1056)=0,"",COUNTA(archive!H1056:CI1056))</f>
        <v/>
      </c>
      <c r="G1056" s="47" t="str">
        <f>IF(archive!G1056="","",archive!G1056)</f>
        <v/>
      </c>
      <c r="H1056" s="51" t="str">
        <f>IF(archive!CJ1056="","",archive!CJ1056)</f>
        <v/>
      </c>
      <c r="I1056" s="51" t="str">
        <f>IF(archive!CK1056="","",archive!CK1056)</f>
        <v/>
      </c>
      <c r="J1056" s="47" t="str">
        <f t="shared" si="227"/>
        <v/>
      </c>
      <c r="K1056" s="51" t="str">
        <f t="shared" si="228"/>
        <v/>
      </c>
      <c r="L1056" s="52" t="str">
        <f t="shared" si="229"/>
        <v/>
      </c>
      <c r="M1056" s="53" t="str">
        <f t="shared" si="230"/>
        <v/>
      </c>
      <c r="N1056" s="53" t="str">
        <f t="shared" si="231"/>
        <v/>
      </c>
      <c r="O1056" s="53" t="str">
        <f t="shared" si="232"/>
        <v/>
      </c>
      <c r="P1056" s="53" t="str">
        <f t="shared" si="233"/>
        <v/>
      </c>
      <c r="Q1056" s="53" t="str">
        <f t="shared" si="234"/>
        <v/>
      </c>
      <c r="R1056" s="53" t="str">
        <f t="shared" si="235"/>
        <v/>
      </c>
      <c r="S1056" s="53" t="str">
        <f t="shared" si="236"/>
        <v/>
      </c>
      <c r="T1056" s="53" t="str">
        <f t="shared" si="237"/>
        <v/>
      </c>
    </row>
    <row r="1057" spans="1:20">
      <c r="A1057" s="47" t="str">
        <f>IF(archive!E1057="","",archive!E1057)</f>
        <v/>
      </c>
      <c r="B1057" s="48" t="str">
        <f t="shared" si="224"/>
        <v/>
      </c>
      <c r="C1057" s="49" t="str">
        <f>IF(archive!F1057="","",archive!F1057)</f>
        <v/>
      </c>
      <c r="D1057" s="50" t="str">
        <f t="shared" si="225"/>
        <v/>
      </c>
      <c r="E1057" s="50" t="str">
        <f t="shared" si="226"/>
        <v/>
      </c>
      <c r="F1057" s="47" t="str">
        <f>IF(COUNTA(archive!H1057:CI1057)=0,"",COUNTA(archive!H1057:CI1057))</f>
        <v/>
      </c>
      <c r="G1057" s="47" t="str">
        <f>IF(archive!G1057="","",archive!G1057)</f>
        <v/>
      </c>
      <c r="H1057" s="51" t="str">
        <f>IF(archive!CJ1057="","",archive!CJ1057)</f>
        <v/>
      </c>
      <c r="I1057" s="51" t="str">
        <f>IF(archive!CK1057="","",archive!CK1057)</f>
        <v/>
      </c>
      <c r="J1057" s="47" t="str">
        <f t="shared" si="227"/>
        <v/>
      </c>
      <c r="K1057" s="51" t="str">
        <f t="shared" si="228"/>
        <v/>
      </c>
      <c r="L1057" s="52" t="str">
        <f t="shared" si="229"/>
        <v/>
      </c>
      <c r="M1057" s="53" t="str">
        <f t="shared" si="230"/>
        <v/>
      </c>
      <c r="N1057" s="53" t="str">
        <f t="shared" si="231"/>
        <v/>
      </c>
      <c r="O1057" s="53" t="str">
        <f t="shared" si="232"/>
        <v/>
      </c>
      <c r="P1057" s="53" t="str">
        <f t="shared" si="233"/>
        <v/>
      </c>
      <c r="Q1057" s="53" t="str">
        <f t="shared" si="234"/>
        <v/>
      </c>
      <c r="R1057" s="53" t="str">
        <f t="shared" si="235"/>
        <v/>
      </c>
      <c r="S1057" s="53" t="str">
        <f t="shared" si="236"/>
        <v/>
      </c>
      <c r="T1057" s="53" t="str">
        <f t="shared" si="237"/>
        <v/>
      </c>
    </row>
    <row r="1058" spans="1:20">
      <c r="A1058" s="47" t="str">
        <f>IF(archive!E1058="","",archive!E1058)</f>
        <v/>
      </c>
      <c r="B1058" s="48" t="str">
        <f t="shared" si="224"/>
        <v/>
      </c>
      <c r="C1058" s="49" t="str">
        <f>IF(archive!F1058="","",archive!F1058)</f>
        <v/>
      </c>
      <c r="D1058" s="50" t="str">
        <f t="shared" si="225"/>
        <v/>
      </c>
      <c r="E1058" s="50" t="str">
        <f t="shared" si="226"/>
        <v/>
      </c>
      <c r="F1058" s="47" t="str">
        <f>IF(COUNTA(archive!H1058:CI1058)=0,"",COUNTA(archive!H1058:CI1058))</f>
        <v/>
      </c>
      <c r="G1058" s="47" t="str">
        <f>IF(archive!G1058="","",archive!G1058)</f>
        <v/>
      </c>
      <c r="H1058" s="51" t="str">
        <f>IF(archive!CJ1058="","",archive!CJ1058)</f>
        <v/>
      </c>
      <c r="I1058" s="51" t="str">
        <f>IF(archive!CK1058="","",archive!CK1058)</f>
        <v/>
      </c>
      <c r="J1058" s="47" t="str">
        <f t="shared" si="227"/>
        <v/>
      </c>
      <c r="K1058" s="51" t="str">
        <f t="shared" si="228"/>
        <v/>
      </c>
      <c r="L1058" s="52" t="str">
        <f t="shared" si="229"/>
        <v/>
      </c>
      <c r="M1058" s="53" t="str">
        <f t="shared" si="230"/>
        <v/>
      </c>
      <c r="N1058" s="53" t="str">
        <f t="shared" si="231"/>
        <v/>
      </c>
      <c r="O1058" s="53" t="str">
        <f t="shared" si="232"/>
        <v/>
      </c>
      <c r="P1058" s="53" t="str">
        <f t="shared" si="233"/>
        <v/>
      </c>
      <c r="Q1058" s="53" t="str">
        <f t="shared" si="234"/>
        <v/>
      </c>
      <c r="R1058" s="53" t="str">
        <f t="shared" si="235"/>
        <v/>
      </c>
      <c r="S1058" s="53" t="str">
        <f t="shared" si="236"/>
        <v/>
      </c>
      <c r="T1058" s="53" t="str">
        <f t="shared" si="237"/>
        <v/>
      </c>
    </row>
    <row r="1059" spans="1:20">
      <c r="A1059" s="47" t="str">
        <f>IF(archive!E1059="","",archive!E1059)</f>
        <v/>
      </c>
      <c r="B1059" s="48" t="str">
        <f t="shared" si="224"/>
        <v/>
      </c>
      <c r="C1059" s="49" t="str">
        <f>IF(archive!F1059="","",archive!F1059)</f>
        <v/>
      </c>
      <c r="D1059" s="50" t="str">
        <f t="shared" si="225"/>
        <v/>
      </c>
      <c r="E1059" s="50" t="str">
        <f t="shared" si="226"/>
        <v/>
      </c>
      <c r="F1059" s="47" t="str">
        <f>IF(COUNTA(archive!H1059:CI1059)=0,"",COUNTA(archive!H1059:CI1059))</f>
        <v/>
      </c>
      <c r="G1059" s="47" t="str">
        <f>IF(archive!G1059="","",archive!G1059)</f>
        <v/>
      </c>
      <c r="H1059" s="51" t="str">
        <f>IF(archive!CJ1059="","",archive!CJ1059)</f>
        <v/>
      </c>
      <c r="I1059" s="51" t="str">
        <f>IF(archive!CK1059="","",archive!CK1059)</f>
        <v/>
      </c>
      <c r="J1059" s="47" t="str">
        <f t="shared" si="227"/>
        <v/>
      </c>
      <c r="K1059" s="51" t="str">
        <f t="shared" si="228"/>
        <v/>
      </c>
      <c r="L1059" s="52" t="str">
        <f t="shared" si="229"/>
        <v/>
      </c>
      <c r="M1059" s="53" t="str">
        <f t="shared" si="230"/>
        <v/>
      </c>
      <c r="N1059" s="53" t="str">
        <f t="shared" si="231"/>
        <v/>
      </c>
      <c r="O1059" s="53" t="str">
        <f t="shared" si="232"/>
        <v/>
      </c>
      <c r="P1059" s="53" t="str">
        <f t="shared" si="233"/>
        <v/>
      </c>
      <c r="Q1059" s="53" t="str">
        <f t="shared" si="234"/>
        <v/>
      </c>
      <c r="R1059" s="53" t="str">
        <f t="shared" si="235"/>
        <v/>
      </c>
      <c r="S1059" s="53" t="str">
        <f t="shared" si="236"/>
        <v/>
      </c>
      <c r="T1059" s="53" t="str">
        <f t="shared" si="237"/>
        <v/>
      </c>
    </row>
    <row r="1060" spans="1:20">
      <c r="A1060" s="47" t="str">
        <f>IF(archive!E1060="","",archive!E1060)</f>
        <v/>
      </c>
      <c r="B1060" s="48" t="str">
        <f t="shared" si="224"/>
        <v/>
      </c>
      <c r="C1060" s="49" t="str">
        <f>IF(archive!F1060="","",archive!F1060)</f>
        <v/>
      </c>
      <c r="D1060" s="50" t="str">
        <f t="shared" si="225"/>
        <v/>
      </c>
      <c r="E1060" s="50" t="str">
        <f t="shared" si="226"/>
        <v/>
      </c>
      <c r="F1060" s="47" t="str">
        <f>IF(COUNTA(archive!H1060:CI1060)=0,"",COUNTA(archive!H1060:CI1060))</f>
        <v/>
      </c>
      <c r="G1060" s="47" t="str">
        <f>IF(archive!G1060="","",archive!G1060)</f>
        <v/>
      </c>
      <c r="H1060" s="51" t="str">
        <f>IF(archive!CJ1060="","",archive!CJ1060)</f>
        <v/>
      </c>
      <c r="I1060" s="51" t="str">
        <f>IF(archive!CK1060="","",archive!CK1060)</f>
        <v/>
      </c>
      <c r="J1060" s="47" t="str">
        <f t="shared" si="227"/>
        <v/>
      </c>
      <c r="K1060" s="51" t="str">
        <f t="shared" si="228"/>
        <v/>
      </c>
      <c r="L1060" s="52" t="str">
        <f t="shared" si="229"/>
        <v/>
      </c>
      <c r="M1060" s="53" t="str">
        <f t="shared" si="230"/>
        <v/>
      </c>
      <c r="N1060" s="53" t="str">
        <f t="shared" si="231"/>
        <v/>
      </c>
      <c r="O1060" s="53" t="str">
        <f t="shared" si="232"/>
        <v/>
      </c>
      <c r="P1060" s="53" t="str">
        <f t="shared" si="233"/>
        <v/>
      </c>
      <c r="Q1060" s="53" t="str">
        <f t="shared" si="234"/>
        <v/>
      </c>
      <c r="R1060" s="53" t="str">
        <f t="shared" si="235"/>
        <v/>
      </c>
      <c r="S1060" s="53" t="str">
        <f t="shared" si="236"/>
        <v/>
      </c>
      <c r="T1060" s="53" t="str">
        <f t="shared" si="237"/>
        <v/>
      </c>
    </row>
    <row r="1061" spans="1:20">
      <c r="A1061" s="47" t="str">
        <f>IF(archive!E1061="","",archive!E1061)</f>
        <v/>
      </c>
      <c r="B1061" s="48" t="str">
        <f t="shared" si="224"/>
        <v/>
      </c>
      <c r="C1061" s="49" t="str">
        <f>IF(archive!F1061="","",archive!F1061)</f>
        <v/>
      </c>
      <c r="D1061" s="50" t="str">
        <f t="shared" si="225"/>
        <v/>
      </c>
      <c r="E1061" s="50" t="str">
        <f t="shared" si="226"/>
        <v/>
      </c>
      <c r="F1061" s="47" t="str">
        <f>IF(COUNTA(archive!H1061:CI1061)=0,"",COUNTA(archive!H1061:CI1061))</f>
        <v/>
      </c>
      <c r="G1061" s="47" t="str">
        <f>IF(archive!G1061="","",archive!G1061)</f>
        <v/>
      </c>
      <c r="H1061" s="51" t="str">
        <f>IF(archive!CJ1061="","",archive!CJ1061)</f>
        <v/>
      </c>
      <c r="I1061" s="51" t="str">
        <f>IF(archive!CK1061="","",archive!CK1061)</f>
        <v/>
      </c>
      <c r="J1061" s="47" t="str">
        <f t="shared" si="227"/>
        <v/>
      </c>
      <c r="K1061" s="51" t="str">
        <f t="shared" si="228"/>
        <v/>
      </c>
      <c r="L1061" s="52" t="str">
        <f t="shared" si="229"/>
        <v/>
      </c>
      <c r="M1061" s="53" t="str">
        <f t="shared" si="230"/>
        <v/>
      </c>
      <c r="N1061" s="53" t="str">
        <f t="shared" si="231"/>
        <v/>
      </c>
      <c r="O1061" s="53" t="str">
        <f t="shared" si="232"/>
        <v/>
      </c>
      <c r="P1061" s="53" t="str">
        <f t="shared" si="233"/>
        <v/>
      </c>
      <c r="Q1061" s="53" t="str">
        <f t="shared" si="234"/>
        <v/>
      </c>
      <c r="R1061" s="53" t="str">
        <f t="shared" si="235"/>
        <v/>
      </c>
      <c r="S1061" s="53" t="str">
        <f t="shared" si="236"/>
        <v/>
      </c>
      <c r="T1061" s="53" t="str">
        <f t="shared" si="237"/>
        <v/>
      </c>
    </row>
    <row r="1062" spans="1:20">
      <c r="A1062" s="47" t="str">
        <f>IF(archive!E1062="","",archive!E1062)</f>
        <v/>
      </c>
      <c r="B1062" s="48" t="str">
        <f t="shared" si="224"/>
        <v/>
      </c>
      <c r="C1062" s="49" t="str">
        <f>IF(archive!F1062="","",archive!F1062)</f>
        <v/>
      </c>
      <c r="D1062" s="50" t="str">
        <f t="shared" si="225"/>
        <v/>
      </c>
      <c r="E1062" s="50" t="str">
        <f t="shared" si="226"/>
        <v/>
      </c>
      <c r="F1062" s="47" t="str">
        <f>IF(COUNTA(archive!H1062:CI1062)=0,"",COUNTA(archive!H1062:CI1062))</f>
        <v/>
      </c>
      <c r="G1062" s="47" t="str">
        <f>IF(archive!G1062="","",archive!G1062)</f>
        <v/>
      </c>
      <c r="H1062" s="51" t="str">
        <f>IF(archive!CJ1062="","",archive!CJ1062)</f>
        <v/>
      </c>
      <c r="I1062" s="51" t="str">
        <f>IF(archive!CK1062="","",archive!CK1062)</f>
        <v/>
      </c>
      <c r="J1062" s="47" t="str">
        <f t="shared" si="227"/>
        <v/>
      </c>
      <c r="K1062" s="51" t="str">
        <f t="shared" si="228"/>
        <v/>
      </c>
      <c r="L1062" s="52" t="str">
        <f t="shared" si="229"/>
        <v/>
      </c>
      <c r="M1062" s="53" t="str">
        <f t="shared" si="230"/>
        <v/>
      </c>
      <c r="N1062" s="53" t="str">
        <f t="shared" si="231"/>
        <v/>
      </c>
      <c r="O1062" s="53" t="str">
        <f t="shared" si="232"/>
        <v/>
      </c>
      <c r="P1062" s="53" t="str">
        <f t="shared" si="233"/>
        <v/>
      </c>
      <c r="Q1062" s="53" t="str">
        <f t="shared" si="234"/>
        <v/>
      </c>
      <c r="R1062" s="53" t="str">
        <f t="shared" si="235"/>
        <v/>
      </c>
      <c r="S1062" s="53" t="str">
        <f t="shared" si="236"/>
        <v/>
      </c>
      <c r="T1062" s="53" t="str">
        <f t="shared" si="237"/>
        <v/>
      </c>
    </row>
    <row r="1063" spans="1:20">
      <c r="A1063" s="47" t="str">
        <f>IF(archive!E1063="","",archive!E1063)</f>
        <v/>
      </c>
      <c r="B1063" s="48" t="str">
        <f t="shared" si="224"/>
        <v/>
      </c>
      <c r="C1063" s="49" t="str">
        <f>IF(archive!F1063="","",archive!F1063)</f>
        <v/>
      </c>
      <c r="D1063" s="50" t="str">
        <f t="shared" si="225"/>
        <v/>
      </c>
      <c r="E1063" s="50" t="str">
        <f t="shared" si="226"/>
        <v/>
      </c>
      <c r="F1063" s="47" t="str">
        <f>IF(COUNTA(archive!H1063:CI1063)=0,"",COUNTA(archive!H1063:CI1063))</f>
        <v/>
      </c>
      <c r="G1063" s="47" t="str">
        <f>IF(archive!G1063="","",archive!G1063)</f>
        <v/>
      </c>
      <c r="H1063" s="51" t="str">
        <f>IF(archive!CJ1063="","",archive!CJ1063)</f>
        <v/>
      </c>
      <c r="I1063" s="51" t="str">
        <f>IF(archive!CK1063="","",archive!CK1063)</f>
        <v/>
      </c>
      <c r="J1063" s="47" t="str">
        <f t="shared" si="227"/>
        <v/>
      </c>
      <c r="K1063" s="51" t="str">
        <f t="shared" si="228"/>
        <v/>
      </c>
      <c r="L1063" s="52" t="str">
        <f t="shared" si="229"/>
        <v/>
      </c>
      <c r="M1063" s="53" t="str">
        <f t="shared" si="230"/>
        <v/>
      </c>
      <c r="N1063" s="53" t="str">
        <f t="shared" si="231"/>
        <v/>
      </c>
      <c r="O1063" s="53" t="str">
        <f t="shared" si="232"/>
        <v/>
      </c>
      <c r="P1063" s="53" t="str">
        <f t="shared" si="233"/>
        <v/>
      </c>
      <c r="Q1063" s="53" t="str">
        <f t="shared" si="234"/>
        <v/>
      </c>
      <c r="R1063" s="53" t="str">
        <f t="shared" si="235"/>
        <v/>
      </c>
      <c r="S1063" s="53" t="str">
        <f t="shared" si="236"/>
        <v/>
      </c>
      <c r="T1063" s="53" t="str">
        <f t="shared" si="237"/>
        <v/>
      </c>
    </row>
    <row r="1064" spans="1:20">
      <c r="A1064" s="47" t="str">
        <f>IF(archive!E1064="","",archive!E1064)</f>
        <v/>
      </c>
      <c r="B1064" s="48" t="str">
        <f t="shared" si="224"/>
        <v/>
      </c>
      <c r="C1064" s="49" t="str">
        <f>IF(archive!F1064="","",archive!F1064)</f>
        <v/>
      </c>
      <c r="D1064" s="50" t="str">
        <f t="shared" si="225"/>
        <v/>
      </c>
      <c r="E1064" s="50" t="str">
        <f t="shared" si="226"/>
        <v/>
      </c>
      <c r="F1064" s="47" t="str">
        <f>IF(COUNTA(archive!H1064:CI1064)=0,"",COUNTA(archive!H1064:CI1064))</f>
        <v/>
      </c>
      <c r="G1064" s="47" t="str">
        <f>IF(archive!G1064="","",archive!G1064)</f>
        <v/>
      </c>
      <c r="H1064" s="51" t="str">
        <f>IF(archive!CJ1064="","",archive!CJ1064)</f>
        <v/>
      </c>
      <c r="I1064" s="51" t="str">
        <f>IF(archive!CK1064="","",archive!CK1064)</f>
        <v/>
      </c>
      <c r="J1064" s="47" t="str">
        <f t="shared" si="227"/>
        <v/>
      </c>
      <c r="K1064" s="51" t="str">
        <f t="shared" si="228"/>
        <v/>
      </c>
      <c r="L1064" s="52" t="str">
        <f t="shared" si="229"/>
        <v/>
      </c>
      <c r="M1064" s="53" t="str">
        <f t="shared" si="230"/>
        <v/>
      </c>
      <c r="N1064" s="53" t="str">
        <f t="shared" si="231"/>
        <v/>
      </c>
      <c r="O1064" s="53" t="str">
        <f t="shared" si="232"/>
        <v/>
      </c>
      <c r="P1064" s="53" t="str">
        <f t="shared" si="233"/>
        <v/>
      </c>
      <c r="Q1064" s="53" t="str">
        <f t="shared" si="234"/>
        <v/>
      </c>
      <c r="R1064" s="53" t="str">
        <f t="shared" si="235"/>
        <v/>
      </c>
      <c r="S1064" s="53" t="str">
        <f t="shared" si="236"/>
        <v/>
      </c>
      <c r="T1064" s="53" t="str">
        <f t="shared" si="237"/>
        <v/>
      </c>
    </row>
    <row r="1065" spans="1:20">
      <c r="A1065" s="47" t="str">
        <f>IF(archive!E1065="","",archive!E1065)</f>
        <v/>
      </c>
      <c r="B1065" s="48" t="str">
        <f t="shared" si="224"/>
        <v/>
      </c>
      <c r="C1065" s="49" t="str">
        <f>IF(archive!F1065="","",archive!F1065)</f>
        <v/>
      </c>
      <c r="D1065" s="50" t="str">
        <f t="shared" si="225"/>
        <v/>
      </c>
      <c r="E1065" s="50" t="str">
        <f t="shared" si="226"/>
        <v/>
      </c>
      <c r="F1065" s="47" t="str">
        <f>IF(COUNTA(archive!H1065:CI1065)=0,"",COUNTA(archive!H1065:CI1065))</f>
        <v/>
      </c>
      <c r="G1065" s="47" t="str">
        <f>IF(archive!G1065="","",archive!G1065)</f>
        <v/>
      </c>
      <c r="H1065" s="51" t="str">
        <f>IF(archive!CJ1065="","",archive!CJ1065)</f>
        <v/>
      </c>
      <c r="I1065" s="51" t="str">
        <f>IF(archive!CK1065="","",archive!CK1065)</f>
        <v/>
      </c>
      <c r="J1065" s="47" t="str">
        <f t="shared" si="227"/>
        <v/>
      </c>
      <c r="K1065" s="51" t="str">
        <f t="shared" si="228"/>
        <v/>
      </c>
      <c r="L1065" s="52" t="str">
        <f t="shared" si="229"/>
        <v/>
      </c>
      <c r="M1065" s="53" t="str">
        <f t="shared" si="230"/>
        <v/>
      </c>
      <c r="N1065" s="53" t="str">
        <f t="shared" si="231"/>
        <v/>
      </c>
      <c r="O1065" s="53" t="str">
        <f t="shared" si="232"/>
        <v/>
      </c>
      <c r="P1065" s="53" t="str">
        <f t="shared" si="233"/>
        <v/>
      </c>
      <c r="Q1065" s="53" t="str">
        <f t="shared" si="234"/>
        <v/>
      </c>
      <c r="R1065" s="53" t="str">
        <f t="shared" si="235"/>
        <v/>
      </c>
      <c r="S1065" s="53" t="str">
        <f t="shared" si="236"/>
        <v/>
      </c>
      <c r="T1065" s="53" t="str">
        <f t="shared" si="237"/>
        <v/>
      </c>
    </row>
    <row r="1066" spans="1:20">
      <c r="A1066" s="47" t="str">
        <f>IF(archive!E1066="","",archive!E1066)</f>
        <v/>
      </c>
      <c r="B1066" s="48" t="str">
        <f t="shared" si="224"/>
        <v/>
      </c>
      <c r="C1066" s="49" t="str">
        <f>IF(archive!F1066="","",archive!F1066)</f>
        <v/>
      </c>
      <c r="D1066" s="50" t="str">
        <f t="shared" si="225"/>
        <v/>
      </c>
      <c r="E1066" s="50" t="str">
        <f t="shared" si="226"/>
        <v/>
      </c>
      <c r="F1066" s="47" t="str">
        <f>IF(COUNTA(archive!H1066:CI1066)=0,"",COUNTA(archive!H1066:CI1066))</f>
        <v/>
      </c>
      <c r="G1066" s="47" t="str">
        <f>IF(archive!G1066="","",archive!G1066)</f>
        <v/>
      </c>
      <c r="H1066" s="51" t="str">
        <f>IF(archive!CJ1066="","",archive!CJ1066)</f>
        <v/>
      </c>
      <c r="I1066" s="51" t="str">
        <f>IF(archive!CK1066="","",archive!CK1066)</f>
        <v/>
      </c>
      <c r="J1066" s="47" t="str">
        <f t="shared" si="227"/>
        <v/>
      </c>
      <c r="K1066" s="51" t="str">
        <f t="shared" si="228"/>
        <v/>
      </c>
      <c r="L1066" s="52" t="str">
        <f t="shared" si="229"/>
        <v/>
      </c>
      <c r="M1066" s="53" t="str">
        <f t="shared" si="230"/>
        <v/>
      </c>
      <c r="N1066" s="53" t="str">
        <f t="shared" si="231"/>
        <v/>
      </c>
      <c r="O1066" s="53" t="str">
        <f t="shared" si="232"/>
        <v/>
      </c>
      <c r="P1066" s="53" t="str">
        <f t="shared" si="233"/>
        <v/>
      </c>
      <c r="Q1066" s="53" t="str">
        <f t="shared" si="234"/>
        <v/>
      </c>
      <c r="R1066" s="53" t="str">
        <f t="shared" si="235"/>
        <v/>
      </c>
      <c r="S1066" s="53" t="str">
        <f t="shared" si="236"/>
        <v/>
      </c>
      <c r="T1066" s="53" t="str">
        <f t="shared" si="237"/>
        <v/>
      </c>
    </row>
    <row r="1067" spans="1:20">
      <c r="A1067" s="47" t="str">
        <f>IF(archive!E1067="","",archive!E1067)</f>
        <v/>
      </c>
      <c r="B1067" s="48" t="str">
        <f t="shared" si="224"/>
        <v/>
      </c>
      <c r="C1067" s="49" t="str">
        <f>IF(archive!F1067="","",archive!F1067)</f>
        <v/>
      </c>
      <c r="D1067" s="50" t="str">
        <f t="shared" si="225"/>
        <v/>
      </c>
      <c r="E1067" s="50" t="str">
        <f t="shared" si="226"/>
        <v/>
      </c>
      <c r="F1067" s="47" t="str">
        <f>IF(COUNTA(archive!H1067:CI1067)=0,"",COUNTA(archive!H1067:CI1067))</f>
        <v/>
      </c>
      <c r="G1067" s="47" t="str">
        <f>IF(archive!G1067="","",archive!G1067)</f>
        <v/>
      </c>
      <c r="H1067" s="51" t="str">
        <f>IF(archive!CJ1067="","",archive!CJ1067)</f>
        <v/>
      </c>
      <c r="I1067" s="51" t="str">
        <f>IF(archive!CK1067="","",archive!CK1067)</f>
        <v/>
      </c>
      <c r="J1067" s="47" t="str">
        <f t="shared" si="227"/>
        <v/>
      </c>
      <c r="K1067" s="51" t="str">
        <f t="shared" si="228"/>
        <v/>
      </c>
      <c r="L1067" s="52" t="str">
        <f t="shared" si="229"/>
        <v/>
      </c>
      <c r="M1067" s="53" t="str">
        <f t="shared" si="230"/>
        <v/>
      </c>
      <c r="N1067" s="53" t="str">
        <f t="shared" si="231"/>
        <v/>
      </c>
      <c r="O1067" s="53" t="str">
        <f t="shared" si="232"/>
        <v/>
      </c>
      <c r="P1067" s="53" t="str">
        <f t="shared" si="233"/>
        <v/>
      </c>
      <c r="Q1067" s="53" t="str">
        <f t="shared" si="234"/>
        <v/>
      </c>
      <c r="R1067" s="53" t="str">
        <f t="shared" si="235"/>
        <v/>
      </c>
      <c r="S1067" s="53" t="str">
        <f t="shared" si="236"/>
        <v/>
      </c>
      <c r="T1067" s="53" t="str">
        <f t="shared" si="237"/>
        <v/>
      </c>
    </row>
    <row r="1068" spans="1:20">
      <c r="A1068" s="47" t="str">
        <f>IF(archive!E1068="","",archive!E1068)</f>
        <v/>
      </c>
      <c r="B1068" s="48" t="str">
        <f t="shared" si="224"/>
        <v/>
      </c>
      <c r="C1068" s="49" t="str">
        <f>IF(archive!F1068="","",archive!F1068)</f>
        <v/>
      </c>
      <c r="D1068" s="50" t="str">
        <f t="shared" si="225"/>
        <v/>
      </c>
      <c r="E1068" s="50" t="str">
        <f t="shared" si="226"/>
        <v/>
      </c>
      <c r="F1068" s="47" t="str">
        <f>IF(COUNTA(archive!H1068:CI1068)=0,"",COUNTA(archive!H1068:CI1068))</f>
        <v/>
      </c>
      <c r="G1068" s="47" t="str">
        <f>IF(archive!G1068="","",archive!G1068)</f>
        <v/>
      </c>
      <c r="H1068" s="51" t="str">
        <f>IF(archive!CJ1068="","",archive!CJ1068)</f>
        <v/>
      </c>
      <c r="I1068" s="51" t="str">
        <f>IF(archive!CK1068="","",archive!CK1068)</f>
        <v/>
      </c>
      <c r="J1068" s="47" t="str">
        <f t="shared" si="227"/>
        <v/>
      </c>
      <c r="K1068" s="51" t="str">
        <f t="shared" si="228"/>
        <v/>
      </c>
      <c r="L1068" s="52" t="str">
        <f t="shared" si="229"/>
        <v/>
      </c>
      <c r="M1068" s="53" t="str">
        <f t="shared" si="230"/>
        <v/>
      </c>
      <c r="N1068" s="53" t="str">
        <f t="shared" si="231"/>
        <v/>
      </c>
      <c r="O1068" s="53" t="str">
        <f t="shared" si="232"/>
        <v/>
      </c>
      <c r="P1068" s="53" t="str">
        <f t="shared" si="233"/>
        <v/>
      </c>
      <c r="Q1068" s="53" t="str">
        <f t="shared" si="234"/>
        <v/>
      </c>
      <c r="R1068" s="53" t="str">
        <f t="shared" si="235"/>
        <v/>
      </c>
      <c r="S1068" s="53" t="str">
        <f t="shared" si="236"/>
        <v/>
      </c>
      <c r="T1068" s="53" t="str">
        <f t="shared" si="237"/>
        <v/>
      </c>
    </row>
    <row r="1069" spans="1:20">
      <c r="A1069" s="47" t="str">
        <f>IF(archive!E1069="","",archive!E1069)</f>
        <v/>
      </c>
      <c r="B1069" s="48" t="str">
        <f t="shared" si="224"/>
        <v/>
      </c>
      <c r="C1069" s="49" t="str">
        <f>IF(archive!F1069="","",archive!F1069)</f>
        <v/>
      </c>
      <c r="D1069" s="50" t="str">
        <f t="shared" si="225"/>
        <v/>
      </c>
      <c r="E1069" s="50" t="str">
        <f t="shared" si="226"/>
        <v/>
      </c>
      <c r="F1069" s="47" t="str">
        <f>IF(COUNTA(archive!H1069:CI1069)=0,"",COUNTA(archive!H1069:CI1069))</f>
        <v/>
      </c>
      <c r="G1069" s="47" t="str">
        <f>IF(archive!G1069="","",archive!G1069)</f>
        <v/>
      </c>
      <c r="H1069" s="51" t="str">
        <f>IF(archive!CJ1069="","",archive!CJ1069)</f>
        <v/>
      </c>
      <c r="I1069" s="51" t="str">
        <f>IF(archive!CK1069="","",archive!CK1069)</f>
        <v/>
      </c>
      <c r="J1069" s="47" t="str">
        <f t="shared" si="227"/>
        <v/>
      </c>
      <c r="K1069" s="51" t="str">
        <f t="shared" si="228"/>
        <v/>
      </c>
      <c r="L1069" s="52" t="str">
        <f t="shared" si="229"/>
        <v/>
      </c>
      <c r="M1069" s="53" t="str">
        <f t="shared" si="230"/>
        <v/>
      </c>
      <c r="N1069" s="53" t="str">
        <f t="shared" si="231"/>
        <v/>
      </c>
      <c r="O1069" s="53" t="str">
        <f t="shared" si="232"/>
        <v/>
      </c>
      <c r="P1069" s="53" t="str">
        <f t="shared" si="233"/>
        <v/>
      </c>
      <c r="Q1069" s="53" t="str">
        <f t="shared" si="234"/>
        <v/>
      </c>
      <c r="R1069" s="53" t="str">
        <f t="shared" si="235"/>
        <v/>
      </c>
      <c r="S1069" s="53" t="str">
        <f t="shared" si="236"/>
        <v/>
      </c>
      <c r="T1069" s="53" t="str">
        <f t="shared" si="237"/>
        <v/>
      </c>
    </row>
    <row r="1070" spans="1:20">
      <c r="A1070" s="47" t="str">
        <f>IF(archive!E1070="","",archive!E1070)</f>
        <v/>
      </c>
      <c r="B1070" s="48" t="str">
        <f t="shared" si="224"/>
        <v/>
      </c>
      <c r="C1070" s="49" t="str">
        <f>IF(archive!F1070="","",archive!F1070)</f>
        <v/>
      </c>
      <c r="D1070" s="50" t="str">
        <f t="shared" si="225"/>
        <v/>
      </c>
      <c r="E1070" s="50" t="str">
        <f t="shared" si="226"/>
        <v/>
      </c>
      <c r="F1070" s="47" t="str">
        <f>IF(COUNTA(archive!H1070:CI1070)=0,"",COUNTA(archive!H1070:CI1070))</f>
        <v/>
      </c>
      <c r="G1070" s="47" t="str">
        <f>IF(archive!G1070="","",archive!G1070)</f>
        <v/>
      </c>
      <c r="H1070" s="51" t="str">
        <f>IF(archive!CJ1070="","",archive!CJ1070)</f>
        <v/>
      </c>
      <c r="I1070" s="51" t="str">
        <f>IF(archive!CK1070="","",archive!CK1070)</f>
        <v/>
      </c>
      <c r="J1070" s="47" t="str">
        <f t="shared" si="227"/>
        <v/>
      </c>
      <c r="K1070" s="51" t="str">
        <f t="shared" si="228"/>
        <v/>
      </c>
      <c r="L1070" s="52" t="str">
        <f t="shared" si="229"/>
        <v/>
      </c>
      <c r="M1070" s="53" t="str">
        <f t="shared" si="230"/>
        <v/>
      </c>
      <c r="N1070" s="53" t="str">
        <f t="shared" si="231"/>
        <v/>
      </c>
      <c r="O1070" s="53" t="str">
        <f t="shared" si="232"/>
        <v/>
      </c>
      <c r="P1070" s="53" t="str">
        <f t="shared" si="233"/>
        <v/>
      </c>
      <c r="Q1070" s="53" t="str">
        <f t="shared" si="234"/>
        <v/>
      </c>
      <c r="R1070" s="53" t="str">
        <f t="shared" si="235"/>
        <v/>
      </c>
      <c r="S1070" s="53" t="str">
        <f t="shared" si="236"/>
        <v/>
      </c>
      <c r="T1070" s="53" t="str">
        <f t="shared" si="237"/>
        <v/>
      </c>
    </row>
    <row r="1071" spans="1:20">
      <c r="A1071" s="47" t="str">
        <f>IF(archive!E1071="","",archive!E1071)</f>
        <v/>
      </c>
      <c r="B1071" s="48" t="str">
        <f t="shared" si="224"/>
        <v/>
      </c>
      <c r="C1071" s="49" t="str">
        <f>IF(archive!F1071="","",archive!F1071)</f>
        <v/>
      </c>
      <c r="D1071" s="50" t="str">
        <f t="shared" si="225"/>
        <v/>
      </c>
      <c r="E1071" s="50" t="str">
        <f t="shared" si="226"/>
        <v/>
      </c>
      <c r="F1071" s="47" t="str">
        <f>IF(COUNTA(archive!H1071:CI1071)=0,"",COUNTA(archive!H1071:CI1071))</f>
        <v/>
      </c>
      <c r="G1071" s="47" t="str">
        <f>IF(archive!G1071="","",archive!G1071)</f>
        <v/>
      </c>
      <c r="H1071" s="51" t="str">
        <f>IF(archive!CJ1071="","",archive!CJ1071)</f>
        <v/>
      </c>
      <c r="I1071" s="51" t="str">
        <f>IF(archive!CK1071="","",archive!CK1071)</f>
        <v/>
      </c>
      <c r="J1071" s="47" t="str">
        <f t="shared" si="227"/>
        <v/>
      </c>
      <c r="K1071" s="51" t="str">
        <f t="shared" si="228"/>
        <v/>
      </c>
      <c r="L1071" s="52" t="str">
        <f t="shared" si="229"/>
        <v/>
      </c>
      <c r="M1071" s="53" t="str">
        <f t="shared" si="230"/>
        <v/>
      </c>
      <c r="N1071" s="53" t="str">
        <f t="shared" si="231"/>
        <v/>
      </c>
      <c r="O1071" s="53" t="str">
        <f t="shared" si="232"/>
        <v/>
      </c>
      <c r="P1071" s="53" t="str">
        <f t="shared" si="233"/>
        <v/>
      </c>
      <c r="Q1071" s="53" t="str">
        <f t="shared" si="234"/>
        <v/>
      </c>
      <c r="R1071" s="53" t="str">
        <f t="shared" si="235"/>
        <v/>
      </c>
      <c r="S1071" s="53" t="str">
        <f t="shared" si="236"/>
        <v/>
      </c>
      <c r="T1071" s="53" t="str">
        <f t="shared" si="237"/>
        <v/>
      </c>
    </row>
    <row r="1072" spans="1:20">
      <c r="A1072" s="47" t="str">
        <f>IF(archive!E1072="","",archive!E1072)</f>
        <v/>
      </c>
      <c r="B1072" s="48" t="str">
        <f t="shared" si="224"/>
        <v/>
      </c>
      <c r="C1072" s="49" t="str">
        <f>IF(archive!F1072="","",archive!F1072)</f>
        <v/>
      </c>
      <c r="D1072" s="50" t="str">
        <f t="shared" si="225"/>
        <v/>
      </c>
      <c r="E1072" s="50" t="str">
        <f t="shared" si="226"/>
        <v/>
      </c>
      <c r="F1072" s="47" t="str">
        <f>IF(COUNTA(archive!H1072:CI1072)=0,"",COUNTA(archive!H1072:CI1072))</f>
        <v/>
      </c>
      <c r="G1072" s="47" t="str">
        <f>IF(archive!G1072="","",archive!G1072)</f>
        <v/>
      </c>
      <c r="H1072" s="51" t="str">
        <f>IF(archive!CJ1072="","",archive!CJ1072)</f>
        <v/>
      </c>
      <c r="I1072" s="51" t="str">
        <f>IF(archive!CK1072="","",archive!CK1072)</f>
        <v/>
      </c>
      <c r="J1072" s="47" t="str">
        <f t="shared" si="227"/>
        <v/>
      </c>
      <c r="K1072" s="51" t="str">
        <f t="shared" si="228"/>
        <v/>
      </c>
      <c r="L1072" s="52" t="str">
        <f t="shared" si="229"/>
        <v/>
      </c>
      <c r="M1072" s="53" t="str">
        <f t="shared" si="230"/>
        <v/>
      </c>
      <c r="N1072" s="53" t="str">
        <f t="shared" si="231"/>
        <v/>
      </c>
      <c r="O1072" s="53" t="str">
        <f t="shared" si="232"/>
        <v/>
      </c>
      <c r="P1072" s="53" t="str">
        <f t="shared" si="233"/>
        <v/>
      </c>
      <c r="Q1072" s="53" t="str">
        <f t="shared" si="234"/>
        <v/>
      </c>
      <c r="R1072" s="53" t="str">
        <f t="shared" si="235"/>
        <v/>
      </c>
      <c r="S1072" s="53" t="str">
        <f t="shared" si="236"/>
        <v/>
      </c>
      <c r="T1072" s="53" t="str">
        <f t="shared" si="237"/>
        <v/>
      </c>
    </row>
    <row r="1073" spans="1:20">
      <c r="A1073" s="47" t="str">
        <f>IF(archive!E1073="","",archive!E1073)</f>
        <v/>
      </c>
      <c r="B1073" s="48" t="str">
        <f t="shared" si="224"/>
        <v/>
      </c>
      <c r="C1073" s="49" t="str">
        <f>IF(archive!F1073="","",archive!F1073)</f>
        <v/>
      </c>
      <c r="D1073" s="50" t="str">
        <f t="shared" si="225"/>
        <v/>
      </c>
      <c r="E1073" s="50" t="str">
        <f t="shared" si="226"/>
        <v/>
      </c>
      <c r="F1073" s="47" t="str">
        <f>IF(COUNTA(archive!H1073:CI1073)=0,"",COUNTA(archive!H1073:CI1073))</f>
        <v/>
      </c>
      <c r="G1073" s="47" t="str">
        <f>IF(archive!G1073="","",archive!G1073)</f>
        <v/>
      </c>
      <c r="H1073" s="51" t="str">
        <f>IF(archive!CJ1073="","",archive!CJ1073)</f>
        <v/>
      </c>
      <c r="I1073" s="51" t="str">
        <f>IF(archive!CK1073="","",archive!CK1073)</f>
        <v/>
      </c>
      <c r="J1073" s="47" t="str">
        <f t="shared" si="227"/>
        <v/>
      </c>
      <c r="K1073" s="51" t="str">
        <f t="shared" si="228"/>
        <v/>
      </c>
      <c r="L1073" s="52" t="str">
        <f t="shared" si="229"/>
        <v/>
      </c>
      <c r="M1073" s="53" t="str">
        <f t="shared" si="230"/>
        <v/>
      </c>
      <c r="N1073" s="53" t="str">
        <f t="shared" si="231"/>
        <v/>
      </c>
      <c r="O1073" s="53" t="str">
        <f t="shared" si="232"/>
        <v/>
      </c>
      <c r="P1073" s="53" t="str">
        <f t="shared" si="233"/>
        <v/>
      </c>
      <c r="Q1073" s="53" t="str">
        <f t="shared" si="234"/>
        <v/>
      </c>
      <c r="R1073" s="53" t="str">
        <f t="shared" si="235"/>
        <v/>
      </c>
      <c r="S1073" s="53" t="str">
        <f t="shared" si="236"/>
        <v/>
      </c>
      <c r="T1073" s="53" t="str">
        <f t="shared" si="237"/>
        <v/>
      </c>
    </row>
    <row r="1074" spans="1:20">
      <c r="A1074" s="47" t="str">
        <f>IF(archive!E1074="","",archive!E1074)</f>
        <v/>
      </c>
      <c r="B1074" s="48" t="str">
        <f t="shared" si="224"/>
        <v/>
      </c>
      <c r="C1074" s="49" t="str">
        <f>IF(archive!F1074="","",archive!F1074)</f>
        <v/>
      </c>
      <c r="D1074" s="50" t="str">
        <f t="shared" si="225"/>
        <v/>
      </c>
      <c r="E1074" s="50" t="str">
        <f t="shared" si="226"/>
        <v/>
      </c>
      <c r="F1074" s="47" t="str">
        <f>IF(COUNTA(archive!H1074:CI1074)=0,"",COUNTA(archive!H1074:CI1074))</f>
        <v/>
      </c>
      <c r="G1074" s="47" t="str">
        <f>IF(archive!G1074="","",archive!G1074)</f>
        <v/>
      </c>
      <c r="H1074" s="51" t="str">
        <f>IF(archive!CJ1074="","",archive!CJ1074)</f>
        <v/>
      </c>
      <c r="I1074" s="51" t="str">
        <f>IF(archive!CK1074="","",archive!CK1074)</f>
        <v/>
      </c>
      <c r="J1074" s="47" t="str">
        <f t="shared" si="227"/>
        <v/>
      </c>
      <c r="K1074" s="51" t="str">
        <f t="shared" si="228"/>
        <v/>
      </c>
      <c r="L1074" s="52" t="str">
        <f t="shared" si="229"/>
        <v/>
      </c>
      <c r="M1074" s="53" t="str">
        <f t="shared" si="230"/>
        <v/>
      </c>
      <c r="N1074" s="53" t="str">
        <f t="shared" si="231"/>
        <v/>
      </c>
      <c r="O1074" s="53" t="str">
        <f t="shared" si="232"/>
        <v/>
      </c>
      <c r="P1074" s="53" t="str">
        <f t="shared" si="233"/>
        <v/>
      </c>
      <c r="Q1074" s="53" t="str">
        <f t="shared" si="234"/>
        <v/>
      </c>
      <c r="R1074" s="53" t="str">
        <f t="shared" si="235"/>
        <v/>
      </c>
      <c r="S1074" s="53" t="str">
        <f t="shared" si="236"/>
        <v/>
      </c>
      <c r="T1074" s="53" t="str">
        <f t="shared" si="237"/>
        <v/>
      </c>
    </row>
    <row r="1075" spans="1:20">
      <c r="A1075" s="47" t="str">
        <f>IF(archive!E1075="","",archive!E1075)</f>
        <v/>
      </c>
      <c r="B1075" s="48" t="str">
        <f t="shared" si="224"/>
        <v/>
      </c>
      <c r="C1075" s="49" t="str">
        <f>IF(archive!F1075="","",archive!F1075)</f>
        <v/>
      </c>
      <c r="D1075" s="50" t="str">
        <f t="shared" si="225"/>
        <v/>
      </c>
      <c r="E1075" s="50" t="str">
        <f t="shared" si="226"/>
        <v/>
      </c>
      <c r="F1075" s="47" t="str">
        <f>IF(COUNTA(archive!H1075:CI1075)=0,"",COUNTA(archive!H1075:CI1075))</f>
        <v/>
      </c>
      <c r="G1075" s="47" t="str">
        <f>IF(archive!G1075="","",archive!G1075)</f>
        <v/>
      </c>
      <c r="H1075" s="51" t="str">
        <f>IF(archive!CJ1075="","",archive!CJ1075)</f>
        <v/>
      </c>
      <c r="I1075" s="51" t="str">
        <f>IF(archive!CK1075="","",archive!CK1075)</f>
        <v/>
      </c>
      <c r="J1075" s="47" t="str">
        <f t="shared" si="227"/>
        <v/>
      </c>
      <c r="K1075" s="51" t="str">
        <f t="shared" si="228"/>
        <v/>
      </c>
      <c r="L1075" s="52" t="str">
        <f t="shared" si="229"/>
        <v/>
      </c>
      <c r="M1075" s="53" t="str">
        <f t="shared" si="230"/>
        <v/>
      </c>
      <c r="N1075" s="53" t="str">
        <f t="shared" si="231"/>
        <v/>
      </c>
      <c r="O1075" s="53" t="str">
        <f t="shared" si="232"/>
        <v/>
      </c>
      <c r="P1075" s="53" t="str">
        <f t="shared" si="233"/>
        <v/>
      </c>
      <c r="Q1075" s="53" t="str">
        <f t="shared" si="234"/>
        <v/>
      </c>
      <c r="R1075" s="53" t="str">
        <f t="shared" si="235"/>
        <v/>
      </c>
      <c r="S1075" s="53" t="str">
        <f t="shared" si="236"/>
        <v/>
      </c>
      <c r="T1075" s="53" t="str">
        <f t="shared" si="237"/>
        <v/>
      </c>
    </row>
    <row r="1076" spans="1:20">
      <c r="A1076" s="47" t="str">
        <f>IF(archive!E1076="","",archive!E1076)</f>
        <v/>
      </c>
      <c r="B1076" s="48" t="str">
        <f t="shared" si="224"/>
        <v/>
      </c>
      <c r="C1076" s="49" t="str">
        <f>IF(archive!F1076="","",archive!F1076)</f>
        <v/>
      </c>
      <c r="D1076" s="50" t="str">
        <f t="shared" si="225"/>
        <v/>
      </c>
      <c r="E1076" s="50" t="str">
        <f t="shared" si="226"/>
        <v/>
      </c>
      <c r="F1076" s="47" t="str">
        <f>IF(COUNTA(archive!H1076:CI1076)=0,"",COUNTA(archive!H1076:CI1076))</f>
        <v/>
      </c>
      <c r="G1076" s="47" t="str">
        <f>IF(archive!G1076="","",archive!G1076)</f>
        <v/>
      </c>
      <c r="H1076" s="51" t="str">
        <f>IF(archive!CJ1076="","",archive!CJ1076)</f>
        <v/>
      </c>
      <c r="I1076" s="51" t="str">
        <f>IF(archive!CK1076="","",archive!CK1076)</f>
        <v/>
      </c>
      <c r="J1076" s="47" t="str">
        <f t="shared" si="227"/>
        <v/>
      </c>
      <c r="K1076" s="51" t="str">
        <f t="shared" si="228"/>
        <v/>
      </c>
      <c r="L1076" s="52" t="str">
        <f t="shared" si="229"/>
        <v/>
      </c>
      <c r="M1076" s="53" t="str">
        <f t="shared" si="230"/>
        <v/>
      </c>
      <c r="N1076" s="53" t="str">
        <f t="shared" si="231"/>
        <v/>
      </c>
      <c r="O1076" s="53" t="str">
        <f t="shared" si="232"/>
        <v/>
      </c>
      <c r="P1076" s="53" t="str">
        <f t="shared" si="233"/>
        <v/>
      </c>
      <c r="Q1076" s="53" t="str">
        <f t="shared" si="234"/>
        <v/>
      </c>
      <c r="R1076" s="53" t="str">
        <f t="shared" si="235"/>
        <v/>
      </c>
      <c r="S1076" s="53" t="str">
        <f t="shared" si="236"/>
        <v/>
      </c>
      <c r="T1076" s="53" t="str">
        <f t="shared" si="237"/>
        <v/>
      </c>
    </row>
    <row r="1077" spans="1:20">
      <c r="A1077" s="47" t="str">
        <f>IF(archive!E1077="","",archive!E1077)</f>
        <v/>
      </c>
      <c r="B1077" s="48" t="str">
        <f t="shared" si="224"/>
        <v/>
      </c>
      <c r="C1077" s="49" t="str">
        <f>IF(archive!F1077="","",archive!F1077)</f>
        <v/>
      </c>
      <c r="D1077" s="50" t="str">
        <f t="shared" si="225"/>
        <v/>
      </c>
      <c r="E1077" s="50" t="str">
        <f t="shared" si="226"/>
        <v/>
      </c>
      <c r="F1077" s="47" t="str">
        <f>IF(COUNTA(archive!H1077:CI1077)=0,"",COUNTA(archive!H1077:CI1077))</f>
        <v/>
      </c>
      <c r="G1077" s="47" t="str">
        <f>IF(archive!G1077="","",archive!G1077)</f>
        <v/>
      </c>
      <c r="H1077" s="51" t="str">
        <f>IF(archive!CJ1077="","",archive!CJ1077)</f>
        <v/>
      </c>
      <c r="I1077" s="51" t="str">
        <f>IF(archive!CK1077="","",archive!CK1077)</f>
        <v/>
      </c>
      <c r="J1077" s="47" t="str">
        <f t="shared" si="227"/>
        <v/>
      </c>
      <c r="K1077" s="51" t="str">
        <f t="shared" si="228"/>
        <v/>
      </c>
      <c r="L1077" s="52" t="str">
        <f t="shared" si="229"/>
        <v/>
      </c>
      <c r="M1077" s="53" t="str">
        <f t="shared" si="230"/>
        <v/>
      </c>
      <c r="N1077" s="53" t="str">
        <f t="shared" si="231"/>
        <v/>
      </c>
      <c r="O1077" s="53" t="str">
        <f t="shared" si="232"/>
        <v/>
      </c>
      <c r="P1077" s="53" t="str">
        <f t="shared" si="233"/>
        <v/>
      </c>
      <c r="Q1077" s="53" t="str">
        <f t="shared" si="234"/>
        <v/>
      </c>
      <c r="R1077" s="53" t="str">
        <f t="shared" si="235"/>
        <v/>
      </c>
      <c r="S1077" s="53" t="str">
        <f t="shared" si="236"/>
        <v/>
      </c>
      <c r="T1077" s="53" t="str">
        <f t="shared" si="237"/>
        <v/>
      </c>
    </row>
    <row r="1078" spans="1:20">
      <c r="A1078" s="47" t="str">
        <f>IF(archive!E1078="","",archive!E1078)</f>
        <v/>
      </c>
      <c r="B1078" s="48" t="str">
        <f t="shared" si="224"/>
        <v/>
      </c>
      <c r="C1078" s="49" t="str">
        <f>IF(archive!F1078="","",archive!F1078)</f>
        <v/>
      </c>
      <c r="D1078" s="50" t="str">
        <f t="shared" si="225"/>
        <v/>
      </c>
      <c r="E1078" s="50" t="str">
        <f t="shared" si="226"/>
        <v/>
      </c>
      <c r="F1078" s="47" t="str">
        <f>IF(COUNTA(archive!H1078:CI1078)=0,"",COUNTA(archive!H1078:CI1078))</f>
        <v/>
      </c>
      <c r="G1078" s="47" t="str">
        <f>IF(archive!G1078="","",archive!G1078)</f>
        <v/>
      </c>
      <c r="H1078" s="51" t="str">
        <f>IF(archive!CJ1078="","",archive!CJ1078)</f>
        <v/>
      </c>
      <c r="I1078" s="51" t="str">
        <f>IF(archive!CK1078="","",archive!CK1078)</f>
        <v/>
      </c>
      <c r="J1078" s="47" t="str">
        <f t="shared" si="227"/>
        <v/>
      </c>
      <c r="K1078" s="51" t="str">
        <f t="shared" si="228"/>
        <v/>
      </c>
      <c r="L1078" s="52" t="str">
        <f t="shared" si="229"/>
        <v/>
      </c>
      <c r="M1078" s="53" t="str">
        <f t="shared" si="230"/>
        <v/>
      </c>
      <c r="N1078" s="53" t="str">
        <f t="shared" si="231"/>
        <v/>
      </c>
      <c r="O1078" s="53" t="str">
        <f t="shared" si="232"/>
        <v/>
      </c>
      <c r="P1078" s="53" t="str">
        <f t="shared" si="233"/>
        <v/>
      </c>
      <c r="Q1078" s="53" t="str">
        <f t="shared" si="234"/>
        <v/>
      </c>
      <c r="R1078" s="53" t="str">
        <f t="shared" si="235"/>
        <v/>
      </c>
      <c r="S1078" s="53" t="str">
        <f t="shared" si="236"/>
        <v/>
      </c>
      <c r="T1078" s="53" t="str">
        <f t="shared" si="237"/>
        <v/>
      </c>
    </row>
    <row r="1079" spans="1:20">
      <c r="A1079" s="47" t="str">
        <f>IF(archive!E1079="","",archive!E1079)</f>
        <v/>
      </c>
      <c r="B1079" s="48" t="str">
        <f t="shared" si="224"/>
        <v/>
      </c>
      <c r="C1079" s="49" t="str">
        <f>IF(archive!F1079="","",archive!F1079)</f>
        <v/>
      </c>
      <c r="D1079" s="50" t="str">
        <f t="shared" si="225"/>
        <v/>
      </c>
      <c r="E1079" s="50" t="str">
        <f t="shared" si="226"/>
        <v/>
      </c>
      <c r="F1079" s="47" t="str">
        <f>IF(COUNTA(archive!H1079:CI1079)=0,"",COUNTA(archive!H1079:CI1079))</f>
        <v/>
      </c>
      <c r="G1079" s="47" t="str">
        <f>IF(archive!G1079="","",archive!G1079)</f>
        <v/>
      </c>
      <c r="H1079" s="51" t="str">
        <f>IF(archive!CJ1079="","",archive!CJ1079)</f>
        <v/>
      </c>
      <c r="I1079" s="51" t="str">
        <f>IF(archive!CK1079="","",archive!CK1079)</f>
        <v/>
      </c>
      <c r="J1079" s="47" t="str">
        <f t="shared" si="227"/>
        <v/>
      </c>
      <c r="K1079" s="51" t="str">
        <f t="shared" si="228"/>
        <v/>
      </c>
      <c r="L1079" s="52" t="str">
        <f t="shared" si="229"/>
        <v/>
      </c>
      <c r="M1079" s="53" t="str">
        <f t="shared" si="230"/>
        <v/>
      </c>
      <c r="N1079" s="53" t="str">
        <f t="shared" si="231"/>
        <v/>
      </c>
      <c r="O1079" s="53" t="str">
        <f t="shared" si="232"/>
        <v/>
      </c>
      <c r="P1079" s="53" t="str">
        <f t="shared" si="233"/>
        <v/>
      </c>
      <c r="Q1079" s="53" t="str">
        <f t="shared" si="234"/>
        <v/>
      </c>
      <c r="R1079" s="53" t="str">
        <f t="shared" si="235"/>
        <v/>
      </c>
      <c r="S1079" s="53" t="str">
        <f t="shared" si="236"/>
        <v/>
      </c>
      <c r="T1079" s="53" t="str">
        <f t="shared" si="237"/>
        <v/>
      </c>
    </row>
    <row r="1080" spans="1:20">
      <c r="A1080" s="47" t="str">
        <f>IF(archive!E1080="","",archive!E1080)</f>
        <v/>
      </c>
      <c r="B1080" s="48" t="str">
        <f t="shared" si="224"/>
        <v/>
      </c>
      <c r="C1080" s="49" t="str">
        <f>IF(archive!F1080="","",archive!F1080)</f>
        <v/>
      </c>
      <c r="D1080" s="50" t="str">
        <f t="shared" si="225"/>
        <v/>
      </c>
      <c r="E1080" s="50" t="str">
        <f t="shared" si="226"/>
        <v/>
      </c>
      <c r="F1080" s="47" t="str">
        <f>IF(COUNTA(archive!H1080:CI1080)=0,"",COUNTA(archive!H1080:CI1080))</f>
        <v/>
      </c>
      <c r="G1080" s="47" t="str">
        <f>IF(archive!G1080="","",archive!G1080)</f>
        <v/>
      </c>
      <c r="H1080" s="51" t="str">
        <f>IF(archive!CJ1080="","",archive!CJ1080)</f>
        <v/>
      </c>
      <c r="I1080" s="51" t="str">
        <f>IF(archive!CK1080="","",archive!CK1080)</f>
        <v/>
      </c>
      <c r="J1080" s="47" t="str">
        <f t="shared" si="227"/>
        <v/>
      </c>
      <c r="K1080" s="51" t="str">
        <f t="shared" si="228"/>
        <v/>
      </c>
      <c r="L1080" s="52" t="str">
        <f t="shared" si="229"/>
        <v/>
      </c>
      <c r="M1080" s="53" t="str">
        <f t="shared" si="230"/>
        <v/>
      </c>
      <c r="N1080" s="53" t="str">
        <f t="shared" si="231"/>
        <v/>
      </c>
      <c r="O1080" s="53" t="str">
        <f t="shared" si="232"/>
        <v/>
      </c>
      <c r="P1080" s="53" t="str">
        <f t="shared" si="233"/>
        <v/>
      </c>
      <c r="Q1080" s="53" t="str">
        <f t="shared" si="234"/>
        <v/>
      </c>
      <c r="R1080" s="53" t="str">
        <f t="shared" si="235"/>
        <v/>
      </c>
      <c r="S1080" s="53" t="str">
        <f t="shared" si="236"/>
        <v/>
      </c>
      <c r="T1080" s="53" t="str">
        <f t="shared" si="237"/>
        <v/>
      </c>
    </row>
    <row r="1081" spans="1:20">
      <c r="A1081" s="47" t="str">
        <f>IF(archive!E1081="","",archive!E1081)</f>
        <v/>
      </c>
      <c r="B1081" s="48" t="str">
        <f t="shared" si="224"/>
        <v/>
      </c>
      <c r="C1081" s="49" t="str">
        <f>IF(archive!F1081="","",archive!F1081)</f>
        <v/>
      </c>
      <c r="D1081" s="50" t="str">
        <f t="shared" si="225"/>
        <v/>
      </c>
      <c r="E1081" s="50" t="str">
        <f t="shared" si="226"/>
        <v/>
      </c>
      <c r="F1081" s="47" t="str">
        <f>IF(COUNTA(archive!H1081:CI1081)=0,"",COUNTA(archive!H1081:CI1081))</f>
        <v/>
      </c>
      <c r="G1081" s="47" t="str">
        <f>IF(archive!G1081="","",archive!G1081)</f>
        <v/>
      </c>
      <c r="H1081" s="51" t="str">
        <f>IF(archive!CJ1081="","",archive!CJ1081)</f>
        <v/>
      </c>
      <c r="I1081" s="51" t="str">
        <f>IF(archive!CK1081="","",archive!CK1081)</f>
        <v/>
      </c>
      <c r="J1081" s="47" t="str">
        <f t="shared" si="227"/>
        <v/>
      </c>
      <c r="K1081" s="51" t="str">
        <f t="shared" si="228"/>
        <v/>
      </c>
      <c r="L1081" s="52" t="str">
        <f t="shared" si="229"/>
        <v/>
      </c>
      <c r="M1081" s="53" t="str">
        <f t="shared" si="230"/>
        <v/>
      </c>
      <c r="N1081" s="53" t="str">
        <f t="shared" si="231"/>
        <v/>
      </c>
      <c r="O1081" s="53" t="str">
        <f t="shared" si="232"/>
        <v/>
      </c>
      <c r="P1081" s="53" t="str">
        <f t="shared" si="233"/>
        <v/>
      </c>
      <c r="Q1081" s="53" t="str">
        <f t="shared" si="234"/>
        <v/>
      </c>
      <c r="R1081" s="53" t="str">
        <f t="shared" si="235"/>
        <v/>
      </c>
      <c r="S1081" s="53" t="str">
        <f t="shared" si="236"/>
        <v/>
      </c>
      <c r="T1081" s="53" t="str">
        <f t="shared" si="237"/>
        <v/>
      </c>
    </row>
    <row r="1082" spans="1:20">
      <c r="A1082" s="47" t="str">
        <f>IF(archive!E1082="","",archive!E1082)</f>
        <v/>
      </c>
      <c r="B1082" s="48" t="str">
        <f t="shared" si="224"/>
        <v/>
      </c>
      <c r="C1082" s="49" t="str">
        <f>IF(archive!F1082="","",archive!F1082)</f>
        <v/>
      </c>
      <c r="D1082" s="50" t="str">
        <f t="shared" si="225"/>
        <v/>
      </c>
      <c r="E1082" s="50" t="str">
        <f t="shared" si="226"/>
        <v/>
      </c>
      <c r="F1082" s="47" t="str">
        <f>IF(COUNTA(archive!H1082:CI1082)=0,"",COUNTA(archive!H1082:CI1082))</f>
        <v/>
      </c>
      <c r="G1082" s="47" t="str">
        <f>IF(archive!G1082="","",archive!G1082)</f>
        <v/>
      </c>
      <c r="H1082" s="51" t="str">
        <f>IF(archive!CJ1082="","",archive!CJ1082)</f>
        <v/>
      </c>
      <c r="I1082" s="51" t="str">
        <f>IF(archive!CK1082="","",archive!CK1082)</f>
        <v/>
      </c>
      <c r="J1082" s="47" t="str">
        <f t="shared" si="227"/>
        <v/>
      </c>
      <c r="K1082" s="51" t="str">
        <f t="shared" si="228"/>
        <v/>
      </c>
      <c r="L1082" s="52" t="str">
        <f t="shared" si="229"/>
        <v/>
      </c>
      <c r="M1082" s="53" t="str">
        <f t="shared" si="230"/>
        <v/>
      </c>
      <c r="N1082" s="53" t="str">
        <f t="shared" si="231"/>
        <v/>
      </c>
      <c r="O1082" s="53" t="str">
        <f t="shared" si="232"/>
        <v/>
      </c>
      <c r="P1082" s="53" t="str">
        <f t="shared" si="233"/>
        <v/>
      </c>
      <c r="Q1082" s="53" t="str">
        <f t="shared" si="234"/>
        <v/>
      </c>
      <c r="R1082" s="53" t="str">
        <f t="shared" si="235"/>
        <v/>
      </c>
      <c r="S1082" s="53" t="str">
        <f t="shared" si="236"/>
        <v/>
      </c>
      <c r="T1082" s="53" t="str">
        <f t="shared" si="237"/>
        <v/>
      </c>
    </row>
    <row r="1083" spans="1:20">
      <c r="A1083" s="47" t="str">
        <f>IF(archive!E1083="","",archive!E1083)</f>
        <v/>
      </c>
      <c r="B1083" s="48" t="str">
        <f t="shared" si="224"/>
        <v/>
      </c>
      <c r="C1083" s="49" t="str">
        <f>IF(archive!F1083="","",archive!F1083)</f>
        <v/>
      </c>
      <c r="D1083" s="50" t="str">
        <f t="shared" si="225"/>
        <v/>
      </c>
      <c r="E1083" s="50" t="str">
        <f t="shared" si="226"/>
        <v/>
      </c>
      <c r="F1083" s="47" t="str">
        <f>IF(COUNTA(archive!H1083:CI1083)=0,"",COUNTA(archive!H1083:CI1083))</f>
        <v/>
      </c>
      <c r="G1083" s="47" t="str">
        <f>IF(archive!G1083="","",archive!G1083)</f>
        <v/>
      </c>
      <c r="H1083" s="51" t="str">
        <f>IF(archive!CJ1083="","",archive!CJ1083)</f>
        <v/>
      </c>
      <c r="I1083" s="51" t="str">
        <f>IF(archive!CK1083="","",archive!CK1083)</f>
        <v/>
      </c>
      <c r="J1083" s="47" t="str">
        <f t="shared" si="227"/>
        <v/>
      </c>
      <c r="K1083" s="51" t="str">
        <f t="shared" si="228"/>
        <v/>
      </c>
      <c r="L1083" s="52" t="str">
        <f t="shared" si="229"/>
        <v/>
      </c>
      <c r="M1083" s="53" t="str">
        <f t="shared" si="230"/>
        <v/>
      </c>
      <c r="N1083" s="53" t="str">
        <f t="shared" si="231"/>
        <v/>
      </c>
      <c r="O1083" s="53" t="str">
        <f t="shared" si="232"/>
        <v/>
      </c>
      <c r="P1083" s="53" t="str">
        <f t="shared" si="233"/>
        <v/>
      </c>
      <c r="Q1083" s="53" t="str">
        <f t="shared" si="234"/>
        <v/>
      </c>
      <c r="R1083" s="53" t="str">
        <f t="shared" si="235"/>
        <v/>
      </c>
      <c r="S1083" s="53" t="str">
        <f t="shared" si="236"/>
        <v/>
      </c>
      <c r="T1083" s="53" t="str">
        <f t="shared" si="237"/>
        <v/>
      </c>
    </row>
    <row r="1084" spans="1:20">
      <c r="A1084" s="47" t="str">
        <f>IF(archive!E1084="","",archive!E1084)</f>
        <v/>
      </c>
      <c r="B1084" s="48" t="str">
        <f t="shared" si="224"/>
        <v/>
      </c>
      <c r="C1084" s="49" t="str">
        <f>IF(archive!F1084="","",archive!F1084)</f>
        <v/>
      </c>
      <c r="D1084" s="50" t="str">
        <f t="shared" si="225"/>
        <v/>
      </c>
      <c r="E1084" s="50" t="str">
        <f t="shared" si="226"/>
        <v/>
      </c>
      <c r="F1084" s="47" t="str">
        <f>IF(COUNTA(archive!H1084:CI1084)=0,"",COUNTA(archive!H1084:CI1084))</f>
        <v/>
      </c>
      <c r="G1084" s="47" t="str">
        <f>IF(archive!G1084="","",archive!G1084)</f>
        <v/>
      </c>
      <c r="H1084" s="51" t="str">
        <f>IF(archive!CJ1084="","",archive!CJ1084)</f>
        <v/>
      </c>
      <c r="I1084" s="51" t="str">
        <f>IF(archive!CK1084="","",archive!CK1084)</f>
        <v/>
      </c>
      <c r="J1084" s="47" t="str">
        <f t="shared" si="227"/>
        <v/>
      </c>
      <c r="K1084" s="51" t="str">
        <f t="shared" si="228"/>
        <v/>
      </c>
      <c r="L1084" s="52" t="str">
        <f t="shared" si="229"/>
        <v/>
      </c>
      <c r="M1084" s="53" t="str">
        <f t="shared" si="230"/>
        <v/>
      </c>
      <c r="N1084" s="53" t="str">
        <f t="shared" si="231"/>
        <v/>
      </c>
      <c r="O1084" s="53" t="str">
        <f t="shared" si="232"/>
        <v/>
      </c>
      <c r="P1084" s="53" t="str">
        <f t="shared" si="233"/>
        <v/>
      </c>
      <c r="Q1084" s="53" t="str">
        <f t="shared" si="234"/>
        <v/>
      </c>
      <c r="R1084" s="53" t="str">
        <f t="shared" si="235"/>
        <v/>
      </c>
      <c r="S1084" s="53" t="str">
        <f t="shared" si="236"/>
        <v/>
      </c>
      <c r="T1084" s="53" t="str">
        <f t="shared" si="237"/>
        <v/>
      </c>
    </row>
    <row r="1085" spans="1:20">
      <c r="A1085" s="47" t="str">
        <f>IF(archive!E1085="","",archive!E1085)</f>
        <v/>
      </c>
      <c r="B1085" s="48" t="str">
        <f t="shared" si="224"/>
        <v/>
      </c>
      <c r="C1085" s="49" t="str">
        <f>IF(archive!F1085="","",archive!F1085)</f>
        <v/>
      </c>
      <c r="D1085" s="50" t="str">
        <f t="shared" si="225"/>
        <v/>
      </c>
      <c r="E1085" s="50" t="str">
        <f t="shared" si="226"/>
        <v/>
      </c>
      <c r="F1085" s="47" t="str">
        <f>IF(COUNTA(archive!H1085:CI1085)=0,"",COUNTA(archive!H1085:CI1085))</f>
        <v/>
      </c>
      <c r="G1085" s="47" t="str">
        <f>IF(archive!G1085="","",archive!G1085)</f>
        <v/>
      </c>
      <c r="H1085" s="51" t="str">
        <f>IF(archive!CJ1085="","",archive!CJ1085)</f>
        <v/>
      </c>
      <c r="I1085" s="51" t="str">
        <f>IF(archive!CK1085="","",archive!CK1085)</f>
        <v/>
      </c>
      <c r="J1085" s="47" t="str">
        <f t="shared" si="227"/>
        <v/>
      </c>
      <c r="K1085" s="51" t="str">
        <f t="shared" si="228"/>
        <v/>
      </c>
      <c r="L1085" s="52" t="str">
        <f t="shared" si="229"/>
        <v/>
      </c>
      <c r="M1085" s="53" t="str">
        <f t="shared" si="230"/>
        <v/>
      </c>
      <c r="N1085" s="53" t="str">
        <f t="shared" si="231"/>
        <v/>
      </c>
      <c r="O1085" s="53" t="str">
        <f t="shared" si="232"/>
        <v/>
      </c>
      <c r="P1085" s="53" t="str">
        <f t="shared" si="233"/>
        <v/>
      </c>
      <c r="Q1085" s="53" t="str">
        <f t="shared" si="234"/>
        <v/>
      </c>
      <c r="R1085" s="53" t="str">
        <f t="shared" si="235"/>
        <v/>
      </c>
      <c r="S1085" s="53" t="str">
        <f t="shared" si="236"/>
        <v/>
      </c>
      <c r="T1085" s="53" t="str">
        <f t="shared" si="237"/>
        <v/>
      </c>
    </row>
    <row r="1086" spans="1:20">
      <c r="A1086" s="47" t="str">
        <f>IF(archive!E1086="","",archive!E1086)</f>
        <v/>
      </c>
      <c r="B1086" s="48" t="str">
        <f t="shared" si="224"/>
        <v/>
      </c>
      <c r="C1086" s="49" t="str">
        <f>IF(archive!F1086="","",archive!F1086)</f>
        <v/>
      </c>
      <c r="D1086" s="50" t="str">
        <f t="shared" si="225"/>
        <v/>
      </c>
      <c r="E1086" s="50" t="str">
        <f t="shared" si="226"/>
        <v/>
      </c>
      <c r="F1086" s="47" t="str">
        <f>IF(COUNTA(archive!H1086:CI1086)=0,"",COUNTA(archive!H1086:CI1086))</f>
        <v/>
      </c>
      <c r="G1086" s="47" t="str">
        <f>IF(archive!G1086="","",archive!G1086)</f>
        <v/>
      </c>
      <c r="H1086" s="51" t="str">
        <f>IF(archive!CJ1086="","",archive!CJ1086)</f>
        <v/>
      </c>
      <c r="I1086" s="51" t="str">
        <f>IF(archive!CK1086="","",archive!CK1086)</f>
        <v/>
      </c>
      <c r="J1086" s="47" t="str">
        <f t="shared" si="227"/>
        <v/>
      </c>
      <c r="K1086" s="51" t="str">
        <f t="shared" si="228"/>
        <v/>
      </c>
      <c r="L1086" s="52" t="str">
        <f t="shared" si="229"/>
        <v/>
      </c>
      <c r="M1086" s="53" t="str">
        <f t="shared" si="230"/>
        <v/>
      </c>
      <c r="N1086" s="53" t="str">
        <f t="shared" si="231"/>
        <v/>
      </c>
      <c r="O1086" s="53" t="str">
        <f t="shared" si="232"/>
        <v/>
      </c>
      <c r="P1086" s="53" t="str">
        <f t="shared" si="233"/>
        <v/>
      </c>
      <c r="Q1086" s="53" t="str">
        <f t="shared" si="234"/>
        <v/>
      </c>
      <c r="R1086" s="53" t="str">
        <f t="shared" si="235"/>
        <v/>
      </c>
      <c r="S1086" s="53" t="str">
        <f t="shared" si="236"/>
        <v/>
      </c>
      <c r="T1086" s="53" t="str">
        <f t="shared" si="237"/>
        <v/>
      </c>
    </row>
    <row r="1087" spans="1:20">
      <c r="A1087" s="47" t="str">
        <f>IF(archive!E1087="","",archive!E1087)</f>
        <v/>
      </c>
      <c r="B1087" s="48" t="str">
        <f t="shared" si="224"/>
        <v/>
      </c>
      <c r="C1087" s="49" t="str">
        <f>IF(archive!F1087="","",archive!F1087)</f>
        <v/>
      </c>
      <c r="D1087" s="50" t="str">
        <f t="shared" si="225"/>
        <v/>
      </c>
      <c r="E1087" s="50" t="str">
        <f t="shared" si="226"/>
        <v/>
      </c>
      <c r="F1087" s="47" t="str">
        <f>IF(COUNTA(archive!H1087:CI1087)=0,"",COUNTA(archive!H1087:CI1087))</f>
        <v/>
      </c>
      <c r="G1087" s="47" t="str">
        <f>IF(archive!G1087="","",archive!G1087)</f>
        <v/>
      </c>
      <c r="H1087" s="51" t="str">
        <f>IF(archive!CJ1087="","",archive!CJ1087)</f>
        <v/>
      </c>
      <c r="I1087" s="51" t="str">
        <f>IF(archive!CK1087="","",archive!CK1087)</f>
        <v/>
      </c>
      <c r="J1087" s="47" t="str">
        <f t="shared" si="227"/>
        <v/>
      </c>
      <c r="K1087" s="51" t="str">
        <f t="shared" si="228"/>
        <v/>
      </c>
      <c r="L1087" s="52" t="str">
        <f t="shared" si="229"/>
        <v/>
      </c>
      <c r="M1087" s="53" t="str">
        <f t="shared" si="230"/>
        <v/>
      </c>
      <c r="N1087" s="53" t="str">
        <f t="shared" si="231"/>
        <v/>
      </c>
      <c r="O1087" s="53" t="str">
        <f t="shared" si="232"/>
        <v/>
      </c>
      <c r="P1087" s="53" t="str">
        <f t="shared" si="233"/>
        <v/>
      </c>
      <c r="Q1087" s="53" t="str">
        <f t="shared" si="234"/>
        <v/>
      </c>
      <c r="R1087" s="53" t="str">
        <f t="shared" si="235"/>
        <v/>
      </c>
      <c r="S1087" s="53" t="str">
        <f t="shared" si="236"/>
        <v/>
      </c>
      <c r="T1087" s="53" t="str">
        <f t="shared" si="237"/>
        <v/>
      </c>
    </row>
    <row r="1088" spans="1:20">
      <c r="A1088" s="47" t="str">
        <f>IF(archive!E1088="","",archive!E1088)</f>
        <v/>
      </c>
      <c r="B1088" s="48" t="str">
        <f t="shared" si="224"/>
        <v/>
      </c>
      <c r="C1088" s="49" t="str">
        <f>IF(archive!F1088="","",archive!F1088)</f>
        <v/>
      </c>
      <c r="D1088" s="50" t="str">
        <f t="shared" si="225"/>
        <v/>
      </c>
      <c r="E1088" s="50" t="str">
        <f t="shared" si="226"/>
        <v/>
      </c>
      <c r="F1088" s="47" t="str">
        <f>IF(COUNTA(archive!H1088:CI1088)=0,"",COUNTA(archive!H1088:CI1088))</f>
        <v/>
      </c>
      <c r="G1088" s="47" t="str">
        <f>IF(archive!G1088="","",archive!G1088)</f>
        <v/>
      </c>
      <c r="H1088" s="51" t="str">
        <f>IF(archive!CJ1088="","",archive!CJ1088)</f>
        <v/>
      </c>
      <c r="I1088" s="51" t="str">
        <f>IF(archive!CK1088="","",archive!CK1088)</f>
        <v/>
      </c>
      <c r="J1088" s="47" t="str">
        <f t="shared" si="227"/>
        <v/>
      </c>
      <c r="K1088" s="51" t="str">
        <f t="shared" si="228"/>
        <v/>
      </c>
      <c r="L1088" s="52" t="str">
        <f t="shared" si="229"/>
        <v/>
      </c>
      <c r="M1088" s="53" t="str">
        <f t="shared" si="230"/>
        <v/>
      </c>
      <c r="N1088" s="53" t="str">
        <f t="shared" si="231"/>
        <v/>
      </c>
      <c r="O1088" s="53" t="str">
        <f t="shared" si="232"/>
        <v/>
      </c>
      <c r="P1088" s="53" t="str">
        <f t="shared" si="233"/>
        <v/>
      </c>
      <c r="Q1088" s="53" t="str">
        <f t="shared" si="234"/>
        <v/>
      </c>
      <c r="R1088" s="53" t="str">
        <f t="shared" si="235"/>
        <v/>
      </c>
      <c r="S1088" s="53" t="str">
        <f t="shared" si="236"/>
        <v/>
      </c>
      <c r="T1088" s="53" t="str">
        <f t="shared" si="237"/>
        <v/>
      </c>
    </row>
    <row r="1089" spans="1:20">
      <c r="A1089" s="47" t="str">
        <f>IF(archive!E1089="","",archive!E1089)</f>
        <v/>
      </c>
      <c r="B1089" s="48" t="str">
        <f t="shared" si="224"/>
        <v/>
      </c>
      <c r="C1089" s="49" t="str">
        <f>IF(archive!F1089="","",archive!F1089)</f>
        <v/>
      </c>
      <c r="D1089" s="50" t="str">
        <f t="shared" si="225"/>
        <v/>
      </c>
      <c r="E1089" s="50" t="str">
        <f t="shared" si="226"/>
        <v/>
      </c>
      <c r="F1089" s="47" t="str">
        <f>IF(COUNTA(archive!H1089:CI1089)=0,"",COUNTA(archive!H1089:CI1089))</f>
        <v/>
      </c>
      <c r="G1089" s="47" t="str">
        <f>IF(archive!G1089="","",archive!G1089)</f>
        <v/>
      </c>
      <c r="H1089" s="51" t="str">
        <f>IF(archive!CJ1089="","",archive!CJ1089)</f>
        <v/>
      </c>
      <c r="I1089" s="51" t="str">
        <f>IF(archive!CK1089="","",archive!CK1089)</f>
        <v/>
      </c>
      <c r="J1089" s="47" t="str">
        <f t="shared" si="227"/>
        <v/>
      </c>
      <c r="K1089" s="51" t="str">
        <f t="shared" si="228"/>
        <v/>
      </c>
      <c r="L1089" s="52" t="str">
        <f t="shared" si="229"/>
        <v/>
      </c>
      <c r="M1089" s="53" t="str">
        <f t="shared" si="230"/>
        <v/>
      </c>
      <c r="N1089" s="53" t="str">
        <f t="shared" si="231"/>
        <v/>
      </c>
      <c r="O1089" s="53" t="str">
        <f t="shared" si="232"/>
        <v/>
      </c>
      <c r="P1089" s="53" t="str">
        <f t="shared" si="233"/>
        <v/>
      </c>
      <c r="Q1089" s="53" t="str">
        <f t="shared" si="234"/>
        <v/>
      </c>
      <c r="R1089" s="53" t="str">
        <f t="shared" si="235"/>
        <v/>
      </c>
      <c r="S1089" s="53" t="str">
        <f t="shared" si="236"/>
        <v/>
      </c>
      <c r="T1089" s="53" t="str">
        <f t="shared" si="237"/>
        <v/>
      </c>
    </row>
    <row r="1090" spans="1:20">
      <c r="A1090" s="47" t="str">
        <f>IF(archive!E1090="","",archive!E1090)</f>
        <v/>
      </c>
      <c r="B1090" s="48" t="str">
        <f t="shared" si="224"/>
        <v/>
      </c>
      <c r="C1090" s="49" t="str">
        <f>IF(archive!F1090="","",archive!F1090)</f>
        <v/>
      </c>
      <c r="D1090" s="50" t="str">
        <f t="shared" si="225"/>
        <v/>
      </c>
      <c r="E1090" s="50" t="str">
        <f t="shared" si="226"/>
        <v/>
      </c>
      <c r="F1090" s="47" t="str">
        <f>IF(COUNTA(archive!H1090:CI1090)=0,"",COUNTA(archive!H1090:CI1090))</f>
        <v/>
      </c>
      <c r="G1090" s="47" t="str">
        <f>IF(archive!G1090="","",archive!G1090)</f>
        <v/>
      </c>
      <c r="H1090" s="51" t="str">
        <f>IF(archive!CJ1090="","",archive!CJ1090)</f>
        <v/>
      </c>
      <c r="I1090" s="51" t="str">
        <f>IF(archive!CK1090="","",archive!CK1090)</f>
        <v/>
      </c>
      <c r="J1090" s="47" t="str">
        <f t="shared" si="227"/>
        <v/>
      </c>
      <c r="K1090" s="51" t="str">
        <f t="shared" si="228"/>
        <v/>
      </c>
      <c r="L1090" s="52" t="str">
        <f t="shared" si="229"/>
        <v/>
      </c>
      <c r="M1090" s="53" t="str">
        <f t="shared" si="230"/>
        <v/>
      </c>
      <c r="N1090" s="53" t="str">
        <f t="shared" si="231"/>
        <v/>
      </c>
      <c r="O1090" s="53" t="str">
        <f t="shared" si="232"/>
        <v/>
      </c>
      <c r="P1090" s="53" t="str">
        <f t="shared" si="233"/>
        <v/>
      </c>
      <c r="Q1090" s="53" t="str">
        <f t="shared" si="234"/>
        <v/>
      </c>
      <c r="R1090" s="53" t="str">
        <f t="shared" si="235"/>
        <v/>
      </c>
      <c r="S1090" s="53" t="str">
        <f t="shared" si="236"/>
        <v/>
      </c>
      <c r="T1090" s="53" t="str">
        <f t="shared" si="237"/>
        <v/>
      </c>
    </row>
    <row r="1091" spans="1:20">
      <c r="A1091" s="47" t="str">
        <f>IF(archive!E1091="","",archive!E1091)</f>
        <v/>
      </c>
      <c r="B1091" s="48" t="str">
        <f t="shared" si="224"/>
        <v/>
      </c>
      <c r="C1091" s="49" t="str">
        <f>IF(archive!F1091="","",archive!F1091)</f>
        <v/>
      </c>
      <c r="D1091" s="50" t="str">
        <f t="shared" si="225"/>
        <v/>
      </c>
      <c r="E1091" s="50" t="str">
        <f t="shared" si="226"/>
        <v/>
      </c>
      <c r="F1091" s="47" t="str">
        <f>IF(COUNTA(archive!H1091:CI1091)=0,"",COUNTA(archive!H1091:CI1091))</f>
        <v/>
      </c>
      <c r="G1091" s="47" t="str">
        <f>IF(archive!G1091="","",archive!G1091)</f>
        <v/>
      </c>
      <c r="H1091" s="51" t="str">
        <f>IF(archive!CJ1091="","",archive!CJ1091)</f>
        <v/>
      </c>
      <c r="I1091" s="51" t="str">
        <f>IF(archive!CK1091="","",archive!CK1091)</f>
        <v/>
      </c>
      <c r="J1091" s="47" t="str">
        <f t="shared" si="227"/>
        <v/>
      </c>
      <c r="K1091" s="51" t="str">
        <f t="shared" si="228"/>
        <v/>
      </c>
      <c r="L1091" s="52" t="str">
        <f t="shared" si="229"/>
        <v/>
      </c>
      <c r="M1091" s="53" t="str">
        <f t="shared" si="230"/>
        <v/>
      </c>
      <c r="N1091" s="53" t="str">
        <f t="shared" si="231"/>
        <v/>
      </c>
      <c r="O1091" s="53" t="str">
        <f t="shared" si="232"/>
        <v/>
      </c>
      <c r="P1091" s="53" t="str">
        <f t="shared" si="233"/>
        <v/>
      </c>
      <c r="Q1091" s="53" t="str">
        <f t="shared" si="234"/>
        <v/>
      </c>
      <c r="R1091" s="53" t="str">
        <f t="shared" si="235"/>
        <v/>
      </c>
      <c r="S1091" s="53" t="str">
        <f t="shared" si="236"/>
        <v/>
      </c>
      <c r="T1091" s="53" t="str">
        <f t="shared" si="237"/>
        <v/>
      </c>
    </row>
    <row r="1092" spans="1:20">
      <c r="A1092" s="47" t="str">
        <f>IF(archive!E1092="","",archive!E1092)</f>
        <v/>
      </c>
      <c r="B1092" s="48" t="str">
        <f t="shared" ref="B1092:B1155" si="238">IF(C1092="","",VLOOKUP($C1092,Tare,2,0))</f>
        <v/>
      </c>
      <c r="C1092" s="49" t="str">
        <f>IF(archive!F1092="","",archive!F1092)</f>
        <v/>
      </c>
      <c r="D1092" s="50" t="str">
        <f t="shared" ref="D1092:D1155" si="239">IF(C1092="","",C1092+B1092)</f>
        <v/>
      </c>
      <c r="E1092" s="50" t="str">
        <f t="shared" ref="E1092:E1155" si="240">IF(C1092="","",(C1092*0.025)+D1092)</f>
        <v/>
      </c>
      <c r="F1092" s="47" t="str">
        <f>IF(COUNTA(archive!H1092:CI1092)=0,"",COUNTA(archive!H1092:CI1092))</f>
        <v/>
      </c>
      <c r="G1092" s="47" t="str">
        <f>IF(archive!G1092="","",archive!G1092)</f>
        <v/>
      </c>
      <c r="H1092" s="51" t="str">
        <f>IF(archive!CJ1092="","",archive!CJ1092)</f>
        <v/>
      </c>
      <c r="I1092" s="51" t="str">
        <f>IF(archive!CK1092="","",archive!CK1092)</f>
        <v/>
      </c>
      <c r="J1092" s="47" t="str">
        <f t="shared" ref="J1092:J1155" si="241">IF(F1092="","",VLOOKUP(F1092,Valeur_g,2,0))</f>
        <v/>
      </c>
      <c r="K1092" s="51" t="str">
        <f t="shared" ref="K1092:K1155" si="242">IF(C1092="","",D1092+(J1092*I1092))</f>
        <v/>
      </c>
      <c r="L1092" s="52" t="str">
        <f t="shared" ref="L1092:L1155" si="243">IF(C1092="","",IF(K1092&lt;H1092,"Conforme","Non conforme"))</f>
        <v/>
      </c>
      <c r="M1092" s="53" t="str">
        <f t="shared" ref="M1092:M1155" si="244">IF(C1092="","",1)</f>
        <v/>
      </c>
      <c r="N1092" s="53" t="str">
        <f t="shared" ref="N1092:N1155" si="245">IF(L1092="","",COUNTIF(L1092,"Non conforme"))</f>
        <v/>
      </c>
      <c r="O1092" s="53" t="str">
        <f t="shared" ref="O1092:O1155" si="246">IF($C1092="","",IF($C1092=0.25,$G1092,"-"))</f>
        <v/>
      </c>
      <c r="P1092" s="53" t="str">
        <f t="shared" ref="P1092:P1155" si="247">IF($C1092="","",IF($C1092=0.4,$G1092,"-"))</f>
        <v/>
      </c>
      <c r="Q1092" s="53" t="str">
        <f t="shared" ref="Q1092:Q1155" si="248">IF($C1092="","",IF($C1092=0.5,$G1092,"-"))</f>
        <v/>
      </c>
      <c r="R1092" s="53" t="str">
        <f t="shared" ref="R1092:R1155" si="249">IF($C1092="","",IF($C1092=0.6,$G1092,"-"))</f>
        <v/>
      </c>
      <c r="S1092" s="53" t="str">
        <f t="shared" ref="S1092:S1155" si="250">IF($C1092="","",IF($C1092=0.8,$G1092,"-"))</f>
        <v/>
      </c>
      <c r="T1092" s="53" t="str">
        <f t="shared" ref="T1092:T1155" si="251">IF($C1092="","",IF($C1092=1,$G1092,"-"))</f>
        <v/>
      </c>
    </row>
    <row r="1093" spans="1:20">
      <c r="A1093" s="47" t="str">
        <f>IF(archive!E1093="","",archive!E1093)</f>
        <v/>
      </c>
      <c r="B1093" s="48" t="str">
        <f t="shared" si="238"/>
        <v/>
      </c>
      <c r="C1093" s="49" t="str">
        <f>IF(archive!F1093="","",archive!F1093)</f>
        <v/>
      </c>
      <c r="D1093" s="50" t="str">
        <f t="shared" si="239"/>
        <v/>
      </c>
      <c r="E1093" s="50" t="str">
        <f t="shared" si="240"/>
        <v/>
      </c>
      <c r="F1093" s="47" t="str">
        <f>IF(COUNTA(archive!H1093:CI1093)=0,"",COUNTA(archive!H1093:CI1093))</f>
        <v/>
      </c>
      <c r="G1093" s="47" t="str">
        <f>IF(archive!G1093="","",archive!G1093)</f>
        <v/>
      </c>
      <c r="H1093" s="51" t="str">
        <f>IF(archive!CJ1093="","",archive!CJ1093)</f>
        <v/>
      </c>
      <c r="I1093" s="51" t="str">
        <f>IF(archive!CK1093="","",archive!CK1093)</f>
        <v/>
      </c>
      <c r="J1093" s="47" t="str">
        <f t="shared" si="241"/>
        <v/>
      </c>
      <c r="K1093" s="51" t="str">
        <f t="shared" si="242"/>
        <v/>
      </c>
      <c r="L1093" s="52" t="str">
        <f t="shared" si="243"/>
        <v/>
      </c>
      <c r="M1093" s="53" t="str">
        <f t="shared" si="244"/>
        <v/>
      </c>
      <c r="N1093" s="53" t="str">
        <f t="shared" si="245"/>
        <v/>
      </c>
      <c r="O1093" s="53" t="str">
        <f t="shared" si="246"/>
        <v/>
      </c>
      <c r="P1093" s="53" t="str">
        <f t="shared" si="247"/>
        <v/>
      </c>
      <c r="Q1093" s="53" t="str">
        <f t="shared" si="248"/>
        <v/>
      </c>
      <c r="R1093" s="53" t="str">
        <f t="shared" si="249"/>
        <v/>
      </c>
      <c r="S1093" s="53" t="str">
        <f t="shared" si="250"/>
        <v/>
      </c>
      <c r="T1093" s="53" t="str">
        <f t="shared" si="251"/>
        <v/>
      </c>
    </row>
    <row r="1094" spans="1:20">
      <c r="A1094" s="47" t="str">
        <f>IF(archive!E1094="","",archive!E1094)</f>
        <v/>
      </c>
      <c r="B1094" s="48" t="str">
        <f t="shared" si="238"/>
        <v/>
      </c>
      <c r="C1094" s="49" t="str">
        <f>IF(archive!F1094="","",archive!F1094)</f>
        <v/>
      </c>
      <c r="D1094" s="50" t="str">
        <f t="shared" si="239"/>
        <v/>
      </c>
      <c r="E1094" s="50" t="str">
        <f t="shared" si="240"/>
        <v/>
      </c>
      <c r="F1094" s="47" t="str">
        <f>IF(COUNTA(archive!H1094:CI1094)=0,"",COUNTA(archive!H1094:CI1094))</f>
        <v/>
      </c>
      <c r="G1094" s="47" t="str">
        <f>IF(archive!G1094="","",archive!G1094)</f>
        <v/>
      </c>
      <c r="H1094" s="51" t="str">
        <f>IF(archive!CJ1094="","",archive!CJ1094)</f>
        <v/>
      </c>
      <c r="I1094" s="51" t="str">
        <f>IF(archive!CK1094="","",archive!CK1094)</f>
        <v/>
      </c>
      <c r="J1094" s="47" t="str">
        <f t="shared" si="241"/>
        <v/>
      </c>
      <c r="K1094" s="51" t="str">
        <f t="shared" si="242"/>
        <v/>
      </c>
      <c r="L1094" s="52" t="str">
        <f t="shared" si="243"/>
        <v/>
      </c>
      <c r="M1094" s="53" t="str">
        <f t="shared" si="244"/>
        <v/>
      </c>
      <c r="N1094" s="53" t="str">
        <f t="shared" si="245"/>
        <v/>
      </c>
      <c r="O1094" s="53" t="str">
        <f t="shared" si="246"/>
        <v/>
      </c>
      <c r="P1094" s="53" t="str">
        <f t="shared" si="247"/>
        <v/>
      </c>
      <c r="Q1094" s="53" t="str">
        <f t="shared" si="248"/>
        <v/>
      </c>
      <c r="R1094" s="53" t="str">
        <f t="shared" si="249"/>
        <v/>
      </c>
      <c r="S1094" s="53" t="str">
        <f t="shared" si="250"/>
        <v/>
      </c>
      <c r="T1094" s="53" t="str">
        <f t="shared" si="251"/>
        <v/>
      </c>
    </row>
    <row r="1095" spans="1:20">
      <c r="A1095" s="47" t="str">
        <f>IF(archive!E1095="","",archive!E1095)</f>
        <v/>
      </c>
      <c r="B1095" s="48" t="str">
        <f t="shared" si="238"/>
        <v/>
      </c>
      <c r="C1095" s="49" t="str">
        <f>IF(archive!F1095="","",archive!F1095)</f>
        <v/>
      </c>
      <c r="D1095" s="50" t="str">
        <f t="shared" si="239"/>
        <v/>
      </c>
      <c r="E1095" s="50" t="str">
        <f t="shared" si="240"/>
        <v/>
      </c>
      <c r="F1095" s="47" t="str">
        <f>IF(COUNTA(archive!H1095:CI1095)=0,"",COUNTA(archive!H1095:CI1095))</f>
        <v/>
      </c>
      <c r="G1095" s="47" t="str">
        <f>IF(archive!G1095="","",archive!G1095)</f>
        <v/>
      </c>
      <c r="H1095" s="51" t="str">
        <f>IF(archive!CJ1095="","",archive!CJ1095)</f>
        <v/>
      </c>
      <c r="I1095" s="51" t="str">
        <f>IF(archive!CK1095="","",archive!CK1095)</f>
        <v/>
      </c>
      <c r="J1095" s="47" t="str">
        <f t="shared" si="241"/>
        <v/>
      </c>
      <c r="K1095" s="51" t="str">
        <f t="shared" si="242"/>
        <v/>
      </c>
      <c r="L1095" s="52" t="str">
        <f t="shared" si="243"/>
        <v/>
      </c>
      <c r="M1095" s="53" t="str">
        <f t="shared" si="244"/>
        <v/>
      </c>
      <c r="N1095" s="53" t="str">
        <f t="shared" si="245"/>
        <v/>
      </c>
      <c r="O1095" s="53" t="str">
        <f t="shared" si="246"/>
        <v/>
      </c>
      <c r="P1095" s="53" t="str">
        <f t="shared" si="247"/>
        <v/>
      </c>
      <c r="Q1095" s="53" t="str">
        <f t="shared" si="248"/>
        <v/>
      </c>
      <c r="R1095" s="53" t="str">
        <f t="shared" si="249"/>
        <v/>
      </c>
      <c r="S1095" s="53" t="str">
        <f t="shared" si="250"/>
        <v/>
      </c>
      <c r="T1095" s="53" t="str">
        <f t="shared" si="251"/>
        <v/>
      </c>
    </row>
    <row r="1096" spans="1:20">
      <c r="A1096" s="47" t="str">
        <f>IF(archive!E1096="","",archive!E1096)</f>
        <v/>
      </c>
      <c r="B1096" s="48" t="str">
        <f t="shared" si="238"/>
        <v/>
      </c>
      <c r="C1096" s="49" t="str">
        <f>IF(archive!F1096="","",archive!F1096)</f>
        <v/>
      </c>
      <c r="D1096" s="50" t="str">
        <f t="shared" si="239"/>
        <v/>
      </c>
      <c r="E1096" s="50" t="str">
        <f t="shared" si="240"/>
        <v/>
      </c>
      <c r="F1096" s="47" t="str">
        <f>IF(COUNTA(archive!H1096:CI1096)=0,"",COUNTA(archive!H1096:CI1096))</f>
        <v/>
      </c>
      <c r="G1096" s="47" t="str">
        <f>IF(archive!G1096="","",archive!G1096)</f>
        <v/>
      </c>
      <c r="H1096" s="51" t="str">
        <f>IF(archive!CJ1096="","",archive!CJ1096)</f>
        <v/>
      </c>
      <c r="I1096" s="51" t="str">
        <f>IF(archive!CK1096="","",archive!CK1096)</f>
        <v/>
      </c>
      <c r="J1096" s="47" t="str">
        <f t="shared" si="241"/>
        <v/>
      </c>
      <c r="K1096" s="51" t="str">
        <f t="shared" si="242"/>
        <v/>
      </c>
      <c r="L1096" s="52" t="str">
        <f t="shared" si="243"/>
        <v/>
      </c>
      <c r="M1096" s="53" t="str">
        <f t="shared" si="244"/>
        <v/>
      </c>
      <c r="N1096" s="53" t="str">
        <f t="shared" si="245"/>
        <v/>
      </c>
      <c r="O1096" s="53" t="str">
        <f t="shared" si="246"/>
        <v/>
      </c>
      <c r="P1096" s="53" t="str">
        <f t="shared" si="247"/>
        <v/>
      </c>
      <c r="Q1096" s="53" t="str">
        <f t="shared" si="248"/>
        <v/>
      </c>
      <c r="R1096" s="53" t="str">
        <f t="shared" si="249"/>
        <v/>
      </c>
      <c r="S1096" s="53" t="str">
        <f t="shared" si="250"/>
        <v/>
      </c>
      <c r="T1096" s="53" t="str">
        <f t="shared" si="251"/>
        <v/>
      </c>
    </row>
    <row r="1097" spans="1:20">
      <c r="A1097" s="47" t="str">
        <f>IF(archive!E1097="","",archive!E1097)</f>
        <v/>
      </c>
      <c r="B1097" s="48" t="str">
        <f t="shared" si="238"/>
        <v/>
      </c>
      <c r="C1097" s="49" t="str">
        <f>IF(archive!F1097="","",archive!F1097)</f>
        <v/>
      </c>
      <c r="D1097" s="50" t="str">
        <f t="shared" si="239"/>
        <v/>
      </c>
      <c r="E1097" s="50" t="str">
        <f t="shared" si="240"/>
        <v/>
      </c>
      <c r="F1097" s="47" t="str">
        <f>IF(COUNTA(archive!H1097:CI1097)=0,"",COUNTA(archive!H1097:CI1097))</f>
        <v/>
      </c>
      <c r="G1097" s="47" t="str">
        <f>IF(archive!G1097="","",archive!G1097)</f>
        <v/>
      </c>
      <c r="H1097" s="51" t="str">
        <f>IF(archive!CJ1097="","",archive!CJ1097)</f>
        <v/>
      </c>
      <c r="I1097" s="51" t="str">
        <f>IF(archive!CK1097="","",archive!CK1097)</f>
        <v/>
      </c>
      <c r="J1097" s="47" t="str">
        <f t="shared" si="241"/>
        <v/>
      </c>
      <c r="K1097" s="51" t="str">
        <f t="shared" si="242"/>
        <v/>
      </c>
      <c r="L1097" s="52" t="str">
        <f t="shared" si="243"/>
        <v/>
      </c>
      <c r="M1097" s="53" t="str">
        <f t="shared" si="244"/>
        <v/>
      </c>
      <c r="N1097" s="53" t="str">
        <f t="shared" si="245"/>
        <v/>
      </c>
      <c r="O1097" s="53" t="str">
        <f t="shared" si="246"/>
        <v/>
      </c>
      <c r="P1097" s="53" t="str">
        <f t="shared" si="247"/>
        <v/>
      </c>
      <c r="Q1097" s="53" t="str">
        <f t="shared" si="248"/>
        <v/>
      </c>
      <c r="R1097" s="53" t="str">
        <f t="shared" si="249"/>
        <v/>
      </c>
      <c r="S1097" s="53" t="str">
        <f t="shared" si="250"/>
        <v/>
      </c>
      <c r="T1097" s="53" t="str">
        <f t="shared" si="251"/>
        <v/>
      </c>
    </row>
    <row r="1098" spans="1:20">
      <c r="A1098" s="47" t="str">
        <f>IF(archive!E1098="","",archive!E1098)</f>
        <v/>
      </c>
      <c r="B1098" s="48" t="str">
        <f t="shared" si="238"/>
        <v/>
      </c>
      <c r="C1098" s="49" t="str">
        <f>IF(archive!F1098="","",archive!F1098)</f>
        <v/>
      </c>
      <c r="D1098" s="50" t="str">
        <f t="shared" si="239"/>
        <v/>
      </c>
      <c r="E1098" s="50" t="str">
        <f t="shared" si="240"/>
        <v/>
      </c>
      <c r="F1098" s="47" t="str">
        <f>IF(COUNTA(archive!H1098:CI1098)=0,"",COUNTA(archive!H1098:CI1098))</f>
        <v/>
      </c>
      <c r="G1098" s="47" t="str">
        <f>IF(archive!G1098="","",archive!G1098)</f>
        <v/>
      </c>
      <c r="H1098" s="51" t="str">
        <f>IF(archive!CJ1098="","",archive!CJ1098)</f>
        <v/>
      </c>
      <c r="I1098" s="51" t="str">
        <f>IF(archive!CK1098="","",archive!CK1098)</f>
        <v/>
      </c>
      <c r="J1098" s="47" t="str">
        <f t="shared" si="241"/>
        <v/>
      </c>
      <c r="K1098" s="51" t="str">
        <f t="shared" si="242"/>
        <v/>
      </c>
      <c r="L1098" s="52" t="str">
        <f t="shared" si="243"/>
        <v/>
      </c>
      <c r="M1098" s="53" t="str">
        <f t="shared" si="244"/>
        <v/>
      </c>
      <c r="N1098" s="53" t="str">
        <f t="shared" si="245"/>
        <v/>
      </c>
      <c r="O1098" s="53" t="str">
        <f t="shared" si="246"/>
        <v/>
      </c>
      <c r="P1098" s="53" t="str">
        <f t="shared" si="247"/>
        <v/>
      </c>
      <c r="Q1098" s="53" t="str">
        <f t="shared" si="248"/>
        <v/>
      </c>
      <c r="R1098" s="53" t="str">
        <f t="shared" si="249"/>
        <v/>
      </c>
      <c r="S1098" s="53" t="str">
        <f t="shared" si="250"/>
        <v/>
      </c>
      <c r="T1098" s="53" t="str">
        <f t="shared" si="251"/>
        <v/>
      </c>
    </row>
    <row r="1099" spans="1:20">
      <c r="A1099" s="47" t="str">
        <f>IF(archive!E1099="","",archive!E1099)</f>
        <v/>
      </c>
      <c r="B1099" s="48" t="str">
        <f t="shared" si="238"/>
        <v/>
      </c>
      <c r="C1099" s="49" t="str">
        <f>IF(archive!F1099="","",archive!F1099)</f>
        <v/>
      </c>
      <c r="D1099" s="50" t="str">
        <f t="shared" si="239"/>
        <v/>
      </c>
      <c r="E1099" s="50" t="str">
        <f t="shared" si="240"/>
        <v/>
      </c>
      <c r="F1099" s="47" t="str">
        <f>IF(COUNTA(archive!H1099:CI1099)=0,"",COUNTA(archive!H1099:CI1099))</f>
        <v/>
      </c>
      <c r="G1099" s="47" t="str">
        <f>IF(archive!G1099="","",archive!G1099)</f>
        <v/>
      </c>
      <c r="H1099" s="51" t="str">
        <f>IF(archive!CJ1099="","",archive!CJ1099)</f>
        <v/>
      </c>
      <c r="I1099" s="51" t="str">
        <f>IF(archive!CK1099="","",archive!CK1099)</f>
        <v/>
      </c>
      <c r="J1099" s="47" t="str">
        <f t="shared" si="241"/>
        <v/>
      </c>
      <c r="K1099" s="51" t="str">
        <f t="shared" si="242"/>
        <v/>
      </c>
      <c r="L1099" s="52" t="str">
        <f t="shared" si="243"/>
        <v/>
      </c>
      <c r="M1099" s="53" t="str">
        <f t="shared" si="244"/>
        <v/>
      </c>
      <c r="N1099" s="53" t="str">
        <f t="shared" si="245"/>
        <v/>
      </c>
      <c r="O1099" s="53" t="str">
        <f t="shared" si="246"/>
        <v/>
      </c>
      <c r="P1099" s="53" t="str">
        <f t="shared" si="247"/>
        <v/>
      </c>
      <c r="Q1099" s="53" t="str">
        <f t="shared" si="248"/>
        <v/>
      </c>
      <c r="R1099" s="53" t="str">
        <f t="shared" si="249"/>
        <v/>
      </c>
      <c r="S1099" s="53" t="str">
        <f t="shared" si="250"/>
        <v/>
      </c>
      <c r="T1099" s="53" t="str">
        <f t="shared" si="251"/>
        <v/>
      </c>
    </row>
    <row r="1100" spans="1:20">
      <c r="A1100" s="47" t="str">
        <f>IF(archive!E1100="","",archive!E1100)</f>
        <v/>
      </c>
      <c r="B1100" s="48" t="str">
        <f t="shared" si="238"/>
        <v/>
      </c>
      <c r="C1100" s="49" t="str">
        <f>IF(archive!F1100="","",archive!F1100)</f>
        <v/>
      </c>
      <c r="D1100" s="50" t="str">
        <f t="shared" si="239"/>
        <v/>
      </c>
      <c r="E1100" s="50" t="str">
        <f t="shared" si="240"/>
        <v/>
      </c>
      <c r="F1100" s="47" t="str">
        <f>IF(COUNTA(archive!H1100:CI1100)=0,"",COUNTA(archive!H1100:CI1100))</f>
        <v/>
      </c>
      <c r="G1100" s="47" t="str">
        <f>IF(archive!G1100="","",archive!G1100)</f>
        <v/>
      </c>
      <c r="H1100" s="51" t="str">
        <f>IF(archive!CJ1100="","",archive!CJ1100)</f>
        <v/>
      </c>
      <c r="I1100" s="51" t="str">
        <f>IF(archive!CK1100="","",archive!CK1100)</f>
        <v/>
      </c>
      <c r="J1100" s="47" t="str">
        <f t="shared" si="241"/>
        <v/>
      </c>
      <c r="K1100" s="51" t="str">
        <f t="shared" si="242"/>
        <v/>
      </c>
      <c r="L1100" s="52" t="str">
        <f t="shared" si="243"/>
        <v/>
      </c>
      <c r="M1100" s="53" t="str">
        <f t="shared" si="244"/>
        <v/>
      </c>
      <c r="N1100" s="53" t="str">
        <f t="shared" si="245"/>
        <v/>
      </c>
      <c r="O1100" s="53" t="str">
        <f t="shared" si="246"/>
        <v/>
      </c>
      <c r="P1100" s="53" t="str">
        <f t="shared" si="247"/>
        <v/>
      </c>
      <c r="Q1100" s="53" t="str">
        <f t="shared" si="248"/>
        <v/>
      </c>
      <c r="R1100" s="53" t="str">
        <f t="shared" si="249"/>
        <v/>
      </c>
      <c r="S1100" s="53" t="str">
        <f t="shared" si="250"/>
        <v/>
      </c>
      <c r="T1100" s="53" t="str">
        <f t="shared" si="251"/>
        <v/>
      </c>
    </row>
    <row r="1101" spans="1:20">
      <c r="A1101" s="47" t="str">
        <f>IF(archive!E1101="","",archive!E1101)</f>
        <v/>
      </c>
      <c r="B1101" s="48" t="str">
        <f t="shared" si="238"/>
        <v/>
      </c>
      <c r="C1101" s="49" t="str">
        <f>IF(archive!F1101="","",archive!F1101)</f>
        <v/>
      </c>
      <c r="D1101" s="50" t="str">
        <f t="shared" si="239"/>
        <v/>
      </c>
      <c r="E1101" s="50" t="str">
        <f t="shared" si="240"/>
        <v/>
      </c>
      <c r="F1101" s="47" t="str">
        <f>IF(COUNTA(archive!H1101:CI1101)=0,"",COUNTA(archive!H1101:CI1101))</f>
        <v/>
      </c>
      <c r="G1101" s="47" t="str">
        <f>IF(archive!G1101="","",archive!G1101)</f>
        <v/>
      </c>
      <c r="H1101" s="51" t="str">
        <f>IF(archive!CJ1101="","",archive!CJ1101)</f>
        <v/>
      </c>
      <c r="I1101" s="51" t="str">
        <f>IF(archive!CK1101="","",archive!CK1101)</f>
        <v/>
      </c>
      <c r="J1101" s="47" t="str">
        <f t="shared" si="241"/>
        <v/>
      </c>
      <c r="K1101" s="51" t="str">
        <f t="shared" si="242"/>
        <v/>
      </c>
      <c r="L1101" s="52" t="str">
        <f t="shared" si="243"/>
        <v/>
      </c>
      <c r="M1101" s="53" t="str">
        <f t="shared" si="244"/>
        <v/>
      </c>
      <c r="N1101" s="53" t="str">
        <f t="shared" si="245"/>
        <v/>
      </c>
      <c r="O1101" s="53" t="str">
        <f t="shared" si="246"/>
        <v/>
      </c>
      <c r="P1101" s="53" t="str">
        <f t="shared" si="247"/>
        <v/>
      </c>
      <c r="Q1101" s="53" t="str">
        <f t="shared" si="248"/>
        <v/>
      </c>
      <c r="R1101" s="53" t="str">
        <f t="shared" si="249"/>
        <v/>
      </c>
      <c r="S1101" s="53" t="str">
        <f t="shared" si="250"/>
        <v/>
      </c>
      <c r="T1101" s="53" t="str">
        <f t="shared" si="251"/>
        <v/>
      </c>
    </row>
    <row r="1102" spans="1:20">
      <c r="A1102" s="47" t="str">
        <f>IF(archive!E1102="","",archive!E1102)</f>
        <v/>
      </c>
      <c r="B1102" s="48" t="str">
        <f t="shared" si="238"/>
        <v/>
      </c>
      <c r="C1102" s="49" t="str">
        <f>IF(archive!F1102="","",archive!F1102)</f>
        <v/>
      </c>
      <c r="D1102" s="50" t="str">
        <f t="shared" si="239"/>
        <v/>
      </c>
      <c r="E1102" s="50" t="str">
        <f t="shared" si="240"/>
        <v/>
      </c>
      <c r="F1102" s="47" t="str">
        <f>IF(COUNTA(archive!H1102:CI1102)=0,"",COUNTA(archive!H1102:CI1102))</f>
        <v/>
      </c>
      <c r="G1102" s="47" t="str">
        <f>IF(archive!G1102="","",archive!G1102)</f>
        <v/>
      </c>
      <c r="H1102" s="51" t="str">
        <f>IF(archive!CJ1102="","",archive!CJ1102)</f>
        <v/>
      </c>
      <c r="I1102" s="51" t="str">
        <f>IF(archive!CK1102="","",archive!CK1102)</f>
        <v/>
      </c>
      <c r="J1102" s="47" t="str">
        <f t="shared" si="241"/>
        <v/>
      </c>
      <c r="K1102" s="51" t="str">
        <f t="shared" si="242"/>
        <v/>
      </c>
      <c r="L1102" s="52" t="str">
        <f t="shared" si="243"/>
        <v/>
      </c>
      <c r="M1102" s="53" t="str">
        <f t="shared" si="244"/>
        <v/>
      </c>
      <c r="N1102" s="53" t="str">
        <f t="shared" si="245"/>
        <v/>
      </c>
      <c r="O1102" s="53" t="str">
        <f t="shared" si="246"/>
        <v/>
      </c>
      <c r="P1102" s="53" t="str">
        <f t="shared" si="247"/>
        <v/>
      </c>
      <c r="Q1102" s="53" t="str">
        <f t="shared" si="248"/>
        <v/>
      </c>
      <c r="R1102" s="53" t="str">
        <f t="shared" si="249"/>
        <v/>
      </c>
      <c r="S1102" s="53" t="str">
        <f t="shared" si="250"/>
        <v/>
      </c>
      <c r="T1102" s="53" t="str">
        <f t="shared" si="251"/>
        <v/>
      </c>
    </row>
    <row r="1103" spans="1:20">
      <c r="A1103" s="47" t="str">
        <f>IF(archive!E1103="","",archive!E1103)</f>
        <v/>
      </c>
      <c r="B1103" s="48" t="str">
        <f t="shared" si="238"/>
        <v/>
      </c>
      <c r="C1103" s="49" t="str">
        <f>IF(archive!F1103="","",archive!F1103)</f>
        <v/>
      </c>
      <c r="D1103" s="50" t="str">
        <f t="shared" si="239"/>
        <v/>
      </c>
      <c r="E1103" s="50" t="str">
        <f t="shared" si="240"/>
        <v/>
      </c>
      <c r="F1103" s="47" t="str">
        <f>IF(COUNTA(archive!H1103:CI1103)=0,"",COUNTA(archive!H1103:CI1103))</f>
        <v/>
      </c>
      <c r="G1103" s="47" t="str">
        <f>IF(archive!G1103="","",archive!G1103)</f>
        <v/>
      </c>
      <c r="H1103" s="51" t="str">
        <f>IF(archive!CJ1103="","",archive!CJ1103)</f>
        <v/>
      </c>
      <c r="I1103" s="51" t="str">
        <f>IF(archive!CK1103="","",archive!CK1103)</f>
        <v/>
      </c>
      <c r="J1103" s="47" t="str">
        <f t="shared" si="241"/>
        <v/>
      </c>
      <c r="K1103" s="51" t="str">
        <f t="shared" si="242"/>
        <v/>
      </c>
      <c r="L1103" s="52" t="str">
        <f t="shared" si="243"/>
        <v/>
      </c>
      <c r="M1103" s="53" t="str">
        <f t="shared" si="244"/>
        <v/>
      </c>
      <c r="N1103" s="53" t="str">
        <f t="shared" si="245"/>
        <v/>
      </c>
      <c r="O1103" s="53" t="str">
        <f t="shared" si="246"/>
        <v/>
      </c>
      <c r="P1103" s="53" t="str">
        <f t="shared" si="247"/>
        <v/>
      </c>
      <c r="Q1103" s="53" t="str">
        <f t="shared" si="248"/>
        <v/>
      </c>
      <c r="R1103" s="53" t="str">
        <f t="shared" si="249"/>
        <v/>
      </c>
      <c r="S1103" s="53" t="str">
        <f t="shared" si="250"/>
        <v/>
      </c>
      <c r="T1103" s="53" t="str">
        <f t="shared" si="251"/>
        <v/>
      </c>
    </row>
    <row r="1104" spans="1:20">
      <c r="A1104" s="47" t="str">
        <f>IF(archive!E1104="","",archive!E1104)</f>
        <v/>
      </c>
      <c r="B1104" s="48" t="str">
        <f t="shared" si="238"/>
        <v/>
      </c>
      <c r="C1104" s="49" t="str">
        <f>IF(archive!F1104="","",archive!F1104)</f>
        <v/>
      </c>
      <c r="D1104" s="50" t="str">
        <f t="shared" si="239"/>
        <v/>
      </c>
      <c r="E1104" s="50" t="str">
        <f t="shared" si="240"/>
        <v/>
      </c>
      <c r="F1104" s="47" t="str">
        <f>IF(COUNTA(archive!H1104:CI1104)=0,"",COUNTA(archive!H1104:CI1104))</f>
        <v/>
      </c>
      <c r="G1104" s="47" t="str">
        <f>IF(archive!G1104="","",archive!G1104)</f>
        <v/>
      </c>
      <c r="H1104" s="51" t="str">
        <f>IF(archive!CJ1104="","",archive!CJ1104)</f>
        <v/>
      </c>
      <c r="I1104" s="51" t="str">
        <f>IF(archive!CK1104="","",archive!CK1104)</f>
        <v/>
      </c>
      <c r="J1104" s="47" t="str">
        <f t="shared" si="241"/>
        <v/>
      </c>
      <c r="K1104" s="51" t="str">
        <f t="shared" si="242"/>
        <v/>
      </c>
      <c r="L1104" s="52" t="str">
        <f t="shared" si="243"/>
        <v/>
      </c>
      <c r="M1104" s="53" t="str">
        <f t="shared" si="244"/>
        <v/>
      </c>
      <c r="N1104" s="53" t="str">
        <f t="shared" si="245"/>
        <v/>
      </c>
      <c r="O1104" s="53" t="str">
        <f t="shared" si="246"/>
        <v/>
      </c>
      <c r="P1104" s="53" t="str">
        <f t="shared" si="247"/>
        <v/>
      </c>
      <c r="Q1104" s="53" t="str">
        <f t="shared" si="248"/>
        <v/>
      </c>
      <c r="R1104" s="53" t="str">
        <f t="shared" si="249"/>
        <v/>
      </c>
      <c r="S1104" s="53" t="str">
        <f t="shared" si="250"/>
        <v/>
      </c>
      <c r="T1104" s="53" t="str">
        <f t="shared" si="251"/>
        <v/>
      </c>
    </row>
    <row r="1105" spans="1:20">
      <c r="A1105" s="47" t="str">
        <f>IF(archive!E1105="","",archive!E1105)</f>
        <v/>
      </c>
      <c r="B1105" s="48" t="str">
        <f t="shared" si="238"/>
        <v/>
      </c>
      <c r="C1105" s="49" t="str">
        <f>IF(archive!F1105="","",archive!F1105)</f>
        <v/>
      </c>
      <c r="D1105" s="50" t="str">
        <f t="shared" si="239"/>
        <v/>
      </c>
      <c r="E1105" s="50" t="str">
        <f t="shared" si="240"/>
        <v/>
      </c>
      <c r="F1105" s="47" t="str">
        <f>IF(COUNTA(archive!H1105:CI1105)=0,"",COUNTA(archive!H1105:CI1105))</f>
        <v/>
      </c>
      <c r="G1105" s="47" t="str">
        <f>IF(archive!G1105="","",archive!G1105)</f>
        <v/>
      </c>
      <c r="H1105" s="51" t="str">
        <f>IF(archive!CJ1105="","",archive!CJ1105)</f>
        <v/>
      </c>
      <c r="I1105" s="51" t="str">
        <f>IF(archive!CK1105="","",archive!CK1105)</f>
        <v/>
      </c>
      <c r="J1105" s="47" t="str">
        <f t="shared" si="241"/>
        <v/>
      </c>
      <c r="K1105" s="51" t="str">
        <f t="shared" si="242"/>
        <v/>
      </c>
      <c r="L1105" s="52" t="str">
        <f t="shared" si="243"/>
        <v/>
      </c>
      <c r="M1105" s="53" t="str">
        <f t="shared" si="244"/>
        <v/>
      </c>
      <c r="N1105" s="53" t="str">
        <f t="shared" si="245"/>
        <v/>
      </c>
      <c r="O1105" s="53" t="str">
        <f t="shared" si="246"/>
        <v/>
      </c>
      <c r="P1105" s="53" t="str">
        <f t="shared" si="247"/>
        <v/>
      </c>
      <c r="Q1105" s="53" t="str">
        <f t="shared" si="248"/>
        <v/>
      </c>
      <c r="R1105" s="53" t="str">
        <f t="shared" si="249"/>
        <v/>
      </c>
      <c r="S1105" s="53" t="str">
        <f t="shared" si="250"/>
        <v/>
      </c>
      <c r="T1105" s="53" t="str">
        <f t="shared" si="251"/>
        <v/>
      </c>
    </row>
    <row r="1106" spans="1:20">
      <c r="A1106" s="47" t="str">
        <f>IF(archive!E1106="","",archive!E1106)</f>
        <v/>
      </c>
      <c r="B1106" s="48" t="str">
        <f t="shared" si="238"/>
        <v/>
      </c>
      <c r="C1106" s="49" t="str">
        <f>IF(archive!F1106="","",archive!F1106)</f>
        <v/>
      </c>
      <c r="D1106" s="50" t="str">
        <f t="shared" si="239"/>
        <v/>
      </c>
      <c r="E1106" s="50" t="str">
        <f t="shared" si="240"/>
        <v/>
      </c>
      <c r="F1106" s="47" t="str">
        <f>IF(COUNTA(archive!H1106:CI1106)=0,"",COUNTA(archive!H1106:CI1106))</f>
        <v/>
      </c>
      <c r="G1106" s="47" t="str">
        <f>IF(archive!G1106="","",archive!G1106)</f>
        <v/>
      </c>
      <c r="H1106" s="51" t="str">
        <f>IF(archive!CJ1106="","",archive!CJ1106)</f>
        <v/>
      </c>
      <c r="I1106" s="51" t="str">
        <f>IF(archive!CK1106="","",archive!CK1106)</f>
        <v/>
      </c>
      <c r="J1106" s="47" t="str">
        <f t="shared" si="241"/>
        <v/>
      </c>
      <c r="K1106" s="51" t="str">
        <f t="shared" si="242"/>
        <v/>
      </c>
      <c r="L1106" s="52" t="str">
        <f t="shared" si="243"/>
        <v/>
      </c>
      <c r="M1106" s="53" t="str">
        <f t="shared" si="244"/>
        <v/>
      </c>
      <c r="N1106" s="53" t="str">
        <f t="shared" si="245"/>
        <v/>
      </c>
      <c r="O1106" s="53" t="str">
        <f t="shared" si="246"/>
        <v/>
      </c>
      <c r="P1106" s="53" t="str">
        <f t="shared" si="247"/>
        <v/>
      </c>
      <c r="Q1106" s="53" t="str">
        <f t="shared" si="248"/>
        <v/>
      </c>
      <c r="R1106" s="53" t="str">
        <f t="shared" si="249"/>
        <v/>
      </c>
      <c r="S1106" s="53" t="str">
        <f t="shared" si="250"/>
        <v/>
      </c>
      <c r="T1106" s="53" t="str">
        <f t="shared" si="251"/>
        <v/>
      </c>
    </row>
    <row r="1107" spans="1:20">
      <c r="A1107" s="47" t="str">
        <f>IF(archive!E1107="","",archive!E1107)</f>
        <v/>
      </c>
      <c r="B1107" s="48" t="str">
        <f t="shared" si="238"/>
        <v/>
      </c>
      <c r="C1107" s="49" t="str">
        <f>IF(archive!F1107="","",archive!F1107)</f>
        <v/>
      </c>
      <c r="D1107" s="50" t="str">
        <f t="shared" si="239"/>
        <v/>
      </c>
      <c r="E1107" s="50" t="str">
        <f t="shared" si="240"/>
        <v/>
      </c>
      <c r="F1107" s="47" t="str">
        <f>IF(COUNTA(archive!H1107:CI1107)=0,"",COUNTA(archive!H1107:CI1107))</f>
        <v/>
      </c>
      <c r="G1107" s="47" t="str">
        <f>IF(archive!G1107="","",archive!G1107)</f>
        <v/>
      </c>
      <c r="H1107" s="51" t="str">
        <f>IF(archive!CJ1107="","",archive!CJ1107)</f>
        <v/>
      </c>
      <c r="I1107" s="51" t="str">
        <f>IF(archive!CK1107="","",archive!CK1107)</f>
        <v/>
      </c>
      <c r="J1107" s="47" t="str">
        <f t="shared" si="241"/>
        <v/>
      </c>
      <c r="K1107" s="51" t="str">
        <f t="shared" si="242"/>
        <v/>
      </c>
      <c r="L1107" s="52" t="str">
        <f t="shared" si="243"/>
        <v/>
      </c>
      <c r="M1107" s="53" t="str">
        <f t="shared" si="244"/>
        <v/>
      </c>
      <c r="N1107" s="53" t="str">
        <f t="shared" si="245"/>
        <v/>
      </c>
      <c r="O1107" s="53" t="str">
        <f t="shared" si="246"/>
        <v/>
      </c>
      <c r="P1107" s="53" t="str">
        <f t="shared" si="247"/>
        <v/>
      </c>
      <c r="Q1107" s="53" t="str">
        <f t="shared" si="248"/>
        <v/>
      </c>
      <c r="R1107" s="53" t="str">
        <f t="shared" si="249"/>
        <v/>
      </c>
      <c r="S1107" s="53" t="str">
        <f t="shared" si="250"/>
        <v/>
      </c>
      <c r="T1107" s="53" t="str">
        <f t="shared" si="251"/>
        <v/>
      </c>
    </row>
    <row r="1108" spans="1:20">
      <c r="A1108" s="47" t="str">
        <f>IF(archive!E1108="","",archive!E1108)</f>
        <v/>
      </c>
      <c r="B1108" s="48" t="str">
        <f t="shared" si="238"/>
        <v/>
      </c>
      <c r="C1108" s="49" t="str">
        <f>IF(archive!F1108="","",archive!F1108)</f>
        <v/>
      </c>
      <c r="D1108" s="50" t="str">
        <f t="shared" si="239"/>
        <v/>
      </c>
      <c r="E1108" s="50" t="str">
        <f t="shared" si="240"/>
        <v/>
      </c>
      <c r="F1108" s="47" t="str">
        <f>IF(COUNTA(archive!H1108:CI1108)=0,"",COUNTA(archive!H1108:CI1108))</f>
        <v/>
      </c>
      <c r="G1108" s="47" t="str">
        <f>IF(archive!G1108="","",archive!G1108)</f>
        <v/>
      </c>
      <c r="H1108" s="51" t="str">
        <f>IF(archive!CJ1108="","",archive!CJ1108)</f>
        <v/>
      </c>
      <c r="I1108" s="51" t="str">
        <f>IF(archive!CK1108="","",archive!CK1108)</f>
        <v/>
      </c>
      <c r="J1108" s="47" t="str">
        <f t="shared" si="241"/>
        <v/>
      </c>
      <c r="K1108" s="51" t="str">
        <f t="shared" si="242"/>
        <v/>
      </c>
      <c r="L1108" s="52" t="str">
        <f t="shared" si="243"/>
        <v/>
      </c>
      <c r="M1108" s="53" t="str">
        <f t="shared" si="244"/>
        <v/>
      </c>
      <c r="N1108" s="53" t="str">
        <f t="shared" si="245"/>
        <v/>
      </c>
      <c r="O1108" s="53" t="str">
        <f t="shared" si="246"/>
        <v/>
      </c>
      <c r="P1108" s="53" t="str">
        <f t="shared" si="247"/>
        <v/>
      </c>
      <c r="Q1108" s="53" t="str">
        <f t="shared" si="248"/>
        <v/>
      </c>
      <c r="R1108" s="53" t="str">
        <f t="shared" si="249"/>
        <v/>
      </c>
      <c r="S1108" s="53" t="str">
        <f t="shared" si="250"/>
        <v/>
      </c>
      <c r="T1108" s="53" t="str">
        <f t="shared" si="251"/>
        <v/>
      </c>
    </row>
    <row r="1109" spans="1:20">
      <c r="A1109" s="47" t="str">
        <f>IF(archive!E1109="","",archive!E1109)</f>
        <v/>
      </c>
      <c r="B1109" s="48" t="str">
        <f t="shared" si="238"/>
        <v/>
      </c>
      <c r="C1109" s="49" t="str">
        <f>IF(archive!F1109="","",archive!F1109)</f>
        <v/>
      </c>
      <c r="D1109" s="50" t="str">
        <f t="shared" si="239"/>
        <v/>
      </c>
      <c r="E1109" s="50" t="str">
        <f t="shared" si="240"/>
        <v/>
      </c>
      <c r="F1109" s="47" t="str">
        <f>IF(COUNTA(archive!H1109:CI1109)=0,"",COUNTA(archive!H1109:CI1109))</f>
        <v/>
      </c>
      <c r="G1109" s="47" t="str">
        <f>IF(archive!G1109="","",archive!G1109)</f>
        <v/>
      </c>
      <c r="H1109" s="51" t="str">
        <f>IF(archive!CJ1109="","",archive!CJ1109)</f>
        <v/>
      </c>
      <c r="I1109" s="51" t="str">
        <f>IF(archive!CK1109="","",archive!CK1109)</f>
        <v/>
      </c>
      <c r="J1109" s="47" t="str">
        <f t="shared" si="241"/>
        <v/>
      </c>
      <c r="K1109" s="51" t="str">
        <f t="shared" si="242"/>
        <v/>
      </c>
      <c r="L1109" s="52" t="str">
        <f t="shared" si="243"/>
        <v/>
      </c>
      <c r="M1109" s="53" t="str">
        <f t="shared" si="244"/>
        <v/>
      </c>
      <c r="N1109" s="53" t="str">
        <f t="shared" si="245"/>
        <v/>
      </c>
      <c r="O1109" s="53" t="str">
        <f t="shared" si="246"/>
        <v/>
      </c>
      <c r="P1109" s="53" t="str">
        <f t="shared" si="247"/>
        <v/>
      </c>
      <c r="Q1109" s="53" t="str">
        <f t="shared" si="248"/>
        <v/>
      </c>
      <c r="R1109" s="53" t="str">
        <f t="shared" si="249"/>
        <v/>
      </c>
      <c r="S1109" s="53" t="str">
        <f t="shared" si="250"/>
        <v/>
      </c>
      <c r="T1109" s="53" t="str">
        <f t="shared" si="251"/>
        <v/>
      </c>
    </row>
    <row r="1110" spans="1:20">
      <c r="A1110" s="47" t="str">
        <f>IF(archive!E1110="","",archive!E1110)</f>
        <v/>
      </c>
      <c r="B1110" s="48" t="str">
        <f t="shared" si="238"/>
        <v/>
      </c>
      <c r="C1110" s="49" t="str">
        <f>IF(archive!F1110="","",archive!F1110)</f>
        <v/>
      </c>
      <c r="D1110" s="50" t="str">
        <f t="shared" si="239"/>
        <v/>
      </c>
      <c r="E1110" s="50" t="str">
        <f t="shared" si="240"/>
        <v/>
      </c>
      <c r="F1110" s="47" t="str">
        <f>IF(COUNTA(archive!H1110:CI1110)=0,"",COUNTA(archive!H1110:CI1110))</f>
        <v/>
      </c>
      <c r="G1110" s="47" t="str">
        <f>IF(archive!G1110="","",archive!G1110)</f>
        <v/>
      </c>
      <c r="H1110" s="51" t="str">
        <f>IF(archive!CJ1110="","",archive!CJ1110)</f>
        <v/>
      </c>
      <c r="I1110" s="51" t="str">
        <f>IF(archive!CK1110="","",archive!CK1110)</f>
        <v/>
      </c>
      <c r="J1110" s="47" t="str">
        <f t="shared" si="241"/>
        <v/>
      </c>
      <c r="K1110" s="51" t="str">
        <f t="shared" si="242"/>
        <v/>
      </c>
      <c r="L1110" s="52" t="str">
        <f t="shared" si="243"/>
        <v/>
      </c>
      <c r="M1110" s="53" t="str">
        <f t="shared" si="244"/>
        <v/>
      </c>
      <c r="N1110" s="53" t="str">
        <f t="shared" si="245"/>
        <v/>
      </c>
      <c r="O1110" s="53" t="str">
        <f t="shared" si="246"/>
        <v/>
      </c>
      <c r="P1110" s="53" t="str">
        <f t="shared" si="247"/>
        <v/>
      </c>
      <c r="Q1110" s="53" t="str">
        <f t="shared" si="248"/>
        <v/>
      </c>
      <c r="R1110" s="53" t="str">
        <f t="shared" si="249"/>
        <v/>
      </c>
      <c r="S1110" s="53" t="str">
        <f t="shared" si="250"/>
        <v/>
      </c>
      <c r="T1110" s="53" t="str">
        <f t="shared" si="251"/>
        <v/>
      </c>
    </row>
    <row r="1111" spans="1:20">
      <c r="A1111" s="47" t="str">
        <f>IF(archive!E1111="","",archive!E1111)</f>
        <v/>
      </c>
      <c r="B1111" s="48" t="str">
        <f t="shared" si="238"/>
        <v/>
      </c>
      <c r="C1111" s="49" t="str">
        <f>IF(archive!F1111="","",archive!F1111)</f>
        <v/>
      </c>
      <c r="D1111" s="50" t="str">
        <f t="shared" si="239"/>
        <v/>
      </c>
      <c r="E1111" s="50" t="str">
        <f t="shared" si="240"/>
        <v/>
      </c>
      <c r="F1111" s="47" t="str">
        <f>IF(COUNTA(archive!H1111:CI1111)=0,"",COUNTA(archive!H1111:CI1111))</f>
        <v/>
      </c>
      <c r="G1111" s="47" t="str">
        <f>IF(archive!G1111="","",archive!G1111)</f>
        <v/>
      </c>
      <c r="H1111" s="51" t="str">
        <f>IF(archive!CJ1111="","",archive!CJ1111)</f>
        <v/>
      </c>
      <c r="I1111" s="51" t="str">
        <f>IF(archive!CK1111="","",archive!CK1111)</f>
        <v/>
      </c>
      <c r="J1111" s="47" t="str">
        <f t="shared" si="241"/>
        <v/>
      </c>
      <c r="K1111" s="51" t="str">
        <f t="shared" si="242"/>
        <v/>
      </c>
      <c r="L1111" s="52" t="str">
        <f t="shared" si="243"/>
        <v/>
      </c>
      <c r="M1111" s="53" t="str">
        <f t="shared" si="244"/>
        <v/>
      </c>
      <c r="N1111" s="53" t="str">
        <f t="shared" si="245"/>
        <v/>
      </c>
      <c r="O1111" s="53" t="str">
        <f t="shared" si="246"/>
        <v/>
      </c>
      <c r="P1111" s="53" t="str">
        <f t="shared" si="247"/>
        <v/>
      </c>
      <c r="Q1111" s="53" t="str">
        <f t="shared" si="248"/>
        <v/>
      </c>
      <c r="R1111" s="53" t="str">
        <f t="shared" si="249"/>
        <v/>
      </c>
      <c r="S1111" s="53" t="str">
        <f t="shared" si="250"/>
        <v/>
      </c>
      <c r="T1111" s="53" t="str">
        <f t="shared" si="251"/>
        <v/>
      </c>
    </row>
    <row r="1112" spans="1:20">
      <c r="A1112" s="47" t="str">
        <f>IF(archive!E1112="","",archive!E1112)</f>
        <v/>
      </c>
      <c r="B1112" s="48" t="str">
        <f t="shared" si="238"/>
        <v/>
      </c>
      <c r="C1112" s="49" t="str">
        <f>IF(archive!F1112="","",archive!F1112)</f>
        <v/>
      </c>
      <c r="D1112" s="50" t="str">
        <f t="shared" si="239"/>
        <v/>
      </c>
      <c r="E1112" s="50" t="str">
        <f t="shared" si="240"/>
        <v/>
      </c>
      <c r="F1112" s="47" t="str">
        <f>IF(COUNTA(archive!H1112:CI1112)=0,"",COUNTA(archive!H1112:CI1112))</f>
        <v/>
      </c>
      <c r="G1112" s="47" t="str">
        <f>IF(archive!G1112="","",archive!G1112)</f>
        <v/>
      </c>
      <c r="H1112" s="51" t="str">
        <f>IF(archive!CJ1112="","",archive!CJ1112)</f>
        <v/>
      </c>
      <c r="I1112" s="51" t="str">
        <f>IF(archive!CK1112="","",archive!CK1112)</f>
        <v/>
      </c>
      <c r="J1112" s="47" t="str">
        <f t="shared" si="241"/>
        <v/>
      </c>
      <c r="K1112" s="51" t="str">
        <f t="shared" si="242"/>
        <v/>
      </c>
      <c r="L1112" s="52" t="str">
        <f t="shared" si="243"/>
        <v/>
      </c>
      <c r="M1112" s="53" t="str">
        <f t="shared" si="244"/>
        <v/>
      </c>
      <c r="N1112" s="53" t="str">
        <f t="shared" si="245"/>
        <v/>
      </c>
      <c r="O1112" s="53" t="str">
        <f t="shared" si="246"/>
        <v/>
      </c>
      <c r="P1112" s="53" t="str">
        <f t="shared" si="247"/>
        <v/>
      </c>
      <c r="Q1112" s="53" t="str">
        <f t="shared" si="248"/>
        <v/>
      </c>
      <c r="R1112" s="53" t="str">
        <f t="shared" si="249"/>
        <v/>
      </c>
      <c r="S1112" s="53" t="str">
        <f t="shared" si="250"/>
        <v/>
      </c>
      <c r="T1112" s="53" t="str">
        <f t="shared" si="251"/>
        <v/>
      </c>
    </row>
    <row r="1113" spans="1:20">
      <c r="A1113" s="47" t="str">
        <f>IF(archive!E1113="","",archive!E1113)</f>
        <v/>
      </c>
      <c r="B1113" s="48" t="str">
        <f t="shared" si="238"/>
        <v/>
      </c>
      <c r="C1113" s="49" t="str">
        <f>IF(archive!F1113="","",archive!F1113)</f>
        <v/>
      </c>
      <c r="D1113" s="50" t="str">
        <f t="shared" si="239"/>
        <v/>
      </c>
      <c r="E1113" s="50" t="str">
        <f t="shared" si="240"/>
        <v/>
      </c>
      <c r="F1113" s="47" t="str">
        <f>IF(COUNTA(archive!H1113:CI1113)=0,"",COUNTA(archive!H1113:CI1113))</f>
        <v/>
      </c>
      <c r="G1113" s="47" t="str">
        <f>IF(archive!G1113="","",archive!G1113)</f>
        <v/>
      </c>
      <c r="H1113" s="51" t="str">
        <f>IF(archive!CJ1113="","",archive!CJ1113)</f>
        <v/>
      </c>
      <c r="I1113" s="51" t="str">
        <f>IF(archive!CK1113="","",archive!CK1113)</f>
        <v/>
      </c>
      <c r="J1113" s="47" t="str">
        <f t="shared" si="241"/>
        <v/>
      </c>
      <c r="K1113" s="51" t="str">
        <f t="shared" si="242"/>
        <v/>
      </c>
      <c r="L1113" s="52" t="str">
        <f t="shared" si="243"/>
        <v/>
      </c>
      <c r="M1113" s="53" t="str">
        <f t="shared" si="244"/>
        <v/>
      </c>
      <c r="N1113" s="53" t="str">
        <f t="shared" si="245"/>
        <v/>
      </c>
      <c r="O1113" s="53" t="str">
        <f t="shared" si="246"/>
        <v/>
      </c>
      <c r="P1113" s="53" t="str">
        <f t="shared" si="247"/>
        <v/>
      </c>
      <c r="Q1113" s="53" t="str">
        <f t="shared" si="248"/>
        <v/>
      </c>
      <c r="R1113" s="53" t="str">
        <f t="shared" si="249"/>
        <v/>
      </c>
      <c r="S1113" s="53" t="str">
        <f t="shared" si="250"/>
        <v/>
      </c>
      <c r="T1113" s="53" t="str">
        <f t="shared" si="251"/>
        <v/>
      </c>
    </row>
    <row r="1114" spans="1:20">
      <c r="A1114" s="47" t="str">
        <f>IF(archive!E1114="","",archive!E1114)</f>
        <v/>
      </c>
      <c r="B1114" s="48" t="str">
        <f t="shared" si="238"/>
        <v/>
      </c>
      <c r="C1114" s="49" t="str">
        <f>IF(archive!F1114="","",archive!F1114)</f>
        <v/>
      </c>
      <c r="D1114" s="50" t="str">
        <f t="shared" si="239"/>
        <v/>
      </c>
      <c r="E1114" s="50" t="str">
        <f t="shared" si="240"/>
        <v/>
      </c>
      <c r="F1114" s="47" t="str">
        <f>IF(COUNTA(archive!H1114:CI1114)=0,"",COUNTA(archive!H1114:CI1114))</f>
        <v/>
      </c>
      <c r="G1114" s="47" t="str">
        <f>IF(archive!G1114="","",archive!G1114)</f>
        <v/>
      </c>
      <c r="H1114" s="51" t="str">
        <f>IF(archive!CJ1114="","",archive!CJ1114)</f>
        <v/>
      </c>
      <c r="I1114" s="51" t="str">
        <f>IF(archive!CK1114="","",archive!CK1114)</f>
        <v/>
      </c>
      <c r="J1114" s="47" t="str">
        <f t="shared" si="241"/>
        <v/>
      </c>
      <c r="K1114" s="51" t="str">
        <f t="shared" si="242"/>
        <v/>
      </c>
      <c r="L1114" s="52" t="str">
        <f t="shared" si="243"/>
        <v/>
      </c>
      <c r="M1114" s="53" t="str">
        <f t="shared" si="244"/>
        <v/>
      </c>
      <c r="N1114" s="53" t="str">
        <f t="shared" si="245"/>
        <v/>
      </c>
      <c r="O1114" s="53" t="str">
        <f t="shared" si="246"/>
        <v/>
      </c>
      <c r="P1114" s="53" t="str">
        <f t="shared" si="247"/>
        <v/>
      </c>
      <c r="Q1114" s="53" t="str">
        <f t="shared" si="248"/>
        <v/>
      </c>
      <c r="R1114" s="53" t="str">
        <f t="shared" si="249"/>
        <v/>
      </c>
      <c r="S1114" s="53" t="str">
        <f t="shared" si="250"/>
        <v/>
      </c>
      <c r="T1114" s="53" t="str">
        <f t="shared" si="251"/>
        <v/>
      </c>
    </row>
    <row r="1115" spans="1:20">
      <c r="A1115" s="47" t="str">
        <f>IF(archive!E1115="","",archive!E1115)</f>
        <v/>
      </c>
      <c r="B1115" s="48" t="str">
        <f t="shared" si="238"/>
        <v/>
      </c>
      <c r="C1115" s="49" t="str">
        <f>IF(archive!F1115="","",archive!F1115)</f>
        <v/>
      </c>
      <c r="D1115" s="50" t="str">
        <f t="shared" si="239"/>
        <v/>
      </c>
      <c r="E1115" s="50" t="str">
        <f t="shared" si="240"/>
        <v/>
      </c>
      <c r="F1115" s="47" t="str">
        <f>IF(COUNTA(archive!H1115:CI1115)=0,"",COUNTA(archive!H1115:CI1115))</f>
        <v/>
      </c>
      <c r="G1115" s="47" t="str">
        <f>IF(archive!G1115="","",archive!G1115)</f>
        <v/>
      </c>
      <c r="H1115" s="51" t="str">
        <f>IF(archive!CJ1115="","",archive!CJ1115)</f>
        <v/>
      </c>
      <c r="I1115" s="51" t="str">
        <f>IF(archive!CK1115="","",archive!CK1115)</f>
        <v/>
      </c>
      <c r="J1115" s="47" t="str">
        <f t="shared" si="241"/>
        <v/>
      </c>
      <c r="K1115" s="51" t="str">
        <f t="shared" si="242"/>
        <v/>
      </c>
      <c r="L1115" s="52" t="str">
        <f t="shared" si="243"/>
        <v/>
      </c>
      <c r="M1115" s="53" t="str">
        <f t="shared" si="244"/>
        <v/>
      </c>
      <c r="N1115" s="53" t="str">
        <f t="shared" si="245"/>
        <v/>
      </c>
      <c r="O1115" s="53" t="str">
        <f t="shared" si="246"/>
        <v/>
      </c>
      <c r="P1115" s="53" t="str">
        <f t="shared" si="247"/>
        <v/>
      </c>
      <c r="Q1115" s="53" t="str">
        <f t="shared" si="248"/>
        <v/>
      </c>
      <c r="R1115" s="53" t="str">
        <f t="shared" si="249"/>
        <v/>
      </c>
      <c r="S1115" s="53" t="str">
        <f t="shared" si="250"/>
        <v/>
      </c>
      <c r="T1115" s="53" t="str">
        <f t="shared" si="251"/>
        <v/>
      </c>
    </row>
    <row r="1116" spans="1:20">
      <c r="A1116" s="47" t="str">
        <f>IF(archive!E1116="","",archive!E1116)</f>
        <v/>
      </c>
      <c r="B1116" s="48" t="str">
        <f t="shared" si="238"/>
        <v/>
      </c>
      <c r="C1116" s="49" t="str">
        <f>IF(archive!F1116="","",archive!F1116)</f>
        <v/>
      </c>
      <c r="D1116" s="50" t="str">
        <f t="shared" si="239"/>
        <v/>
      </c>
      <c r="E1116" s="50" t="str">
        <f t="shared" si="240"/>
        <v/>
      </c>
      <c r="F1116" s="47" t="str">
        <f>IF(COUNTA(archive!H1116:CI1116)=0,"",COUNTA(archive!H1116:CI1116))</f>
        <v/>
      </c>
      <c r="G1116" s="47" t="str">
        <f>IF(archive!G1116="","",archive!G1116)</f>
        <v/>
      </c>
      <c r="H1116" s="51" t="str">
        <f>IF(archive!CJ1116="","",archive!CJ1116)</f>
        <v/>
      </c>
      <c r="I1116" s="51" t="str">
        <f>IF(archive!CK1116="","",archive!CK1116)</f>
        <v/>
      </c>
      <c r="J1116" s="47" t="str">
        <f t="shared" si="241"/>
        <v/>
      </c>
      <c r="K1116" s="51" t="str">
        <f t="shared" si="242"/>
        <v/>
      </c>
      <c r="L1116" s="52" t="str">
        <f t="shared" si="243"/>
        <v/>
      </c>
      <c r="M1116" s="53" t="str">
        <f t="shared" si="244"/>
        <v/>
      </c>
      <c r="N1116" s="53" t="str">
        <f t="shared" si="245"/>
        <v/>
      </c>
      <c r="O1116" s="53" t="str">
        <f t="shared" si="246"/>
        <v/>
      </c>
      <c r="P1116" s="53" t="str">
        <f t="shared" si="247"/>
        <v/>
      </c>
      <c r="Q1116" s="53" t="str">
        <f t="shared" si="248"/>
        <v/>
      </c>
      <c r="R1116" s="53" t="str">
        <f t="shared" si="249"/>
        <v/>
      </c>
      <c r="S1116" s="53" t="str">
        <f t="shared" si="250"/>
        <v/>
      </c>
      <c r="T1116" s="53" t="str">
        <f t="shared" si="251"/>
        <v/>
      </c>
    </row>
    <row r="1117" spans="1:20">
      <c r="A1117" s="47" t="str">
        <f>IF(archive!E1117="","",archive!E1117)</f>
        <v/>
      </c>
      <c r="B1117" s="48" t="str">
        <f t="shared" si="238"/>
        <v/>
      </c>
      <c r="C1117" s="49" t="str">
        <f>IF(archive!F1117="","",archive!F1117)</f>
        <v/>
      </c>
      <c r="D1117" s="50" t="str">
        <f t="shared" si="239"/>
        <v/>
      </c>
      <c r="E1117" s="50" t="str">
        <f t="shared" si="240"/>
        <v/>
      </c>
      <c r="F1117" s="47" t="str">
        <f>IF(COUNTA(archive!H1117:CI1117)=0,"",COUNTA(archive!H1117:CI1117))</f>
        <v/>
      </c>
      <c r="G1117" s="47" t="str">
        <f>IF(archive!G1117="","",archive!G1117)</f>
        <v/>
      </c>
      <c r="H1117" s="51" t="str">
        <f>IF(archive!CJ1117="","",archive!CJ1117)</f>
        <v/>
      </c>
      <c r="I1117" s="51" t="str">
        <f>IF(archive!CK1117="","",archive!CK1117)</f>
        <v/>
      </c>
      <c r="J1117" s="47" t="str">
        <f t="shared" si="241"/>
        <v/>
      </c>
      <c r="K1117" s="51" t="str">
        <f t="shared" si="242"/>
        <v/>
      </c>
      <c r="L1117" s="52" t="str">
        <f t="shared" si="243"/>
        <v/>
      </c>
      <c r="M1117" s="53" t="str">
        <f t="shared" si="244"/>
        <v/>
      </c>
      <c r="N1117" s="53" t="str">
        <f t="shared" si="245"/>
        <v/>
      </c>
      <c r="O1117" s="53" t="str">
        <f t="shared" si="246"/>
        <v/>
      </c>
      <c r="P1117" s="53" t="str">
        <f t="shared" si="247"/>
        <v/>
      </c>
      <c r="Q1117" s="53" t="str">
        <f t="shared" si="248"/>
        <v/>
      </c>
      <c r="R1117" s="53" t="str">
        <f t="shared" si="249"/>
        <v/>
      </c>
      <c r="S1117" s="53" t="str">
        <f t="shared" si="250"/>
        <v/>
      </c>
      <c r="T1117" s="53" t="str">
        <f t="shared" si="251"/>
        <v/>
      </c>
    </row>
    <row r="1118" spans="1:20">
      <c r="A1118" s="47" t="str">
        <f>IF(archive!E1118="","",archive!E1118)</f>
        <v/>
      </c>
      <c r="B1118" s="48" t="str">
        <f t="shared" si="238"/>
        <v/>
      </c>
      <c r="C1118" s="49" t="str">
        <f>IF(archive!F1118="","",archive!F1118)</f>
        <v/>
      </c>
      <c r="D1118" s="50" t="str">
        <f t="shared" si="239"/>
        <v/>
      </c>
      <c r="E1118" s="50" t="str">
        <f t="shared" si="240"/>
        <v/>
      </c>
      <c r="F1118" s="47" t="str">
        <f>IF(COUNTA(archive!H1118:CI1118)=0,"",COUNTA(archive!H1118:CI1118))</f>
        <v/>
      </c>
      <c r="G1118" s="47" t="str">
        <f>IF(archive!G1118="","",archive!G1118)</f>
        <v/>
      </c>
      <c r="H1118" s="51" t="str">
        <f>IF(archive!CJ1118="","",archive!CJ1118)</f>
        <v/>
      </c>
      <c r="I1118" s="51" t="str">
        <f>IF(archive!CK1118="","",archive!CK1118)</f>
        <v/>
      </c>
      <c r="J1118" s="47" t="str">
        <f t="shared" si="241"/>
        <v/>
      </c>
      <c r="K1118" s="51" t="str">
        <f t="shared" si="242"/>
        <v/>
      </c>
      <c r="L1118" s="52" t="str">
        <f t="shared" si="243"/>
        <v/>
      </c>
      <c r="M1118" s="53" t="str">
        <f t="shared" si="244"/>
        <v/>
      </c>
      <c r="N1118" s="53" t="str">
        <f t="shared" si="245"/>
        <v/>
      </c>
      <c r="O1118" s="53" t="str">
        <f t="shared" si="246"/>
        <v/>
      </c>
      <c r="P1118" s="53" t="str">
        <f t="shared" si="247"/>
        <v/>
      </c>
      <c r="Q1118" s="53" t="str">
        <f t="shared" si="248"/>
        <v/>
      </c>
      <c r="R1118" s="53" t="str">
        <f t="shared" si="249"/>
        <v/>
      </c>
      <c r="S1118" s="53" t="str">
        <f t="shared" si="250"/>
        <v/>
      </c>
      <c r="T1118" s="53" t="str">
        <f t="shared" si="251"/>
        <v/>
      </c>
    </row>
    <row r="1119" spans="1:20">
      <c r="A1119" s="47" t="str">
        <f>IF(archive!E1119="","",archive!E1119)</f>
        <v/>
      </c>
      <c r="B1119" s="48" t="str">
        <f t="shared" si="238"/>
        <v/>
      </c>
      <c r="C1119" s="49" t="str">
        <f>IF(archive!F1119="","",archive!F1119)</f>
        <v/>
      </c>
      <c r="D1119" s="50" t="str">
        <f t="shared" si="239"/>
        <v/>
      </c>
      <c r="E1119" s="50" t="str">
        <f t="shared" si="240"/>
        <v/>
      </c>
      <c r="F1119" s="47" t="str">
        <f>IF(COUNTA(archive!H1119:CI1119)=0,"",COUNTA(archive!H1119:CI1119))</f>
        <v/>
      </c>
      <c r="G1119" s="47" t="str">
        <f>IF(archive!G1119="","",archive!G1119)</f>
        <v/>
      </c>
      <c r="H1119" s="51" t="str">
        <f>IF(archive!CJ1119="","",archive!CJ1119)</f>
        <v/>
      </c>
      <c r="I1119" s="51" t="str">
        <f>IF(archive!CK1119="","",archive!CK1119)</f>
        <v/>
      </c>
      <c r="J1119" s="47" t="str">
        <f t="shared" si="241"/>
        <v/>
      </c>
      <c r="K1119" s="51" t="str">
        <f t="shared" si="242"/>
        <v/>
      </c>
      <c r="L1119" s="52" t="str">
        <f t="shared" si="243"/>
        <v/>
      </c>
      <c r="M1119" s="53" t="str">
        <f t="shared" si="244"/>
        <v/>
      </c>
      <c r="N1119" s="53" t="str">
        <f t="shared" si="245"/>
        <v/>
      </c>
      <c r="O1119" s="53" t="str">
        <f t="shared" si="246"/>
        <v/>
      </c>
      <c r="P1119" s="53" t="str">
        <f t="shared" si="247"/>
        <v/>
      </c>
      <c r="Q1119" s="53" t="str">
        <f t="shared" si="248"/>
        <v/>
      </c>
      <c r="R1119" s="53" t="str">
        <f t="shared" si="249"/>
        <v/>
      </c>
      <c r="S1119" s="53" t="str">
        <f t="shared" si="250"/>
        <v/>
      </c>
      <c r="T1119" s="53" t="str">
        <f t="shared" si="251"/>
        <v/>
      </c>
    </row>
    <row r="1120" spans="1:20">
      <c r="A1120" s="47" t="str">
        <f>IF(archive!E1120="","",archive!E1120)</f>
        <v/>
      </c>
      <c r="B1120" s="48" t="str">
        <f t="shared" si="238"/>
        <v/>
      </c>
      <c r="C1120" s="49" t="str">
        <f>IF(archive!F1120="","",archive!F1120)</f>
        <v/>
      </c>
      <c r="D1120" s="50" t="str">
        <f t="shared" si="239"/>
        <v/>
      </c>
      <c r="E1120" s="50" t="str">
        <f t="shared" si="240"/>
        <v/>
      </c>
      <c r="F1120" s="47" t="str">
        <f>IF(COUNTA(archive!H1120:CI1120)=0,"",COUNTA(archive!H1120:CI1120))</f>
        <v/>
      </c>
      <c r="G1120" s="47" t="str">
        <f>IF(archive!G1120="","",archive!G1120)</f>
        <v/>
      </c>
      <c r="H1120" s="51" t="str">
        <f>IF(archive!CJ1120="","",archive!CJ1120)</f>
        <v/>
      </c>
      <c r="I1120" s="51" t="str">
        <f>IF(archive!CK1120="","",archive!CK1120)</f>
        <v/>
      </c>
      <c r="J1120" s="47" t="str">
        <f t="shared" si="241"/>
        <v/>
      </c>
      <c r="K1120" s="51" t="str">
        <f t="shared" si="242"/>
        <v/>
      </c>
      <c r="L1120" s="52" t="str">
        <f t="shared" si="243"/>
        <v/>
      </c>
      <c r="M1120" s="53" t="str">
        <f t="shared" si="244"/>
        <v/>
      </c>
      <c r="N1120" s="53" t="str">
        <f t="shared" si="245"/>
        <v/>
      </c>
      <c r="O1120" s="53" t="str">
        <f t="shared" si="246"/>
        <v/>
      </c>
      <c r="P1120" s="53" t="str">
        <f t="shared" si="247"/>
        <v/>
      </c>
      <c r="Q1120" s="53" t="str">
        <f t="shared" si="248"/>
        <v/>
      </c>
      <c r="R1120" s="53" t="str">
        <f t="shared" si="249"/>
        <v/>
      </c>
      <c r="S1120" s="53" t="str">
        <f t="shared" si="250"/>
        <v/>
      </c>
      <c r="T1120" s="53" t="str">
        <f t="shared" si="251"/>
        <v/>
      </c>
    </row>
    <row r="1121" spans="1:20">
      <c r="A1121" s="47" t="str">
        <f>IF(archive!E1121="","",archive!E1121)</f>
        <v/>
      </c>
      <c r="B1121" s="48" t="str">
        <f t="shared" si="238"/>
        <v/>
      </c>
      <c r="C1121" s="49" t="str">
        <f>IF(archive!F1121="","",archive!F1121)</f>
        <v/>
      </c>
      <c r="D1121" s="50" t="str">
        <f t="shared" si="239"/>
        <v/>
      </c>
      <c r="E1121" s="50" t="str">
        <f t="shared" si="240"/>
        <v/>
      </c>
      <c r="F1121" s="47" t="str">
        <f>IF(COUNTA(archive!H1121:CI1121)=0,"",COUNTA(archive!H1121:CI1121))</f>
        <v/>
      </c>
      <c r="G1121" s="47" t="str">
        <f>IF(archive!G1121="","",archive!G1121)</f>
        <v/>
      </c>
      <c r="H1121" s="51" t="str">
        <f>IF(archive!CJ1121="","",archive!CJ1121)</f>
        <v/>
      </c>
      <c r="I1121" s="51" t="str">
        <f>IF(archive!CK1121="","",archive!CK1121)</f>
        <v/>
      </c>
      <c r="J1121" s="47" t="str">
        <f t="shared" si="241"/>
        <v/>
      </c>
      <c r="K1121" s="51" t="str">
        <f t="shared" si="242"/>
        <v/>
      </c>
      <c r="L1121" s="52" t="str">
        <f t="shared" si="243"/>
        <v/>
      </c>
      <c r="M1121" s="53" t="str">
        <f t="shared" si="244"/>
        <v/>
      </c>
      <c r="N1121" s="53" t="str">
        <f t="shared" si="245"/>
        <v/>
      </c>
      <c r="O1121" s="53" t="str">
        <f t="shared" si="246"/>
        <v/>
      </c>
      <c r="P1121" s="53" t="str">
        <f t="shared" si="247"/>
        <v/>
      </c>
      <c r="Q1121" s="53" t="str">
        <f t="shared" si="248"/>
        <v/>
      </c>
      <c r="R1121" s="53" t="str">
        <f t="shared" si="249"/>
        <v/>
      </c>
      <c r="S1121" s="53" t="str">
        <f t="shared" si="250"/>
        <v/>
      </c>
      <c r="T1121" s="53" t="str">
        <f t="shared" si="251"/>
        <v/>
      </c>
    </row>
    <row r="1122" spans="1:20">
      <c r="A1122" s="47" t="str">
        <f>IF(archive!E1122="","",archive!E1122)</f>
        <v/>
      </c>
      <c r="B1122" s="48" t="str">
        <f t="shared" si="238"/>
        <v/>
      </c>
      <c r="C1122" s="49" t="str">
        <f>IF(archive!F1122="","",archive!F1122)</f>
        <v/>
      </c>
      <c r="D1122" s="50" t="str">
        <f t="shared" si="239"/>
        <v/>
      </c>
      <c r="E1122" s="50" t="str">
        <f t="shared" si="240"/>
        <v/>
      </c>
      <c r="F1122" s="47" t="str">
        <f>IF(COUNTA(archive!H1122:CI1122)=0,"",COUNTA(archive!H1122:CI1122))</f>
        <v/>
      </c>
      <c r="G1122" s="47" t="str">
        <f>IF(archive!G1122="","",archive!G1122)</f>
        <v/>
      </c>
      <c r="H1122" s="51" t="str">
        <f>IF(archive!CJ1122="","",archive!CJ1122)</f>
        <v/>
      </c>
      <c r="I1122" s="51" t="str">
        <f>IF(archive!CK1122="","",archive!CK1122)</f>
        <v/>
      </c>
      <c r="J1122" s="47" t="str">
        <f t="shared" si="241"/>
        <v/>
      </c>
      <c r="K1122" s="51" t="str">
        <f t="shared" si="242"/>
        <v/>
      </c>
      <c r="L1122" s="52" t="str">
        <f t="shared" si="243"/>
        <v/>
      </c>
      <c r="M1122" s="53" t="str">
        <f t="shared" si="244"/>
        <v/>
      </c>
      <c r="N1122" s="53" t="str">
        <f t="shared" si="245"/>
        <v/>
      </c>
      <c r="O1122" s="53" t="str">
        <f t="shared" si="246"/>
        <v/>
      </c>
      <c r="P1122" s="53" t="str">
        <f t="shared" si="247"/>
        <v/>
      </c>
      <c r="Q1122" s="53" t="str">
        <f t="shared" si="248"/>
        <v/>
      </c>
      <c r="R1122" s="53" t="str">
        <f t="shared" si="249"/>
        <v/>
      </c>
      <c r="S1122" s="53" t="str">
        <f t="shared" si="250"/>
        <v/>
      </c>
      <c r="T1122" s="53" t="str">
        <f t="shared" si="251"/>
        <v/>
      </c>
    </row>
    <row r="1123" spans="1:20">
      <c r="A1123" s="47" t="str">
        <f>IF(archive!E1123="","",archive!E1123)</f>
        <v/>
      </c>
      <c r="B1123" s="48" t="str">
        <f t="shared" si="238"/>
        <v/>
      </c>
      <c r="C1123" s="49" t="str">
        <f>IF(archive!F1123="","",archive!F1123)</f>
        <v/>
      </c>
      <c r="D1123" s="50" t="str">
        <f t="shared" si="239"/>
        <v/>
      </c>
      <c r="E1123" s="50" t="str">
        <f t="shared" si="240"/>
        <v/>
      </c>
      <c r="F1123" s="47" t="str">
        <f>IF(COUNTA(archive!H1123:CI1123)=0,"",COUNTA(archive!H1123:CI1123))</f>
        <v/>
      </c>
      <c r="G1123" s="47" t="str">
        <f>IF(archive!G1123="","",archive!G1123)</f>
        <v/>
      </c>
      <c r="H1123" s="51" t="str">
        <f>IF(archive!CJ1123="","",archive!CJ1123)</f>
        <v/>
      </c>
      <c r="I1123" s="51" t="str">
        <f>IF(archive!CK1123="","",archive!CK1123)</f>
        <v/>
      </c>
      <c r="J1123" s="47" t="str">
        <f t="shared" si="241"/>
        <v/>
      </c>
      <c r="K1123" s="51" t="str">
        <f t="shared" si="242"/>
        <v/>
      </c>
      <c r="L1123" s="52" t="str">
        <f t="shared" si="243"/>
        <v/>
      </c>
      <c r="M1123" s="53" t="str">
        <f t="shared" si="244"/>
        <v/>
      </c>
      <c r="N1123" s="53" t="str">
        <f t="shared" si="245"/>
        <v/>
      </c>
      <c r="O1123" s="53" t="str">
        <f t="shared" si="246"/>
        <v/>
      </c>
      <c r="P1123" s="53" t="str">
        <f t="shared" si="247"/>
        <v/>
      </c>
      <c r="Q1123" s="53" t="str">
        <f t="shared" si="248"/>
        <v/>
      </c>
      <c r="R1123" s="53" t="str">
        <f t="shared" si="249"/>
        <v/>
      </c>
      <c r="S1123" s="53" t="str">
        <f t="shared" si="250"/>
        <v/>
      </c>
      <c r="T1123" s="53" t="str">
        <f t="shared" si="251"/>
        <v/>
      </c>
    </row>
    <row r="1124" spans="1:20">
      <c r="A1124" s="47" t="str">
        <f>IF(archive!E1124="","",archive!E1124)</f>
        <v/>
      </c>
      <c r="B1124" s="48" t="str">
        <f t="shared" si="238"/>
        <v/>
      </c>
      <c r="C1124" s="49" t="str">
        <f>IF(archive!F1124="","",archive!F1124)</f>
        <v/>
      </c>
      <c r="D1124" s="50" t="str">
        <f t="shared" si="239"/>
        <v/>
      </c>
      <c r="E1124" s="50" t="str">
        <f t="shared" si="240"/>
        <v/>
      </c>
      <c r="F1124" s="47" t="str">
        <f>IF(COUNTA(archive!H1124:CI1124)=0,"",COUNTA(archive!H1124:CI1124))</f>
        <v/>
      </c>
      <c r="G1124" s="47" t="str">
        <f>IF(archive!G1124="","",archive!G1124)</f>
        <v/>
      </c>
      <c r="H1124" s="51" t="str">
        <f>IF(archive!CJ1124="","",archive!CJ1124)</f>
        <v/>
      </c>
      <c r="I1124" s="51" t="str">
        <f>IF(archive!CK1124="","",archive!CK1124)</f>
        <v/>
      </c>
      <c r="J1124" s="47" t="str">
        <f t="shared" si="241"/>
        <v/>
      </c>
      <c r="K1124" s="51" t="str">
        <f t="shared" si="242"/>
        <v/>
      </c>
      <c r="L1124" s="52" t="str">
        <f t="shared" si="243"/>
        <v/>
      </c>
      <c r="M1124" s="53" t="str">
        <f t="shared" si="244"/>
        <v/>
      </c>
      <c r="N1124" s="53" t="str">
        <f t="shared" si="245"/>
        <v/>
      </c>
      <c r="O1124" s="53" t="str">
        <f t="shared" si="246"/>
        <v/>
      </c>
      <c r="P1124" s="53" t="str">
        <f t="shared" si="247"/>
        <v/>
      </c>
      <c r="Q1124" s="53" t="str">
        <f t="shared" si="248"/>
        <v/>
      </c>
      <c r="R1124" s="53" t="str">
        <f t="shared" si="249"/>
        <v/>
      </c>
      <c r="S1124" s="53" t="str">
        <f t="shared" si="250"/>
        <v/>
      </c>
      <c r="T1124" s="53" t="str">
        <f t="shared" si="251"/>
        <v/>
      </c>
    </row>
    <row r="1125" spans="1:20">
      <c r="A1125" s="47" t="str">
        <f>IF(archive!E1125="","",archive!E1125)</f>
        <v/>
      </c>
      <c r="B1125" s="48" t="str">
        <f t="shared" si="238"/>
        <v/>
      </c>
      <c r="C1125" s="49" t="str">
        <f>IF(archive!F1125="","",archive!F1125)</f>
        <v/>
      </c>
      <c r="D1125" s="50" t="str">
        <f t="shared" si="239"/>
        <v/>
      </c>
      <c r="E1125" s="50" t="str">
        <f t="shared" si="240"/>
        <v/>
      </c>
      <c r="F1125" s="47" t="str">
        <f>IF(COUNTA(archive!H1125:CI1125)=0,"",COUNTA(archive!H1125:CI1125))</f>
        <v/>
      </c>
      <c r="G1125" s="47" t="str">
        <f>IF(archive!G1125="","",archive!G1125)</f>
        <v/>
      </c>
      <c r="H1125" s="51" t="str">
        <f>IF(archive!CJ1125="","",archive!CJ1125)</f>
        <v/>
      </c>
      <c r="I1125" s="51" t="str">
        <f>IF(archive!CK1125="","",archive!CK1125)</f>
        <v/>
      </c>
      <c r="J1125" s="47" t="str">
        <f t="shared" si="241"/>
        <v/>
      </c>
      <c r="K1125" s="51" t="str">
        <f t="shared" si="242"/>
        <v/>
      </c>
      <c r="L1125" s="52" t="str">
        <f t="shared" si="243"/>
        <v/>
      </c>
      <c r="M1125" s="53" t="str">
        <f t="shared" si="244"/>
        <v/>
      </c>
      <c r="N1125" s="53" t="str">
        <f t="shared" si="245"/>
        <v/>
      </c>
      <c r="O1125" s="53" t="str">
        <f t="shared" si="246"/>
        <v/>
      </c>
      <c r="P1125" s="53" t="str">
        <f t="shared" si="247"/>
        <v/>
      </c>
      <c r="Q1125" s="53" t="str">
        <f t="shared" si="248"/>
        <v/>
      </c>
      <c r="R1125" s="53" t="str">
        <f t="shared" si="249"/>
        <v/>
      </c>
      <c r="S1125" s="53" t="str">
        <f t="shared" si="250"/>
        <v/>
      </c>
      <c r="T1125" s="53" t="str">
        <f t="shared" si="251"/>
        <v/>
      </c>
    </row>
    <row r="1126" spans="1:20">
      <c r="A1126" s="47" t="str">
        <f>IF(archive!E1126="","",archive!E1126)</f>
        <v/>
      </c>
      <c r="B1126" s="48" t="str">
        <f t="shared" si="238"/>
        <v/>
      </c>
      <c r="C1126" s="49" t="str">
        <f>IF(archive!F1126="","",archive!F1126)</f>
        <v/>
      </c>
      <c r="D1126" s="50" t="str">
        <f t="shared" si="239"/>
        <v/>
      </c>
      <c r="E1126" s="50" t="str">
        <f t="shared" si="240"/>
        <v/>
      </c>
      <c r="F1126" s="47" t="str">
        <f>IF(COUNTA(archive!H1126:CI1126)=0,"",COUNTA(archive!H1126:CI1126))</f>
        <v/>
      </c>
      <c r="G1126" s="47" t="str">
        <f>IF(archive!G1126="","",archive!G1126)</f>
        <v/>
      </c>
      <c r="H1126" s="51" t="str">
        <f>IF(archive!CJ1126="","",archive!CJ1126)</f>
        <v/>
      </c>
      <c r="I1126" s="51" t="str">
        <f>IF(archive!CK1126="","",archive!CK1126)</f>
        <v/>
      </c>
      <c r="J1126" s="47" t="str">
        <f t="shared" si="241"/>
        <v/>
      </c>
      <c r="K1126" s="51" t="str">
        <f t="shared" si="242"/>
        <v/>
      </c>
      <c r="L1126" s="52" t="str">
        <f t="shared" si="243"/>
        <v/>
      </c>
      <c r="M1126" s="53" t="str">
        <f t="shared" si="244"/>
        <v/>
      </c>
      <c r="N1126" s="53" t="str">
        <f t="shared" si="245"/>
        <v/>
      </c>
      <c r="O1126" s="53" t="str">
        <f t="shared" si="246"/>
        <v/>
      </c>
      <c r="P1126" s="53" t="str">
        <f t="shared" si="247"/>
        <v/>
      </c>
      <c r="Q1126" s="53" t="str">
        <f t="shared" si="248"/>
        <v/>
      </c>
      <c r="R1126" s="53" t="str">
        <f t="shared" si="249"/>
        <v/>
      </c>
      <c r="S1126" s="53" t="str">
        <f t="shared" si="250"/>
        <v/>
      </c>
      <c r="T1126" s="53" t="str">
        <f t="shared" si="251"/>
        <v/>
      </c>
    </row>
    <row r="1127" spans="1:20">
      <c r="A1127" s="47" t="str">
        <f>IF(archive!E1127="","",archive!E1127)</f>
        <v/>
      </c>
      <c r="B1127" s="48" t="str">
        <f t="shared" si="238"/>
        <v/>
      </c>
      <c r="C1127" s="49" t="str">
        <f>IF(archive!F1127="","",archive!F1127)</f>
        <v/>
      </c>
      <c r="D1127" s="50" t="str">
        <f t="shared" si="239"/>
        <v/>
      </c>
      <c r="E1127" s="50" t="str">
        <f t="shared" si="240"/>
        <v/>
      </c>
      <c r="F1127" s="47" t="str">
        <f>IF(COUNTA(archive!H1127:CI1127)=0,"",COUNTA(archive!H1127:CI1127))</f>
        <v/>
      </c>
      <c r="G1127" s="47" t="str">
        <f>IF(archive!G1127="","",archive!G1127)</f>
        <v/>
      </c>
      <c r="H1127" s="51" t="str">
        <f>IF(archive!CJ1127="","",archive!CJ1127)</f>
        <v/>
      </c>
      <c r="I1127" s="51" t="str">
        <f>IF(archive!CK1127="","",archive!CK1127)</f>
        <v/>
      </c>
      <c r="J1127" s="47" t="str">
        <f t="shared" si="241"/>
        <v/>
      </c>
      <c r="K1127" s="51" t="str">
        <f t="shared" si="242"/>
        <v/>
      </c>
      <c r="L1127" s="52" t="str">
        <f t="shared" si="243"/>
        <v/>
      </c>
      <c r="M1127" s="53" t="str">
        <f t="shared" si="244"/>
        <v/>
      </c>
      <c r="N1127" s="53" t="str">
        <f t="shared" si="245"/>
        <v/>
      </c>
      <c r="O1127" s="53" t="str">
        <f t="shared" si="246"/>
        <v/>
      </c>
      <c r="P1127" s="53" t="str">
        <f t="shared" si="247"/>
        <v/>
      </c>
      <c r="Q1127" s="53" t="str">
        <f t="shared" si="248"/>
        <v/>
      </c>
      <c r="R1127" s="53" t="str">
        <f t="shared" si="249"/>
        <v/>
      </c>
      <c r="S1127" s="53" t="str">
        <f t="shared" si="250"/>
        <v/>
      </c>
      <c r="T1127" s="53" t="str">
        <f t="shared" si="251"/>
        <v/>
      </c>
    </row>
    <row r="1128" spans="1:20">
      <c r="A1128" s="47" t="str">
        <f>IF(archive!E1128="","",archive!E1128)</f>
        <v/>
      </c>
      <c r="B1128" s="48" t="str">
        <f t="shared" si="238"/>
        <v/>
      </c>
      <c r="C1128" s="49" t="str">
        <f>IF(archive!F1128="","",archive!F1128)</f>
        <v/>
      </c>
      <c r="D1128" s="50" t="str">
        <f t="shared" si="239"/>
        <v/>
      </c>
      <c r="E1128" s="50" t="str">
        <f t="shared" si="240"/>
        <v/>
      </c>
      <c r="F1128" s="47" t="str">
        <f>IF(COUNTA(archive!H1128:CI1128)=0,"",COUNTA(archive!H1128:CI1128))</f>
        <v/>
      </c>
      <c r="G1128" s="47" t="str">
        <f>IF(archive!G1128="","",archive!G1128)</f>
        <v/>
      </c>
      <c r="H1128" s="51" t="str">
        <f>IF(archive!CJ1128="","",archive!CJ1128)</f>
        <v/>
      </c>
      <c r="I1128" s="51" t="str">
        <f>IF(archive!CK1128="","",archive!CK1128)</f>
        <v/>
      </c>
      <c r="J1128" s="47" t="str">
        <f t="shared" si="241"/>
        <v/>
      </c>
      <c r="K1128" s="51" t="str">
        <f t="shared" si="242"/>
        <v/>
      </c>
      <c r="L1128" s="52" t="str">
        <f t="shared" si="243"/>
        <v/>
      </c>
      <c r="M1128" s="53" t="str">
        <f t="shared" si="244"/>
        <v/>
      </c>
      <c r="N1128" s="53" t="str">
        <f t="shared" si="245"/>
        <v/>
      </c>
      <c r="O1128" s="53" t="str">
        <f t="shared" si="246"/>
        <v/>
      </c>
      <c r="P1128" s="53" t="str">
        <f t="shared" si="247"/>
        <v/>
      </c>
      <c r="Q1128" s="53" t="str">
        <f t="shared" si="248"/>
        <v/>
      </c>
      <c r="R1128" s="53" t="str">
        <f t="shared" si="249"/>
        <v/>
      </c>
      <c r="S1128" s="53" t="str">
        <f t="shared" si="250"/>
        <v/>
      </c>
      <c r="T1128" s="53" t="str">
        <f t="shared" si="251"/>
        <v/>
      </c>
    </row>
    <row r="1129" spans="1:20">
      <c r="A1129" s="47" t="str">
        <f>IF(archive!E1129="","",archive!E1129)</f>
        <v/>
      </c>
      <c r="B1129" s="48" t="str">
        <f t="shared" si="238"/>
        <v/>
      </c>
      <c r="C1129" s="49" t="str">
        <f>IF(archive!F1129="","",archive!F1129)</f>
        <v/>
      </c>
      <c r="D1129" s="50" t="str">
        <f t="shared" si="239"/>
        <v/>
      </c>
      <c r="E1129" s="50" t="str">
        <f t="shared" si="240"/>
        <v/>
      </c>
      <c r="F1129" s="47" t="str">
        <f>IF(COUNTA(archive!H1129:CI1129)=0,"",COUNTA(archive!H1129:CI1129))</f>
        <v/>
      </c>
      <c r="G1129" s="47" t="str">
        <f>IF(archive!G1129="","",archive!G1129)</f>
        <v/>
      </c>
      <c r="H1129" s="51" t="str">
        <f>IF(archive!CJ1129="","",archive!CJ1129)</f>
        <v/>
      </c>
      <c r="I1129" s="51" t="str">
        <f>IF(archive!CK1129="","",archive!CK1129)</f>
        <v/>
      </c>
      <c r="J1129" s="47" t="str">
        <f t="shared" si="241"/>
        <v/>
      </c>
      <c r="K1129" s="51" t="str">
        <f t="shared" si="242"/>
        <v/>
      </c>
      <c r="L1129" s="52" t="str">
        <f t="shared" si="243"/>
        <v/>
      </c>
      <c r="M1129" s="53" t="str">
        <f t="shared" si="244"/>
        <v/>
      </c>
      <c r="N1129" s="53" t="str">
        <f t="shared" si="245"/>
        <v/>
      </c>
      <c r="O1129" s="53" t="str">
        <f t="shared" si="246"/>
        <v/>
      </c>
      <c r="P1129" s="53" t="str">
        <f t="shared" si="247"/>
        <v/>
      </c>
      <c r="Q1129" s="53" t="str">
        <f t="shared" si="248"/>
        <v/>
      </c>
      <c r="R1129" s="53" t="str">
        <f t="shared" si="249"/>
        <v/>
      </c>
      <c r="S1129" s="53" t="str">
        <f t="shared" si="250"/>
        <v/>
      </c>
      <c r="T1129" s="53" t="str">
        <f t="shared" si="251"/>
        <v/>
      </c>
    </row>
    <row r="1130" spans="1:20">
      <c r="A1130" s="47" t="str">
        <f>IF(archive!E1130="","",archive!E1130)</f>
        <v/>
      </c>
      <c r="B1130" s="48" t="str">
        <f t="shared" si="238"/>
        <v/>
      </c>
      <c r="C1130" s="49" t="str">
        <f>IF(archive!F1130="","",archive!F1130)</f>
        <v/>
      </c>
      <c r="D1130" s="50" t="str">
        <f t="shared" si="239"/>
        <v/>
      </c>
      <c r="E1130" s="50" t="str">
        <f t="shared" si="240"/>
        <v/>
      </c>
      <c r="F1130" s="47" t="str">
        <f>IF(COUNTA(archive!H1130:CI1130)=0,"",COUNTA(archive!H1130:CI1130))</f>
        <v/>
      </c>
      <c r="G1130" s="47" t="str">
        <f>IF(archive!G1130="","",archive!G1130)</f>
        <v/>
      </c>
      <c r="H1130" s="51" t="str">
        <f>IF(archive!CJ1130="","",archive!CJ1130)</f>
        <v/>
      </c>
      <c r="I1130" s="51" t="str">
        <f>IF(archive!CK1130="","",archive!CK1130)</f>
        <v/>
      </c>
      <c r="J1130" s="47" t="str">
        <f t="shared" si="241"/>
        <v/>
      </c>
      <c r="K1130" s="51" t="str">
        <f t="shared" si="242"/>
        <v/>
      </c>
      <c r="L1130" s="52" t="str">
        <f t="shared" si="243"/>
        <v/>
      </c>
      <c r="M1130" s="53" t="str">
        <f t="shared" si="244"/>
        <v/>
      </c>
      <c r="N1130" s="53" t="str">
        <f t="shared" si="245"/>
        <v/>
      </c>
      <c r="O1130" s="53" t="str">
        <f t="shared" si="246"/>
        <v/>
      </c>
      <c r="P1130" s="53" t="str">
        <f t="shared" si="247"/>
        <v/>
      </c>
      <c r="Q1130" s="53" t="str">
        <f t="shared" si="248"/>
        <v/>
      </c>
      <c r="R1130" s="53" t="str">
        <f t="shared" si="249"/>
        <v/>
      </c>
      <c r="S1130" s="53" t="str">
        <f t="shared" si="250"/>
        <v/>
      </c>
      <c r="T1130" s="53" t="str">
        <f t="shared" si="251"/>
        <v/>
      </c>
    </row>
    <row r="1131" spans="1:20">
      <c r="A1131" s="47" t="str">
        <f>IF(archive!E1131="","",archive!E1131)</f>
        <v/>
      </c>
      <c r="B1131" s="48" t="str">
        <f t="shared" si="238"/>
        <v/>
      </c>
      <c r="C1131" s="49" t="str">
        <f>IF(archive!F1131="","",archive!F1131)</f>
        <v/>
      </c>
      <c r="D1131" s="50" t="str">
        <f t="shared" si="239"/>
        <v/>
      </c>
      <c r="E1131" s="50" t="str">
        <f t="shared" si="240"/>
        <v/>
      </c>
      <c r="F1131" s="47" t="str">
        <f>IF(COUNTA(archive!H1131:CI1131)=0,"",COUNTA(archive!H1131:CI1131))</f>
        <v/>
      </c>
      <c r="G1131" s="47" t="str">
        <f>IF(archive!G1131="","",archive!G1131)</f>
        <v/>
      </c>
      <c r="H1131" s="51" t="str">
        <f>IF(archive!CJ1131="","",archive!CJ1131)</f>
        <v/>
      </c>
      <c r="I1131" s="51" t="str">
        <f>IF(archive!CK1131="","",archive!CK1131)</f>
        <v/>
      </c>
      <c r="J1131" s="47" t="str">
        <f t="shared" si="241"/>
        <v/>
      </c>
      <c r="K1131" s="51" t="str">
        <f t="shared" si="242"/>
        <v/>
      </c>
      <c r="L1131" s="52" t="str">
        <f t="shared" si="243"/>
        <v/>
      </c>
      <c r="M1131" s="53" t="str">
        <f t="shared" si="244"/>
        <v/>
      </c>
      <c r="N1131" s="53" t="str">
        <f t="shared" si="245"/>
        <v/>
      </c>
      <c r="O1131" s="53" t="str">
        <f t="shared" si="246"/>
        <v/>
      </c>
      <c r="P1131" s="53" t="str">
        <f t="shared" si="247"/>
        <v/>
      </c>
      <c r="Q1131" s="53" t="str">
        <f t="shared" si="248"/>
        <v/>
      </c>
      <c r="R1131" s="53" t="str">
        <f t="shared" si="249"/>
        <v/>
      </c>
      <c r="S1131" s="53" t="str">
        <f t="shared" si="250"/>
        <v/>
      </c>
      <c r="T1131" s="53" t="str">
        <f t="shared" si="251"/>
        <v/>
      </c>
    </row>
    <row r="1132" spans="1:20">
      <c r="A1132" s="47" t="str">
        <f>IF(archive!E1132="","",archive!E1132)</f>
        <v/>
      </c>
      <c r="B1132" s="48" t="str">
        <f t="shared" si="238"/>
        <v/>
      </c>
      <c r="C1132" s="49" t="str">
        <f>IF(archive!F1132="","",archive!F1132)</f>
        <v/>
      </c>
      <c r="D1132" s="50" t="str">
        <f t="shared" si="239"/>
        <v/>
      </c>
      <c r="E1132" s="50" t="str">
        <f t="shared" si="240"/>
        <v/>
      </c>
      <c r="F1132" s="47" t="str">
        <f>IF(COUNTA(archive!H1132:CI1132)=0,"",COUNTA(archive!H1132:CI1132))</f>
        <v/>
      </c>
      <c r="G1132" s="47" t="str">
        <f>IF(archive!G1132="","",archive!G1132)</f>
        <v/>
      </c>
      <c r="H1132" s="51" t="str">
        <f>IF(archive!CJ1132="","",archive!CJ1132)</f>
        <v/>
      </c>
      <c r="I1132" s="51" t="str">
        <f>IF(archive!CK1132="","",archive!CK1132)</f>
        <v/>
      </c>
      <c r="J1132" s="47" t="str">
        <f t="shared" si="241"/>
        <v/>
      </c>
      <c r="K1132" s="51" t="str">
        <f t="shared" si="242"/>
        <v/>
      </c>
      <c r="L1132" s="52" t="str">
        <f t="shared" si="243"/>
        <v/>
      </c>
      <c r="M1132" s="53" t="str">
        <f t="shared" si="244"/>
        <v/>
      </c>
      <c r="N1132" s="53" t="str">
        <f t="shared" si="245"/>
        <v/>
      </c>
      <c r="O1132" s="53" t="str">
        <f t="shared" si="246"/>
        <v/>
      </c>
      <c r="P1132" s="53" t="str">
        <f t="shared" si="247"/>
        <v/>
      </c>
      <c r="Q1132" s="53" t="str">
        <f t="shared" si="248"/>
        <v/>
      </c>
      <c r="R1132" s="53" t="str">
        <f t="shared" si="249"/>
        <v/>
      </c>
      <c r="S1132" s="53" t="str">
        <f t="shared" si="250"/>
        <v/>
      </c>
      <c r="T1132" s="53" t="str">
        <f t="shared" si="251"/>
        <v/>
      </c>
    </row>
    <row r="1133" spans="1:20">
      <c r="A1133" s="47" t="str">
        <f>IF(archive!E1133="","",archive!E1133)</f>
        <v/>
      </c>
      <c r="B1133" s="48" t="str">
        <f t="shared" si="238"/>
        <v/>
      </c>
      <c r="C1133" s="49" t="str">
        <f>IF(archive!F1133="","",archive!F1133)</f>
        <v/>
      </c>
      <c r="D1133" s="50" t="str">
        <f t="shared" si="239"/>
        <v/>
      </c>
      <c r="E1133" s="50" t="str">
        <f t="shared" si="240"/>
        <v/>
      </c>
      <c r="F1133" s="47" t="str">
        <f>IF(COUNTA(archive!H1133:CI1133)=0,"",COUNTA(archive!H1133:CI1133))</f>
        <v/>
      </c>
      <c r="G1133" s="47" t="str">
        <f>IF(archive!G1133="","",archive!G1133)</f>
        <v/>
      </c>
      <c r="H1133" s="51" t="str">
        <f>IF(archive!CJ1133="","",archive!CJ1133)</f>
        <v/>
      </c>
      <c r="I1133" s="51" t="str">
        <f>IF(archive!CK1133="","",archive!CK1133)</f>
        <v/>
      </c>
      <c r="J1133" s="47" t="str">
        <f t="shared" si="241"/>
        <v/>
      </c>
      <c r="K1133" s="51" t="str">
        <f t="shared" si="242"/>
        <v/>
      </c>
      <c r="L1133" s="52" t="str">
        <f t="shared" si="243"/>
        <v/>
      </c>
      <c r="M1133" s="53" t="str">
        <f t="shared" si="244"/>
        <v/>
      </c>
      <c r="N1133" s="53" t="str">
        <f t="shared" si="245"/>
        <v/>
      </c>
      <c r="O1133" s="53" t="str">
        <f t="shared" si="246"/>
        <v/>
      </c>
      <c r="P1133" s="53" t="str">
        <f t="shared" si="247"/>
        <v/>
      </c>
      <c r="Q1133" s="53" t="str">
        <f t="shared" si="248"/>
        <v/>
      </c>
      <c r="R1133" s="53" t="str">
        <f t="shared" si="249"/>
        <v/>
      </c>
      <c r="S1133" s="53" t="str">
        <f t="shared" si="250"/>
        <v/>
      </c>
      <c r="T1133" s="53" t="str">
        <f t="shared" si="251"/>
        <v/>
      </c>
    </row>
    <row r="1134" spans="1:20">
      <c r="A1134" s="47" t="str">
        <f>IF(archive!E1134="","",archive!E1134)</f>
        <v/>
      </c>
      <c r="B1134" s="48" t="str">
        <f t="shared" si="238"/>
        <v/>
      </c>
      <c r="C1134" s="49" t="str">
        <f>IF(archive!F1134="","",archive!F1134)</f>
        <v/>
      </c>
      <c r="D1134" s="50" t="str">
        <f t="shared" si="239"/>
        <v/>
      </c>
      <c r="E1134" s="50" t="str">
        <f t="shared" si="240"/>
        <v/>
      </c>
      <c r="F1134" s="47" t="str">
        <f>IF(COUNTA(archive!H1134:CI1134)=0,"",COUNTA(archive!H1134:CI1134))</f>
        <v/>
      </c>
      <c r="G1134" s="47" t="str">
        <f>IF(archive!G1134="","",archive!G1134)</f>
        <v/>
      </c>
      <c r="H1134" s="51" t="str">
        <f>IF(archive!CJ1134="","",archive!CJ1134)</f>
        <v/>
      </c>
      <c r="I1134" s="51" t="str">
        <f>IF(archive!CK1134="","",archive!CK1134)</f>
        <v/>
      </c>
      <c r="J1134" s="47" t="str">
        <f t="shared" si="241"/>
        <v/>
      </c>
      <c r="K1134" s="51" t="str">
        <f t="shared" si="242"/>
        <v/>
      </c>
      <c r="L1134" s="52" t="str">
        <f t="shared" si="243"/>
        <v/>
      </c>
      <c r="M1134" s="53" t="str">
        <f t="shared" si="244"/>
        <v/>
      </c>
      <c r="N1134" s="53" t="str">
        <f t="shared" si="245"/>
        <v/>
      </c>
      <c r="O1134" s="53" t="str">
        <f t="shared" si="246"/>
        <v/>
      </c>
      <c r="P1134" s="53" t="str">
        <f t="shared" si="247"/>
        <v/>
      </c>
      <c r="Q1134" s="53" t="str">
        <f t="shared" si="248"/>
        <v/>
      </c>
      <c r="R1134" s="53" t="str">
        <f t="shared" si="249"/>
        <v/>
      </c>
      <c r="S1134" s="53" t="str">
        <f t="shared" si="250"/>
        <v/>
      </c>
      <c r="T1134" s="53" t="str">
        <f t="shared" si="251"/>
        <v/>
      </c>
    </row>
    <row r="1135" spans="1:20">
      <c r="A1135" s="47" t="str">
        <f>IF(archive!E1135="","",archive!E1135)</f>
        <v/>
      </c>
      <c r="B1135" s="48" t="str">
        <f t="shared" si="238"/>
        <v/>
      </c>
      <c r="C1135" s="49" t="str">
        <f>IF(archive!F1135="","",archive!F1135)</f>
        <v/>
      </c>
      <c r="D1135" s="50" t="str">
        <f t="shared" si="239"/>
        <v/>
      </c>
      <c r="E1135" s="50" t="str">
        <f t="shared" si="240"/>
        <v/>
      </c>
      <c r="F1135" s="47" t="str">
        <f>IF(COUNTA(archive!H1135:CI1135)=0,"",COUNTA(archive!H1135:CI1135))</f>
        <v/>
      </c>
      <c r="G1135" s="47" t="str">
        <f>IF(archive!G1135="","",archive!G1135)</f>
        <v/>
      </c>
      <c r="H1135" s="51" t="str">
        <f>IF(archive!CJ1135="","",archive!CJ1135)</f>
        <v/>
      </c>
      <c r="I1135" s="51" t="str">
        <f>IF(archive!CK1135="","",archive!CK1135)</f>
        <v/>
      </c>
      <c r="J1135" s="47" t="str">
        <f t="shared" si="241"/>
        <v/>
      </c>
      <c r="K1135" s="51" t="str">
        <f t="shared" si="242"/>
        <v/>
      </c>
      <c r="L1135" s="52" t="str">
        <f t="shared" si="243"/>
        <v/>
      </c>
      <c r="M1135" s="53" t="str">
        <f t="shared" si="244"/>
        <v/>
      </c>
      <c r="N1135" s="53" t="str">
        <f t="shared" si="245"/>
        <v/>
      </c>
      <c r="O1135" s="53" t="str">
        <f t="shared" si="246"/>
        <v/>
      </c>
      <c r="P1135" s="53" t="str">
        <f t="shared" si="247"/>
        <v/>
      </c>
      <c r="Q1135" s="53" t="str">
        <f t="shared" si="248"/>
        <v/>
      </c>
      <c r="R1135" s="53" t="str">
        <f t="shared" si="249"/>
        <v/>
      </c>
      <c r="S1135" s="53" t="str">
        <f t="shared" si="250"/>
        <v/>
      </c>
      <c r="T1135" s="53" t="str">
        <f t="shared" si="251"/>
        <v/>
      </c>
    </row>
    <row r="1136" spans="1:20">
      <c r="A1136" s="47" t="str">
        <f>IF(archive!E1136="","",archive!E1136)</f>
        <v/>
      </c>
      <c r="B1136" s="48" t="str">
        <f t="shared" si="238"/>
        <v/>
      </c>
      <c r="C1136" s="49" t="str">
        <f>IF(archive!F1136="","",archive!F1136)</f>
        <v/>
      </c>
      <c r="D1136" s="50" t="str">
        <f t="shared" si="239"/>
        <v/>
      </c>
      <c r="E1136" s="50" t="str">
        <f t="shared" si="240"/>
        <v/>
      </c>
      <c r="F1136" s="47" t="str">
        <f>IF(COUNTA(archive!H1136:CI1136)=0,"",COUNTA(archive!H1136:CI1136))</f>
        <v/>
      </c>
      <c r="G1136" s="47" t="str">
        <f>IF(archive!G1136="","",archive!G1136)</f>
        <v/>
      </c>
      <c r="H1136" s="51" t="str">
        <f>IF(archive!CJ1136="","",archive!CJ1136)</f>
        <v/>
      </c>
      <c r="I1136" s="51" t="str">
        <f>IF(archive!CK1136="","",archive!CK1136)</f>
        <v/>
      </c>
      <c r="J1136" s="47" t="str">
        <f t="shared" si="241"/>
        <v/>
      </c>
      <c r="K1136" s="51" t="str">
        <f t="shared" si="242"/>
        <v/>
      </c>
      <c r="L1136" s="52" t="str">
        <f t="shared" si="243"/>
        <v/>
      </c>
      <c r="M1136" s="53" t="str">
        <f t="shared" si="244"/>
        <v/>
      </c>
      <c r="N1136" s="53" t="str">
        <f t="shared" si="245"/>
        <v/>
      </c>
      <c r="O1136" s="53" t="str">
        <f t="shared" si="246"/>
        <v/>
      </c>
      <c r="P1136" s="53" t="str">
        <f t="shared" si="247"/>
        <v/>
      </c>
      <c r="Q1136" s="53" t="str">
        <f t="shared" si="248"/>
        <v/>
      </c>
      <c r="R1136" s="53" t="str">
        <f t="shared" si="249"/>
        <v/>
      </c>
      <c r="S1136" s="53" t="str">
        <f t="shared" si="250"/>
        <v/>
      </c>
      <c r="T1136" s="53" t="str">
        <f t="shared" si="251"/>
        <v/>
      </c>
    </row>
    <row r="1137" spans="1:20">
      <c r="A1137" s="47" t="str">
        <f>IF(archive!E1137="","",archive!E1137)</f>
        <v/>
      </c>
      <c r="B1137" s="48" t="str">
        <f t="shared" si="238"/>
        <v/>
      </c>
      <c r="C1137" s="49" t="str">
        <f>IF(archive!F1137="","",archive!F1137)</f>
        <v/>
      </c>
      <c r="D1137" s="50" t="str">
        <f t="shared" si="239"/>
        <v/>
      </c>
      <c r="E1137" s="50" t="str">
        <f t="shared" si="240"/>
        <v/>
      </c>
      <c r="F1137" s="47" t="str">
        <f>IF(COUNTA(archive!H1137:CI1137)=0,"",COUNTA(archive!H1137:CI1137))</f>
        <v/>
      </c>
      <c r="G1137" s="47" t="str">
        <f>IF(archive!G1137="","",archive!G1137)</f>
        <v/>
      </c>
      <c r="H1137" s="51" t="str">
        <f>IF(archive!CJ1137="","",archive!CJ1137)</f>
        <v/>
      </c>
      <c r="I1137" s="51" t="str">
        <f>IF(archive!CK1137="","",archive!CK1137)</f>
        <v/>
      </c>
      <c r="J1137" s="47" t="str">
        <f t="shared" si="241"/>
        <v/>
      </c>
      <c r="K1137" s="51" t="str">
        <f t="shared" si="242"/>
        <v/>
      </c>
      <c r="L1137" s="52" t="str">
        <f t="shared" si="243"/>
        <v/>
      </c>
      <c r="M1137" s="53" t="str">
        <f t="shared" si="244"/>
        <v/>
      </c>
      <c r="N1137" s="53" t="str">
        <f t="shared" si="245"/>
        <v/>
      </c>
      <c r="O1137" s="53" t="str">
        <f t="shared" si="246"/>
        <v/>
      </c>
      <c r="P1137" s="53" t="str">
        <f t="shared" si="247"/>
        <v/>
      </c>
      <c r="Q1137" s="53" t="str">
        <f t="shared" si="248"/>
        <v/>
      </c>
      <c r="R1137" s="53" t="str">
        <f t="shared" si="249"/>
        <v/>
      </c>
      <c r="S1137" s="53" t="str">
        <f t="shared" si="250"/>
        <v/>
      </c>
      <c r="T1137" s="53" t="str">
        <f t="shared" si="251"/>
        <v/>
      </c>
    </row>
    <row r="1138" spans="1:20">
      <c r="A1138" s="47" t="str">
        <f>IF(archive!E1138="","",archive!E1138)</f>
        <v/>
      </c>
      <c r="B1138" s="48" t="str">
        <f t="shared" si="238"/>
        <v/>
      </c>
      <c r="C1138" s="49" t="str">
        <f>IF(archive!F1138="","",archive!F1138)</f>
        <v/>
      </c>
      <c r="D1138" s="50" t="str">
        <f t="shared" si="239"/>
        <v/>
      </c>
      <c r="E1138" s="50" t="str">
        <f t="shared" si="240"/>
        <v/>
      </c>
      <c r="F1138" s="47" t="str">
        <f>IF(COUNTA(archive!H1138:CI1138)=0,"",COUNTA(archive!H1138:CI1138))</f>
        <v/>
      </c>
      <c r="G1138" s="47" t="str">
        <f>IF(archive!G1138="","",archive!G1138)</f>
        <v/>
      </c>
      <c r="H1138" s="51" t="str">
        <f>IF(archive!CJ1138="","",archive!CJ1138)</f>
        <v/>
      </c>
      <c r="I1138" s="51" t="str">
        <f>IF(archive!CK1138="","",archive!CK1138)</f>
        <v/>
      </c>
      <c r="J1138" s="47" t="str">
        <f t="shared" si="241"/>
        <v/>
      </c>
      <c r="K1138" s="51" t="str">
        <f t="shared" si="242"/>
        <v/>
      </c>
      <c r="L1138" s="52" t="str">
        <f t="shared" si="243"/>
        <v/>
      </c>
      <c r="M1138" s="53" t="str">
        <f t="shared" si="244"/>
        <v/>
      </c>
      <c r="N1138" s="53" t="str">
        <f t="shared" si="245"/>
        <v/>
      </c>
      <c r="O1138" s="53" t="str">
        <f t="shared" si="246"/>
        <v/>
      </c>
      <c r="P1138" s="53" t="str">
        <f t="shared" si="247"/>
        <v/>
      </c>
      <c r="Q1138" s="53" t="str">
        <f t="shared" si="248"/>
        <v/>
      </c>
      <c r="R1138" s="53" t="str">
        <f t="shared" si="249"/>
        <v/>
      </c>
      <c r="S1138" s="53" t="str">
        <f t="shared" si="250"/>
        <v/>
      </c>
      <c r="T1138" s="53" t="str">
        <f t="shared" si="251"/>
        <v/>
      </c>
    </row>
    <row r="1139" spans="1:20">
      <c r="A1139" s="47" t="str">
        <f>IF(archive!E1139="","",archive!E1139)</f>
        <v/>
      </c>
      <c r="B1139" s="48" t="str">
        <f t="shared" si="238"/>
        <v/>
      </c>
      <c r="C1139" s="49" t="str">
        <f>IF(archive!F1139="","",archive!F1139)</f>
        <v/>
      </c>
      <c r="D1139" s="50" t="str">
        <f t="shared" si="239"/>
        <v/>
      </c>
      <c r="E1139" s="50" t="str">
        <f t="shared" si="240"/>
        <v/>
      </c>
      <c r="F1139" s="47" t="str">
        <f>IF(COUNTA(archive!H1139:CI1139)=0,"",COUNTA(archive!H1139:CI1139))</f>
        <v/>
      </c>
      <c r="G1139" s="47" t="str">
        <f>IF(archive!G1139="","",archive!G1139)</f>
        <v/>
      </c>
      <c r="H1139" s="51" t="str">
        <f>IF(archive!CJ1139="","",archive!CJ1139)</f>
        <v/>
      </c>
      <c r="I1139" s="51" t="str">
        <f>IF(archive!CK1139="","",archive!CK1139)</f>
        <v/>
      </c>
      <c r="J1139" s="47" t="str">
        <f t="shared" si="241"/>
        <v/>
      </c>
      <c r="K1139" s="51" t="str">
        <f t="shared" si="242"/>
        <v/>
      </c>
      <c r="L1139" s="52" t="str">
        <f t="shared" si="243"/>
        <v/>
      </c>
      <c r="M1139" s="53" t="str">
        <f t="shared" si="244"/>
        <v/>
      </c>
      <c r="N1139" s="53" t="str">
        <f t="shared" si="245"/>
        <v/>
      </c>
      <c r="O1139" s="53" t="str">
        <f t="shared" si="246"/>
        <v/>
      </c>
      <c r="P1139" s="53" t="str">
        <f t="shared" si="247"/>
        <v/>
      </c>
      <c r="Q1139" s="53" t="str">
        <f t="shared" si="248"/>
        <v/>
      </c>
      <c r="R1139" s="53" t="str">
        <f t="shared" si="249"/>
        <v/>
      </c>
      <c r="S1139" s="53" t="str">
        <f t="shared" si="250"/>
        <v/>
      </c>
      <c r="T1139" s="53" t="str">
        <f t="shared" si="251"/>
        <v/>
      </c>
    </row>
    <row r="1140" spans="1:20">
      <c r="A1140" s="47" t="str">
        <f>IF(archive!E1140="","",archive!E1140)</f>
        <v/>
      </c>
      <c r="B1140" s="48" t="str">
        <f t="shared" si="238"/>
        <v/>
      </c>
      <c r="C1140" s="49" t="str">
        <f>IF(archive!F1140="","",archive!F1140)</f>
        <v/>
      </c>
      <c r="D1140" s="50" t="str">
        <f t="shared" si="239"/>
        <v/>
      </c>
      <c r="E1140" s="50" t="str">
        <f t="shared" si="240"/>
        <v/>
      </c>
      <c r="F1140" s="47" t="str">
        <f>IF(COUNTA(archive!H1140:CI1140)=0,"",COUNTA(archive!H1140:CI1140))</f>
        <v/>
      </c>
      <c r="G1140" s="47" t="str">
        <f>IF(archive!G1140="","",archive!G1140)</f>
        <v/>
      </c>
      <c r="H1140" s="51" t="str">
        <f>IF(archive!CJ1140="","",archive!CJ1140)</f>
        <v/>
      </c>
      <c r="I1140" s="51" t="str">
        <f>IF(archive!CK1140="","",archive!CK1140)</f>
        <v/>
      </c>
      <c r="J1140" s="47" t="str">
        <f t="shared" si="241"/>
        <v/>
      </c>
      <c r="K1140" s="51" t="str">
        <f t="shared" si="242"/>
        <v/>
      </c>
      <c r="L1140" s="52" t="str">
        <f t="shared" si="243"/>
        <v/>
      </c>
      <c r="M1140" s="53" t="str">
        <f t="shared" si="244"/>
        <v/>
      </c>
      <c r="N1140" s="53" t="str">
        <f t="shared" si="245"/>
        <v/>
      </c>
      <c r="O1140" s="53" t="str">
        <f t="shared" si="246"/>
        <v/>
      </c>
      <c r="P1140" s="53" t="str">
        <f t="shared" si="247"/>
        <v/>
      </c>
      <c r="Q1140" s="53" t="str">
        <f t="shared" si="248"/>
        <v/>
      </c>
      <c r="R1140" s="53" t="str">
        <f t="shared" si="249"/>
        <v/>
      </c>
      <c r="S1140" s="53" t="str">
        <f t="shared" si="250"/>
        <v/>
      </c>
      <c r="T1140" s="53" t="str">
        <f t="shared" si="251"/>
        <v/>
      </c>
    </row>
    <row r="1141" spans="1:20">
      <c r="A1141" s="47" t="str">
        <f>IF(archive!E1141="","",archive!E1141)</f>
        <v/>
      </c>
      <c r="B1141" s="48" t="str">
        <f t="shared" si="238"/>
        <v/>
      </c>
      <c r="C1141" s="49" t="str">
        <f>IF(archive!F1141="","",archive!F1141)</f>
        <v/>
      </c>
      <c r="D1141" s="50" t="str">
        <f t="shared" si="239"/>
        <v/>
      </c>
      <c r="E1141" s="50" t="str">
        <f t="shared" si="240"/>
        <v/>
      </c>
      <c r="F1141" s="47" t="str">
        <f>IF(COUNTA(archive!H1141:CI1141)=0,"",COUNTA(archive!H1141:CI1141))</f>
        <v/>
      </c>
      <c r="G1141" s="47" t="str">
        <f>IF(archive!G1141="","",archive!G1141)</f>
        <v/>
      </c>
      <c r="H1141" s="51" t="str">
        <f>IF(archive!CJ1141="","",archive!CJ1141)</f>
        <v/>
      </c>
      <c r="I1141" s="51" t="str">
        <f>IF(archive!CK1141="","",archive!CK1141)</f>
        <v/>
      </c>
      <c r="J1141" s="47" t="str">
        <f t="shared" si="241"/>
        <v/>
      </c>
      <c r="K1141" s="51" t="str">
        <f t="shared" si="242"/>
        <v/>
      </c>
      <c r="L1141" s="52" t="str">
        <f t="shared" si="243"/>
        <v/>
      </c>
      <c r="M1141" s="53" t="str">
        <f t="shared" si="244"/>
        <v/>
      </c>
      <c r="N1141" s="53" t="str">
        <f t="shared" si="245"/>
        <v/>
      </c>
      <c r="O1141" s="53" t="str">
        <f t="shared" si="246"/>
        <v/>
      </c>
      <c r="P1141" s="53" t="str">
        <f t="shared" si="247"/>
        <v/>
      </c>
      <c r="Q1141" s="53" t="str">
        <f t="shared" si="248"/>
        <v/>
      </c>
      <c r="R1141" s="53" t="str">
        <f t="shared" si="249"/>
        <v/>
      </c>
      <c r="S1141" s="53" t="str">
        <f t="shared" si="250"/>
        <v/>
      </c>
      <c r="T1141" s="53" t="str">
        <f t="shared" si="251"/>
        <v/>
      </c>
    </row>
    <row r="1142" spans="1:20">
      <c r="A1142" s="47" t="str">
        <f>IF(archive!E1142="","",archive!E1142)</f>
        <v/>
      </c>
      <c r="B1142" s="48" t="str">
        <f t="shared" si="238"/>
        <v/>
      </c>
      <c r="C1142" s="49" t="str">
        <f>IF(archive!F1142="","",archive!F1142)</f>
        <v/>
      </c>
      <c r="D1142" s="50" t="str">
        <f t="shared" si="239"/>
        <v/>
      </c>
      <c r="E1142" s="50" t="str">
        <f t="shared" si="240"/>
        <v/>
      </c>
      <c r="F1142" s="47" t="str">
        <f>IF(COUNTA(archive!H1142:CI1142)=0,"",COUNTA(archive!H1142:CI1142))</f>
        <v/>
      </c>
      <c r="G1142" s="47" t="str">
        <f>IF(archive!G1142="","",archive!G1142)</f>
        <v/>
      </c>
      <c r="H1142" s="51" t="str">
        <f>IF(archive!CJ1142="","",archive!CJ1142)</f>
        <v/>
      </c>
      <c r="I1142" s="51" t="str">
        <f>IF(archive!CK1142="","",archive!CK1142)</f>
        <v/>
      </c>
      <c r="J1142" s="47" t="str">
        <f t="shared" si="241"/>
        <v/>
      </c>
      <c r="K1142" s="51" t="str">
        <f t="shared" si="242"/>
        <v/>
      </c>
      <c r="L1142" s="52" t="str">
        <f t="shared" si="243"/>
        <v/>
      </c>
      <c r="M1142" s="53" t="str">
        <f t="shared" si="244"/>
        <v/>
      </c>
      <c r="N1142" s="53" t="str">
        <f t="shared" si="245"/>
        <v/>
      </c>
      <c r="O1142" s="53" t="str">
        <f t="shared" si="246"/>
        <v/>
      </c>
      <c r="P1142" s="53" t="str">
        <f t="shared" si="247"/>
        <v/>
      </c>
      <c r="Q1142" s="53" t="str">
        <f t="shared" si="248"/>
        <v/>
      </c>
      <c r="R1142" s="53" t="str">
        <f t="shared" si="249"/>
        <v/>
      </c>
      <c r="S1142" s="53" t="str">
        <f t="shared" si="250"/>
        <v/>
      </c>
      <c r="T1142" s="53" t="str">
        <f t="shared" si="251"/>
        <v/>
      </c>
    </row>
    <row r="1143" spans="1:20">
      <c r="A1143" s="47" t="str">
        <f>IF(archive!E1143="","",archive!E1143)</f>
        <v/>
      </c>
      <c r="B1143" s="48" t="str">
        <f t="shared" si="238"/>
        <v/>
      </c>
      <c r="C1143" s="49" t="str">
        <f>IF(archive!F1143="","",archive!F1143)</f>
        <v/>
      </c>
      <c r="D1143" s="50" t="str">
        <f t="shared" si="239"/>
        <v/>
      </c>
      <c r="E1143" s="50" t="str">
        <f t="shared" si="240"/>
        <v/>
      </c>
      <c r="F1143" s="47" t="str">
        <f>IF(COUNTA(archive!H1143:CI1143)=0,"",COUNTA(archive!H1143:CI1143))</f>
        <v/>
      </c>
      <c r="G1143" s="47" t="str">
        <f>IF(archive!G1143="","",archive!G1143)</f>
        <v/>
      </c>
      <c r="H1143" s="51" t="str">
        <f>IF(archive!CJ1143="","",archive!CJ1143)</f>
        <v/>
      </c>
      <c r="I1143" s="51" t="str">
        <f>IF(archive!CK1143="","",archive!CK1143)</f>
        <v/>
      </c>
      <c r="J1143" s="47" t="str">
        <f t="shared" si="241"/>
        <v/>
      </c>
      <c r="K1143" s="51" t="str">
        <f t="shared" si="242"/>
        <v/>
      </c>
      <c r="L1143" s="52" t="str">
        <f t="shared" si="243"/>
        <v/>
      </c>
      <c r="M1143" s="53" t="str">
        <f t="shared" si="244"/>
        <v/>
      </c>
      <c r="N1143" s="53" t="str">
        <f t="shared" si="245"/>
        <v/>
      </c>
      <c r="O1143" s="53" t="str">
        <f t="shared" si="246"/>
        <v/>
      </c>
      <c r="P1143" s="53" t="str">
        <f t="shared" si="247"/>
        <v/>
      </c>
      <c r="Q1143" s="53" t="str">
        <f t="shared" si="248"/>
        <v/>
      </c>
      <c r="R1143" s="53" t="str">
        <f t="shared" si="249"/>
        <v/>
      </c>
      <c r="S1143" s="53" t="str">
        <f t="shared" si="250"/>
        <v/>
      </c>
      <c r="T1143" s="53" t="str">
        <f t="shared" si="251"/>
        <v/>
      </c>
    </row>
    <row r="1144" spans="1:20">
      <c r="A1144" s="47" t="str">
        <f>IF(archive!E1144="","",archive!E1144)</f>
        <v/>
      </c>
      <c r="B1144" s="48" t="str">
        <f t="shared" si="238"/>
        <v/>
      </c>
      <c r="C1144" s="49" t="str">
        <f>IF(archive!F1144="","",archive!F1144)</f>
        <v/>
      </c>
      <c r="D1144" s="50" t="str">
        <f t="shared" si="239"/>
        <v/>
      </c>
      <c r="E1144" s="50" t="str">
        <f t="shared" si="240"/>
        <v/>
      </c>
      <c r="F1144" s="47" t="str">
        <f>IF(COUNTA(archive!H1144:CI1144)=0,"",COUNTA(archive!H1144:CI1144))</f>
        <v/>
      </c>
      <c r="G1144" s="47" t="str">
        <f>IF(archive!G1144="","",archive!G1144)</f>
        <v/>
      </c>
      <c r="H1144" s="51" t="str">
        <f>IF(archive!CJ1144="","",archive!CJ1144)</f>
        <v/>
      </c>
      <c r="I1144" s="51" t="str">
        <f>IF(archive!CK1144="","",archive!CK1144)</f>
        <v/>
      </c>
      <c r="J1144" s="47" t="str">
        <f t="shared" si="241"/>
        <v/>
      </c>
      <c r="K1144" s="51" t="str">
        <f t="shared" si="242"/>
        <v/>
      </c>
      <c r="L1144" s="52" t="str">
        <f t="shared" si="243"/>
        <v/>
      </c>
      <c r="M1144" s="53" t="str">
        <f t="shared" si="244"/>
        <v/>
      </c>
      <c r="N1144" s="53" t="str">
        <f t="shared" si="245"/>
        <v/>
      </c>
      <c r="O1144" s="53" t="str">
        <f t="shared" si="246"/>
        <v/>
      </c>
      <c r="P1144" s="53" t="str">
        <f t="shared" si="247"/>
        <v/>
      </c>
      <c r="Q1144" s="53" t="str">
        <f t="shared" si="248"/>
        <v/>
      </c>
      <c r="R1144" s="53" t="str">
        <f t="shared" si="249"/>
        <v/>
      </c>
      <c r="S1144" s="53" t="str">
        <f t="shared" si="250"/>
        <v/>
      </c>
      <c r="T1144" s="53" t="str">
        <f t="shared" si="251"/>
        <v/>
      </c>
    </row>
    <row r="1145" spans="1:20">
      <c r="A1145" s="47" t="str">
        <f>IF(archive!E1145="","",archive!E1145)</f>
        <v/>
      </c>
      <c r="B1145" s="48" t="str">
        <f t="shared" si="238"/>
        <v/>
      </c>
      <c r="C1145" s="49" t="str">
        <f>IF(archive!F1145="","",archive!F1145)</f>
        <v/>
      </c>
      <c r="D1145" s="50" t="str">
        <f t="shared" si="239"/>
        <v/>
      </c>
      <c r="E1145" s="50" t="str">
        <f t="shared" si="240"/>
        <v/>
      </c>
      <c r="F1145" s="47" t="str">
        <f>IF(COUNTA(archive!H1145:CI1145)=0,"",COUNTA(archive!H1145:CI1145))</f>
        <v/>
      </c>
      <c r="G1145" s="47" t="str">
        <f>IF(archive!G1145="","",archive!G1145)</f>
        <v/>
      </c>
      <c r="H1145" s="51" t="str">
        <f>IF(archive!CJ1145="","",archive!CJ1145)</f>
        <v/>
      </c>
      <c r="I1145" s="51" t="str">
        <f>IF(archive!CK1145="","",archive!CK1145)</f>
        <v/>
      </c>
      <c r="J1145" s="47" t="str">
        <f t="shared" si="241"/>
        <v/>
      </c>
      <c r="K1145" s="51" t="str">
        <f t="shared" si="242"/>
        <v/>
      </c>
      <c r="L1145" s="52" t="str">
        <f t="shared" si="243"/>
        <v/>
      </c>
      <c r="M1145" s="53" t="str">
        <f t="shared" si="244"/>
        <v/>
      </c>
      <c r="N1145" s="53" t="str">
        <f t="shared" si="245"/>
        <v/>
      </c>
      <c r="O1145" s="53" t="str">
        <f t="shared" si="246"/>
        <v/>
      </c>
      <c r="P1145" s="53" t="str">
        <f t="shared" si="247"/>
        <v/>
      </c>
      <c r="Q1145" s="53" t="str">
        <f t="shared" si="248"/>
        <v/>
      </c>
      <c r="R1145" s="53" t="str">
        <f t="shared" si="249"/>
        <v/>
      </c>
      <c r="S1145" s="53" t="str">
        <f t="shared" si="250"/>
        <v/>
      </c>
      <c r="T1145" s="53" t="str">
        <f t="shared" si="251"/>
        <v/>
      </c>
    </row>
    <row r="1146" spans="1:20">
      <c r="A1146" s="47" t="str">
        <f>IF(archive!E1146="","",archive!E1146)</f>
        <v/>
      </c>
      <c r="B1146" s="48" t="str">
        <f t="shared" si="238"/>
        <v/>
      </c>
      <c r="C1146" s="49" t="str">
        <f>IF(archive!F1146="","",archive!F1146)</f>
        <v/>
      </c>
      <c r="D1146" s="50" t="str">
        <f t="shared" si="239"/>
        <v/>
      </c>
      <c r="E1146" s="50" t="str">
        <f t="shared" si="240"/>
        <v/>
      </c>
      <c r="F1146" s="47" t="str">
        <f>IF(COUNTA(archive!H1146:CI1146)=0,"",COUNTA(archive!H1146:CI1146))</f>
        <v/>
      </c>
      <c r="G1146" s="47" t="str">
        <f>IF(archive!G1146="","",archive!G1146)</f>
        <v/>
      </c>
      <c r="H1146" s="51" t="str">
        <f>IF(archive!CJ1146="","",archive!CJ1146)</f>
        <v/>
      </c>
      <c r="I1146" s="51" t="str">
        <f>IF(archive!CK1146="","",archive!CK1146)</f>
        <v/>
      </c>
      <c r="J1146" s="47" t="str">
        <f t="shared" si="241"/>
        <v/>
      </c>
      <c r="K1146" s="51" t="str">
        <f t="shared" si="242"/>
        <v/>
      </c>
      <c r="L1146" s="52" t="str">
        <f t="shared" si="243"/>
        <v/>
      </c>
      <c r="M1146" s="53" t="str">
        <f t="shared" si="244"/>
        <v/>
      </c>
      <c r="N1146" s="53" t="str">
        <f t="shared" si="245"/>
        <v/>
      </c>
      <c r="O1146" s="53" t="str">
        <f t="shared" si="246"/>
        <v/>
      </c>
      <c r="P1146" s="53" t="str">
        <f t="shared" si="247"/>
        <v/>
      </c>
      <c r="Q1146" s="53" t="str">
        <f t="shared" si="248"/>
        <v/>
      </c>
      <c r="R1146" s="53" t="str">
        <f t="shared" si="249"/>
        <v/>
      </c>
      <c r="S1146" s="53" t="str">
        <f t="shared" si="250"/>
        <v/>
      </c>
      <c r="T1146" s="53" t="str">
        <f t="shared" si="251"/>
        <v/>
      </c>
    </row>
    <row r="1147" spans="1:20">
      <c r="A1147" s="47" t="str">
        <f>IF(archive!E1147="","",archive!E1147)</f>
        <v/>
      </c>
      <c r="B1147" s="48" t="str">
        <f t="shared" si="238"/>
        <v/>
      </c>
      <c r="C1147" s="49" t="str">
        <f>IF(archive!F1147="","",archive!F1147)</f>
        <v/>
      </c>
      <c r="D1147" s="50" t="str">
        <f t="shared" si="239"/>
        <v/>
      </c>
      <c r="E1147" s="50" t="str">
        <f t="shared" si="240"/>
        <v/>
      </c>
      <c r="F1147" s="47" t="str">
        <f>IF(COUNTA(archive!H1147:CI1147)=0,"",COUNTA(archive!H1147:CI1147))</f>
        <v/>
      </c>
      <c r="G1147" s="47" t="str">
        <f>IF(archive!G1147="","",archive!G1147)</f>
        <v/>
      </c>
      <c r="H1147" s="51" t="str">
        <f>IF(archive!CJ1147="","",archive!CJ1147)</f>
        <v/>
      </c>
      <c r="I1147" s="51" t="str">
        <f>IF(archive!CK1147="","",archive!CK1147)</f>
        <v/>
      </c>
      <c r="J1147" s="47" t="str">
        <f t="shared" si="241"/>
        <v/>
      </c>
      <c r="K1147" s="51" t="str">
        <f t="shared" si="242"/>
        <v/>
      </c>
      <c r="L1147" s="52" t="str">
        <f t="shared" si="243"/>
        <v/>
      </c>
      <c r="M1147" s="53" t="str">
        <f t="shared" si="244"/>
        <v/>
      </c>
      <c r="N1147" s="53" t="str">
        <f t="shared" si="245"/>
        <v/>
      </c>
      <c r="O1147" s="53" t="str">
        <f t="shared" si="246"/>
        <v/>
      </c>
      <c r="P1147" s="53" t="str">
        <f t="shared" si="247"/>
        <v/>
      </c>
      <c r="Q1147" s="53" t="str">
        <f t="shared" si="248"/>
        <v/>
      </c>
      <c r="R1147" s="53" t="str">
        <f t="shared" si="249"/>
        <v/>
      </c>
      <c r="S1147" s="53" t="str">
        <f t="shared" si="250"/>
        <v/>
      </c>
      <c r="T1147" s="53" t="str">
        <f t="shared" si="251"/>
        <v/>
      </c>
    </row>
    <row r="1148" spans="1:20">
      <c r="A1148" s="47" t="str">
        <f>IF(archive!E1148="","",archive!E1148)</f>
        <v/>
      </c>
      <c r="B1148" s="48" t="str">
        <f t="shared" si="238"/>
        <v/>
      </c>
      <c r="C1148" s="49" t="str">
        <f>IF(archive!F1148="","",archive!F1148)</f>
        <v/>
      </c>
      <c r="D1148" s="50" t="str">
        <f t="shared" si="239"/>
        <v/>
      </c>
      <c r="E1148" s="50" t="str">
        <f t="shared" si="240"/>
        <v/>
      </c>
      <c r="F1148" s="47" t="str">
        <f>IF(COUNTA(archive!H1148:CI1148)=0,"",COUNTA(archive!H1148:CI1148))</f>
        <v/>
      </c>
      <c r="G1148" s="47" t="str">
        <f>IF(archive!G1148="","",archive!G1148)</f>
        <v/>
      </c>
      <c r="H1148" s="51" t="str">
        <f>IF(archive!CJ1148="","",archive!CJ1148)</f>
        <v/>
      </c>
      <c r="I1148" s="51" t="str">
        <f>IF(archive!CK1148="","",archive!CK1148)</f>
        <v/>
      </c>
      <c r="J1148" s="47" t="str">
        <f t="shared" si="241"/>
        <v/>
      </c>
      <c r="K1148" s="51" t="str">
        <f t="shared" si="242"/>
        <v/>
      </c>
      <c r="L1148" s="52" t="str">
        <f t="shared" si="243"/>
        <v/>
      </c>
      <c r="M1148" s="53" t="str">
        <f t="shared" si="244"/>
        <v/>
      </c>
      <c r="N1148" s="53" t="str">
        <f t="shared" si="245"/>
        <v/>
      </c>
      <c r="O1148" s="53" t="str">
        <f t="shared" si="246"/>
        <v/>
      </c>
      <c r="P1148" s="53" t="str">
        <f t="shared" si="247"/>
        <v/>
      </c>
      <c r="Q1148" s="53" t="str">
        <f t="shared" si="248"/>
        <v/>
      </c>
      <c r="R1148" s="53" t="str">
        <f t="shared" si="249"/>
        <v/>
      </c>
      <c r="S1148" s="53" t="str">
        <f t="shared" si="250"/>
        <v/>
      </c>
      <c r="T1148" s="53" t="str">
        <f t="shared" si="251"/>
        <v/>
      </c>
    </row>
    <row r="1149" spans="1:20">
      <c r="A1149" s="47" t="str">
        <f>IF(archive!E1149="","",archive!E1149)</f>
        <v/>
      </c>
      <c r="B1149" s="48" t="str">
        <f t="shared" si="238"/>
        <v/>
      </c>
      <c r="C1149" s="49" t="str">
        <f>IF(archive!F1149="","",archive!F1149)</f>
        <v/>
      </c>
      <c r="D1149" s="50" t="str">
        <f t="shared" si="239"/>
        <v/>
      </c>
      <c r="E1149" s="50" t="str">
        <f t="shared" si="240"/>
        <v/>
      </c>
      <c r="F1149" s="47" t="str">
        <f>IF(COUNTA(archive!H1149:CI1149)=0,"",COUNTA(archive!H1149:CI1149))</f>
        <v/>
      </c>
      <c r="G1149" s="47" t="str">
        <f>IF(archive!G1149="","",archive!G1149)</f>
        <v/>
      </c>
      <c r="H1149" s="51" t="str">
        <f>IF(archive!CJ1149="","",archive!CJ1149)</f>
        <v/>
      </c>
      <c r="I1149" s="51" t="str">
        <f>IF(archive!CK1149="","",archive!CK1149)</f>
        <v/>
      </c>
      <c r="J1149" s="47" t="str">
        <f t="shared" si="241"/>
        <v/>
      </c>
      <c r="K1149" s="51" t="str">
        <f t="shared" si="242"/>
        <v/>
      </c>
      <c r="L1149" s="52" t="str">
        <f t="shared" si="243"/>
        <v/>
      </c>
      <c r="M1149" s="53" t="str">
        <f t="shared" si="244"/>
        <v/>
      </c>
      <c r="N1149" s="53" t="str">
        <f t="shared" si="245"/>
        <v/>
      </c>
      <c r="O1149" s="53" t="str">
        <f t="shared" si="246"/>
        <v/>
      </c>
      <c r="P1149" s="53" t="str">
        <f t="shared" si="247"/>
        <v/>
      </c>
      <c r="Q1149" s="53" t="str">
        <f t="shared" si="248"/>
        <v/>
      </c>
      <c r="R1149" s="53" t="str">
        <f t="shared" si="249"/>
        <v/>
      </c>
      <c r="S1149" s="53" t="str">
        <f t="shared" si="250"/>
        <v/>
      </c>
      <c r="T1149" s="53" t="str">
        <f t="shared" si="251"/>
        <v/>
      </c>
    </row>
    <row r="1150" spans="1:20">
      <c r="A1150" s="47" t="str">
        <f>IF(archive!E1150="","",archive!E1150)</f>
        <v/>
      </c>
      <c r="B1150" s="48" t="str">
        <f t="shared" si="238"/>
        <v/>
      </c>
      <c r="C1150" s="49" t="str">
        <f>IF(archive!F1150="","",archive!F1150)</f>
        <v/>
      </c>
      <c r="D1150" s="50" t="str">
        <f t="shared" si="239"/>
        <v/>
      </c>
      <c r="E1150" s="50" t="str">
        <f t="shared" si="240"/>
        <v/>
      </c>
      <c r="F1150" s="47" t="str">
        <f>IF(COUNTA(archive!H1150:CI1150)=0,"",COUNTA(archive!H1150:CI1150))</f>
        <v/>
      </c>
      <c r="G1150" s="47" t="str">
        <f>IF(archive!G1150="","",archive!G1150)</f>
        <v/>
      </c>
      <c r="H1150" s="51" t="str">
        <f>IF(archive!CJ1150="","",archive!CJ1150)</f>
        <v/>
      </c>
      <c r="I1150" s="51" t="str">
        <f>IF(archive!CK1150="","",archive!CK1150)</f>
        <v/>
      </c>
      <c r="J1150" s="47" t="str">
        <f t="shared" si="241"/>
        <v/>
      </c>
      <c r="K1150" s="51" t="str">
        <f t="shared" si="242"/>
        <v/>
      </c>
      <c r="L1150" s="52" t="str">
        <f t="shared" si="243"/>
        <v/>
      </c>
      <c r="M1150" s="53" t="str">
        <f t="shared" si="244"/>
        <v/>
      </c>
      <c r="N1150" s="53" t="str">
        <f t="shared" si="245"/>
        <v/>
      </c>
      <c r="O1150" s="53" t="str">
        <f t="shared" si="246"/>
        <v/>
      </c>
      <c r="P1150" s="53" t="str">
        <f t="shared" si="247"/>
        <v/>
      </c>
      <c r="Q1150" s="53" t="str">
        <f t="shared" si="248"/>
        <v/>
      </c>
      <c r="R1150" s="53" t="str">
        <f t="shared" si="249"/>
        <v/>
      </c>
      <c r="S1150" s="53" t="str">
        <f t="shared" si="250"/>
        <v/>
      </c>
      <c r="T1150" s="53" t="str">
        <f t="shared" si="251"/>
        <v/>
      </c>
    </row>
    <row r="1151" spans="1:20">
      <c r="A1151" s="47" t="str">
        <f>IF(archive!E1151="","",archive!E1151)</f>
        <v/>
      </c>
      <c r="B1151" s="48" t="str">
        <f t="shared" si="238"/>
        <v/>
      </c>
      <c r="C1151" s="49" t="str">
        <f>IF(archive!F1151="","",archive!F1151)</f>
        <v/>
      </c>
      <c r="D1151" s="50" t="str">
        <f t="shared" si="239"/>
        <v/>
      </c>
      <c r="E1151" s="50" t="str">
        <f t="shared" si="240"/>
        <v/>
      </c>
      <c r="F1151" s="47" t="str">
        <f>IF(COUNTA(archive!H1151:CI1151)=0,"",COUNTA(archive!H1151:CI1151))</f>
        <v/>
      </c>
      <c r="G1151" s="47" t="str">
        <f>IF(archive!G1151="","",archive!G1151)</f>
        <v/>
      </c>
      <c r="H1151" s="51" t="str">
        <f>IF(archive!CJ1151="","",archive!CJ1151)</f>
        <v/>
      </c>
      <c r="I1151" s="51" t="str">
        <f>IF(archive!CK1151="","",archive!CK1151)</f>
        <v/>
      </c>
      <c r="J1151" s="47" t="str">
        <f t="shared" si="241"/>
        <v/>
      </c>
      <c r="K1151" s="51" t="str">
        <f t="shared" si="242"/>
        <v/>
      </c>
      <c r="L1151" s="52" t="str">
        <f t="shared" si="243"/>
        <v/>
      </c>
      <c r="M1151" s="53" t="str">
        <f t="shared" si="244"/>
        <v/>
      </c>
      <c r="N1151" s="53" t="str">
        <f t="shared" si="245"/>
        <v/>
      </c>
      <c r="O1151" s="53" t="str">
        <f t="shared" si="246"/>
        <v/>
      </c>
      <c r="P1151" s="53" t="str">
        <f t="shared" si="247"/>
        <v/>
      </c>
      <c r="Q1151" s="53" t="str">
        <f t="shared" si="248"/>
        <v/>
      </c>
      <c r="R1151" s="53" t="str">
        <f t="shared" si="249"/>
        <v/>
      </c>
      <c r="S1151" s="53" t="str">
        <f t="shared" si="250"/>
        <v/>
      </c>
      <c r="T1151" s="53" t="str">
        <f t="shared" si="251"/>
        <v/>
      </c>
    </row>
    <row r="1152" spans="1:20">
      <c r="A1152" s="47" t="str">
        <f>IF(archive!E1152="","",archive!E1152)</f>
        <v/>
      </c>
      <c r="B1152" s="48" t="str">
        <f t="shared" si="238"/>
        <v/>
      </c>
      <c r="C1152" s="49" t="str">
        <f>IF(archive!F1152="","",archive!F1152)</f>
        <v/>
      </c>
      <c r="D1152" s="50" t="str">
        <f t="shared" si="239"/>
        <v/>
      </c>
      <c r="E1152" s="50" t="str">
        <f t="shared" si="240"/>
        <v/>
      </c>
      <c r="F1152" s="47" t="str">
        <f>IF(COUNTA(archive!H1152:CI1152)=0,"",COUNTA(archive!H1152:CI1152))</f>
        <v/>
      </c>
      <c r="G1152" s="47" t="str">
        <f>IF(archive!G1152="","",archive!G1152)</f>
        <v/>
      </c>
      <c r="H1152" s="51" t="str">
        <f>IF(archive!CJ1152="","",archive!CJ1152)</f>
        <v/>
      </c>
      <c r="I1152" s="51" t="str">
        <f>IF(archive!CK1152="","",archive!CK1152)</f>
        <v/>
      </c>
      <c r="J1152" s="47" t="str">
        <f t="shared" si="241"/>
        <v/>
      </c>
      <c r="K1152" s="51" t="str">
        <f t="shared" si="242"/>
        <v/>
      </c>
      <c r="L1152" s="52" t="str">
        <f t="shared" si="243"/>
        <v/>
      </c>
      <c r="M1152" s="53" t="str">
        <f t="shared" si="244"/>
        <v/>
      </c>
      <c r="N1152" s="53" t="str">
        <f t="shared" si="245"/>
        <v/>
      </c>
      <c r="O1152" s="53" t="str">
        <f t="shared" si="246"/>
        <v/>
      </c>
      <c r="P1152" s="53" t="str">
        <f t="shared" si="247"/>
        <v/>
      </c>
      <c r="Q1152" s="53" t="str">
        <f t="shared" si="248"/>
        <v/>
      </c>
      <c r="R1152" s="53" t="str">
        <f t="shared" si="249"/>
        <v/>
      </c>
      <c r="S1152" s="53" t="str">
        <f t="shared" si="250"/>
        <v/>
      </c>
      <c r="T1152" s="53" t="str">
        <f t="shared" si="251"/>
        <v/>
      </c>
    </row>
    <row r="1153" spans="1:20">
      <c r="A1153" s="47" t="str">
        <f>IF(archive!E1153="","",archive!E1153)</f>
        <v/>
      </c>
      <c r="B1153" s="48" t="str">
        <f t="shared" si="238"/>
        <v/>
      </c>
      <c r="C1153" s="49" t="str">
        <f>IF(archive!F1153="","",archive!F1153)</f>
        <v/>
      </c>
      <c r="D1153" s="50" t="str">
        <f t="shared" si="239"/>
        <v/>
      </c>
      <c r="E1153" s="50" t="str">
        <f t="shared" si="240"/>
        <v/>
      </c>
      <c r="F1153" s="47" t="str">
        <f>IF(COUNTA(archive!H1153:CI1153)=0,"",COUNTA(archive!H1153:CI1153))</f>
        <v/>
      </c>
      <c r="G1153" s="47" t="str">
        <f>IF(archive!G1153="","",archive!G1153)</f>
        <v/>
      </c>
      <c r="H1153" s="51" t="str">
        <f>IF(archive!CJ1153="","",archive!CJ1153)</f>
        <v/>
      </c>
      <c r="I1153" s="51" t="str">
        <f>IF(archive!CK1153="","",archive!CK1153)</f>
        <v/>
      </c>
      <c r="J1153" s="47" t="str">
        <f t="shared" si="241"/>
        <v/>
      </c>
      <c r="K1153" s="51" t="str">
        <f t="shared" si="242"/>
        <v/>
      </c>
      <c r="L1153" s="52" t="str">
        <f t="shared" si="243"/>
        <v/>
      </c>
      <c r="M1153" s="53" t="str">
        <f t="shared" si="244"/>
        <v/>
      </c>
      <c r="N1153" s="53" t="str">
        <f t="shared" si="245"/>
        <v/>
      </c>
      <c r="O1153" s="53" t="str">
        <f t="shared" si="246"/>
        <v/>
      </c>
      <c r="P1153" s="53" t="str">
        <f t="shared" si="247"/>
        <v/>
      </c>
      <c r="Q1153" s="53" t="str">
        <f t="shared" si="248"/>
        <v/>
      </c>
      <c r="R1153" s="53" t="str">
        <f t="shared" si="249"/>
        <v/>
      </c>
      <c r="S1153" s="53" t="str">
        <f t="shared" si="250"/>
        <v/>
      </c>
      <c r="T1153" s="53" t="str">
        <f t="shared" si="251"/>
        <v/>
      </c>
    </row>
    <row r="1154" spans="1:20">
      <c r="A1154" s="47" t="str">
        <f>IF(archive!E1154="","",archive!E1154)</f>
        <v/>
      </c>
      <c r="B1154" s="48" t="str">
        <f t="shared" si="238"/>
        <v/>
      </c>
      <c r="C1154" s="49" t="str">
        <f>IF(archive!F1154="","",archive!F1154)</f>
        <v/>
      </c>
      <c r="D1154" s="50" t="str">
        <f t="shared" si="239"/>
        <v/>
      </c>
      <c r="E1154" s="50" t="str">
        <f t="shared" si="240"/>
        <v/>
      </c>
      <c r="F1154" s="47" t="str">
        <f>IF(COUNTA(archive!H1154:CI1154)=0,"",COUNTA(archive!H1154:CI1154))</f>
        <v/>
      </c>
      <c r="G1154" s="47" t="str">
        <f>IF(archive!G1154="","",archive!G1154)</f>
        <v/>
      </c>
      <c r="H1154" s="51" t="str">
        <f>IF(archive!CJ1154="","",archive!CJ1154)</f>
        <v/>
      </c>
      <c r="I1154" s="51" t="str">
        <f>IF(archive!CK1154="","",archive!CK1154)</f>
        <v/>
      </c>
      <c r="J1154" s="47" t="str">
        <f t="shared" si="241"/>
        <v/>
      </c>
      <c r="K1154" s="51" t="str">
        <f t="shared" si="242"/>
        <v/>
      </c>
      <c r="L1154" s="52" t="str">
        <f t="shared" si="243"/>
        <v/>
      </c>
      <c r="M1154" s="53" t="str">
        <f t="shared" si="244"/>
        <v/>
      </c>
      <c r="N1154" s="53" t="str">
        <f t="shared" si="245"/>
        <v/>
      </c>
      <c r="O1154" s="53" t="str">
        <f t="shared" si="246"/>
        <v/>
      </c>
      <c r="P1154" s="53" t="str">
        <f t="shared" si="247"/>
        <v/>
      </c>
      <c r="Q1154" s="53" t="str">
        <f t="shared" si="248"/>
        <v/>
      </c>
      <c r="R1154" s="53" t="str">
        <f t="shared" si="249"/>
        <v/>
      </c>
      <c r="S1154" s="53" t="str">
        <f t="shared" si="250"/>
        <v/>
      </c>
      <c r="T1154" s="53" t="str">
        <f t="shared" si="251"/>
        <v/>
      </c>
    </row>
    <row r="1155" spans="1:20">
      <c r="A1155" s="47" t="str">
        <f>IF(archive!E1155="","",archive!E1155)</f>
        <v/>
      </c>
      <c r="B1155" s="48" t="str">
        <f t="shared" si="238"/>
        <v/>
      </c>
      <c r="C1155" s="49" t="str">
        <f>IF(archive!F1155="","",archive!F1155)</f>
        <v/>
      </c>
      <c r="D1155" s="50" t="str">
        <f t="shared" si="239"/>
        <v/>
      </c>
      <c r="E1155" s="50" t="str">
        <f t="shared" si="240"/>
        <v/>
      </c>
      <c r="F1155" s="47" t="str">
        <f>IF(COUNTA(archive!H1155:CI1155)=0,"",COUNTA(archive!H1155:CI1155))</f>
        <v/>
      </c>
      <c r="G1155" s="47" t="str">
        <f>IF(archive!G1155="","",archive!G1155)</f>
        <v/>
      </c>
      <c r="H1155" s="51" t="str">
        <f>IF(archive!CJ1155="","",archive!CJ1155)</f>
        <v/>
      </c>
      <c r="I1155" s="51" t="str">
        <f>IF(archive!CK1155="","",archive!CK1155)</f>
        <v/>
      </c>
      <c r="J1155" s="47" t="str">
        <f t="shared" si="241"/>
        <v/>
      </c>
      <c r="K1155" s="51" t="str">
        <f t="shared" si="242"/>
        <v/>
      </c>
      <c r="L1155" s="52" t="str">
        <f t="shared" si="243"/>
        <v/>
      </c>
      <c r="M1155" s="53" t="str">
        <f t="shared" si="244"/>
        <v/>
      </c>
      <c r="N1155" s="53" t="str">
        <f t="shared" si="245"/>
        <v/>
      </c>
      <c r="O1155" s="53" t="str">
        <f t="shared" si="246"/>
        <v/>
      </c>
      <c r="P1155" s="53" t="str">
        <f t="shared" si="247"/>
        <v/>
      </c>
      <c r="Q1155" s="53" t="str">
        <f t="shared" si="248"/>
        <v/>
      </c>
      <c r="R1155" s="53" t="str">
        <f t="shared" si="249"/>
        <v/>
      </c>
      <c r="S1155" s="53" t="str">
        <f t="shared" si="250"/>
        <v/>
      </c>
      <c r="T1155" s="53" t="str">
        <f t="shared" si="251"/>
        <v/>
      </c>
    </row>
    <row r="1156" spans="1:20">
      <c r="A1156" s="47" t="str">
        <f>IF(archive!E1156="","",archive!E1156)</f>
        <v/>
      </c>
      <c r="B1156" s="48" t="str">
        <f t="shared" ref="B1156:B1219" si="252">IF(C1156="","",VLOOKUP($C1156,Tare,2,0))</f>
        <v/>
      </c>
      <c r="C1156" s="49" t="str">
        <f>IF(archive!F1156="","",archive!F1156)</f>
        <v/>
      </c>
      <c r="D1156" s="50" t="str">
        <f t="shared" ref="D1156:D1219" si="253">IF(C1156="","",C1156+B1156)</f>
        <v/>
      </c>
      <c r="E1156" s="50" t="str">
        <f t="shared" ref="E1156:E1219" si="254">IF(C1156="","",(C1156*0.025)+D1156)</f>
        <v/>
      </c>
      <c r="F1156" s="47" t="str">
        <f>IF(COUNTA(archive!H1156:CI1156)=0,"",COUNTA(archive!H1156:CI1156))</f>
        <v/>
      </c>
      <c r="G1156" s="47" t="str">
        <f>IF(archive!G1156="","",archive!G1156)</f>
        <v/>
      </c>
      <c r="H1156" s="51" t="str">
        <f>IF(archive!CJ1156="","",archive!CJ1156)</f>
        <v/>
      </c>
      <c r="I1156" s="51" t="str">
        <f>IF(archive!CK1156="","",archive!CK1156)</f>
        <v/>
      </c>
      <c r="J1156" s="47" t="str">
        <f t="shared" ref="J1156:J1219" si="255">IF(F1156="","",VLOOKUP(F1156,Valeur_g,2,0))</f>
        <v/>
      </c>
      <c r="K1156" s="51" t="str">
        <f t="shared" ref="K1156:K1219" si="256">IF(C1156="","",D1156+(J1156*I1156))</f>
        <v/>
      </c>
      <c r="L1156" s="52" t="str">
        <f t="shared" ref="L1156:L1219" si="257">IF(C1156="","",IF(K1156&lt;H1156,"Conforme","Non conforme"))</f>
        <v/>
      </c>
      <c r="M1156" s="53" t="str">
        <f t="shared" ref="M1156:M1219" si="258">IF(C1156="","",1)</f>
        <v/>
      </c>
      <c r="N1156" s="53" t="str">
        <f t="shared" ref="N1156:N1219" si="259">IF(L1156="","",COUNTIF(L1156,"Non conforme"))</f>
        <v/>
      </c>
      <c r="O1156" s="53" t="str">
        <f t="shared" ref="O1156:O1219" si="260">IF($C1156="","",IF($C1156=0.25,$G1156,"-"))</f>
        <v/>
      </c>
      <c r="P1156" s="53" t="str">
        <f t="shared" ref="P1156:P1219" si="261">IF($C1156="","",IF($C1156=0.4,$G1156,"-"))</f>
        <v/>
      </c>
      <c r="Q1156" s="53" t="str">
        <f t="shared" ref="Q1156:Q1219" si="262">IF($C1156="","",IF($C1156=0.5,$G1156,"-"))</f>
        <v/>
      </c>
      <c r="R1156" s="53" t="str">
        <f t="shared" ref="R1156:R1219" si="263">IF($C1156="","",IF($C1156=0.6,$G1156,"-"))</f>
        <v/>
      </c>
      <c r="S1156" s="53" t="str">
        <f t="shared" ref="S1156:S1219" si="264">IF($C1156="","",IF($C1156=0.8,$G1156,"-"))</f>
        <v/>
      </c>
      <c r="T1156" s="53" t="str">
        <f t="shared" ref="T1156:T1219" si="265">IF($C1156="","",IF($C1156=1,$G1156,"-"))</f>
        <v/>
      </c>
    </row>
    <row r="1157" spans="1:20">
      <c r="A1157" s="47" t="str">
        <f>IF(archive!E1157="","",archive!E1157)</f>
        <v/>
      </c>
      <c r="B1157" s="48" t="str">
        <f t="shared" si="252"/>
        <v/>
      </c>
      <c r="C1157" s="49" t="str">
        <f>IF(archive!F1157="","",archive!F1157)</f>
        <v/>
      </c>
      <c r="D1157" s="50" t="str">
        <f t="shared" si="253"/>
        <v/>
      </c>
      <c r="E1157" s="50" t="str">
        <f t="shared" si="254"/>
        <v/>
      </c>
      <c r="F1157" s="47" t="str">
        <f>IF(COUNTA(archive!H1157:CI1157)=0,"",COUNTA(archive!H1157:CI1157))</f>
        <v/>
      </c>
      <c r="G1157" s="47" t="str">
        <f>IF(archive!G1157="","",archive!G1157)</f>
        <v/>
      </c>
      <c r="H1157" s="51" t="str">
        <f>IF(archive!CJ1157="","",archive!CJ1157)</f>
        <v/>
      </c>
      <c r="I1157" s="51" t="str">
        <f>IF(archive!CK1157="","",archive!CK1157)</f>
        <v/>
      </c>
      <c r="J1157" s="47" t="str">
        <f t="shared" si="255"/>
        <v/>
      </c>
      <c r="K1157" s="51" t="str">
        <f t="shared" si="256"/>
        <v/>
      </c>
      <c r="L1157" s="52" t="str">
        <f t="shared" si="257"/>
        <v/>
      </c>
      <c r="M1157" s="53" t="str">
        <f t="shared" si="258"/>
        <v/>
      </c>
      <c r="N1157" s="53" t="str">
        <f t="shared" si="259"/>
        <v/>
      </c>
      <c r="O1157" s="53" t="str">
        <f t="shared" si="260"/>
        <v/>
      </c>
      <c r="P1157" s="53" t="str">
        <f t="shared" si="261"/>
        <v/>
      </c>
      <c r="Q1157" s="53" t="str">
        <f t="shared" si="262"/>
        <v/>
      </c>
      <c r="R1157" s="53" t="str">
        <f t="shared" si="263"/>
        <v/>
      </c>
      <c r="S1157" s="53" t="str">
        <f t="shared" si="264"/>
        <v/>
      </c>
      <c r="T1157" s="53" t="str">
        <f t="shared" si="265"/>
        <v/>
      </c>
    </row>
    <row r="1158" spans="1:20">
      <c r="A1158" s="47" t="str">
        <f>IF(archive!E1158="","",archive!E1158)</f>
        <v/>
      </c>
      <c r="B1158" s="48" t="str">
        <f t="shared" si="252"/>
        <v/>
      </c>
      <c r="C1158" s="49" t="str">
        <f>IF(archive!F1158="","",archive!F1158)</f>
        <v/>
      </c>
      <c r="D1158" s="50" t="str">
        <f t="shared" si="253"/>
        <v/>
      </c>
      <c r="E1158" s="50" t="str">
        <f t="shared" si="254"/>
        <v/>
      </c>
      <c r="F1158" s="47" t="str">
        <f>IF(COUNTA(archive!H1158:CI1158)=0,"",COUNTA(archive!H1158:CI1158))</f>
        <v/>
      </c>
      <c r="G1158" s="47" t="str">
        <f>IF(archive!G1158="","",archive!G1158)</f>
        <v/>
      </c>
      <c r="H1158" s="51" t="str">
        <f>IF(archive!CJ1158="","",archive!CJ1158)</f>
        <v/>
      </c>
      <c r="I1158" s="51" t="str">
        <f>IF(archive!CK1158="","",archive!CK1158)</f>
        <v/>
      </c>
      <c r="J1158" s="47" t="str">
        <f t="shared" si="255"/>
        <v/>
      </c>
      <c r="K1158" s="51" t="str">
        <f t="shared" si="256"/>
        <v/>
      </c>
      <c r="L1158" s="52" t="str">
        <f t="shared" si="257"/>
        <v/>
      </c>
      <c r="M1158" s="53" t="str">
        <f t="shared" si="258"/>
        <v/>
      </c>
      <c r="N1158" s="53" t="str">
        <f t="shared" si="259"/>
        <v/>
      </c>
      <c r="O1158" s="53" t="str">
        <f t="shared" si="260"/>
        <v/>
      </c>
      <c r="P1158" s="53" t="str">
        <f t="shared" si="261"/>
        <v/>
      </c>
      <c r="Q1158" s="53" t="str">
        <f t="shared" si="262"/>
        <v/>
      </c>
      <c r="R1158" s="53" t="str">
        <f t="shared" si="263"/>
        <v/>
      </c>
      <c r="S1158" s="53" t="str">
        <f t="shared" si="264"/>
        <v/>
      </c>
      <c r="T1158" s="53" t="str">
        <f t="shared" si="265"/>
        <v/>
      </c>
    </row>
    <row r="1159" spans="1:20">
      <c r="A1159" s="47" t="str">
        <f>IF(archive!E1159="","",archive!E1159)</f>
        <v/>
      </c>
      <c r="B1159" s="48" t="str">
        <f t="shared" si="252"/>
        <v/>
      </c>
      <c r="C1159" s="49" t="str">
        <f>IF(archive!F1159="","",archive!F1159)</f>
        <v/>
      </c>
      <c r="D1159" s="50" t="str">
        <f t="shared" si="253"/>
        <v/>
      </c>
      <c r="E1159" s="50" t="str">
        <f t="shared" si="254"/>
        <v/>
      </c>
      <c r="F1159" s="47" t="str">
        <f>IF(COUNTA(archive!H1159:CI1159)=0,"",COUNTA(archive!H1159:CI1159))</f>
        <v/>
      </c>
      <c r="G1159" s="47" t="str">
        <f>IF(archive!G1159="","",archive!G1159)</f>
        <v/>
      </c>
      <c r="H1159" s="51" t="str">
        <f>IF(archive!CJ1159="","",archive!CJ1159)</f>
        <v/>
      </c>
      <c r="I1159" s="51" t="str">
        <f>IF(archive!CK1159="","",archive!CK1159)</f>
        <v/>
      </c>
      <c r="J1159" s="47" t="str">
        <f t="shared" si="255"/>
        <v/>
      </c>
      <c r="K1159" s="51" t="str">
        <f t="shared" si="256"/>
        <v/>
      </c>
      <c r="L1159" s="52" t="str">
        <f t="shared" si="257"/>
        <v/>
      </c>
      <c r="M1159" s="53" t="str">
        <f t="shared" si="258"/>
        <v/>
      </c>
      <c r="N1159" s="53" t="str">
        <f t="shared" si="259"/>
        <v/>
      </c>
      <c r="O1159" s="53" t="str">
        <f t="shared" si="260"/>
        <v/>
      </c>
      <c r="P1159" s="53" t="str">
        <f t="shared" si="261"/>
        <v/>
      </c>
      <c r="Q1159" s="53" t="str">
        <f t="shared" si="262"/>
        <v/>
      </c>
      <c r="R1159" s="53" t="str">
        <f t="shared" si="263"/>
        <v/>
      </c>
      <c r="S1159" s="53" t="str">
        <f t="shared" si="264"/>
        <v/>
      </c>
      <c r="T1159" s="53" t="str">
        <f t="shared" si="265"/>
        <v/>
      </c>
    </row>
    <row r="1160" spans="1:20">
      <c r="A1160" s="47" t="str">
        <f>IF(archive!E1160="","",archive!E1160)</f>
        <v/>
      </c>
      <c r="B1160" s="48" t="str">
        <f t="shared" si="252"/>
        <v/>
      </c>
      <c r="C1160" s="49" t="str">
        <f>IF(archive!F1160="","",archive!F1160)</f>
        <v/>
      </c>
      <c r="D1160" s="50" t="str">
        <f t="shared" si="253"/>
        <v/>
      </c>
      <c r="E1160" s="50" t="str">
        <f t="shared" si="254"/>
        <v/>
      </c>
      <c r="F1160" s="47" t="str">
        <f>IF(COUNTA(archive!H1160:CI1160)=0,"",COUNTA(archive!H1160:CI1160))</f>
        <v/>
      </c>
      <c r="G1160" s="47" t="str">
        <f>IF(archive!G1160="","",archive!G1160)</f>
        <v/>
      </c>
      <c r="H1160" s="51" t="str">
        <f>IF(archive!CJ1160="","",archive!CJ1160)</f>
        <v/>
      </c>
      <c r="I1160" s="51" t="str">
        <f>IF(archive!CK1160="","",archive!CK1160)</f>
        <v/>
      </c>
      <c r="J1160" s="47" t="str">
        <f t="shared" si="255"/>
        <v/>
      </c>
      <c r="K1160" s="51" t="str">
        <f t="shared" si="256"/>
        <v/>
      </c>
      <c r="L1160" s="52" t="str">
        <f t="shared" si="257"/>
        <v/>
      </c>
      <c r="M1160" s="53" t="str">
        <f t="shared" si="258"/>
        <v/>
      </c>
      <c r="N1160" s="53" t="str">
        <f t="shared" si="259"/>
        <v/>
      </c>
      <c r="O1160" s="53" t="str">
        <f t="shared" si="260"/>
        <v/>
      </c>
      <c r="P1160" s="53" t="str">
        <f t="shared" si="261"/>
        <v/>
      </c>
      <c r="Q1160" s="53" t="str">
        <f t="shared" si="262"/>
        <v/>
      </c>
      <c r="R1160" s="53" t="str">
        <f t="shared" si="263"/>
        <v/>
      </c>
      <c r="S1160" s="53" t="str">
        <f t="shared" si="264"/>
        <v/>
      </c>
      <c r="T1160" s="53" t="str">
        <f t="shared" si="265"/>
        <v/>
      </c>
    </row>
    <row r="1161" spans="1:20">
      <c r="A1161" s="47" t="str">
        <f>IF(archive!E1161="","",archive!E1161)</f>
        <v/>
      </c>
      <c r="B1161" s="48" t="str">
        <f t="shared" si="252"/>
        <v/>
      </c>
      <c r="C1161" s="49" t="str">
        <f>IF(archive!F1161="","",archive!F1161)</f>
        <v/>
      </c>
      <c r="D1161" s="50" t="str">
        <f t="shared" si="253"/>
        <v/>
      </c>
      <c r="E1161" s="50" t="str">
        <f t="shared" si="254"/>
        <v/>
      </c>
      <c r="F1161" s="47" t="str">
        <f>IF(COUNTA(archive!H1161:CI1161)=0,"",COUNTA(archive!H1161:CI1161))</f>
        <v/>
      </c>
      <c r="G1161" s="47" t="str">
        <f>IF(archive!G1161="","",archive!G1161)</f>
        <v/>
      </c>
      <c r="H1161" s="51" t="str">
        <f>IF(archive!CJ1161="","",archive!CJ1161)</f>
        <v/>
      </c>
      <c r="I1161" s="51" t="str">
        <f>IF(archive!CK1161="","",archive!CK1161)</f>
        <v/>
      </c>
      <c r="J1161" s="47" t="str">
        <f t="shared" si="255"/>
        <v/>
      </c>
      <c r="K1161" s="51" t="str">
        <f t="shared" si="256"/>
        <v/>
      </c>
      <c r="L1161" s="52" t="str">
        <f t="shared" si="257"/>
        <v/>
      </c>
      <c r="M1161" s="53" t="str">
        <f t="shared" si="258"/>
        <v/>
      </c>
      <c r="N1161" s="53" t="str">
        <f t="shared" si="259"/>
        <v/>
      </c>
      <c r="O1161" s="53" t="str">
        <f t="shared" si="260"/>
        <v/>
      </c>
      <c r="P1161" s="53" t="str">
        <f t="shared" si="261"/>
        <v/>
      </c>
      <c r="Q1161" s="53" t="str">
        <f t="shared" si="262"/>
        <v/>
      </c>
      <c r="R1161" s="53" t="str">
        <f t="shared" si="263"/>
        <v/>
      </c>
      <c r="S1161" s="53" t="str">
        <f t="shared" si="264"/>
        <v/>
      </c>
      <c r="T1161" s="53" t="str">
        <f t="shared" si="265"/>
        <v/>
      </c>
    </row>
    <row r="1162" spans="1:20">
      <c r="A1162" s="47" t="str">
        <f>IF(archive!E1162="","",archive!E1162)</f>
        <v/>
      </c>
      <c r="B1162" s="48" t="str">
        <f t="shared" si="252"/>
        <v/>
      </c>
      <c r="C1162" s="49" t="str">
        <f>IF(archive!F1162="","",archive!F1162)</f>
        <v/>
      </c>
      <c r="D1162" s="50" t="str">
        <f t="shared" si="253"/>
        <v/>
      </c>
      <c r="E1162" s="50" t="str">
        <f t="shared" si="254"/>
        <v/>
      </c>
      <c r="F1162" s="47" t="str">
        <f>IF(COUNTA(archive!H1162:CI1162)=0,"",COUNTA(archive!H1162:CI1162))</f>
        <v/>
      </c>
      <c r="G1162" s="47" t="str">
        <f>IF(archive!G1162="","",archive!G1162)</f>
        <v/>
      </c>
      <c r="H1162" s="51" t="str">
        <f>IF(archive!CJ1162="","",archive!CJ1162)</f>
        <v/>
      </c>
      <c r="I1162" s="51" t="str">
        <f>IF(archive!CK1162="","",archive!CK1162)</f>
        <v/>
      </c>
      <c r="J1162" s="47" t="str">
        <f t="shared" si="255"/>
        <v/>
      </c>
      <c r="K1162" s="51" t="str">
        <f t="shared" si="256"/>
        <v/>
      </c>
      <c r="L1162" s="52" t="str">
        <f t="shared" si="257"/>
        <v/>
      </c>
      <c r="M1162" s="53" t="str">
        <f t="shared" si="258"/>
        <v/>
      </c>
      <c r="N1162" s="53" t="str">
        <f t="shared" si="259"/>
        <v/>
      </c>
      <c r="O1162" s="53" t="str">
        <f t="shared" si="260"/>
        <v/>
      </c>
      <c r="P1162" s="53" t="str">
        <f t="shared" si="261"/>
        <v/>
      </c>
      <c r="Q1162" s="53" t="str">
        <f t="shared" si="262"/>
        <v/>
      </c>
      <c r="R1162" s="53" t="str">
        <f t="shared" si="263"/>
        <v/>
      </c>
      <c r="S1162" s="53" t="str">
        <f t="shared" si="264"/>
        <v/>
      </c>
      <c r="T1162" s="53" t="str">
        <f t="shared" si="265"/>
        <v/>
      </c>
    </row>
    <row r="1163" spans="1:20">
      <c r="A1163" s="47" t="str">
        <f>IF(archive!E1163="","",archive!E1163)</f>
        <v/>
      </c>
      <c r="B1163" s="48" t="str">
        <f t="shared" si="252"/>
        <v/>
      </c>
      <c r="C1163" s="49" t="str">
        <f>IF(archive!F1163="","",archive!F1163)</f>
        <v/>
      </c>
      <c r="D1163" s="50" t="str">
        <f t="shared" si="253"/>
        <v/>
      </c>
      <c r="E1163" s="50" t="str">
        <f t="shared" si="254"/>
        <v/>
      </c>
      <c r="F1163" s="47" t="str">
        <f>IF(COUNTA(archive!H1163:CI1163)=0,"",COUNTA(archive!H1163:CI1163))</f>
        <v/>
      </c>
      <c r="G1163" s="47" t="str">
        <f>IF(archive!G1163="","",archive!G1163)</f>
        <v/>
      </c>
      <c r="H1163" s="51" t="str">
        <f>IF(archive!CJ1163="","",archive!CJ1163)</f>
        <v/>
      </c>
      <c r="I1163" s="51" t="str">
        <f>IF(archive!CK1163="","",archive!CK1163)</f>
        <v/>
      </c>
      <c r="J1163" s="47" t="str">
        <f t="shared" si="255"/>
        <v/>
      </c>
      <c r="K1163" s="51" t="str">
        <f t="shared" si="256"/>
        <v/>
      </c>
      <c r="L1163" s="52" t="str">
        <f t="shared" si="257"/>
        <v/>
      </c>
      <c r="M1163" s="53" t="str">
        <f t="shared" si="258"/>
        <v/>
      </c>
      <c r="N1163" s="53" t="str">
        <f t="shared" si="259"/>
        <v/>
      </c>
      <c r="O1163" s="53" t="str">
        <f t="shared" si="260"/>
        <v/>
      </c>
      <c r="P1163" s="53" t="str">
        <f t="shared" si="261"/>
        <v/>
      </c>
      <c r="Q1163" s="53" t="str">
        <f t="shared" si="262"/>
        <v/>
      </c>
      <c r="R1163" s="53" t="str">
        <f t="shared" si="263"/>
        <v/>
      </c>
      <c r="S1163" s="53" t="str">
        <f t="shared" si="264"/>
        <v/>
      </c>
      <c r="T1163" s="53" t="str">
        <f t="shared" si="265"/>
        <v/>
      </c>
    </row>
    <row r="1164" spans="1:20">
      <c r="A1164" s="47" t="str">
        <f>IF(archive!E1164="","",archive!E1164)</f>
        <v/>
      </c>
      <c r="B1164" s="48" t="str">
        <f t="shared" si="252"/>
        <v/>
      </c>
      <c r="C1164" s="49" t="str">
        <f>IF(archive!F1164="","",archive!F1164)</f>
        <v/>
      </c>
      <c r="D1164" s="50" t="str">
        <f t="shared" si="253"/>
        <v/>
      </c>
      <c r="E1164" s="50" t="str">
        <f t="shared" si="254"/>
        <v/>
      </c>
      <c r="F1164" s="47" t="str">
        <f>IF(COUNTA(archive!H1164:CI1164)=0,"",COUNTA(archive!H1164:CI1164))</f>
        <v/>
      </c>
      <c r="G1164" s="47" t="str">
        <f>IF(archive!G1164="","",archive!G1164)</f>
        <v/>
      </c>
      <c r="H1164" s="51" t="str">
        <f>IF(archive!CJ1164="","",archive!CJ1164)</f>
        <v/>
      </c>
      <c r="I1164" s="51" t="str">
        <f>IF(archive!CK1164="","",archive!CK1164)</f>
        <v/>
      </c>
      <c r="J1164" s="47" t="str">
        <f t="shared" si="255"/>
        <v/>
      </c>
      <c r="K1164" s="51" t="str">
        <f t="shared" si="256"/>
        <v/>
      </c>
      <c r="L1164" s="52" t="str">
        <f t="shared" si="257"/>
        <v/>
      </c>
      <c r="M1164" s="53" t="str">
        <f t="shared" si="258"/>
        <v/>
      </c>
      <c r="N1164" s="53" t="str">
        <f t="shared" si="259"/>
        <v/>
      </c>
      <c r="O1164" s="53" t="str">
        <f t="shared" si="260"/>
        <v/>
      </c>
      <c r="P1164" s="53" t="str">
        <f t="shared" si="261"/>
        <v/>
      </c>
      <c r="Q1164" s="53" t="str">
        <f t="shared" si="262"/>
        <v/>
      </c>
      <c r="R1164" s="53" t="str">
        <f t="shared" si="263"/>
        <v/>
      </c>
      <c r="S1164" s="53" t="str">
        <f t="shared" si="264"/>
        <v/>
      </c>
      <c r="T1164" s="53" t="str">
        <f t="shared" si="265"/>
        <v/>
      </c>
    </row>
    <row r="1165" spans="1:20">
      <c r="A1165" s="47" t="str">
        <f>IF(archive!E1165="","",archive!E1165)</f>
        <v/>
      </c>
      <c r="B1165" s="48" t="str">
        <f t="shared" si="252"/>
        <v/>
      </c>
      <c r="C1165" s="49" t="str">
        <f>IF(archive!F1165="","",archive!F1165)</f>
        <v/>
      </c>
      <c r="D1165" s="50" t="str">
        <f t="shared" si="253"/>
        <v/>
      </c>
      <c r="E1165" s="50" t="str">
        <f t="shared" si="254"/>
        <v/>
      </c>
      <c r="F1165" s="47" t="str">
        <f>IF(COUNTA(archive!H1165:CI1165)=0,"",COUNTA(archive!H1165:CI1165))</f>
        <v/>
      </c>
      <c r="G1165" s="47" t="str">
        <f>IF(archive!G1165="","",archive!G1165)</f>
        <v/>
      </c>
      <c r="H1165" s="51" t="str">
        <f>IF(archive!CJ1165="","",archive!CJ1165)</f>
        <v/>
      </c>
      <c r="I1165" s="51" t="str">
        <f>IF(archive!CK1165="","",archive!CK1165)</f>
        <v/>
      </c>
      <c r="J1165" s="47" t="str">
        <f t="shared" si="255"/>
        <v/>
      </c>
      <c r="K1165" s="51" t="str">
        <f t="shared" si="256"/>
        <v/>
      </c>
      <c r="L1165" s="52" t="str">
        <f t="shared" si="257"/>
        <v/>
      </c>
      <c r="M1165" s="53" t="str">
        <f t="shared" si="258"/>
        <v/>
      </c>
      <c r="N1165" s="53" t="str">
        <f t="shared" si="259"/>
        <v/>
      </c>
      <c r="O1165" s="53" t="str">
        <f t="shared" si="260"/>
        <v/>
      </c>
      <c r="P1165" s="53" t="str">
        <f t="shared" si="261"/>
        <v/>
      </c>
      <c r="Q1165" s="53" t="str">
        <f t="shared" si="262"/>
        <v/>
      </c>
      <c r="R1165" s="53" t="str">
        <f t="shared" si="263"/>
        <v/>
      </c>
      <c r="S1165" s="53" t="str">
        <f t="shared" si="264"/>
        <v/>
      </c>
      <c r="T1165" s="53" t="str">
        <f t="shared" si="265"/>
        <v/>
      </c>
    </row>
    <row r="1166" spans="1:20">
      <c r="A1166" s="47" t="str">
        <f>IF(archive!E1166="","",archive!E1166)</f>
        <v/>
      </c>
      <c r="B1166" s="48" t="str">
        <f t="shared" si="252"/>
        <v/>
      </c>
      <c r="C1166" s="49" t="str">
        <f>IF(archive!F1166="","",archive!F1166)</f>
        <v/>
      </c>
      <c r="D1166" s="50" t="str">
        <f t="shared" si="253"/>
        <v/>
      </c>
      <c r="E1166" s="50" t="str">
        <f t="shared" si="254"/>
        <v/>
      </c>
      <c r="F1166" s="47" t="str">
        <f>IF(COUNTA(archive!H1166:CI1166)=0,"",COUNTA(archive!H1166:CI1166))</f>
        <v/>
      </c>
      <c r="G1166" s="47" t="str">
        <f>IF(archive!G1166="","",archive!G1166)</f>
        <v/>
      </c>
      <c r="H1166" s="51" t="str">
        <f>IF(archive!CJ1166="","",archive!CJ1166)</f>
        <v/>
      </c>
      <c r="I1166" s="51" t="str">
        <f>IF(archive!CK1166="","",archive!CK1166)</f>
        <v/>
      </c>
      <c r="J1166" s="47" t="str">
        <f t="shared" si="255"/>
        <v/>
      </c>
      <c r="K1166" s="51" t="str">
        <f t="shared" si="256"/>
        <v/>
      </c>
      <c r="L1166" s="52" t="str">
        <f t="shared" si="257"/>
        <v/>
      </c>
      <c r="M1166" s="53" t="str">
        <f t="shared" si="258"/>
        <v/>
      </c>
      <c r="N1166" s="53" t="str">
        <f t="shared" si="259"/>
        <v/>
      </c>
      <c r="O1166" s="53" t="str">
        <f t="shared" si="260"/>
        <v/>
      </c>
      <c r="P1166" s="53" t="str">
        <f t="shared" si="261"/>
        <v/>
      </c>
      <c r="Q1166" s="53" t="str">
        <f t="shared" si="262"/>
        <v/>
      </c>
      <c r="R1166" s="53" t="str">
        <f t="shared" si="263"/>
        <v/>
      </c>
      <c r="S1166" s="53" t="str">
        <f t="shared" si="264"/>
        <v/>
      </c>
      <c r="T1166" s="53" t="str">
        <f t="shared" si="265"/>
        <v/>
      </c>
    </row>
    <row r="1167" spans="1:20">
      <c r="A1167" s="47" t="str">
        <f>IF(archive!E1167="","",archive!E1167)</f>
        <v/>
      </c>
      <c r="B1167" s="48" t="str">
        <f t="shared" si="252"/>
        <v/>
      </c>
      <c r="C1167" s="49" t="str">
        <f>IF(archive!F1167="","",archive!F1167)</f>
        <v/>
      </c>
      <c r="D1167" s="50" t="str">
        <f t="shared" si="253"/>
        <v/>
      </c>
      <c r="E1167" s="50" t="str">
        <f t="shared" si="254"/>
        <v/>
      </c>
      <c r="F1167" s="47" t="str">
        <f>IF(COUNTA(archive!H1167:CI1167)=0,"",COUNTA(archive!H1167:CI1167))</f>
        <v/>
      </c>
      <c r="G1167" s="47" t="str">
        <f>IF(archive!G1167="","",archive!G1167)</f>
        <v/>
      </c>
      <c r="H1167" s="51" t="str">
        <f>IF(archive!CJ1167="","",archive!CJ1167)</f>
        <v/>
      </c>
      <c r="I1167" s="51" t="str">
        <f>IF(archive!CK1167="","",archive!CK1167)</f>
        <v/>
      </c>
      <c r="J1167" s="47" t="str">
        <f t="shared" si="255"/>
        <v/>
      </c>
      <c r="K1167" s="51" t="str">
        <f t="shared" si="256"/>
        <v/>
      </c>
      <c r="L1167" s="52" t="str">
        <f t="shared" si="257"/>
        <v/>
      </c>
      <c r="M1167" s="53" t="str">
        <f t="shared" si="258"/>
        <v/>
      </c>
      <c r="N1167" s="53" t="str">
        <f t="shared" si="259"/>
        <v/>
      </c>
      <c r="O1167" s="53" t="str">
        <f t="shared" si="260"/>
        <v/>
      </c>
      <c r="P1167" s="53" t="str">
        <f t="shared" si="261"/>
        <v/>
      </c>
      <c r="Q1167" s="53" t="str">
        <f t="shared" si="262"/>
        <v/>
      </c>
      <c r="R1167" s="53" t="str">
        <f t="shared" si="263"/>
        <v/>
      </c>
      <c r="S1167" s="53" t="str">
        <f t="shared" si="264"/>
        <v/>
      </c>
      <c r="T1167" s="53" t="str">
        <f t="shared" si="265"/>
        <v/>
      </c>
    </row>
    <row r="1168" spans="1:20">
      <c r="A1168" s="47" t="str">
        <f>IF(archive!E1168="","",archive!E1168)</f>
        <v/>
      </c>
      <c r="B1168" s="48" t="str">
        <f t="shared" si="252"/>
        <v/>
      </c>
      <c r="C1168" s="49" t="str">
        <f>IF(archive!F1168="","",archive!F1168)</f>
        <v/>
      </c>
      <c r="D1168" s="50" t="str">
        <f t="shared" si="253"/>
        <v/>
      </c>
      <c r="E1168" s="50" t="str">
        <f t="shared" si="254"/>
        <v/>
      </c>
      <c r="F1168" s="47" t="str">
        <f>IF(COUNTA(archive!H1168:CI1168)=0,"",COUNTA(archive!H1168:CI1168))</f>
        <v/>
      </c>
      <c r="G1168" s="47" t="str">
        <f>IF(archive!G1168="","",archive!G1168)</f>
        <v/>
      </c>
      <c r="H1168" s="51" t="str">
        <f>IF(archive!CJ1168="","",archive!CJ1168)</f>
        <v/>
      </c>
      <c r="I1168" s="51" t="str">
        <f>IF(archive!CK1168="","",archive!CK1168)</f>
        <v/>
      </c>
      <c r="J1168" s="47" t="str">
        <f t="shared" si="255"/>
        <v/>
      </c>
      <c r="K1168" s="51" t="str">
        <f t="shared" si="256"/>
        <v/>
      </c>
      <c r="L1168" s="52" t="str">
        <f t="shared" si="257"/>
        <v/>
      </c>
      <c r="M1168" s="53" t="str">
        <f t="shared" si="258"/>
        <v/>
      </c>
      <c r="N1168" s="53" t="str">
        <f t="shared" si="259"/>
        <v/>
      </c>
      <c r="O1168" s="53" t="str">
        <f t="shared" si="260"/>
        <v/>
      </c>
      <c r="P1168" s="53" t="str">
        <f t="shared" si="261"/>
        <v/>
      </c>
      <c r="Q1168" s="53" t="str">
        <f t="shared" si="262"/>
        <v/>
      </c>
      <c r="R1168" s="53" t="str">
        <f t="shared" si="263"/>
        <v/>
      </c>
      <c r="S1168" s="53" t="str">
        <f t="shared" si="264"/>
        <v/>
      </c>
      <c r="T1168" s="53" t="str">
        <f t="shared" si="265"/>
        <v/>
      </c>
    </row>
    <row r="1169" spans="1:20">
      <c r="A1169" s="47" t="str">
        <f>IF(archive!E1169="","",archive!E1169)</f>
        <v/>
      </c>
      <c r="B1169" s="48" t="str">
        <f t="shared" si="252"/>
        <v/>
      </c>
      <c r="C1169" s="49" t="str">
        <f>IF(archive!F1169="","",archive!F1169)</f>
        <v/>
      </c>
      <c r="D1169" s="50" t="str">
        <f t="shared" si="253"/>
        <v/>
      </c>
      <c r="E1169" s="50" t="str">
        <f t="shared" si="254"/>
        <v/>
      </c>
      <c r="F1169" s="47" t="str">
        <f>IF(COUNTA(archive!H1169:CI1169)=0,"",COUNTA(archive!H1169:CI1169))</f>
        <v/>
      </c>
      <c r="G1169" s="47" t="str">
        <f>IF(archive!G1169="","",archive!G1169)</f>
        <v/>
      </c>
      <c r="H1169" s="51" t="str">
        <f>IF(archive!CJ1169="","",archive!CJ1169)</f>
        <v/>
      </c>
      <c r="I1169" s="51" t="str">
        <f>IF(archive!CK1169="","",archive!CK1169)</f>
        <v/>
      </c>
      <c r="J1169" s="47" t="str">
        <f t="shared" si="255"/>
        <v/>
      </c>
      <c r="K1169" s="51" t="str">
        <f t="shared" si="256"/>
        <v/>
      </c>
      <c r="L1169" s="52" t="str">
        <f t="shared" si="257"/>
        <v/>
      </c>
      <c r="M1169" s="53" t="str">
        <f t="shared" si="258"/>
        <v/>
      </c>
      <c r="N1169" s="53" t="str">
        <f t="shared" si="259"/>
        <v/>
      </c>
      <c r="O1169" s="53" t="str">
        <f t="shared" si="260"/>
        <v/>
      </c>
      <c r="P1169" s="53" t="str">
        <f t="shared" si="261"/>
        <v/>
      </c>
      <c r="Q1169" s="53" t="str">
        <f t="shared" si="262"/>
        <v/>
      </c>
      <c r="R1169" s="53" t="str">
        <f t="shared" si="263"/>
        <v/>
      </c>
      <c r="S1169" s="53" t="str">
        <f t="shared" si="264"/>
        <v/>
      </c>
      <c r="T1169" s="53" t="str">
        <f t="shared" si="265"/>
        <v/>
      </c>
    </row>
    <row r="1170" spans="1:20">
      <c r="A1170" s="47" t="str">
        <f>IF(archive!E1170="","",archive!E1170)</f>
        <v/>
      </c>
      <c r="B1170" s="48" t="str">
        <f t="shared" si="252"/>
        <v/>
      </c>
      <c r="C1170" s="49" t="str">
        <f>IF(archive!F1170="","",archive!F1170)</f>
        <v/>
      </c>
      <c r="D1170" s="50" t="str">
        <f t="shared" si="253"/>
        <v/>
      </c>
      <c r="E1170" s="50" t="str">
        <f t="shared" si="254"/>
        <v/>
      </c>
      <c r="F1170" s="47" t="str">
        <f>IF(COUNTA(archive!H1170:CI1170)=0,"",COUNTA(archive!H1170:CI1170))</f>
        <v/>
      </c>
      <c r="G1170" s="47" t="str">
        <f>IF(archive!G1170="","",archive!G1170)</f>
        <v/>
      </c>
      <c r="H1170" s="51" t="str">
        <f>IF(archive!CJ1170="","",archive!CJ1170)</f>
        <v/>
      </c>
      <c r="I1170" s="51" t="str">
        <f>IF(archive!CK1170="","",archive!CK1170)</f>
        <v/>
      </c>
      <c r="J1170" s="47" t="str">
        <f t="shared" si="255"/>
        <v/>
      </c>
      <c r="K1170" s="51" t="str">
        <f t="shared" si="256"/>
        <v/>
      </c>
      <c r="L1170" s="52" t="str">
        <f t="shared" si="257"/>
        <v/>
      </c>
      <c r="M1170" s="53" t="str">
        <f t="shared" si="258"/>
        <v/>
      </c>
      <c r="N1170" s="53" t="str">
        <f t="shared" si="259"/>
        <v/>
      </c>
      <c r="O1170" s="53" t="str">
        <f t="shared" si="260"/>
        <v/>
      </c>
      <c r="P1170" s="53" t="str">
        <f t="shared" si="261"/>
        <v/>
      </c>
      <c r="Q1170" s="53" t="str">
        <f t="shared" si="262"/>
        <v/>
      </c>
      <c r="R1170" s="53" t="str">
        <f t="shared" si="263"/>
        <v/>
      </c>
      <c r="S1170" s="53" t="str">
        <f t="shared" si="264"/>
        <v/>
      </c>
      <c r="T1170" s="53" t="str">
        <f t="shared" si="265"/>
        <v/>
      </c>
    </row>
    <row r="1171" spans="1:20">
      <c r="A1171" s="47" t="str">
        <f>IF(archive!E1171="","",archive!E1171)</f>
        <v/>
      </c>
      <c r="B1171" s="48" t="str">
        <f t="shared" si="252"/>
        <v/>
      </c>
      <c r="C1171" s="49" t="str">
        <f>IF(archive!F1171="","",archive!F1171)</f>
        <v/>
      </c>
      <c r="D1171" s="50" t="str">
        <f t="shared" si="253"/>
        <v/>
      </c>
      <c r="E1171" s="50" t="str">
        <f t="shared" si="254"/>
        <v/>
      </c>
      <c r="F1171" s="47" t="str">
        <f>IF(COUNTA(archive!H1171:CI1171)=0,"",COUNTA(archive!H1171:CI1171))</f>
        <v/>
      </c>
      <c r="G1171" s="47" t="str">
        <f>IF(archive!G1171="","",archive!G1171)</f>
        <v/>
      </c>
      <c r="H1171" s="51" t="str">
        <f>IF(archive!CJ1171="","",archive!CJ1171)</f>
        <v/>
      </c>
      <c r="I1171" s="51" t="str">
        <f>IF(archive!CK1171="","",archive!CK1171)</f>
        <v/>
      </c>
      <c r="J1171" s="47" t="str">
        <f t="shared" si="255"/>
        <v/>
      </c>
      <c r="K1171" s="51" t="str">
        <f t="shared" si="256"/>
        <v/>
      </c>
      <c r="L1171" s="52" t="str">
        <f t="shared" si="257"/>
        <v/>
      </c>
      <c r="M1171" s="53" t="str">
        <f t="shared" si="258"/>
        <v/>
      </c>
      <c r="N1171" s="53" t="str">
        <f t="shared" si="259"/>
        <v/>
      </c>
      <c r="O1171" s="53" t="str">
        <f t="shared" si="260"/>
        <v/>
      </c>
      <c r="P1171" s="53" t="str">
        <f t="shared" si="261"/>
        <v/>
      </c>
      <c r="Q1171" s="53" t="str">
        <f t="shared" si="262"/>
        <v/>
      </c>
      <c r="R1171" s="53" t="str">
        <f t="shared" si="263"/>
        <v/>
      </c>
      <c r="S1171" s="53" t="str">
        <f t="shared" si="264"/>
        <v/>
      </c>
      <c r="T1171" s="53" t="str">
        <f t="shared" si="265"/>
        <v/>
      </c>
    </row>
    <row r="1172" spans="1:20">
      <c r="A1172" s="47" t="str">
        <f>IF(archive!E1172="","",archive!E1172)</f>
        <v/>
      </c>
      <c r="B1172" s="48" t="str">
        <f t="shared" si="252"/>
        <v/>
      </c>
      <c r="C1172" s="49" t="str">
        <f>IF(archive!F1172="","",archive!F1172)</f>
        <v/>
      </c>
      <c r="D1172" s="50" t="str">
        <f t="shared" si="253"/>
        <v/>
      </c>
      <c r="E1172" s="50" t="str">
        <f t="shared" si="254"/>
        <v/>
      </c>
      <c r="F1172" s="47" t="str">
        <f>IF(COUNTA(archive!H1172:CI1172)=0,"",COUNTA(archive!H1172:CI1172))</f>
        <v/>
      </c>
      <c r="G1172" s="47" t="str">
        <f>IF(archive!G1172="","",archive!G1172)</f>
        <v/>
      </c>
      <c r="H1172" s="51" t="str">
        <f>IF(archive!CJ1172="","",archive!CJ1172)</f>
        <v/>
      </c>
      <c r="I1172" s="51" t="str">
        <f>IF(archive!CK1172="","",archive!CK1172)</f>
        <v/>
      </c>
      <c r="J1172" s="47" t="str">
        <f t="shared" si="255"/>
        <v/>
      </c>
      <c r="K1172" s="51" t="str">
        <f t="shared" si="256"/>
        <v/>
      </c>
      <c r="L1172" s="52" t="str">
        <f t="shared" si="257"/>
        <v/>
      </c>
      <c r="M1172" s="53" t="str">
        <f t="shared" si="258"/>
        <v/>
      </c>
      <c r="N1172" s="53" t="str">
        <f t="shared" si="259"/>
        <v/>
      </c>
      <c r="O1172" s="53" t="str">
        <f t="shared" si="260"/>
        <v/>
      </c>
      <c r="P1172" s="53" t="str">
        <f t="shared" si="261"/>
        <v/>
      </c>
      <c r="Q1172" s="53" t="str">
        <f t="shared" si="262"/>
        <v/>
      </c>
      <c r="R1172" s="53" t="str">
        <f t="shared" si="263"/>
        <v/>
      </c>
      <c r="S1172" s="53" t="str">
        <f t="shared" si="264"/>
        <v/>
      </c>
      <c r="T1172" s="53" t="str">
        <f t="shared" si="265"/>
        <v/>
      </c>
    </row>
    <row r="1173" spans="1:20">
      <c r="A1173" s="47" t="str">
        <f>IF(archive!E1173="","",archive!E1173)</f>
        <v/>
      </c>
      <c r="B1173" s="48" t="str">
        <f t="shared" si="252"/>
        <v/>
      </c>
      <c r="C1173" s="49" t="str">
        <f>IF(archive!F1173="","",archive!F1173)</f>
        <v/>
      </c>
      <c r="D1173" s="50" t="str">
        <f t="shared" si="253"/>
        <v/>
      </c>
      <c r="E1173" s="50" t="str">
        <f t="shared" si="254"/>
        <v/>
      </c>
      <c r="F1173" s="47" t="str">
        <f>IF(COUNTA(archive!H1173:CI1173)=0,"",COUNTA(archive!H1173:CI1173))</f>
        <v/>
      </c>
      <c r="G1173" s="47" t="str">
        <f>IF(archive!G1173="","",archive!G1173)</f>
        <v/>
      </c>
      <c r="H1173" s="51" t="str">
        <f>IF(archive!CJ1173="","",archive!CJ1173)</f>
        <v/>
      </c>
      <c r="I1173" s="51" t="str">
        <f>IF(archive!CK1173="","",archive!CK1173)</f>
        <v/>
      </c>
      <c r="J1173" s="47" t="str">
        <f t="shared" si="255"/>
        <v/>
      </c>
      <c r="K1173" s="51" t="str">
        <f t="shared" si="256"/>
        <v/>
      </c>
      <c r="L1173" s="52" t="str">
        <f t="shared" si="257"/>
        <v/>
      </c>
      <c r="M1173" s="53" t="str">
        <f t="shared" si="258"/>
        <v/>
      </c>
      <c r="N1173" s="53" t="str">
        <f t="shared" si="259"/>
        <v/>
      </c>
      <c r="O1173" s="53" t="str">
        <f t="shared" si="260"/>
        <v/>
      </c>
      <c r="P1173" s="53" t="str">
        <f t="shared" si="261"/>
        <v/>
      </c>
      <c r="Q1173" s="53" t="str">
        <f t="shared" si="262"/>
        <v/>
      </c>
      <c r="R1173" s="53" t="str">
        <f t="shared" si="263"/>
        <v/>
      </c>
      <c r="S1173" s="53" t="str">
        <f t="shared" si="264"/>
        <v/>
      </c>
      <c r="T1173" s="53" t="str">
        <f t="shared" si="265"/>
        <v/>
      </c>
    </row>
    <row r="1174" spans="1:20">
      <c r="A1174" s="47" t="str">
        <f>IF(archive!E1174="","",archive!E1174)</f>
        <v/>
      </c>
      <c r="B1174" s="48" t="str">
        <f t="shared" si="252"/>
        <v/>
      </c>
      <c r="C1174" s="49" t="str">
        <f>IF(archive!F1174="","",archive!F1174)</f>
        <v/>
      </c>
      <c r="D1174" s="50" t="str">
        <f t="shared" si="253"/>
        <v/>
      </c>
      <c r="E1174" s="50" t="str">
        <f t="shared" si="254"/>
        <v/>
      </c>
      <c r="F1174" s="47" t="str">
        <f>IF(COUNTA(archive!H1174:CI1174)=0,"",COUNTA(archive!H1174:CI1174))</f>
        <v/>
      </c>
      <c r="G1174" s="47" t="str">
        <f>IF(archive!G1174="","",archive!G1174)</f>
        <v/>
      </c>
      <c r="H1174" s="51" t="str">
        <f>IF(archive!CJ1174="","",archive!CJ1174)</f>
        <v/>
      </c>
      <c r="I1174" s="51" t="str">
        <f>IF(archive!CK1174="","",archive!CK1174)</f>
        <v/>
      </c>
      <c r="J1174" s="47" t="str">
        <f t="shared" si="255"/>
        <v/>
      </c>
      <c r="K1174" s="51" t="str">
        <f t="shared" si="256"/>
        <v/>
      </c>
      <c r="L1174" s="52" t="str">
        <f t="shared" si="257"/>
        <v/>
      </c>
      <c r="M1174" s="53" t="str">
        <f t="shared" si="258"/>
        <v/>
      </c>
      <c r="N1174" s="53" t="str">
        <f t="shared" si="259"/>
        <v/>
      </c>
      <c r="O1174" s="53" t="str">
        <f t="shared" si="260"/>
        <v/>
      </c>
      <c r="P1174" s="53" t="str">
        <f t="shared" si="261"/>
        <v/>
      </c>
      <c r="Q1174" s="53" t="str">
        <f t="shared" si="262"/>
        <v/>
      </c>
      <c r="R1174" s="53" t="str">
        <f t="shared" si="263"/>
        <v/>
      </c>
      <c r="S1174" s="53" t="str">
        <f t="shared" si="264"/>
        <v/>
      </c>
      <c r="T1174" s="53" t="str">
        <f t="shared" si="265"/>
        <v/>
      </c>
    </row>
    <row r="1175" spans="1:20">
      <c r="A1175" s="47" t="str">
        <f>IF(archive!E1175="","",archive!E1175)</f>
        <v/>
      </c>
      <c r="B1175" s="48" t="str">
        <f t="shared" si="252"/>
        <v/>
      </c>
      <c r="C1175" s="49" t="str">
        <f>IF(archive!F1175="","",archive!F1175)</f>
        <v/>
      </c>
      <c r="D1175" s="50" t="str">
        <f t="shared" si="253"/>
        <v/>
      </c>
      <c r="E1175" s="50" t="str">
        <f t="shared" si="254"/>
        <v/>
      </c>
      <c r="F1175" s="47" t="str">
        <f>IF(COUNTA(archive!H1175:CI1175)=0,"",COUNTA(archive!H1175:CI1175))</f>
        <v/>
      </c>
      <c r="G1175" s="47" t="str">
        <f>IF(archive!G1175="","",archive!G1175)</f>
        <v/>
      </c>
      <c r="H1175" s="51" t="str">
        <f>IF(archive!CJ1175="","",archive!CJ1175)</f>
        <v/>
      </c>
      <c r="I1175" s="51" t="str">
        <f>IF(archive!CK1175="","",archive!CK1175)</f>
        <v/>
      </c>
      <c r="J1175" s="47" t="str">
        <f t="shared" si="255"/>
        <v/>
      </c>
      <c r="K1175" s="51" t="str">
        <f t="shared" si="256"/>
        <v/>
      </c>
      <c r="L1175" s="52" t="str">
        <f t="shared" si="257"/>
        <v/>
      </c>
      <c r="M1175" s="53" t="str">
        <f t="shared" si="258"/>
        <v/>
      </c>
      <c r="N1175" s="53" t="str">
        <f t="shared" si="259"/>
        <v/>
      </c>
      <c r="O1175" s="53" t="str">
        <f t="shared" si="260"/>
        <v/>
      </c>
      <c r="P1175" s="53" t="str">
        <f t="shared" si="261"/>
        <v/>
      </c>
      <c r="Q1175" s="53" t="str">
        <f t="shared" si="262"/>
        <v/>
      </c>
      <c r="R1175" s="53" t="str">
        <f t="shared" si="263"/>
        <v/>
      </c>
      <c r="S1175" s="53" t="str">
        <f t="shared" si="264"/>
        <v/>
      </c>
      <c r="T1175" s="53" t="str">
        <f t="shared" si="265"/>
        <v/>
      </c>
    </row>
    <row r="1176" spans="1:20">
      <c r="A1176" s="47" t="str">
        <f>IF(archive!E1176="","",archive!E1176)</f>
        <v/>
      </c>
      <c r="B1176" s="48" t="str">
        <f t="shared" si="252"/>
        <v/>
      </c>
      <c r="C1176" s="49" t="str">
        <f>IF(archive!F1176="","",archive!F1176)</f>
        <v/>
      </c>
      <c r="D1176" s="50" t="str">
        <f t="shared" si="253"/>
        <v/>
      </c>
      <c r="E1176" s="50" t="str">
        <f t="shared" si="254"/>
        <v/>
      </c>
      <c r="F1176" s="47" t="str">
        <f>IF(COUNTA(archive!H1176:CI1176)=0,"",COUNTA(archive!H1176:CI1176))</f>
        <v/>
      </c>
      <c r="G1176" s="47" t="str">
        <f>IF(archive!G1176="","",archive!G1176)</f>
        <v/>
      </c>
      <c r="H1176" s="51" t="str">
        <f>IF(archive!CJ1176="","",archive!CJ1176)</f>
        <v/>
      </c>
      <c r="I1176" s="51" t="str">
        <f>IF(archive!CK1176="","",archive!CK1176)</f>
        <v/>
      </c>
      <c r="J1176" s="47" t="str">
        <f t="shared" si="255"/>
        <v/>
      </c>
      <c r="K1176" s="51" t="str">
        <f t="shared" si="256"/>
        <v/>
      </c>
      <c r="L1176" s="52" t="str">
        <f t="shared" si="257"/>
        <v/>
      </c>
      <c r="M1176" s="53" t="str">
        <f t="shared" si="258"/>
        <v/>
      </c>
      <c r="N1176" s="53" t="str">
        <f t="shared" si="259"/>
        <v/>
      </c>
      <c r="O1176" s="53" t="str">
        <f t="shared" si="260"/>
        <v/>
      </c>
      <c r="P1176" s="53" t="str">
        <f t="shared" si="261"/>
        <v/>
      </c>
      <c r="Q1176" s="53" t="str">
        <f t="shared" si="262"/>
        <v/>
      </c>
      <c r="R1176" s="53" t="str">
        <f t="shared" si="263"/>
        <v/>
      </c>
      <c r="S1176" s="53" t="str">
        <f t="shared" si="264"/>
        <v/>
      </c>
      <c r="T1176" s="53" t="str">
        <f t="shared" si="265"/>
        <v/>
      </c>
    </row>
    <row r="1177" spans="1:20">
      <c r="A1177" s="47" t="str">
        <f>IF(archive!E1177="","",archive!E1177)</f>
        <v/>
      </c>
      <c r="B1177" s="48" t="str">
        <f t="shared" si="252"/>
        <v/>
      </c>
      <c r="C1177" s="49" t="str">
        <f>IF(archive!F1177="","",archive!F1177)</f>
        <v/>
      </c>
      <c r="D1177" s="50" t="str">
        <f t="shared" si="253"/>
        <v/>
      </c>
      <c r="E1177" s="50" t="str">
        <f t="shared" si="254"/>
        <v/>
      </c>
      <c r="F1177" s="47" t="str">
        <f>IF(COUNTA(archive!H1177:CI1177)=0,"",COUNTA(archive!H1177:CI1177))</f>
        <v/>
      </c>
      <c r="G1177" s="47" t="str">
        <f>IF(archive!G1177="","",archive!G1177)</f>
        <v/>
      </c>
      <c r="H1177" s="51" t="str">
        <f>IF(archive!CJ1177="","",archive!CJ1177)</f>
        <v/>
      </c>
      <c r="I1177" s="51" t="str">
        <f>IF(archive!CK1177="","",archive!CK1177)</f>
        <v/>
      </c>
      <c r="J1177" s="47" t="str">
        <f t="shared" si="255"/>
        <v/>
      </c>
      <c r="K1177" s="51" t="str">
        <f t="shared" si="256"/>
        <v/>
      </c>
      <c r="L1177" s="52" t="str">
        <f t="shared" si="257"/>
        <v/>
      </c>
      <c r="M1177" s="53" t="str">
        <f t="shared" si="258"/>
        <v/>
      </c>
      <c r="N1177" s="53" t="str">
        <f t="shared" si="259"/>
        <v/>
      </c>
      <c r="O1177" s="53" t="str">
        <f t="shared" si="260"/>
        <v/>
      </c>
      <c r="P1177" s="53" t="str">
        <f t="shared" si="261"/>
        <v/>
      </c>
      <c r="Q1177" s="53" t="str">
        <f t="shared" si="262"/>
        <v/>
      </c>
      <c r="R1177" s="53" t="str">
        <f t="shared" si="263"/>
        <v/>
      </c>
      <c r="S1177" s="53" t="str">
        <f t="shared" si="264"/>
        <v/>
      </c>
      <c r="T1177" s="53" t="str">
        <f t="shared" si="265"/>
        <v/>
      </c>
    </row>
    <row r="1178" spans="1:20">
      <c r="A1178" s="47" t="str">
        <f>IF(archive!E1178="","",archive!E1178)</f>
        <v/>
      </c>
      <c r="B1178" s="48" t="str">
        <f t="shared" si="252"/>
        <v/>
      </c>
      <c r="C1178" s="49" t="str">
        <f>IF(archive!F1178="","",archive!F1178)</f>
        <v/>
      </c>
      <c r="D1178" s="50" t="str">
        <f t="shared" si="253"/>
        <v/>
      </c>
      <c r="E1178" s="50" t="str">
        <f t="shared" si="254"/>
        <v/>
      </c>
      <c r="F1178" s="47" t="str">
        <f>IF(COUNTA(archive!H1178:CI1178)=0,"",COUNTA(archive!H1178:CI1178))</f>
        <v/>
      </c>
      <c r="G1178" s="47" t="str">
        <f>IF(archive!G1178="","",archive!G1178)</f>
        <v/>
      </c>
      <c r="H1178" s="51" t="str">
        <f>IF(archive!CJ1178="","",archive!CJ1178)</f>
        <v/>
      </c>
      <c r="I1178" s="51" t="str">
        <f>IF(archive!CK1178="","",archive!CK1178)</f>
        <v/>
      </c>
      <c r="J1178" s="47" t="str">
        <f t="shared" si="255"/>
        <v/>
      </c>
      <c r="K1178" s="51" t="str">
        <f t="shared" si="256"/>
        <v/>
      </c>
      <c r="L1178" s="52" t="str">
        <f t="shared" si="257"/>
        <v/>
      </c>
      <c r="M1178" s="53" t="str">
        <f t="shared" si="258"/>
        <v/>
      </c>
      <c r="N1178" s="53" t="str">
        <f t="shared" si="259"/>
        <v/>
      </c>
      <c r="O1178" s="53" t="str">
        <f t="shared" si="260"/>
        <v/>
      </c>
      <c r="P1178" s="53" t="str">
        <f t="shared" si="261"/>
        <v/>
      </c>
      <c r="Q1178" s="53" t="str">
        <f t="shared" si="262"/>
        <v/>
      </c>
      <c r="R1178" s="53" t="str">
        <f t="shared" si="263"/>
        <v/>
      </c>
      <c r="S1178" s="53" t="str">
        <f t="shared" si="264"/>
        <v/>
      </c>
      <c r="T1178" s="53" t="str">
        <f t="shared" si="265"/>
        <v/>
      </c>
    </row>
    <row r="1179" spans="1:20">
      <c r="A1179" s="47" t="str">
        <f>IF(archive!E1179="","",archive!E1179)</f>
        <v/>
      </c>
      <c r="B1179" s="48" t="str">
        <f t="shared" si="252"/>
        <v/>
      </c>
      <c r="C1179" s="49" t="str">
        <f>IF(archive!F1179="","",archive!F1179)</f>
        <v/>
      </c>
      <c r="D1179" s="50" t="str">
        <f t="shared" si="253"/>
        <v/>
      </c>
      <c r="E1179" s="50" t="str">
        <f t="shared" si="254"/>
        <v/>
      </c>
      <c r="F1179" s="47" t="str">
        <f>IF(COUNTA(archive!H1179:CI1179)=0,"",COUNTA(archive!H1179:CI1179))</f>
        <v/>
      </c>
      <c r="G1179" s="47" t="str">
        <f>IF(archive!G1179="","",archive!G1179)</f>
        <v/>
      </c>
      <c r="H1179" s="51" t="str">
        <f>IF(archive!CJ1179="","",archive!CJ1179)</f>
        <v/>
      </c>
      <c r="I1179" s="51" t="str">
        <f>IF(archive!CK1179="","",archive!CK1179)</f>
        <v/>
      </c>
      <c r="J1179" s="47" t="str">
        <f t="shared" si="255"/>
        <v/>
      </c>
      <c r="K1179" s="51" t="str">
        <f t="shared" si="256"/>
        <v/>
      </c>
      <c r="L1179" s="52" t="str">
        <f t="shared" si="257"/>
        <v/>
      </c>
      <c r="M1179" s="53" t="str">
        <f t="shared" si="258"/>
        <v/>
      </c>
      <c r="N1179" s="53" t="str">
        <f t="shared" si="259"/>
        <v/>
      </c>
      <c r="O1179" s="53" t="str">
        <f t="shared" si="260"/>
        <v/>
      </c>
      <c r="P1179" s="53" t="str">
        <f t="shared" si="261"/>
        <v/>
      </c>
      <c r="Q1179" s="53" t="str">
        <f t="shared" si="262"/>
        <v/>
      </c>
      <c r="R1179" s="53" t="str">
        <f t="shared" si="263"/>
        <v/>
      </c>
      <c r="S1179" s="53" t="str">
        <f t="shared" si="264"/>
        <v/>
      </c>
      <c r="T1179" s="53" t="str">
        <f t="shared" si="265"/>
        <v/>
      </c>
    </row>
    <row r="1180" spans="1:20">
      <c r="A1180" s="47" t="str">
        <f>IF(archive!E1180="","",archive!E1180)</f>
        <v/>
      </c>
      <c r="B1180" s="48" t="str">
        <f t="shared" si="252"/>
        <v/>
      </c>
      <c r="C1180" s="49" t="str">
        <f>IF(archive!F1180="","",archive!F1180)</f>
        <v/>
      </c>
      <c r="D1180" s="50" t="str">
        <f t="shared" si="253"/>
        <v/>
      </c>
      <c r="E1180" s="50" t="str">
        <f t="shared" si="254"/>
        <v/>
      </c>
      <c r="F1180" s="47" t="str">
        <f>IF(COUNTA(archive!H1180:CI1180)=0,"",COUNTA(archive!H1180:CI1180))</f>
        <v/>
      </c>
      <c r="G1180" s="47" t="str">
        <f>IF(archive!G1180="","",archive!G1180)</f>
        <v/>
      </c>
      <c r="H1180" s="51" t="str">
        <f>IF(archive!CJ1180="","",archive!CJ1180)</f>
        <v/>
      </c>
      <c r="I1180" s="51" t="str">
        <f>IF(archive!CK1180="","",archive!CK1180)</f>
        <v/>
      </c>
      <c r="J1180" s="47" t="str">
        <f t="shared" si="255"/>
        <v/>
      </c>
      <c r="K1180" s="51" t="str">
        <f t="shared" si="256"/>
        <v/>
      </c>
      <c r="L1180" s="52" t="str">
        <f t="shared" si="257"/>
        <v/>
      </c>
      <c r="M1180" s="53" t="str">
        <f t="shared" si="258"/>
        <v/>
      </c>
      <c r="N1180" s="53" t="str">
        <f t="shared" si="259"/>
        <v/>
      </c>
      <c r="O1180" s="53" t="str">
        <f t="shared" si="260"/>
        <v/>
      </c>
      <c r="P1180" s="53" t="str">
        <f t="shared" si="261"/>
        <v/>
      </c>
      <c r="Q1180" s="53" t="str">
        <f t="shared" si="262"/>
        <v/>
      </c>
      <c r="R1180" s="53" t="str">
        <f t="shared" si="263"/>
        <v/>
      </c>
      <c r="S1180" s="53" t="str">
        <f t="shared" si="264"/>
        <v/>
      </c>
      <c r="T1180" s="53" t="str">
        <f t="shared" si="265"/>
        <v/>
      </c>
    </row>
    <row r="1181" spans="1:20">
      <c r="A1181" s="47" t="str">
        <f>IF(archive!E1181="","",archive!E1181)</f>
        <v/>
      </c>
      <c r="B1181" s="48" t="str">
        <f t="shared" si="252"/>
        <v/>
      </c>
      <c r="C1181" s="49" t="str">
        <f>IF(archive!F1181="","",archive!F1181)</f>
        <v/>
      </c>
      <c r="D1181" s="50" t="str">
        <f t="shared" si="253"/>
        <v/>
      </c>
      <c r="E1181" s="50" t="str">
        <f t="shared" si="254"/>
        <v/>
      </c>
      <c r="F1181" s="47" t="str">
        <f>IF(COUNTA(archive!H1181:CI1181)=0,"",COUNTA(archive!H1181:CI1181))</f>
        <v/>
      </c>
      <c r="G1181" s="47" t="str">
        <f>IF(archive!G1181="","",archive!G1181)</f>
        <v/>
      </c>
      <c r="H1181" s="51" t="str">
        <f>IF(archive!CJ1181="","",archive!CJ1181)</f>
        <v/>
      </c>
      <c r="I1181" s="51" t="str">
        <f>IF(archive!CK1181="","",archive!CK1181)</f>
        <v/>
      </c>
      <c r="J1181" s="47" t="str">
        <f t="shared" si="255"/>
        <v/>
      </c>
      <c r="K1181" s="51" t="str">
        <f t="shared" si="256"/>
        <v/>
      </c>
      <c r="L1181" s="52" t="str">
        <f t="shared" si="257"/>
        <v/>
      </c>
      <c r="M1181" s="53" t="str">
        <f t="shared" si="258"/>
        <v/>
      </c>
      <c r="N1181" s="53" t="str">
        <f t="shared" si="259"/>
        <v/>
      </c>
      <c r="O1181" s="53" t="str">
        <f t="shared" si="260"/>
        <v/>
      </c>
      <c r="P1181" s="53" t="str">
        <f t="shared" si="261"/>
        <v/>
      </c>
      <c r="Q1181" s="53" t="str">
        <f t="shared" si="262"/>
        <v/>
      </c>
      <c r="R1181" s="53" t="str">
        <f t="shared" si="263"/>
        <v/>
      </c>
      <c r="S1181" s="53" t="str">
        <f t="shared" si="264"/>
        <v/>
      </c>
      <c r="T1181" s="53" t="str">
        <f t="shared" si="265"/>
        <v/>
      </c>
    </row>
    <row r="1182" spans="1:20">
      <c r="A1182" s="47" t="str">
        <f>IF(archive!E1182="","",archive!E1182)</f>
        <v/>
      </c>
      <c r="B1182" s="48" t="str">
        <f t="shared" si="252"/>
        <v/>
      </c>
      <c r="C1182" s="49" t="str">
        <f>IF(archive!F1182="","",archive!F1182)</f>
        <v/>
      </c>
      <c r="D1182" s="50" t="str">
        <f t="shared" si="253"/>
        <v/>
      </c>
      <c r="E1182" s="50" t="str">
        <f t="shared" si="254"/>
        <v/>
      </c>
      <c r="F1182" s="47" t="str">
        <f>IF(COUNTA(archive!H1182:CI1182)=0,"",COUNTA(archive!H1182:CI1182))</f>
        <v/>
      </c>
      <c r="G1182" s="47" t="str">
        <f>IF(archive!G1182="","",archive!G1182)</f>
        <v/>
      </c>
      <c r="H1182" s="51" t="str">
        <f>IF(archive!CJ1182="","",archive!CJ1182)</f>
        <v/>
      </c>
      <c r="I1182" s="51" t="str">
        <f>IF(archive!CK1182="","",archive!CK1182)</f>
        <v/>
      </c>
      <c r="J1182" s="47" t="str">
        <f t="shared" si="255"/>
        <v/>
      </c>
      <c r="K1182" s="51" t="str">
        <f t="shared" si="256"/>
        <v/>
      </c>
      <c r="L1182" s="52" t="str">
        <f t="shared" si="257"/>
        <v/>
      </c>
      <c r="M1182" s="53" t="str">
        <f t="shared" si="258"/>
        <v/>
      </c>
      <c r="N1182" s="53" t="str">
        <f t="shared" si="259"/>
        <v/>
      </c>
      <c r="O1182" s="53" t="str">
        <f t="shared" si="260"/>
        <v/>
      </c>
      <c r="P1182" s="53" t="str">
        <f t="shared" si="261"/>
        <v/>
      </c>
      <c r="Q1182" s="53" t="str">
        <f t="shared" si="262"/>
        <v/>
      </c>
      <c r="R1182" s="53" t="str">
        <f t="shared" si="263"/>
        <v/>
      </c>
      <c r="S1182" s="53" t="str">
        <f t="shared" si="264"/>
        <v/>
      </c>
      <c r="T1182" s="53" t="str">
        <f t="shared" si="265"/>
        <v/>
      </c>
    </row>
    <row r="1183" spans="1:20">
      <c r="A1183" s="47" t="str">
        <f>IF(archive!E1183="","",archive!E1183)</f>
        <v/>
      </c>
      <c r="B1183" s="48" t="str">
        <f t="shared" si="252"/>
        <v/>
      </c>
      <c r="C1183" s="49" t="str">
        <f>IF(archive!F1183="","",archive!F1183)</f>
        <v/>
      </c>
      <c r="D1183" s="50" t="str">
        <f t="shared" si="253"/>
        <v/>
      </c>
      <c r="E1183" s="50" t="str">
        <f t="shared" si="254"/>
        <v/>
      </c>
      <c r="F1183" s="47" t="str">
        <f>IF(COUNTA(archive!H1183:CI1183)=0,"",COUNTA(archive!H1183:CI1183))</f>
        <v/>
      </c>
      <c r="G1183" s="47" t="str">
        <f>IF(archive!G1183="","",archive!G1183)</f>
        <v/>
      </c>
      <c r="H1183" s="51" t="str">
        <f>IF(archive!CJ1183="","",archive!CJ1183)</f>
        <v/>
      </c>
      <c r="I1183" s="51" t="str">
        <f>IF(archive!CK1183="","",archive!CK1183)</f>
        <v/>
      </c>
      <c r="J1183" s="47" t="str">
        <f t="shared" si="255"/>
        <v/>
      </c>
      <c r="K1183" s="51" t="str">
        <f t="shared" si="256"/>
        <v/>
      </c>
      <c r="L1183" s="52" t="str">
        <f t="shared" si="257"/>
        <v/>
      </c>
      <c r="M1183" s="53" t="str">
        <f t="shared" si="258"/>
        <v/>
      </c>
      <c r="N1183" s="53" t="str">
        <f t="shared" si="259"/>
        <v/>
      </c>
      <c r="O1183" s="53" t="str">
        <f t="shared" si="260"/>
        <v/>
      </c>
      <c r="P1183" s="53" t="str">
        <f t="shared" si="261"/>
        <v/>
      </c>
      <c r="Q1183" s="53" t="str">
        <f t="shared" si="262"/>
        <v/>
      </c>
      <c r="R1183" s="53" t="str">
        <f t="shared" si="263"/>
        <v/>
      </c>
      <c r="S1183" s="53" t="str">
        <f t="shared" si="264"/>
        <v/>
      </c>
      <c r="T1183" s="53" t="str">
        <f t="shared" si="265"/>
        <v/>
      </c>
    </row>
    <row r="1184" spans="1:20">
      <c r="A1184" s="47" t="str">
        <f>IF(archive!E1184="","",archive!E1184)</f>
        <v/>
      </c>
      <c r="B1184" s="48" t="str">
        <f t="shared" si="252"/>
        <v/>
      </c>
      <c r="C1184" s="49" t="str">
        <f>IF(archive!F1184="","",archive!F1184)</f>
        <v/>
      </c>
      <c r="D1184" s="50" t="str">
        <f t="shared" si="253"/>
        <v/>
      </c>
      <c r="E1184" s="50" t="str">
        <f t="shared" si="254"/>
        <v/>
      </c>
      <c r="F1184" s="47" t="str">
        <f>IF(COUNTA(archive!H1184:CI1184)=0,"",COUNTA(archive!H1184:CI1184))</f>
        <v/>
      </c>
      <c r="G1184" s="47" t="str">
        <f>IF(archive!G1184="","",archive!G1184)</f>
        <v/>
      </c>
      <c r="H1184" s="51" t="str">
        <f>IF(archive!CJ1184="","",archive!CJ1184)</f>
        <v/>
      </c>
      <c r="I1184" s="51" t="str">
        <f>IF(archive!CK1184="","",archive!CK1184)</f>
        <v/>
      </c>
      <c r="J1184" s="47" t="str">
        <f t="shared" si="255"/>
        <v/>
      </c>
      <c r="K1184" s="51" t="str">
        <f t="shared" si="256"/>
        <v/>
      </c>
      <c r="L1184" s="52" t="str">
        <f t="shared" si="257"/>
        <v/>
      </c>
      <c r="M1184" s="53" t="str">
        <f t="shared" si="258"/>
        <v/>
      </c>
      <c r="N1184" s="53" t="str">
        <f t="shared" si="259"/>
        <v/>
      </c>
      <c r="O1184" s="53" t="str">
        <f t="shared" si="260"/>
        <v/>
      </c>
      <c r="P1184" s="53" t="str">
        <f t="shared" si="261"/>
        <v/>
      </c>
      <c r="Q1184" s="53" t="str">
        <f t="shared" si="262"/>
        <v/>
      </c>
      <c r="R1184" s="53" t="str">
        <f t="shared" si="263"/>
        <v/>
      </c>
      <c r="S1184" s="53" t="str">
        <f t="shared" si="264"/>
        <v/>
      </c>
      <c r="T1184" s="53" t="str">
        <f t="shared" si="265"/>
        <v/>
      </c>
    </row>
    <row r="1185" spans="1:20">
      <c r="A1185" s="47" t="str">
        <f>IF(archive!E1185="","",archive!E1185)</f>
        <v/>
      </c>
      <c r="B1185" s="48" t="str">
        <f t="shared" si="252"/>
        <v/>
      </c>
      <c r="C1185" s="49" t="str">
        <f>IF(archive!F1185="","",archive!F1185)</f>
        <v/>
      </c>
      <c r="D1185" s="50" t="str">
        <f t="shared" si="253"/>
        <v/>
      </c>
      <c r="E1185" s="50" t="str">
        <f t="shared" si="254"/>
        <v/>
      </c>
      <c r="F1185" s="47" t="str">
        <f>IF(COUNTA(archive!H1185:CI1185)=0,"",COUNTA(archive!H1185:CI1185))</f>
        <v/>
      </c>
      <c r="G1185" s="47" t="str">
        <f>IF(archive!G1185="","",archive!G1185)</f>
        <v/>
      </c>
      <c r="H1185" s="51" t="str">
        <f>IF(archive!CJ1185="","",archive!CJ1185)</f>
        <v/>
      </c>
      <c r="I1185" s="51" t="str">
        <f>IF(archive!CK1185="","",archive!CK1185)</f>
        <v/>
      </c>
      <c r="J1185" s="47" t="str">
        <f t="shared" si="255"/>
        <v/>
      </c>
      <c r="K1185" s="51" t="str">
        <f t="shared" si="256"/>
        <v/>
      </c>
      <c r="L1185" s="52" t="str">
        <f t="shared" si="257"/>
        <v/>
      </c>
      <c r="M1185" s="53" t="str">
        <f t="shared" si="258"/>
        <v/>
      </c>
      <c r="N1185" s="53" t="str">
        <f t="shared" si="259"/>
        <v/>
      </c>
      <c r="O1185" s="53" t="str">
        <f t="shared" si="260"/>
        <v/>
      </c>
      <c r="P1185" s="53" t="str">
        <f t="shared" si="261"/>
        <v/>
      </c>
      <c r="Q1185" s="53" t="str">
        <f t="shared" si="262"/>
        <v/>
      </c>
      <c r="R1185" s="53" t="str">
        <f t="shared" si="263"/>
        <v/>
      </c>
      <c r="S1185" s="53" t="str">
        <f t="shared" si="264"/>
        <v/>
      </c>
      <c r="T1185" s="53" t="str">
        <f t="shared" si="265"/>
        <v/>
      </c>
    </row>
    <row r="1186" spans="1:20">
      <c r="A1186" s="47" t="str">
        <f>IF(archive!E1186="","",archive!E1186)</f>
        <v/>
      </c>
      <c r="B1186" s="48" t="str">
        <f t="shared" si="252"/>
        <v/>
      </c>
      <c r="C1186" s="49" t="str">
        <f>IF(archive!F1186="","",archive!F1186)</f>
        <v/>
      </c>
      <c r="D1186" s="50" t="str">
        <f t="shared" si="253"/>
        <v/>
      </c>
      <c r="E1186" s="50" t="str">
        <f t="shared" si="254"/>
        <v/>
      </c>
      <c r="F1186" s="47" t="str">
        <f>IF(COUNTA(archive!H1186:CI1186)=0,"",COUNTA(archive!H1186:CI1186))</f>
        <v/>
      </c>
      <c r="G1186" s="47" t="str">
        <f>IF(archive!G1186="","",archive!G1186)</f>
        <v/>
      </c>
      <c r="H1186" s="51" t="str">
        <f>IF(archive!CJ1186="","",archive!CJ1186)</f>
        <v/>
      </c>
      <c r="I1186" s="51" t="str">
        <f>IF(archive!CK1186="","",archive!CK1186)</f>
        <v/>
      </c>
      <c r="J1186" s="47" t="str">
        <f t="shared" si="255"/>
        <v/>
      </c>
      <c r="K1186" s="51" t="str">
        <f t="shared" si="256"/>
        <v/>
      </c>
      <c r="L1186" s="52" t="str">
        <f t="shared" si="257"/>
        <v/>
      </c>
      <c r="M1186" s="53" t="str">
        <f t="shared" si="258"/>
        <v/>
      </c>
      <c r="N1186" s="53" t="str">
        <f t="shared" si="259"/>
        <v/>
      </c>
      <c r="O1186" s="53" t="str">
        <f t="shared" si="260"/>
        <v/>
      </c>
      <c r="P1186" s="53" t="str">
        <f t="shared" si="261"/>
        <v/>
      </c>
      <c r="Q1186" s="53" t="str">
        <f t="shared" si="262"/>
        <v/>
      </c>
      <c r="R1186" s="53" t="str">
        <f t="shared" si="263"/>
        <v/>
      </c>
      <c r="S1186" s="53" t="str">
        <f t="shared" si="264"/>
        <v/>
      </c>
      <c r="T1186" s="53" t="str">
        <f t="shared" si="265"/>
        <v/>
      </c>
    </row>
    <row r="1187" spans="1:20">
      <c r="A1187" s="47" t="str">
        <f>IF(archive!E1187="","",archive!E1187)</f>
        <v/>
      </c>
      <c r="B1187" s="48" t="str">
        <f t="shared" si="252"/>
        <v/>
      </c>
      <c r="C1187" s="49" t="str">
        <f>IF(archive!F1187="","",archive!F1187)</f>
        <v/>
      </c>
      <c r="D1187" s="50" t="str">
        <f t="shared" si="253"/>
        <v/>
      </c>
      <c r="E1187" s="50" t="str">
        <f t="shared" si="254"/>
        <v/>
      </c>
      <c r="F1187" s="47" t="str">
        <f>IF(COUNTA(archive!H1187:CI1187)=0,"",COUNTA(archive!H1187:CI1187))</f>
        <v/>
      </c>
      <c r="G1187" s="47" t="str">
        <f>IF(archive!G1187="","",archive!G1187)</f>
        <v/>
      </c>
      <c r="H1187" s="51" t="str">
        <f>IF(archive!CJ1187="","",archive!CJ1187)</f>
        <v/>
      </c>
      <c r="I1187" s="51" t="str">
        <f>IF(archive!CK1187="","",archive!CK1187)</f>
        <v/>
      </c>
      <c r="J1187" s="47" t="str">
        <f t="shared" si="255"/>
        <v/>
      </c>
      <c r="K1187" s="51" t="str">
        <f t="shared" si="256"/>
        <v/>
      </c>
      <c r="L1187" s="52" t="str">
        <f t="shared" si="257"/>
        <v/>
      </c>
      <c r="M1187" s="53" t="str">
        <f t="shared" si="258"/>
        <v/>
      </c>
      <c r="N1187" s="53" t="str">
        <f t="shared" si="259"/>
        <v/>
      </c>
      <c r="O1187" s="53" t="str">
        <f t="shared" si="260"/>
        <v/>
      </c>
      <c r="P1187" s="53" t="str">
        <f t="shared" si="261"/>
        <v/>
      </c>
      <c r="Q1187" s="53" t="str">
        <f t="shared" si="262"/>
        <v/>
      </c>
      <c r="R1187" s="53" t="str">
        <f t="shared" si="263"/>
        <v/>
      </c>
      <c r="S1187" s="53" t="str">
        <f t="shared" si="264"/>
        <v/>
      </c>
      <c r="T1187" s="53" t="str">
        <f t="shared" si="265"/>
        <v/>
      </c>
    </row>
    <row r="1188" spans="1:20">
      <c r="A1188" s="47" t="str">
        <f>IF(archive!E1188="","",archive!E1188)</f>
        <v/>
      </c>
      <c r="B1188" s="48" t="str">
        <f t="shared" si="252"/>
        <v/>
      </c>
      <c r="C1188" s="49" t="str">
        <f>IF(archive!F1188="","",archive!F1188)</f>
        <v/>
      </c>
      <c r="D1188" s="50" t="str">
        <f t="shared" si="253"/>
        <v/>
      </c>
      <c r="E1188" s="50" t="str">
        <f t="shared" si="254"/>
        <v/>
      </c>
      <c r="F1188" s="47" t="str">
        <f>IF(COUNTA(archive!H1188:CI1188)=0,"",COUNTA(archive!H1188:CI1188))</f>
        <v/>
      </c>
      <c r="G1188" s="47" t="str">
        <f>IF(archive!G1188="","",archive!G1188)</f>
        <v/>
      </c>
      <c r="H1188" s="51" t="str">
        <f>IF(archive!CJ1188="","",archive!CJ1188)</f>
        <v/>
      </c>
      <c r="I1188" s="51" t="str">
        <f>IF(archive!CK1188="","",archive!CK1188)</f>
        <v/>
      </c>
      <c r="J1188" s="47" t="str">
        <f t="shared" si="255"/>
        <v/>
      </c>
      <c r="K1188" s="51" t="str">
        <f t="shared" si="256"/>
        <v/>
      </c>
      <c r="L1188" s="52" t="str">
        <f t="shared" si="257"/>
        <v/>
      </c>
      <c r="M1188" s="53" t="str">
        <f t="shared" si="258"/>
        <v/>
      </c>
      <c r="N1188" s="53" t="str">
        <f t="shared" si="259"/>
        <v/>
      </c>
      <c r="O1188" s="53" t="str">
        <f t="shared" si="260"/>
        <v/>
      </c>
      <c r="P1188" s="53" t="str">
        <f t="shared" si="261"/>
        <v/>
      </c>
      <c r="Q1188" s="53" t="str">
        <f t="shared" si="262"/>
        <v/>
      </c>
      <c r="R1188" s="53" t="str">
        <f t="shared" si="263"/>
        <v/>
      </c>
      <c r="S1188" s="53" t="str">
        <f t="shared" si="264"/>
        <v/>
      </c>
      <c r="T1188" s="53" t="str">
        <f t="shared" si="265"/>
        <v/>
      </c>
    </row>
    <row r="1189" spans="1:20">
      <c r="A1189" s="47" t="str">
        <f>IF(archive!E1189="","",archive!E1189)</f>
        <v/>
      </c>
      <c r="B1189" s="48" t="str">
        <f t="shared" si="252"/>
        <v/>
      </c>
      <c r="C1189" s="49" t="str">
        <f>IF(archive!F1189="","",archive!F1189)</f>
        <v/>
      </c>
      <c r="D1189" s="50" t="str">
        <f t="shared" si="253"/>
        <v/>
      </c>
      <c r="E1189" s="50" t="str">
        <f t="shared" si="254"/>
        <v/>
      </c>
      <c r="F1189" s="47" t="str">
        <f>IF(COUNTA(archive!H1189:CI1189)=0,"",COUNTA(archive!H1189:CI1189))</f>
        <v/>
      </c>
      <c r="G1189" s="47" t="str">
        <f>IF(archive!G1189="","",archive!G1189)</f>
        <v/>
      </c>
      <c r="H1189" s="51" t="str">
        <f>IF(archive!CJ1189="","",archive!CJ1189)</f>
        <v/>
      </c>
      <c r="I1189" s="51" t="str">
        <f>IF(archive!CK1189="","",archive!CK1189)</f>
        <v/>
      </c>
      <c r="J1189" s="47" t="str">
        <f t="shared" si="255"/>
        <v/>
      </c>
      <c r="K1189" s="51" t="str">
        <f t="shared" si="256"/>
        <v/>
      </c>
      <c r="L1189" s="52" t="str">
        <f t="shared" si="257"/>
        <v/>
      </c>
      <c r="M1189" s="53" t="str">
        <f t="shared" si="258"/>
        <v/>
      </c>
      <c r="N1189" s="53" t="str">
        <f t="shared" si="259"/>
        <v/>
      </c>
      <c r="O1189" s="53" t="str">
        <f t="shared" si="260"/>
        <v/>
      </c>
      <c r="P1189" s="53" t="str">
        <f t="shared" si="261"/>
        <v/>
      </c>
      <c r="Q1189" s="53" t="str">
        <f t="shared" si="262"/>
        <v/>
      </c>
      <c r="R1189" s="53" t="str">
        <f t="shared" si="263"/>
        <v/>
      </c>
      <c r="S1189" s="53" t="str">
        <f t="shared" si="264"/>
        <v/>
      </c>
      <c r="T1189" s="53" t="str">
        <f t="shared" si="265"/>
        <v/>
      </c>
    </row>
    <row r="1190" spans="1:20">
      <c r="A1190" s="47" t="str">
        <f>IF(archive!E1190="","",archive!E1190)</f>
        <v/>
      </c>
      <c r="B1190" s="48" t="str">
        <f t="shared" si="252"/>
        <v/>
      </c>
      <c r="C1190" s="49" t="str">
        <f>IF(archive!F1190="","",archive!F1190)</f>
        <v/>
      </c>
      <c r="D1190" s="50" t="str">
        <f t="shared" si="253"/>
        <v/>
      </c>
      <c r="E1190" s="50" t="str">
        <f t="shared" si="254"/>
        <v/>
      </c>
      <c r="F1190" s="47" t="str">
        <f>IF(COUNTA(archive!H1190:CI1190)=0,"",COUNTA(archive!H1190:CI1190))</f>
        <v/>
      </c>
      <c r="G1190" s="47" t="str">
        <f>IF(archive!G1190="","",archive!G1190)</f>
        <v/>
      </c>
      <c r="H1190" s="51" t="str">
        <f>IF(archive!CJ1190="","",archive!CJ1190)</f>
        <v/>
      </c>
      <c r="I1190" s="51" t="str">
        <f>IF(archive!CK1190="","",archive!CK1190)</f>
        <v/>
      </c>
      <c r="J1190" s="47" t="str">
        <f t="shared" si="255"/>
        <v/>
      </c>
      <c r="K1190" s="51" t="str">
        <f t="shared" si="256"/>
        <v/>
      </c>
      <c r="L1190" s="52" t="str">
        <f t="shared" si="257"/>
        <v/>
      </c>
      <c r="M1190" s="53" t="str">
        <f t="shared" si="258"/>
        <v/>
      </c>
      <c r="N1190" s="53" t="str">
        <f t="shared" si="259"/>
        <v/>
      </c>
      <c r="O1190" s="53" t="str">
        <f t="shared" si="260"/>
        <v/>
      </c>
      <c r="P1190" s="53" t="str">
        <f t="shared" si="261"/>
        <v/>
      </c>
      <c r="Q1190" s="53" t="str">
        <f t="shared" si="262"/>
        <v/>
      </c>
      <c r="R1190" s="53" t="str">
        <f t="shared" si="263"/>
        <v/>
      </c>
      <c r="S1190" s="53" t="str">
        <f t="shared" si="264"/>
        <v/>
      </c>
      <c r="T1190" s="53" t="str">
        <f t="shared" si="265"/>
        <v/>
      </c>
    </row>
    <row r="1191" spans="1:20">
      <c r="A1191" s="47" t="str">
        <f>IF(archive!E1191="","",archive!E1191)</f>
        <v/>
      </c>
      <c r="B1191" s="48" t="str">
        <f t="shared" si="252"/>
        <v/>
      </c>
      <c r="C1191" s="49" t="str">
        <f>IF(archive!F1191="","",archive!F1191)</f>
        <v/>
      </c>
      <c r="D1191" s="50" t="str">
        <f t="shared" si="253"/>
        <v/>
      </c>
      <c r="E1191" s="50" t="str">
        <f t="shared" si="254"/>
        <v/>
      </c>
      <c r="F1191" s="47" t="str">
        <f>IF(COUNTA(archive!H1191:CI1191)=0,"",COUNTA(archive!H1191:CI1191))</f>
        <v/>
      </c>
      <c r="G1191" s="47" t="str">
        <f>IF(archive!G1191="","",archive!G1191)</f>
        <v/>
      </c>
      <c r="H1191" s="51" t="str">
        <f>IF(archive!CJ1191="","",archive!CJ1191)</f>
        <v/>
      </c>
      <c r="I1191" s="51" t="str">
        <f>IF(archive!CK1191="","",archive!CK1191)</f>
        <v/>
      </c>
      <c r="J1191" s="47" t="str">
        <f t="shared" si="255"/>
        <v/>
      </c>
      <c r="K1191" s="51" t="str">
        <f t="shared" si="256"/>
        <v/>
      </c>
      <c r="L1191" s="52" t="str">
        <f t="shared" si="257"/>
        <v/>
      </c>
      <c r="M1191" s="53" t="str">
        <f t="shared" si="258"/>
        <v/>
      </c>
      <c r="N1191" s="53" t="str">
        <f t="shared" si="259"/>
        <v/>
      </c>
      <c r="O1191" s="53" t="str">
        <f t="shared" si="260"/>
        <v/>
      </c>
      <c r="P1191" s="53" t="str">
        <f t="shared" si="261"/>
        <v/>
      </c>
      <c r="Q1191" s="53" t="str">
        <f t="shared" si="262"/>
        <v/>
      </c>
      <c r="R1191" s="53" t="str">
        <f t="shared" si="263"/>
        <v/>
      </c>
      <c r="S1191" s="53" t="str">
        <f t="shared" si="264"/>
        <v/>
      </c>
      <c r="T1191" s="53" t="str">
        <f t="shared" si="265"/>
        <v/>
      </c>
    </row>
    <row r="1192" spans="1:20">
      <c r="A1192" s="47" t="str">
        <f>IF(archive!E1192="","",archive!E1192)</f>
        <v/>
      </c>
      <c r="B1192" s="48" t="str">
        <f t="shared" si="252"/>
        <v/>
      </c>
      <c r="C1192" s="49" t="str">
        <f>IF(archive!F1192="","",archive!F1192)</f>
        <v/>
      </c>
      <c r="D1192" s="50" t="str">
        <f t="shared" si="253"/>
        <v/>
      </c>
      <c r="E1192" s="50" t="str">
        <f t="shared" si="254"/>
        <v/>
      </c>
      <c r="F1192" s="47" t="str">
        <f>IF(COUNTA(archive!H1192:CI1192)=0,"",COUNTA(archive!H1192:CI1192))</f>
        <v/>
      </c>
      <c r="G1192" s="47" t="str">
        <f>IF(archive!G1192="","",archive!G1192)</f>
        <v/>
      </c>
      <c r="H1192" s="51" t="str">
        <f>IF(archive!CJ1192="","",archive!CJ1192)</f>
        <v/>
      </c>
      <c r="I1192" s="51" t="str">
        <f>IF(archive!CK1192="","",archive!CK1192)</f>
        <v/>
      </c>
      <c r="J1192" s="47" t="str">
        <f t="shared" si="255"/>
        <v/>
      </c>
      <c r="K1192" s="51" t="str">
        <f t="shared" si="256"/>
        <v/>
      </c>
      <c r="L1192" s="52" t="str">
        <f t="shared" si="257"/>
        <v/>
      </c>
      <c r="M1192" s="53" t="str">
        <f t="shared" si="258"/>
        <v/>
      </c>
      <c r="N1192" s="53" t="str">
        <f t="shared" si="259"/>
        <v/>
      </c>
      <c r="O1192" s="53" t="str">
        <f t="shared" si="260"/>
        <v/>
      </c>
      <c r="P1192" s="53" t="str">
        <f t="shared" si="261"/>
        <v/>
      </c>
      <c r="Q1192" s="53" t="str">
        <f t="shared" si="262"/>
        <v/>
      </c>
      <c r="R1192" s="53" t="str">
        <f t="shared" si="263"/>
        <v/>
      </c>
      <c r="S1192" s="53" t="str">
        <f t="shared" si="264"/>
        <v/>
      </c>
      <c r="T1192" s="53" t="str">
        <f t="shared" si="265"/>
        <v/>
      </c>
    </row>
    <row r="1193" spans="1:20">
      <c r="A1193" s="47" t="str">
        <f>IF(archive!E1193="","",archive!E1193)</f>
        <v/>
      </c>
      <c r="B1193" s="48" t="str">
        <f t="shared" si="252"/>
        <v/>
      </c>
      <c r="C1193" s="49" t="str">
        <f>IF(archive!F1193="","",archive!F1193)</f>
        <v/>
      </c>
      <c r="D1193" s="50" t="str">
        <f t="shared" si="253"/>
        <v/>
      </c>
      <c r="E1193" s="50" t="str">
        <f t="shared" si="254"/>
        <v/>
      </c>
      <c r="F1193" s="47" t="str">
        <f>IF(COUNTA(archive!H1193:CI1193)=0,"",COUNTA(archive!H1193:CI1193))</f>
        <v/>
      </c>
      <c r="G1193" s="47" t="str">
        <f>IF(archive!G1193="","",archive!G1193)</f>
        <v/>
      </c>
      <c r="H1193" s="51" t="str">
        <f>IF(archive!CJ1193="","",archive!CJ1193)</f>
        <v/>
      </c>
      <c r="I1193" s="51" t="str">
        <f>IF(archive!CK1193="","",archive!CK1193)</f>
        <v/>
      </c>
      <c r="J1193" s="47" t="str">
        <f t="shared" si="255"/>
        <v/>
      </c>
      <c r="K1193" s="51" t="str">
        <f t="shared" si="256"/>
        <v/>
      </c>
      <c r="L1193" s="52" t="str">
        <f t="shared" si="257"/>
        <v/>
      </c>
      <c r="M1193" s="53" t="str">
        <f t="shared" si="258"/>
        <v/>
      </c>
      <c r="N1193" s="53" t="str">
        <f t="shared" si="259"/>
        <v/>
      </c>
      <c r="O1193" s="53" t="str">
        <f t="shared" si="260"/>
        <v/>
      </c>
      <c r="P1193" s="53" t="str">
        <f t="shared" si="261"/>
        <v/>
      </c>
      <c r="Q1193" s="53" t="str">
        <f t="shared" si="262"/>
        <v/>
      </c>
      <c r="R1193" s="53" t="str">
        <f t="shared" si="263"/>
        <v/>
      </c>
      <c r="S1193" s="53" t="str">
        <f t="shared" si="264"/>
        <v/>
      </c>
      <c r="T1193" s="53" t="str">
        <f t="shared" si="265"/>
        <v/>
      </c>
    </row>
    <row r="1194" spans="1:20">
      <c r="A1194" s="47" t="str">
        <f>IF(archive!E1194="","",archive!E1194)</f>
        <v/>
      </c>
      <c r="B1194" s="48" t="str">
        <f t="shared" si="252"/>
        <v/>
      </c>
      <c r="C1194" s="49" t="str">
        <f>IF(archive!F1194="","",archive!F1194)</f>
        <v/>
      </c>
      <c r="D1194" s="50" t="str">
        <f t="shared" si="253"/>
        <v/>
      </c>
      <c r="E1194" s="50" t="str">
        <f t="shared" si="254"/>
        <v/>
      </c>
      <c r="F1194" s="47" t="str">
        <f>IF(COUNTA(archive!H1194:CI1194)=0,"",COUNTA(archive!H1194:CI1194))</f>
        <v/>
      </c>
      <c r="G1194" s="47" t="str">
        <f>IF(archive!G1194="","",archive!G1194)</f>
        <v/>
      </c>
      <c r="H1194" s="51" t="str">
        <f>IF(archive!CJ1194="","",archive!CJ1194)</f>
        <v/>
      </c>
      <c r="I1194" s="51" t="str">
        <f>IF(archive!CK1194="","",archive!CK1194)</f>
        <v/>
      </c>
      <c r="J1194" s="47" t="str">
        <f t="shared" si="255"/>
        <v/>
      </c>
      <c r="K1194" s="51" t="str">
        <f t="shared" si="256"/>
        <v/>
      </c>
      <c r="L1194" s="52" t="str">
        <f t="shared" si="257"/>
        <v/>
      </c>
      <c r="M1194" s="53" t="str">
        <f t="shared" si="258"/>
        <v/>
      </c>
      <c r="N1194" s="53" t="str">
        <f t="shared" si="259"/>
        <v/>
      </c>
      <c r="O1194" s="53" t="str">
        <f t="shared" si="260"/>
        <v/>
      </c>
      <c r="P1194" s="53" t="str">
        <f t="shared" si="261"/>
        <v/>
      </c>
      <c r="Q1194" s="53" t="str">
        <f t="shared" si="262"/>
        <v/>
      </c>
      <c r="R1194" s="53" t="str">
        <f t="shared" si="263"/>
        <v/>
      </c>
      <c r="S1194" s="53" t="str">
        <f t="shared" si="264"/>
        <v/>
      </c>
      <c r="T1194" s="53" t="str">
        <f t="shared" si="265"/>
        <v/>
      </c>
    </row>
    <row r="1195" spans="1:20">
      <c r="A1195" s="47" t="str">
        <f>IF(archive!E1195="","",archive!E1195)</f>
        <v/>
      </c>
      <c r="B1195" s="48" t="str">
        <f t="shared" si="252"/>
        <v/>
      </c>
      <c r="C1195" s="49" t="str">
        <f>IF(archive!F1195="","",archive!F1195)</f>
        <v/>
      </c>
      <c r="D1195" s="50" t="str">
        <f t="shared" si="253"/>
        <v/>
      </c>
      <c r="E1195" s="50" t="str">
        <f t="shared" si="254"/>
        <v/>
      </c>
      <c r="F1195" s="47" t="str">
        <f>IF(COUNTA(archive!H1195:CI1195)=0,"",COUNTA(archive!H1195:CI1195))</f>
        <v/>
      </c>
      <c r="G1195" s="47" t="str">
        <f>IF(archive!G1195="","",archive!G1195)</f>
        <v/>
      </c>
      <c r="H1195" s="51" t="str">
        <f>IF(archive!CJ1195="","",archive!CJ1195)</f>
        <v/>
      </c>
      <c r="I1195" s="51" t="str">
        <f>IF(archive!CK1195="","",archive!CK1195)</f>
        <v/>
      </c>
      <c r="J1195" s="47" t="str">
        <f t="shared" si="255"/>
        <v/>
      </c>
      <c r="K1195" s="51" t="str">
        <f t="shared" si="256"/>
        <v/>
      </c>
      <c r="L1195" s="52" t="str">
        <f t="shared" si="257"/>
        <v/>
      </c>
      <c r="M1195" s="53" t="str">
        <f t="shared" si="258"/>
        <v/>
      </c>
      <c r="N1195" s="53" t="str">
        <f t="shared" si="259"/>
        <v/>
      </c>
      <c r="O1195" s="53" t="str">
        <f t="shared" si="260"/>
        <v/>
      </c>
      <c r="P1195" s="53" t="str">
        <f t="shared" si="261"/>
        <v/>
      </c>
      <c r="Q1195" s="53" t="str">
        <f t="shared" si="262"/>
        <v/>
      </c>
      <c r="R1195" s="53" t="str">
        <f t="shared" si="263"/>
        <v/>
      </c>
      <c r="S1195" s="53" t="str">
        <f t="shared" si="264"/>
        <v/>
      </c>
      <c r="T1195" s="53" t="str">
        <f t="shared" si="265"/>
        <v/>
      </c>
    </row>
    <row r="1196" spans="1:20">
      <c r="A1196" s="47" t="str">
        <f>IF(archive!E1196="","",archive!E1196)</f>
        <v/>
      </c>
      <c r="B1196" s="48" t="str">
        <f t="shared" si="252"/>
        <v/>
      </c>
      <c r="C1196" s="49" t="str">
        <f>IF(archive!F1196="","",archive!F1196)</f>
        <v/>
      </c>
      <c r="D1196" s="50" t="str">
        <f t="shared" si="253"/>
        <v/>
      </c>
      <c r="E1196" s="50" t="str">
        <f t="shared" si="254"/>
        <v/>
      </c>
      <c r="F1196" s="47" t="str">
        <f>IF(COUNTA(archive!H1196:CI1196)=0,"",COUNTA(archive!H1196:CI1196))</f>
        <v/>
      </c>
      <c r="G1196" s="47" t="str">
        <f>IF(archive!G1196="","",archive!G1196)</f>
        <v/>
      </c>
      <c r="H1196" s="51" t="str">
        <f>IF(archive!CJ1196="","",archive!CJ1196)</f>
        <v/>
      </c>
      <c r="I1196" s="51" t="str">
        <f>IF(archive!CK1196="","",archive!CK1196)</f>
        <v/>
      </c>
      <c r="J1196" s="47" t="str">
        <f t="shared" si="255"/>
        <v/>
      </c>
      <c r="K1196" s="51" t="str">
        <f t="shared" si="256"/>
        <v/>
      </c>
      <c r="L1196" s="52" t="str">
        <f t="shared" si="257"/>
        <v/>
      </c>
      <c r="M1196" s="53" t="str">
        <f t="shared" si="258"/>
        <v/>
      </c>
      <c r="N1196" s="53" t="str">
        <f t="shared" si="259"/>
        <v/>
      </c>
      <c r="O1196" s="53" t="str">
        <f t="shared" si="260"/>
        <v/>
      </c>
      <c r="P1196" s="53" t="str">
        <f t="shared" si="261"/>
        <v/>
      </c>
      <c r="Q1196" s="53" t="str">
        <f t="shared" si="262"/>
        <v/>
      </c>
      <c r="R1196" s="53" t="str">
        <f t="shared" si="263"/>
        <v/>
      </c>
      <c r="S1196" s="53" t="str">
        <f t="shared" si="264"/>
        <v/>
      </c>
      <c r="T1196" s="53" t="str">
        <f t="shared" si="265"/>
        <v/>
      </c>
    </row>
    <row r="1197" spans="1:20">
      <c r="A1197" s="47" t="str">
        <f>IF(archive!E1197="","",archive!E1197)</f>
        <v/>
      </c>
      <c r="B1197" s="48" t="str">
        <f t="shared" si="252"/>
        <v/>
      </c>
      <c r="C1197" s="49" t="str">
        <f>IF(archive!F1197="","",archive!F1197)</f>
        <v/>
      </c>
      <c r="D1197" s="50" t="str">
        <f t="shared" si="253"/>
        <v/>
      </c>
      <c r="E1197" s="50" t="str">
        <f t="shared" si="254"/>
        <v/>
      </c>
      <c r="F1197" s="47" t="str">
        <f>IF(COUNTA(archive!H1197:CI1197)=0,"",COUNTA(archive!H1197:CI1197))</f>
        <v/>
      </c>
      <c r="G1197" s="47" t="str">
        <f>IF(archive!G1197="","",archive!G1197)</f>
        <v/>
      </c>
      <c r="H1197" s="51" t="str">
        <f>IF(archive!CJ1197="","",archive!CJ1197)</f>
        <v/>
      </c>
      <c r="I1197" s="51" t="str">
        <f>IF(archive!CK1197="","",archive!CK1197)</f>
        <v/>
      </c>
      <c r="J1197" s="47" t="str">
        <f t="shared" si="255"/>
        <v/>
      </c>
      <c r="K1197" s="51" t="str">
        <f t="shared" si="256"/>
        <v/>
      </c>
      <c r="L1197" s="52" t="str">
        <f t="shared" si="257"/>
        <v/>
      </c>
      <c r="M1197" s="53" t="str">
        <f t="shared" si="258"/>
        <v/>
      </c>
      <c r="N1197" s="53" t="str">
        <f t="shared" si="259"/>
        <v/>
      </c>
      <c r="O1197" s="53" t="str">
        <f t="shared" si="260"/>
        <v/>
      </c>
      <c r="P1197" s="53" t="str">
        <f t="shared" si="261"/>
        <v/>
      </c>
      <c r="Q1197" s="53" t="str">
        <f t="shared" si="262"/>
        <v/>
      </c>
      <c r="R1197" s="53" t="str">
        <f t="shared" si="263"/>
        <v/>
      </c>
      <c r="S1197" s="53" t="str">
        <f t="shared" si="264"/>
        <v/>
      </c>
      <c r="T1197" s="53" t="str">
        <f t="shared" si="265"/>
        <v/>
      </c>
    </row>
    <row r="1198" spans="1:20">
      <c r="A1198" s="47" t="str">
        <f>IF(archive!E1198="","",archive!E1198)</f>
        <v/>
      </c>
      <c r="B1198" s="48" t="str">
        <f t="shared" si="252"/>
        <v/>
      </c>
      <c r="C1198" s="49" t="str">
        <f>IF(archive!F1198="","",archive!F1198)</f>
        <v/>
      </c>
      <c r="D1198" s="50" t="str">
        <f t="shared" si="253"/>
        <v/>
      </c>
      <c r="E1198" s="50" t="str">
        <f t="shared" si="254"/>
        <v/>
      </c>
      <c r="F1198" s="47" t="str">
        <f>IF(COUNTA(archive!H1198:CI1198)=0,"",COUNTA(archive!H1198:CI1198))</f>
        <v/>
      </c>
      <c r="G1198" s="47" t="str">
        <f>IF(archive!G1198="","",archive!G1198)</f>
        <v/>
      </c>
      <c r="H1198" s="51" t="str">
        <f>IF(archive!CJ1198="","",archive!CJ1198)</f>
        <v/>
      </c>
      <c r="I1198" s="51" t="str">
        <f>IF(archive!CK1198="","",archive!CK1198)</f>
        <v/>
      </c>
      <c r="J1198" s="47" t="str">
        <f t="shared" si="255"/>
        <v/>
      </c>
      <c r="K1198" s="51" t="str">
        <f t="shared" si="256"/>
        <v/>
      </c>
      <c r="L1198" s="52" t="str">
        <f t="shared" si="257"/>
        <v/>
      </c>
      <c r="M1198" s="53" t="str">
        <f t="shared" si="258"/>
        <v/>
      </c>
      <c r="N1198" s="53" t="str">
        <f t="shared" si="259"/>
        <v/>
      </c>
      <c r="O1198" s="53" t="str">
        <f t="shared" si="260"/>
        <v/>
      </c>
      <c r="P1198" s="53" t="str">
        <f t="shared" si="261"/>
        <v/>
      </c>
      <c r="Q1198" s="53" t="str">
        <f t="shared" si="262"/>
        <v/>
      </c>
      <c r="R1198" s="53" t="str">
        <f t="shared" si="263"/>
        <v/>
      </c>
      <c r="S1198" s="53" t="str">
        <f t="shared" si="264"/>
        <v/>
      </c>
      <c r="T1198" s="53" t="str">
        <f t="shared" si="265"/>
        <v/>
      </c>
    </row>
    <row r="1199" spans="1:20">
      <c r="A1199" s="47" t="str">
        <f>IF(archive!E1199="","",archive!E1199)</f>
        <v/>
      </c>
      <c r="B1199" s="48" t="str">
        <f t="shared" si="252"/>
        <v/>
      </c>
      <c r="C1199" s="49" t="str">
        <f>IF(archive!F1199="","",archive!F1199)</f>
        <v/>
      </c>
      <c r="D1199" s="50" t="str">
        <f t="shared" si="253"/>
        <v/>
      </c>
      <c r="E1199" s="50" t="str">
        <f t="shared" si="254"/>
        <v/>
      </c>
      <c r="F1199" s="47" t="str">
        <f>IF(COUNTA(archive!H1199:CI1199)=0,"",COUNTA(archive!H1199:CI1199))</f>
        <v/>
      </c>
      <c r="G1199" s="47" t="str">
        <f>IF(archive!G1199="","",archive!G1199)</f>
        <v/>
      </c>
      <c r="H1199" s="51" t="str">
        <f>IF(archive!CJ1199="","",archive!CJ1199)</f>
        <v/>
      </c>
      <c r="I1199" s="51" t="str">
        <f>IF(archive!CK1199="","",archive!CK1199)</f>
        <v/>
      </c>
      <c r="J1199" s="47" t="str">
        <f t="shared" si="255"/>
        <v/>
      </c>
      <c r="K1199" s="51" t="str">
        <f t="shared" si="256"/>
        <v/>
      </c>
      <c r="L1199" s="52" t="str">
        <f t="shared" si="257"/>
        <v/>
      </c>
      <c r="M1199" s="53" t="str">
        <f t="shared" si="258"/>
        <v/>
      </c>
      <c r="N1199" s="53" t="str">
        <f t="shared" si="259"/>
        <v/>
      </c>
      <c r="O1199" s="53" t="str">
        <f t="shared" si="260"/>
        <v/>
      </c>
      <c r="P1199" s="53" t="str">
        <f t="shared" si="261"/>
        <v/>
      </c>
      <c r="Q1199" s="53" t="str">
        <f t="shared" si="262"/>
        <v/>
      </c>
      <c r="R1199" s="53" t="str">
        <f t="shared" si="263"/>
        <v/>
      </c>
      <c r="S1199" s="53" t="str">
        <f t="shared" si="264"/>
        <v/>
      </c>
      <c r="T1199" s="53" t="str">
        <f t="shared" si="265"/>
        <v/>
      </c>
    </row>
    <row r="1200" spans="1:20">
      <c r="A1200" s="47" t="str">
        <f>IF(archive!E1200="","",archive!E1200)</f>
        <v/>
      </c>
      <c r="B1200" s="48" t="str">
        <f t="shared" si="252"/>
        <v/>
      </c>
      <c r="C1200" s="49" t="str">
        <f>IF(archive!F1200="","",archive!F1200)</f>
        <v/>
      </c>
      <c r="D1200" s="50" t="str">
        <f t="shared" si="253"/>
        <v/>
      </c>
      <c r="E1200" s="50" t="str">
        <f t="shared" si="254"/>
        <v/>
      </c>
      <c r="F1200" s="47" t="str">
        <f>IF(COUNTA(archive!H1200:CI1200)=0,"",COUNTA(archive!H1200:CI1200))</f>
        <v/>
      </c>
      <c r="G1200" s="47" t="str">
        <f>IF(archive!G1200="","",archive!G1200)</f>
        <v/>
      </c>
      <c r="H1200" s="51" t="str">
        <f>IF(archive!CJ1200="","",archive!CJ1200)</f>
        <v/>
      </c>
      <c r="I1200" s="51" t="str">
        <f>IF(archive!CK1200="","",archive!CK1200)</f>
        <v/>
      </c>
      <c r="J1200" s="47" t="str">
        <f t="shared" si="255"/>
        <v/>
      </c>
      <c r="K1200" s="51" t="str">
        <f t="shared" si="256"/>
        <v/>
      </c>
      <c r="L1200" s="52" t="str">
        <f t="shared" si="257"/>
        <v/>
      </c>
      <c r="M1200" s="53" t="str">
        <f t="shared" si="258"/>
        <v/>
      </c>
      <c r="N1200" s="53" t="str">
        <f t="shared" si="259"/>
        <v/>
      </c>
      <c r="O1200" s="53" t="str">
        <f t="shared" si="260"/>
        <v/>
      </c>
      <c r="P1200" s="53" t="str">
        <f t="shared" si="261"/>
        <v/>
      </c>
      <c r="Q1200" s="53" t="str">
        <f t="shared" si="262"/>
        <v/>
      </c>
      <c r="R1200" s="53" t="str">
        <f t="shared" si="263"/>
        <v/>
      </c>
      <c r="S1200" s="53" t="str">
        <f t="shared" si="264"/>
        <v/>
      </c>
      <c r="T1200" s="53" t="str">
        <f t="shared" si="265"/>
        <v/>
      </c>
    </row>
    <row r="1201" spans="1:20">
      <c r="A1201" s="47" t="str">
        <f>IF(archive!E1201="","",archive!E1201)</f>
        <v/>
      </c>
      <c r="B1201" s="48" t="str">
        <f t="shared" si="252"/>
        <v/>
      </c>
      <c r="C1201" s="49" t="str">
        <f>IF(archive!F1201="","",archive!F1201)</f>
        <v/>
      </c>
      <c r="D1201" s="50" t="str">
        <f t="shared" si="253"/>
        <v/>
      </c>
      <c r="E1201" s="50" t="str">
        <f t="shared" si="254"/>
        <v/>
      </c>
      <c r="F1201" s="47" t="str">
        <f>IF(COUNTA(archive!H1201:CI1201)=0,"",COUNTA(archive!H1201:CI1201))</f>
        <v/>
      </c>
      <c r="G1201" s="47" t="str">
        <f>IF(archive!G1201="","",archive!G1201)</f>
        <v/>
      </c>
      <c r="H1201" s="51" t="str">
        <f>IF(archive!CJ1201="","",archive!CJ1201)</f>
        <v/>
      </c>
      <c r="I1201" s="51" t="str">
        <f>IF(archive!CK1201="","",archive!CK1201)</f>
        <v/>
      </c>
      <c r="J1201" s="47" t="str">
        <f t="shared" si="255"/>
        <v/>
      </c>
      <c r="K1201" s="51" t="str">
        <f t="shared" si="256"/>
        <v/>
      </c>
      <c r="L1201" s="52" t="str">
        <f t="shared" si="257"/>
        <v/>
      </c>
      <c r="M1201" s="53" t="str">
        <f t="shared" si="258"/>
        <v/>
      </c>
      <c r="N1201" s="53" t="str">
        <f t="shared" si="259"/>
        <v/>
      </c>
      <c r="O1201" s="53" t="str">
        <f t="shared" si="260"/>
        <v/>
      </c>
      <c r="P1201" s="53" t="str">
        <f t="shared" si="261"/>
        <v/>
      </c>
      <c r="Q1201" s="53" t="str">
        <f t="shared" si="262"/>
        <v/>
      </c>
      <c r="R1201" s="53" t="str">
        <f t="shared" si="263"/>
        <v/>
      </c>
      <c r="S1201" s="53" t="str">
        <f t="shared" si="264"/>
        <v/>
      </c>
      <c r="T1201" s="53" t="str">
        <f t="shared" si="265"/>
        <v/>
      </c>
    </row>
    <row r="1202" spans="1:20">
      <c r="A1202" s="47" t="str">
        <f>IF(archive!E1202="","",archive!E1202)</f>
        <v/>
      </c>
      <c r="B1202" s="48" t="str">
        <f t="shared" si="252"/>
        <v/>
      </c>
      <c r="C1202" s="49" t="str">
        <f>IF(archive!F1202="","",archive!F1202)</f>
        <v/>
      </c>
      <c r="D1202" s="50" t="str">
        <f t="shared" si="253"/>
        <v/>
      </c>
      <c r="E1202" s="50" t="str">
        <f t="shared" si="254"/>
        <v/>
      </c>
      <c r="F1202" s="47" t="str">
        <f>IF(COUNTA(archive!H1202:CI1202)=0,"",COUNTA(archive!H1202:CI1202))</f>
        <v/>
      </c>
      <c r="G1202" s="47" t="str">
        <f>IF(archive!G1202="","",archive!G1202)</f>
        <v/>
      </c>
      <c r="H1202" s="51" t="str">
        <f>IF(archive!CJ1202="","",archive!CJ1202)</f>
        <v/>
      </c>
      <c r="I1202" s="51" t="str">
        <f>IF(archive!CK1202="","",archive!CK1202)</f>
        <v/>
      </c>
      <c r="J1202" s="47" t="str">
        <f t="shared" si="255"/>
        <v/>
      </c>
      <c r="K1202" s="51" t="str">
        <f t="shared" si="256"/>
        <v/>
      </c>
      <c r="L1202" s="52" t="str">
        <f t="shared" si="257"/>
        <v/>
      </c>
      <c r="M1202" s="53" t="str">
        <f t="shared" si="258"/>
        <v/>
      </c>
      <c r="N1202" s="53" t="str">
        <f t="shared" si="259"/>
        <v/>
      </c>
      <c r="O1202" s="53" t="str">
        <f t="shared" si="260"/>
        <v/>
      </c>
      <c r="P1202" s="53" t="str">
        <f t="shared" si="261"/>
        <v/>
      </c>
      <c r="Q1202" s="53" t="str">
        <f t="shared" si="262"/>
        <v/>
      </c>
      <c r="R1202" s="53" t="str">
        <f t="shared" si="263"/>
        <v/>
      </c>
      <c r="S1202" s="53" t="str">
        <f t="shared" si="264"/>
        <v/>
      </c>
      <c r="T1202" s="53" t="str">
        <f t="shared" si="265"/>
        <v/>
      </c>
    </row>
    <row r="1203" spans="1:20">
      <c r="A1203" s="47" t="str">
        <f>IF(archive!E1203="","",archive!E1203)</f>
        <v/>
      </c>
      <c r="B1203" s="48" t="str">
        <f t="shared" si="252"/>
        <v/>
      </c>
      <c r="C1203" s="49" t="str">
        <f>IF(archive!F1203="","",archive!F1203)</f>
        <v/>
      </c>
      <c r="D1203" s="50" t="str">
        <f t="shared" si="253"/>
        <v/>
      </c>
      <c r="E1203" s="50" t="str">
        <f t="shared" si="254"/>
        <v/>
      </c>
      <c r="F1203" s="47" t="str">
        <f>IF(COUNTA(archive!H1203:CI1203)=0,"",COUNTA(archive!H1203:CI1203))</f>
        <v/>
      </c>
      <c r="G1203" s="47" t="str">
        <f>IF(archive!G1203="","",archive!G1203)</f>
        <v/>
      </c>
      <c r="H1203" s="51" t="str">
        <f>IF(archive!CJ1203="","",archive!CJ1203)</f>
        <v/>
      </c>
      <c r="I1203" s="51" t="str">
        <f>IF(archive!CK1203="","",archive!CK1203)</f>
        <v/>
      </c>
      <c r="J1203" s="47" t="str">
        <f t="shared" si="255"/>
        <v/>
      </c>
      <c r="K1203" s="51" t="str">
        <f t="shared" si="256"/>
        <v/>
      </c>
      <c r="L1203" s="52" t="str">
        <f t="shared" si="257"/>
        <v/>
      </c>
      <c r="M1203" s="53" t="str">
        <f t="shared" si="258"/>
        <v/>
      </c>
      <c r="N1203" s="53" t="str">
        <f t="shared" si="259"/>
        <v/>
      </c>
      <c r="O1203" s="53" t="str">
        <f t="shared" si="260"/>
        <v/>
      </c>
      <c r="P1203" s="53" t="str">
        <f t="shared" si="261"/>
        <v/>
      </c>
      <c r="Q1203" s="53" t="str">
        <f t="shared" si="262"/>
        <v/>
      </c>
      <c r="R1203" s="53" t="str">
        <f t="shared" si="263"/>
        <v/>
      </c>
      <c r="S1203" s="53" t="str">
        <f t="shared" si="264"/>
        <v/>
      </c>
      <c r="T1203" s="53" t="str">
        <f t="shared" si="265"/>
        <v/>
      </c>
    </row>
    <row r="1204" spans="1:20">
      <c r="A1204" s="47" t="str">
        <f>IF(archive!E1204="","",archive!E1204)</f>
        <v/>
      </c>
      <c r="B1204" s="48" t="str">
        <f t="shared" si="252"/>
        <v/>
      </c>
      <c r="C1204" s="49" t="str">
        <f>IF(archive!F1204="","",archive!F1204)</f>
        <v/>
      </c>
      <c r="D1204" s="50" t="str">
        <f t="shared" si="253"/>
        <v/>
      </c>
      <c r="E1204" s="50" t="str">
        <f t="shared" si="254"/>
        <v/>
      </c>
      <c r="F1204" s="47" t="str">
        <f>IF(COUNTA(archive!H1204:CI1204)=0,"",COUNTA(archive!H1204:CI1204))</f>
        <v/>
      </c>
      <c r="G1204" s="47" t="str">
        <f>IF(archive!G1204="","",archive!G1204)</f>
        <v/>
      </c>
      <c r="H1204" s="51" t="str">
        <f>IF(archive!CJ1204="","",archive!CJ1204)</f>
        <v/>
      </c>
      <c r="I1204" s="51" t="str">
        <f>IF(archive!CK1204="","",archive!CK1204)</f>
        <v/>
      </c>
      <c r="J1204" s="47" t="str">
        <f t="shared" si="255"/>
        <v/>
      </c>
      <c r="K1204" s="51" t="str">
        <f t="shared" si="256"/>
        <v/>
      </c>
      <c r="L1204" s="52" t="str">
        <f t="shared" si="257"/>
        <v/>
      </c>
      <c r="M1204" s="53" t="str">
        <f t="shared" si="258"/>
        <v/>
      </c>
      <c r="N1204" s="53" t="str">
        <f t="shared" si="259"/>
        <v/>
      </c>
      <c r="O1204" s="53" t="str">
        <f t="shared" si="260"/>
        <v/>
      </c>
      <c r="P1204" s="53" t="str">
        <f t="shared" si="261"/>
        <v/>
      </c>
      <c r="Q1204" s="53" t="str">
        <f t="shared" si="262"/>
        <v/>
      </c>
      <c r="R1204" s="53" t="str">
        <f t="shared" si="263"/>
        <v/>
      </c>
      <c r="S1204" s="53" t="str">
        <f t="shared" si="264"/>
        <v/>
      </c>
      <c r="T1204" s="53" t="str">
        <f t="shared" si="265"/>
        <v/>
      </c>
    </row>
    <row r="1205" spans="1:20">
      <c r="A1205" s="47" t="str">
        <f>IF(archive!E1205="","",archive!E1205)</f>
        <v/>
      </c>
      <c r="B1205" s="48" t="str">
        <f t="shared" si="252"/>
        <v/>
      </c>
      <c r="C1205" s="49" t="str">
        <f>IF(archive!F1205="","",archive!F1205)</f>
        <v/>
      </c>
      <c r="D1205" s="50" t="str">
        <f t="shared" si="253"/>
        <v/>
      </c>
      <c r="E1205" s="50" t="str">
        <f t="shared" si="254"/>
        <v/>
      </c>
      <c r="F1205" s="47" t="str">
        <f>IF(COUNTA(archive!H1205:CI1205)=0,"",COUNTA(archive!H1205:CI1205))</f>
        <v/>
      </c>
      <c r="G1205" s="47" t="str">
        <f>IF(archive!G1205="","",archive!G1205)</f>
        <v/>
      </c>
      <c r="H1205" s="51" t="str">
        <f>IF(archive!CJ1205="","",archive!CJ1205)</f>
        <v/>
      </c>
      <c r="I1205" s="51" t="str">
        <f>IF(archive!CK1205="","",archive!CK1205)</f>
        <v/>
      </c>
      <c r="J1205" s="47" t="str">
        <f t="shared" si="255"/>
        <v/>
      </c>
      <c r="K1205" s="51" t="str">
        <f t="shared" si="256"/>
        <v/>
      </c>
      <c r="L1205" s="52" t="str">
        <f t="shared" si="257"/>
        <v/>
      </c>
      <c r="M1205" s="53" t="str">
        <f t="shared" si="258"/>
        <v/>
      </c>
      <c r="N1205" s="53" t="str">
        <f t="shared" si="259"/>
        <v/>
      </c>
      <c r="O1205" s="53" t="str">
        <f t="shared" si="260"/>
        <v/>
      </c>
      <c r="P1205" s="53" t="str">
        <f t="shared" si="261"/>
        <v/>
      </c>
      <c r="Q1205" s="53" t="str">
        <f t="shared" si="262"/>
        <v/>
      </c>
      <c r="R1205" s="53" t="str">
        <f t="shared" si="263"/>
        <v/>
      </c>
      <c r="S1205" s="53" t="str">
        <f t="shared" si="264"/>
        <v/>
      </c>
      <c r="T1205" s="53" t="str">
        <f t="shared" si="265"/>
        <v/>
      </c>
    </row>
    <row r="1206" spans="1:20">
      <c r="A1206" s="47" t="str">
        <f>IF(archive!E1206="","",archive!E1206)</f>
        <v/>
      </c>
      <c r="B1206" s="48" t="str">
        <f t="shared" si="252"/>
        <v/>
      </c>
      <c r="C1206" s="49" t="str">
        <f>IF(archive!F1206="","",archive!F1206)</f>
        <v/>
      </c>
      <c r="D1206" s="50" t="str">
        <f t="shared" si="253"/>
        <v/>
      </c>
      <c r="E1206" s="50" t="str">
        <f t="shared" si="254"/>
        <v/>
      </c>
      <c r="F1206" s="47" t="str">
        <f>IF(COUNTA(archive!H1206:CI1206)=0,"",COUNTA(archive!H1206:CI1206))</f>
        <v/>
      </c>
      <c r="G1206" s="47" t="str">
        <f>IF(archive!G1206="","",archive!G1206)</f>
        <v/>
      </c>
      <c r="H1206" s="51" t="str">
        <f>IF(archive!CJ1206="","",archive!CJ1206)</f>
        <v/>
      </c>
      <c r="I1206" s="51" t="str">
        <f>IF(archive!CK1206="","",archive!CK1206)</f>
        <v/>
      </c>
      <c r="J1206" s="47" t="str">
        <f t="shared" si="255"/>
        <v/>
      </c>
      <c r="K1206" s="51" t="str">
        <f t="shared" si="256"/>
        <v/>
      </c>
      <c r="L1206" s="52" t="str">
        <f t="shared" si="257"/>
        <v/>
      </c>
      <c r="M1206" s="53" t="str">
        <f t="shared" si="258"/>
        <v/>
      </c>
      <c r="N1206" s="53" t="str">
        <f t="shared" si="259"/>
        <v/>
      </c>
      <c r="O1206" s="53" t="str">
        <f t="shared" si="260"/>
        <v/>
      </c>
      <c r="P1206" s="53" t="str">
        <f t="shared" si="261"/>
        <v/>
      </c>
      <c r="Q1206" s="53" t="str">
        <f t="shared" si="262"/>
        <v/>
      </c>
      <c r="R1206" s="53" t="str">
        <f t="shared" si="263"/>
        <v/>
      </c>
      <c r="S1206" s="53" t="str">
        <f t="shared" si="264"/>
        <v/>
      </c>
      <c r="T1206" s="53" t="str">
        <f t="shared" si="265"/>
        <v/>
      </c>
    </row>
    <row r="1207" spans="1:20">
      <c r="A1207" s="47" t="str">
        <f>IF(archive!E1207="","",archive!E1207)</f>
        <v/>
      </c>
      <c r="B1207" s="48" t="str">
        <f t="shared" si="252"/>
        <v/>
      </c>
      <c r="C1207" s="49" t="str">
        <f>IF(archive!F1207="","",archive!F1207)</f>
        <v/>
      </c>
      <c r="D1207" s="50" t="str">
        <f t="shared" si="253"/>
        <v/>
      </c>
      <c r="E1207" s="50" t="str">
        <f t="shared" si="254"/>
        <v/>
      </c>
      <c r="F1207" s="47" t="str">
        <f>IF(COUNTA(archive!H1207:CI1207)=0,"",COUNTA(archive!H1207:CI1207))</f>
        <v/>
      </c>
      <c r="G1207" s="47" t="str">
        <f>IF(archive!G1207="","",archive!G1207)</f>
        <v/>
      </c>
      <c r="H1207" s="51" t="str">
        <f>IF(archive!CJ1207="","",archive!CJ1207)</f>
        <v/>
      </c>
      <c r="I1207" s="51" t="str">
        <f>IF(archive!CK1207="","",archive!CK1207)</f>
        <v/>
      </c>
      <c r="J1207" s="47" t="str">
        <f t="shared" si="255"/>
        <v/>
      </c>
      <c r="K1207" s="51" t="str">
        <f t="shared" si="256"/>
        <v/>
      </c>
      <c r="L1207" s="52" t="str">
        <f t="shared" si="257"/>
        <v/>
      </c>
      <c r="M1207" s="53" t="str">
        <f t="shared" si="258"/>
        <v/>
      </c>
      <c r="N1207" s="53" t="str">
        <f t="shared" si="259"/>
        <v/>
      </c>
      <c r="O1207" s="53" t="str">
        <f t="shared" si="260"/>
        <v/>
      </c>
      <c r="P1207" s="53" t="str">
        <f t="shared" si="261"/>
        <v/>
      </c>
      <c r="Q1207" s="53" t="str">
        <f t="shared" si="262"/>
        <v/>
      </c>
      <c r="R1207" s="53" t="str">
        <f t="shared" si="263"/>
        <v/>
      </c>
      <c r="S1207" s="53" t="str">
        <f t="shared" si="264"/>
        <v/>
      </c>
      <c r="T1207" s="53" t="str">
        <f t="shared" si="265"/>
        <v/>
      </c>
    </row>
    <row r="1208" spans="1:20">
      <c r="A1208" s="47" t="str">
        <f>IF(archive!E1208="","",archive!E1208)</f>
        <v/>
      </c>
      <c r="B1208" s="48" t="str">
        <f t="shared" si="252"/>
        <v/>
      </c>
      <c r="C1208" s="49" t="str">
        <f>IF(archive!F1208="","",archive!F1208)</f>
        <v/>
      </c>
      <c r="D1208" s="50" t="str">
        <f t="shared" si="253"/>
        <v/>
      </c>
      <c r="E1208" s="50" t="str">
        <f t="shared" si="254"/>
        <v/>
      </c>
      <c r="F1208" s="47" t="str">
        <f>IF(COUNTA(archive!H1208:CI1208)=0,"",COUNTA(archive!H1208:CI1208))</f>
        <v/>
      </c>
      <c r="G1208" s="47" t="str">
        <f>IF(archive!G1208="","",archive!G1208)</f>
        <v/>
      </c>
      <c r="H1208" s="51" t="str">
        <f>IF(archive!CJ1208="","",archive!CJ1208)</f>
        <v/>
      </c>
      <c r="I1208" s="51" t="str">
        <f>IF(archive!CK1208="","",archive!CK1208)</f>
        <v/>
      </c>
      <c r="J1208" s="47" t="str">
        <f t="shared" si="255"/>
        <v/>
      </c>
      <c r="K1208" s="51" t="str">
        <f t="shared" si="256"/>
        <v/>
      </c>
      <c r="L1208" s="52" t="str">
        <f t="shared" si="257"/>
        <v/>
      </c>
      <c r="M1208" s="53" t="str">
        <f t="shared" si="258"/>
        <v/>
      </c>
      <c r="N1208" s="53" t="str">
        <f t="shared" si="259"/>
        <v/>
      </c>
      <c r="O1208" s="53" t="str">
        <f t="shared" si="260"/>
        <v/>
      </c>
      <c r="P1208" s="53" t="str">
        <f t="shared" si="261"/>
        <v/>
      </c>
      <c r="Q1208" s="53" t="str">
        <f t="shared" si="262"/>
        <v/>
      </c>
      <c r="R1208" s="53" t="str">
        <f t="shared" si="263"/>
        <v/>
      </c>
      <c r="S1208" s="53" t="str">
        <f t="shared" si="264"/>
        <v/>
      </c>
      <c r="T1208" s="53" t="str">
        <f t="shared" si="265"/>
        <v/>
      </c>
    </row>
    <row r="1209" spans="1:20">
      <c r="A1209" s="47" t="str">
        <f>IF(archive!E1209="","",archive!E1209)</f>
        <v/>
      </c>
      <c r="B1209" s="48" t="str">
        <f t="shared" si="252"/>
        <v/>
      </c>
      <c r="C1209" s="49" t="str">
        <f>IF(archive!F1209="","",archive!F1209)</f>
        <v/>
      </c>
      <c r="D1209" s="50" t="str">
        <f t="shared" si="253"/>
        <v/>
      </c>
      <c r="E1209" s="50" t="str">
        <f t="shared" si="254"/>
        <v/>
      </c>
      <c r="F1209" s="47" t="str">
        <f>IF(COUNTA(archive!H1209:CI1209)=0,"",COUNTA(archive!H1209:CI1209))</f>
        <v/>
      </c>
      <c r="G1209" s="47" t="str">
        <f>IF(archive!G1209="","",archive!G1209)</f>
        <v/>
      </c>
      <c r="H1209" s="51" t="str">
        <f>IF(archive!CJ1209="","",archive!CJ1209)</f>
        <v/>
      </c>
      <c r="I1209" s="51" t="str">
        <f>IF(archive!CK1209="","",archive!CK1209)</f>
        <v/>
      </c>
      <c r="J1209" s="47" t="str">
        <f t="shared" si="255"/>
        <v/>
      </c>
      <c r="K1209" s="51" t="str">
        <f t="shared" si="256"/>
        <v/>
      </c>
      <c r="L1209" s="52" t="str">
        <f t="shared" si="257"/>
        <v/>
      </c>
      <c r="M1209" s="53" t="str">
        <f t="shared" si="258"/>
        <v/>
      </c>
      <c r="N1209" s="53" t="str">
        <f t="shared" si="259"/>
        <v/>
      </c>
      <c r="O1209" s="53" t="str">
        <f t="shared" si="260"/>
        <v/>
      </c>
      <c r="P1209" s="53" t="str">
        <f t="shared" si="261"/>
        <v/>
      </c>
      <c r="Q1209" s="53" t="str">
        <f t="shared" si="262"/>
        <v/>
      </c>
      <c r="R1209" s="53" t="str">
        <f t="shared" si="263"/>
        <v/>
      </c>
      <c r="S1209" s="53" t="str">
        <f t="shared" si="264"/>
        <v/>
      </c>
      <c r="T1209" s="53" t="str">
        <f t="shared" si="265"/>
        <v/>
      </c>
    </row>
    <row r="1210" spans="1:20">
      <c r="A1210" s="47" t="str">
        <f>IF(archive!E1210="","",archive!E1210)</f>
        <v/>
      </c>
      <c r="B1210" s="48" t="str">
        <f t="shared" si="252"/>
        <v/>
      </c>
      <c r="C1210" s="49" t="str">
        <f>IF(archive!F1210="","",archive!F1210)</f>
        <v/>
      </c>
      <c r="D1210" s="50" t="str">
        <f t="shared" si="253"/>
        <v/>
      </c>
      <c r="E1210" s="50" t="str">
        <f t="shared" si="254"/>
        <v/>
      </c>
      <c r="F1210" s="47" t="str">
        <f>IF(COUNTA(archive!H1210:CI1210)=0,"",COUNTA(archive!H1210:CI1210))</f>
        <v/>
      </c>
      <c r="G1210" s="47" t="str">
        <f>IF(archive!G1210="","",archive!G1210)</f>
        <v/>
      </c>
      <c r="H1210" s="51" t="str">
        <f>IF(archive!CJ1210="","",archive!CJ1210)</f>
        <v/>
      </c>
      <c r="I1210" s="51" t="str">
        <f>IF(archive!CK1210="","",archive!CK1210)</f>
        <v/>
      </c>
      <c r="J1210" s="47" t="str">
        <f t="shared" si="255"/>
        <v/>
      </c>
      <c r="K1210" s="51" t="str">
        <f t="shared" si="256"/>
        <v/>
      </c>
      <c r="L1210" s="52" t="str">
        <f t="shared" si="257"/>
        <v/>
      </c>
      <c r="M1210" s="53" t="str">
        <f t="shared" si="258"/>
        <v/>
      </c>
      <c r="N1210" s="53" t="str">
        <f t="shared" si="259"/>
        <v/>
      </c>
      <c r="O1210" s="53" t="str">
        <f t="shared" si="260"/>
        <v/>
      </c>
      <c r="P1210" s="53" t="str">
        <f t="shared" si="261"/>
        <v/>
      </c>
      <c r="Q1210" s="53" t="str">
        <f t="shared" si="262"/>
        <v/>
      </c>
      <c r="R1210" s="53" t="str">
        <f t="shared" si="263"/>
        <v/>
      </c>
      <c r="S1210" s="53" t="str">
        <f t="shared" si="264"/>
        <v/>
      </c>
      <c r="T1210" s="53" t="str">
        <f t="shared" si="265"/>
        <v/>
      </c>
    </row>
    <row r="1211" spans="1:20">
      <c r="A1211" s="47" t="str">
        <f>IF(archive!E1211="","",archive!E1211)</f>
        <v/>
      </c>
      <c r="B1211" s="48" t="str">
        <f t="shared" si="252"/>
        <v/>
      </c>
      <c r="C1211" s="49" t="str">
        <f>IF(archive!F1211="","",archive!F1211)</f>
        <v/>
      </c>
      <c r="D1211" s="50" t="str">
        <f t="shared" si="253"/>
        <v/>
      </c>
      <c r="E1211" s="50" t="str">
        <f t="shared" si="254"/>
        <v/>
      </c>
      <c r="F1211" s="47" t="str">
        <f>IF(COUNTA(archive!H1211:CI1211)=0,"",COUNTA(archive!H1211:CI1211))</f>
        <v/>
      </c>
      <c r="G1211" s="47" t="str">
        <f>IF(archive!G1211="","",archive!G1211)</f>
        <v/>
      </c>
      <c r="H1211" s="51" t="str">
        <f>IF(archive!CJ1211="","",archive!CJ1211)</f>
        <v/>
      </c>
      <c r="I1211" s="51" t="str">
        <f>IF(archive!CK1211="","",archive!CK1211)</f>
        <v/>
      </c>
      <c r="J1211" s="47" t="str">
        <f t="shared" si="255"/>
        <v/>
      </c>
      <c r="K1211" s="51" t="str">
        <f t="shared" si="256"/>
        <v/>
      </c>
      <c r="L1211" s="52" t="str">
        <f t="shared" si="257"/>
        <v/>
      </c>
      <c r="M1211" s="53" t="str">
        <f t="shared" si="258"/>
        <v/>
      </c>
      <c r="N1211" s="53" t="str">
        <f t="shared" si="259"/>
        <v/>
      </c>
      <c r="O1211" s="53" t="str">
        <f t="shared" si="260"/>
        <v/>
      </c>
      <c r="P1211" s="53" t="str">
        <f t="shared" si="261"/>
        <v/>
      </c>
      <c r="Q1211" s="53" t="str">
        <f t="shared" si="262"/>
        <v/>
      </c>
      <c r="R1211" s="53" t="str">
        <f t="shared" si="263"/>
        <v/>
      </c>
      <c r="S1211" s="53" t="str">
        <f t="shared" si="264"/>
        <v/>
      </c>
      <c r="T1211" s="53" t="str">
        <f t="shared" si="265"/>
        <v/>
      </c>
    </row>
    <row r="1212" spans="1:20">
      <c r="A1212" s="47" t="str">
        <f>IF(archive!E1212="","",archive!E1212)</f>
        <v/>
      </c>
      <c r="B1212" s="48" t="str">
        <f t="shared" si="252"/>
        <v/>
      </c>
      <c r="C1212" s="49" t="str">
        <f>IF(archive!F1212="","",archive!F1212)</f>
        <v/>
      </c>
      <c r="D1212" s="50" t="str">
        <f t="shared" si="253"/>
        <v/>
      </c>
      <c r="E1212" s="50" t="str">
        <f t="shared" si="254"/>
        <v/>
      </c>
      <c r="F1212" s="47" t="str">
        <f>IF(COUNTA(archive!H1212:CI1212)=0,"",COUNTA(archive!H1212:CI1212))</f>
        <v/>
      </c>
      <c r="G1212" s="47" t="str">
        <f>IF(archive!G1212="","",archive!G1212)</f>
        <v/>
      </c>
      <c r="H1212" s="51" t="str">
        <f>IF(archive!CJ1212="","",archive!CJ1212)</f>
        <v/>
      </c>
      <c r="I1212" s="51" t="str">
        <f>IF(archive!CK1212="","",archive!CK1212)</f>
        <v/>
      </c>
      <c r="J1212" s="47" t="str">
        <f t="shared" si="255"/>
        <v/>
      </c>
      <c r="K1212" s="51" t="str">
        <f t="shared" si="256"/>
        <v/>
      </c>
      <c r="L1212" s="52" t="str">
        <f t="shared" si="257"/>
        <v/>
      </c>
      <c r="M1212" s="53" t="str">
        <f t="shared" si="258"/>
        <v/>
      </c>
      <c r="N1212" s="53" t="str">
        <f t="shared" si="259"/>
        <v/>
      </c>
      <c r="O1212" s="53" t="str">
        <f t="shared" si="260"/>
        <v/>
      </c>
      <c r="P1212" s="53" t="str">
        <f t="shared" si="261"/>
        <v/>
      </c>
      <c r="Q1212" s="53" t="str">
        <f t="shared" si="262"/>
        <v/>
      </c>
      <c r="R1212" s="53" t="str">
        <f t="shared" si="263"/>
        <v/>
      </c>
      <c r="S1212" s="53" t="str">
        <f t="shared" si="264"/>
        <v/>
      </c>
      <c r="T1212" s="53" t="str">
        <f t="shared" si="265"/>
        <v/>
      </c>
    </row>
    <row r="1213" spans="1:20">
      <c r="A1213" s="47" t="str">
        <f>IF(archive!E1213="","",archive!E1213)</f>
        <v/>
      </c>
      <c r="B1213" s="48" t="str">
        <f t="shared" si="252"/>
        <v/>
      </c>
      <c r="C1213" s="49" t="str">
        <f>IF(archive!F1213="","",archive!F1213)</f>
        <v/>
      </c>
      <c r="D1213" s="50" t="str">
        <f t="shared" si="253"/>
        <v/>
      </c>
      <c r="E1213" s="50" t="str">
        <f t="shared" si="254"/>
        <v/>
      </c>
      <c r="F1213" s="47" t="str">
        <f>IF(COUNTA(archive!H1213:CI1213)=0,"",COUNTA(archive!H1213:CI1213))</f>
        <v/>
      </c>
      <c r="G1213" s="47" t="str">
        <f>IF(archive!G1213="","",archive!G1213)</f>
        <v/>
      </c>
      <c r="H1213" s="51" t="str">
        <f>IF(archive!CJ1213="","",archive!CJ1213)</f>
        <v/>
      </c>
      <c r="I1213" s="51" t="str">
        <f>IF(archive!CK1213="","",archive!CK1213)</f>
        <v/>
      </c>
      <c r="J1213" s="47" t="str">
        <f t="shared" si="255"/>
        <v/>
      </c>
      <c r="K1213" s="51" t="str">
        <f t="shared" si="256"/>
        <v/>
      </c>
      <c r="L1213" s="52" t="str">
        <f t="shared" si="257"/>
        <v/>
      </c>
      <c r="M1213" s="53" t="str">
        <f t="shared" si="258"/>
        <v/>
      </c>
      <c r="N1213" s="53" t="str">
        <f t="shared" si="259"/>
        <v/>
      </c>
      <c r="O1213" s="53" t="str">
        <f t="shared" si="260"/>
        <v/>
      </c>
      <c r="P1213" s="53" t="str">
        <f t="shared" si="261"/>
        <v/>
      </c>
      <c r="Q1213" s="53" t="str">
        <f t="shared" si="262"/>
        <v/>
      </c>
      <c r="R1213" s="53" t="str">
        <f t="shared" si="263"/>
        <v/>
      </c>
      <c r="S1213" s="53" t="str">
        <f t="shared" si="264"/>
        <v/>
      </c>
      <c r="T1213" s="53" t="str">
        <f t="shared" si="265"/>
        <v/>
      </c>
    </row>
    <row r="1214" spans="1:20">
      <c r="A1214" s="47" t="str">
        <f>IF(archive!E1214="","",archive!E1214)</f>
        <v/>
      </c>
      <c r="B1214" s="48" t="str">
        <f t="shared" si="252"/>
        <v/>
      </c>
      <c r="C1214" s="49" t="str">
        <f>IF(archive!F1214="","",archive!F1214)</f>
        <v/>
      </c>
      <c r="D1214" s="50" t="str">
        <f t="shared" si="253"/>
        <v/>
      </c>
      <c r="E1214" s="50" t="str">
        <f t="shared" si="254"/>
        <v/>
      </c>
      <c r="F1214" s="47" t="str">
        <f>IF(COUNTA(archive!H1214:CI1214)=0,"",COUNTA(archive!H1214:CI1214))</f>
        <v/>
      </c>
      <c r="G1214" s="47" t="str">
        <f>IF(archive!G1214="","",archive!G1214)</f>
        <v/>
      </c>
      <c r="H1214" s="51" t="str">
        <f>IF(archive!CJ1214="","",archive!CJ1214)</f>
        <v/>
      </c>
      <c r="I1214" s="51" t="str">
        <f>IF(archive!CK1214="","",archive!CK1214)</f>
        <v/>
      </c>
      <c r="J1214" s="47" t="str">
        <f t="shared" si="255"/>
        <v/>
      </c>
      <c r="K1214" s="51" t="str">
        <f t="shared" si="256"/>
        <v/>
      </c>
      <c r="L1214" s="52" t="str">
        <f t="shared" si="257"/>
        <v/>
      </c>
      <c r="M1214" s="53" t="str">
        <f t="shared" si="258"/>
        <v/>
      </c>
      <c r="N1214" s="53" t="str">
        <f t="shared" si="259"/>
        <v/>
      </c>
      <c r="O1214" s="53" t="str">
        <f t="shared" si="260"/>
        <v/>
      </c>
      <c r="P1214" s="53" t="str">
        <f t="shared" si="261"/>
        <v/>
      </c>
      <c r="Q1214" s="53" t="str">
        <f t="shared" si="262"/>
        <v/>
      </c>
      <c r="R1214" s="53" t="str">
        <f t="shared" si="263"/>
        <v/>
      </c>
      <c r="S1214" s="53" t="str">
        <f t="shared" si="264"/>
        <v/>
      </c>
      <c r="T1214" s="53" t="str">
        <f t="shared" si="265"/>
        <v/>
      </c>
    </row>
    <row r="1215" spans="1:20">
      <c r="A1215" s="47" t="str">
        <f>IF(archive!E1215="","",archive!E1215)</f>
        <v/>
      </c>
      <c r="B1215" s="48" t="str">
        <f t="shared" si="252"/>
        <v/>
      </c>
      <c r="C1215" s="49" t="str">
        <f>IF(archive!F1215="","",archive!F1215)</f>
        <v/>
      </c>
      <c r="D1215" s="50" t="str">
        <f t="shared" si="253"/>
        <v/>
      </c>
      <c r="E1215" s="50" t="str">
        <f t="shared" si="254"/>
        <v/>
      </c>
      <c r="F1215" s="47" t="str">
        <f>IF(COUNTA(archive!H1215:CI1215)=0,"",COUNTA(archive!H1215:CI1215))</f>
        <v/>
      </c>
      <c r="G1215" s="47" t="str">
        <f>IF(archive!G1215="","",archive!G1215)</f>
        <v/>
      </c>
      <c r="H1215" s="51" t="str">
        <f>IF(archive!CJ1215="","",archive!CJ1215)</f>
        <v/>
      </c>
      <c r="I1215" s="51" t="str">
        <f>IF(archive!CK1215="","",archive!CK1215)</f>
        <v/>
      </c>
      <c r="J1215" s="47" t="str">
        <f t="shared" si="255"/>
        <v/>
      </c>
      <c r="K1215" s="51" t="str">
        <f t="shared" si="256"/>
        <v/>
      </c>
      <c r="L1215" s="52" t="str">
        <f t="shared" si="257"/>
        <v/>
      </c>
      <c r="M1215" s="53" t="str">
        <f t="shared" si="258"/>
        <v/>
      </c>
      <c r="N1215" s="53" t="str">
        <f t="shared" si="259"/>
        <v/>
      </c>
      <c r="O1215" s="53" t="str">
        <f t="shared" si="260"/>
        <v/>
      </c>
      <c r="P1215" s="53" t="str">
        <f t="shared" si="261"/>
        <v/>
      </c>
      <c r="Q1215" s="53" t="str">
        <f t="shared" si="262"/>
        <v/>
      </c>
      <c r="R1215" s="53" t="str">
        <f t="shared" si="263"/>
        <v/>
      </c>
      <c r="S1215" s="53" t="str">
        <f t="shared" si="264"/>
        <v/>
      </c>
      <c r="T1215" s="53" t="str">
        <f t="shared" si="265"/>
        <v/>
      </c>
    </row>
    <row r="1216" spans="1:20">
      <c r="A1216" s="47" t="str">
        <f>IF(archive!E1216="","",archive!E1216)</f>
        <v/>
      </c>
      <c r="B1216" s="48" t="str">
        <f t="shared" si="252"/>
        <v/>
      </c>
      <c r="C1216" s="49" t="str">
        <f>IF(archive!F1216="","",archive!F1216)</f>
        <v/>
      </c>
      <c r="D1216" s="50" t="str">
        <f t="shared" si="253"/>
        <v/>
      </c>
      <c r="E1216" s="50" t="str">
        <f t="shared" si="254"/>
        <v/>
      </c>
      <c r="F1216" s="47" t="str">
        <f>IF(COUNTA(archive!H1216:CI1216)=0,"",COUNTA(archive!H1216:CI1216))</f>
        <v/>
      </c>
      <c r="G1216" s="47" t="str">
        <f>IF(archive!G1216="","",archive!G1216)</f>
        <v/>
      </c>
      <c r="H1216" s="51" t="str">
        <f>IF(archive!CJ1216="","",archive!CJ1216)</f>
        <v/>
      </c>
      <c r="I1216" s="51" t="str">
        <f>IF(archive!CK1216="","",archive!CK1216)</f>
        <v/>
      </c>
      <c r="J1216" s="47" t="str">
        <f t="shared" si="255"/>
        <v/>
      </c>
      <c r="K1216" s="51" t="str">
        <f t="shared" si="256"/>
        <v/>
      </c>
      <c r="L1216" s="52" t="str">
        <f t="shared" si="257"/>
        <v/>
      </c>
      <c r="M1216" s="53" t="str">
        <f t="shared" si="258"/>
        <v/>
      </c>
      <c r="N1216" s="53" t="str">
        <f t="shared" si="259"/>
        <v/>
      </c>
      <c r="O1216" s="53" t="str">
        <f t="shared" si="260"/>
        <v/>
      </c>
      <c r="P1216" s="53" t="str">
        <f t="shared" si="261"/>
        <v/>
      </c>
      <c r="Q1216" s="53" t="str">
        <f t="shared" si="262"/>
        <v/>
      </c>
      <c r="R1216" s="53" t="str">
        <f t="shared" si="263"/>
        <v/>
      </c>
      <c r="S1216" s="53" t="str">
        <f t="shared" si="264"/>
        <v/>
      </c>
      <c r="T1216" s="53" t="str">
        <f t="shared" si="265"/>
        <v/>
      </c>
    </row>
    <row r="1217" spans="1:20">
      <c r="A1217" s="47" t="str">
        <f>IF(archive!E1217="","",archive!E1217)</f>
        <v/>
      </c>
      <c r="B1217" s="48" t="str">
        <f t="shared" si="252"/>
        <v/>
      </c>
      <c r="C1217" s="49" t="str">
        <f>IF(archive!F1217="","",archive!F1217)</f>
        <v/>
      </c>
      <c r="D1217" s="50" t="str">
        <f t="shared" si="253"/>
        <v/>
      </c>
      <c r="E1217" s="50" t="str">
        <f t="shared" si="254"/>
        <v/>
      </c>
      <c r="F1217" s="47" t="str">
        <f>IF(COUNTA(archive!H1217:CI1217)=0,"",COUNTA(archive!H1217:CI1217))</f>
        <v/>
      </c>
      <c r="G1217" s="47" t="str">
        <f>IF(archive!G1217="","",archive!G1217)</f>
        <v/>
      </c>
      <c r="H1217" s="51" t="str">
        <f>IF(archive!CJ1217="","",archive!CJ1217)</f>
        <v/>
      </c>
      <c r="I1217" s="51" t="str">
        <f>IF(archive!CK1217="","",archive!CK1217)</f>
        <v/>
      </c>
      <c r="J1217" s="47" t="str">
        <f t="shared" si="255"/>
        <v/>
      </c>
      <c r="K1217" s="51" t="str">
        <f t="shared" si="256"/>
        <v/>
      </c>
      <c r="L1217" s="52" t="str">
        <f t="shared" si="257"/>
        <v/>
      </c>
      <c r="M1217" s="53" t="str">
        <f t="shared" si="258"/>
        <v/>
      </c>
      <c r="N1217" s="53" t="str">
        <f t="shared" si="259"/>
        <v/>
      </c>
      <c r="O1217" s="53" t="str">
        <f t="shared" si="260"/>
        <v/>
      </c>
      <c r="P1217" s="53" t="str">
        <f t="shared" si="261"/>
        <v/>
      </c>
      <c r="Q1217" s="53" t="str">
        <f t="shared" si="262"/>
        <v/>
      </c>
      <c r="R1217" s="53" t="str">
        <f t="shared" si="263"/>
        <v/>
      </c>
      <c r="S1217" s="53" t="str">
        <f t="shared" si="264"/>
        <v/>
      </c>
      <c r="T1217" s="53" t="str">
        <f t="shared" si="265"/>
        <v/>
      </c>
    </row>
    <row r="1218" spans="1:20">
      <c r="A1218" s="47" t="str">
        <f>IF(archive!E1218="","",archive!E1218)</f>
        <v/>
      </c>
      <c r="B1218" s="48" t="str">
        <f t="shared" si="252"/>
        <v/>
      </c>
      <c r="C1218" s="49" t="str">
        <f>IF(archive!F1218="","",archive!F1218)</f>
        <v/>
      </c>
      <c r="D1218" s="50" t="str">
        <f t="shared" si="253"/>
        <v/>
      </c>
      <c r="E1218" s="50" t="str">
        <f t="shared" si="254"/>
        <v/>
      </c>
      <c r="F1218" s="47" t="str">
        <f>IF(COUNTA(archive!H1218:CI1218)=0,"",COUNTA(archive!H1218:CI1218))</f>
        <v/>
      </c>
      <c r="G1218" s="47" t="str">
        <f>IF(archive!G1218="","",archive!G1218)</f>
        <v/>
      </c>
      <c r="H1218" s="51" t="str">
        <f>IF(archive!CJ1218="","",archive!CJ1218)</f>
        <v/>
      </c>
      <c r="I1218" s="51" t="str">
        <f>IF(archive!CK1218="","",archive!CK1218)</f>
        <v/>
      </c>
      <c r="J1218" s="47" t="str">
        <f t="shared" si="255"/>
        <v/>
      </c>
      <c r="K1218" s="51" t="str">
        <f t="shared" si="256"/>
        <v/>
      </c>
      <c r="L1218" s="52" t="str">
        <f t="shared" si="257"/>
        <v/>
      </c>
      <c r="M1218" s="53" t="str">
        <f t="shared" si="258"/>
        <v/>
      </c>
      <c r="N1218" s="53" t="str">
        <f t="shared" si="259"/>
        <v/>
      </c>
      <c r="O1218" s="53" t="str">
        <f t="shared" si="260"/>
        <v/>
      </c>
      <c r="P1218" s="53" t="str">
        <f t="shared" si="261"/>
        <v/>
      </c>
      <c r="Q1218" s="53" t="str">
        <f t="shared" si="262"/>
        <v/>
      </c>
      <c r="R1218" s="53" t="str">
        <f t="shared" si="263"/>
        <v/>
      </c>
      <c r="S1218" s="53" t="str">
        <f t="shared" si="264"/>
        <v/>
      </c>
      <c r="T1218" s="53" t="str">
        <f t="shared" si="265"/>
        <v/>
      </c>
    </row>
    <row r="1219" spans="1:20">
      <c r="A1219" s="47" t="str">
        <f>IF(archive!E1219="","",archive!E1219)</f>
        <v/>
      </c>
      <c r="B1219" s="48" t="str">
        <f t="shared" si="252"/>
        <v/>
      </c>
      <c r="C1219" s="49" t="str">
        <f>IF(archive!F1219="","",archive!F1219)</f>
        <v/>
      </c>
      <c r="D1219" s="50" t="str">
        <f t="shared" si="253"/>
        <v/>
      </c>
      <c r="E1219" s="50" t="str">
        <f t="shared" si="254"/>
        <v/>
      </c>
      <c r="F1219" s="47" t="str">
        <f>IF(COUNTA(archive!H1219:CI1219)=0,"",COUNTA(archive!H1219:CI1219))</f>
        <v/>
      </c>
      <c r="G1219" s="47" t="str">
        <f>IF(archive!G1219="","",archive!G1219)</f>
        <v/>
      </c>
      <c r="H1219" s="51" t="str">
        <f>IF(archive!CJ1219="","",archive!CJ1219)</f>
        <v/>
      </c>
      <c r="I1219" s="51" t="str">
        <f>IF(archive!CK1219="","",archive!CK1219)</f>
        <v/>
      </c>
      <c r="J1219" s="47" t="str">
        <f t="shared" si="255"/>
        <v/>
      </c>
      <c r="K1219" s="51" t="str">
        <f t="shared" si="256"/>
        <v/>
      </c>
      <c r="L1219" s="52" t="str">
        <f t="shared" si="257"/>
        <v/>
      </c>
      <c r="M1219" s="53" t="str">
        <f t="shared" si="258"/>
        <v/>
      </c>
      <c r="N1219" s="53" t="str">
        <f t="shared" si="259"/>
        <v/>
      </c>
      <c r="O1219" s="53" t="str">
        <f t="shared" si="260"/>
        <v/>
      </c>
      <c r="P1219" s="53" t="str">
        <f t="shared" si="261"/>
        <v/>
      </c>
      <c r="Q1219" s="53" t="str">
        <f t="shared" si="262"/>
        <v/>
      </c>
      <c r="R1219" s="53" t="str">
        <f t="shared" si="263"/>
        <v/>
      </c>
      <c r="S1219" s="53" t="str">
        <f t="shared" si="264"/>
        <v/>
      </c>
      <c r="T1219" s="53" t="str">
        <f t="shared" si="265"/>
        <v/>
      </c>
    </row>
    <row r="1220" spans="1:20">
      <c r="A1220" s="47" t="str">
        <f>IF(archive!E1220="","",archive!E1220)</f>
        <v/>
      </c>
      <c r="B1220" s="48" t="str">
        <f t="shared" ref="B1220:B1283" si="266">IF(C1220="","",VLOOKUP($C1220,Tare,2,0))</f>
        <v/>
      </c>
      <c r="C1220" s="49" t="str">
        <f>IF(archive!F1220="","",archive!F1220)</f>
        <v/>
      </c>
      <c r="D1220" s="50" t="str">
        <f t="shared" ref="D1220:D1283" si="267">IF(C1220="","",C1220+B1220)</f>
        <v/>
      </c>
      <c r="E1220" s="50" t="str">
        <f t="shared" ref="E1220:E1283" si="268">IF(C1220="","",(C1220*0.025)+D1220)</f>
        <v/>
      </c>
      <c r="F1220" s="47" t="str">
        <f>IF(COUNTA(archive!H1220:CI1220)=0,"",COUNTA(archive!H1220:CI1220))</f>
        <v/>
      </c>
      <c r="G1220" s="47" t="str">
        <f>IF(archive!G1220="","",archive!G1220)</f>
        <v/>
      </c>
      <c r="H1220" s="51" t="str">
        <f>IF(archive!CJ1220="","",archive!CJ1220)</f>
        <v/>
      </c>
      <c r="I1220" s="51" t="str">
        <f>IF(archive!CK1220="","",archive!CK1220)</f>
        <v/>
      </c>
      <c r="J1220" s="47" t="str">
        <f t="shared" ref="J1220:J1283" si="269">IF(F1220="","",VLOOKUP(F1220,Valeur_g,2,0))</f>
        <v/>
      </c>
      <c r="K1220" s="51" t="str">
        <f t="shared" ref="K1220:K1283" si="270">IF(C1220="","",D1220+(J1220*I1220))</f>
        <v/>
      </c>
      <c r="L1220" s="52" t="str">
        <f t="shared" ref="L1220:L1283" si="271">IF(C1220="","",IF(K1220&lt;H1220,"Conforme","Non conforme"))</f>
        <v/>
      </c>
      <c r="M1220" s="53" t="str">
        <f t="shared" ref="M1220:M1283" si="272">IF(C1220="","",1)</f>
        <v/>
      </c>
      <c r="N1220" s="53" t="str">
        <f t="shared" ref="N1220:N1283" si="273">IF(L1220="","",COUNTIF(L1220,"Non conforme"))</f>
        <v/>
      </c>
      <c r="O1220" s="53" t="str">
        <f t="shared" ref="O1220:O1283" si="274">IF($C1220="","",IF($C1220=0.25,$G1220,"-"))</f>
        <v/>
      </c>
      <c r="P1220" s="53" t="str">
        <f t="shared" ref="P1220:P1283" si="275">IF($C1220="","",IF($C1220=0.4,$G1220,"-"))</f>
        <v/>
      </c>
      <c r="Q1220" s="53" t="str">
        <f t="shared" ref="Q1220:Q1283" si="276">IF($C1220="","",IF($C1220=0.5,$G1220,"-"))</f>
        <v/>
      </c>
      <c r="R1220" s="53" t="str">
        <f t="shared" ref="R1220:R1283" si="277">IF($C1220="","",IF($C1220=0.6,$G1220,"-"))</f>
        <v/>
      </c>
      <c r="S1220" s="53" t="str">
        <f t="shared" ref="S1220:S1283" si="278">IF($C1220="","",IF($C1220=0.8,$G1220,"-"))</f>
        <v/>
      </c>
      <c r="T1220" s="53" t="str">
        <f t="shared" ref="T1220:T1283" si="279">IF($C1220="","",IF($C1220=1,$G1220,"-"))</f>
        <v/>
      </c>
    </row>
    <row r="1221" spans="1:20">
      <c r="A1221" s="47" t="str">
        <f>IF(archive!E1221="","",archive!E1221)</f>
        <v/>
      </c>
      <c r="B1221" s="48" t="str">
        <f t="shared" si="266"/>
        <v/>
      </c>
      <c r="C1221" s="49" t="str">
        <f>IF(archive!F1221="","",archive!F1221)</f>
        <v/>
      </c>
      <c r="D1221" s="50" t="str">
        <f t="shared" si="267"/>
        <v/>
      </c>
      <c r="E1221" s="50" t="str">
        <f t="shared" si="268"/>
        <v/>
      </c>
      <c r="F1221" s="47" t="str">
        <f>IF(COUNTA(archive!H1221:CI1221)=0,"",COUNTA(archive!H1221:CI1221))</f>
        <v/>
      </c>
      <c r="G1221" s="47" t="str">
        <f>IF(archive!G1221="","",archive!G1221)</f>
        <v/>
      </c>
      <c r="H1221" s="51" t="str">
        <f>IF(archive!CJ1221="","",archive!CJ1221)</f>
        <v/>
      </c>
      <c r="I1221" s="51" t="str">
        <f>IF(archive!CK1221="","",archive!CK1221)</f>
        <v/>
      </c>
      <c r="J1221" s="47" t="str">
        <f t="shared" si="269"/>
        <v/>
      </c>
      <c r="K1221" s="51" t="str">
        <f t="shared" si="270"/>
        <v/>
      </c>
      <c r="L1221" s="52" t="str">
        <f t="shared" si="271"/>
        <v/>
      </c>
      <c r="M1221" s="53" t="str">
        <f t="shared" si="272"/>
        <v/>
      </c>
      <c r="N1221" s="53" t="str">
        <f t="shared" si="273"/>
        <v/>
      </c>
      <c r="O1221" s="53" t="str">
        <f t="shared" si="274"/>
        <v/>
      </c>
      <c r="P1221" s="53" t="str">
        <f t="shared" si="275"/>
        <v/>
      </c>
      <c r="Q1221" s="53" t="str">
        <f t="shared" si="276"/>
        <v/>
      </c>
      <c r="R1221" s="53" t="str">
        <f t="shared" si="277"/>
        <v/>
      </c>
      <c r="S1221" s="53" t="str">
        <f t="shared" si="278"/>
        <v/>
      </c>
      <c r="T1221" s="53" t="str">
        <f t="shared" si="279"/>
        <v/>
      </c>
    </row>
    <row r="1222" spans="1:20">
      <c r="A1222" s="47" t="str">
        <f>IF(archive!E1222="","",archive!E1222)</f>
        <v/>
      </c>
      <c r="B1222" s="48" t="str">
        <f t="shared" si="266"/>
        <v/>
      </c>
      <c r="C1222" s="49" t="str">
        <f>IF(archive!F1222="","",archive!F1222)</f>
        <v/>
      </c>
      <c r="D1222" s="50" t="str">
        <f t="shared" si="267"/>
        <v/>
      </c>
      <c r="E1222" s="50" t="str">
        <f t="shared" si="268"/>
        <v/>
      </c>
      <c r="F1222" s="47" t="str">
        <f>IF(COUNTA(archive!H1222:CI1222)=0,"",COUNTA(archive!H1222:CI1222))</f>
        <v/>
      </c>
      <c r="G1222" s="47" t="str">
        <f>IF(archive!G1222="","",archive!G1222)</f>
        <v/>
      </c>
      <c r="H1222" s="51" t="str">
        <f>IF(archive!CJ1222="","",archive!CJ1222)</f>
        <v/>
      </c>
      <c r="I1222" s="51" t="str">
        <f>IF(archive!CK1222="","",archive!CK1222)</f>
        <v/>
      </c>
      <c r="J1222" s="47" t="str">
        <f t="shared" si="269"/>
        <v/>
      </c>
      <c r="K1222" s="51" t="str">
        <f t="shared" si="270"/>
        <v/>
      </c>
      <c r="L1222" s="52" t="str">
        <f t="shared" si="271"/>
        <v/>
      </c>
      <c r="M1222" s="53" t="str">
        <f t="shared" si="272"/>
        <v/>
      </c>
      <c r="N1222" s="53" t="str">
        <f t="shared" si="273"/>
        <v/>
      </c>
      <c r="O1222" s="53" t="str">
        <f t="shared" si="274"/>
        <v/>
      </c>
      <c r="P1222" s="53" t="str">
        <f t="shared" si="275"/>
        <v/>
      </c>
      <c r="Q1222" s="53" t="str">
        <f t="shared" si="276"/>
        <v/>
      </c>
      <c r="R1222" s="53" t="str">
        <f t="shared" si="277"/>
        <v/>
      </c>
      <c r="S1222" s="53" t="str">
        <f t="shared" si="278"/>
        <v/>
      </c>
      <c r="T1222" s="53" t="str">
        <f t="shared" si="279"/>
        <v/>
      </c>
    </row>
    <row r="1223" spans="1:20">
      <c r="A1223" s="47" t="str">
        <f>IF(archive!E1223="","",archive!E1223)</f>
        <v/>
      </c>
      <c r="B1223" s="48" t="str">
        <f t="shared" si="266"/>
        <v/>
      </c>
      <c r="C1223" s="49" t="str">
        <f>IF(archive!F1223="","",archive!F1223)</f>
        <v/>
      </c>
      <c r="D1223" s="50" t="str">
        <f t="shared" si="267"/>
        <v/>
      </c>
      <c r="E1223" s="50" t="str">
        <f t="shared" si="268"/>
        <v/>
      </c>
      <c r="F1223" s="47" t="str">
        <f>IF(COUNTA(archive!H1223:CI1223)=0,"",COUNTA(archive!H1223:CI1223))</f>
        <v/>
      </c>
      <c r="G1223" s="47" t="str">
        <f>IF(archive!G1223="","",archive!G1223)</f>
        <v/>
      </c>
      <c r="H1223" s="51" t="str">
        <f>IF(archive!CJ1223="","",archive!CJ1223)</f>
        <v/>
      </c>
      <c r="I1223" s="51" t="str">
        <f>IF(archive!CK1223="","",archive!CK1223)</f>
        <v/>
      </c>
      <c r="J1223" s="47" t="str">
        <f t="shared" si="269"/>
        <v/>
      </c>
      <c r="K1223" s="51" t="str">
        <f t="shared" si="270"/>
        <v/>
      </c>
      <c r="L1223" s="52" t="str">
        <f t="shared" si="271"/>
        <v/>
      </c>
      <c r="M1223" s="53" t="str">
        <f t="shared" si="272"/>
        <v/>
      </c>
      <c r="N1223" s="53" t="str">
        <f t="shared" si="273"/>
        <v/>
      </c>
      <c r="O1223" s="53" t="str">
        <f t="shared" si="274"/>
        <v/>
      </c>
      <c r="P1223" s="53" t="str">
        <f t="shared" si="275"/>
        <v/>
      </c>
      <c r="Q1223" s="53" t="str">
        <f t="shared" si="276"/>
        <v/>
      </c>
      <c r="R1223" s="53" t="str">
        <f t="shared" si="277"/>
        <v/>
      </c>
      <c r="S1223" s="53" t="str">
        <f t="shared" si="278"/>
        <v/>
      </c>
      <c r="T1223" s="53" t="str">
        <f t="shared" si="279"/>
        <v/>
      </c>
    </row>
    <row r="1224" spans="1:20">
      <c r="A1224" s="47" t="str">
        <f>IF(archive!E1224="","",archive!E1224)</f>
        <v/>
      </c>
      <c r="B1224" s="48" t="str">
        <f t="shared" si="266"/>
        <v/>
      </c>
      <c r="C1224" s="49" t="str">
        <f>IF(archive!F1224="","",archive!F1224)</f>
        <v/>
      </c>
      <c r="D1224" s="50" t="str">
        <f t="shared" si="267"/>
        <v/>
      </c>
      <c r="E1224" s="50" t="str">
        <f t="shared" si="268"/>
        <v/>
      </c>
      <c r="F1224" s="47" t="str">
        <f>IF(COUNTA(archive!H1224:CI1224)=0,"",COUNTA(archive!H1224:CI1224))</f>
        <v/>
      </c>
      <c r="G1224" s="47" t="str">
        <f>IF(archive!G1224="","",archive!G1224)</f>
        <v/>
      </c>
      <c r="H1224" s="51" t="str">
        <f>IF(archive!CJ1224="","",archive!CJ1224)</f>
        <v/>
      </c>
      <c r="I1224" s="51" t="str">
        <f>IF(archive!CK1224="","",archive!CK1224)</f>
        <v/>
      </c>
      <c r="J1224" s="47" t="str">
        <f t="shared" si="269"/>
        <v/>
      </c>
      <c r="K1224" s="51" t="str">
        <f t="shared" si="270"/>
        <v/>
      </c>
      <c r="L1224" s="52" t="str">
        <f t="shared" si="271"/>
        <v/>
      </c>
      <c r="M1224" s="53" t="str">
        <f t="shared" si="272"/>
        <v/>
      </c>
      <c r="N1224" s="53" t="str">
        <f t="shared" si="273"/>
        <v/>
      </c>
      <c r="O1224" s="53" t="str">
        <f t="shared" si="274"/>
        <v/>
      </c>
      <c r="P1224" s="53" t="str">
        <f t="shared" si="275"/>
        <v/>
      </c>
      <c r="Q1224" s="53" t="str">
        <f t="shared" si="276"/>
        <v/>
      </c>
      <c r="R1224" s="53" t="str">
        <f t="shared" si="277"/>
        <v/>
      </c>
      <c r="S1224" s="53" t="str">
        <f t="shared" si="278"/>
        <v/>
      </c>
      <c r="T1224" s="53" t="str">
        <f t="shared" si="279"/>
        <v/>
      </c>
    </row>
    <row r="1225" spans="1:20">
      <c r="A1225" s="47" t="str">
        <f>IF(archive!E1225="","",archive!E1225)</f>
        <v/>
      </c>
      <c r="B1225" s="48" t="str">
        <f t="shared" si="266"/>
        <v/>
      </c>
      <c r="C1225" s="49" t="str">
        <f>IF(archive!F1225="","",archive!F1225)</f>
        <v/>
      </c>
      <c r="D1225" s="50" t="str">
        <f t="shared" si="267"/>
        <v/>
      </c>
      <c r="E1225" s="50" t="str">
        <f t="shared" si="268"/>
        <v/>
      </c>
      <c r="F1225" s="47" t="str">
        <f>IF(COUNTA(archive!H1225:CI1225)=0,"",COUNTA(archive!H1225:CI1225))</f>
        <v/>
      </c>
      <c r="G1225" s="47" t="str">
        <f>IF(archive!G1225="","",archive!G1225)</f>
        <v/>
      </c>
      <c r="H1225" s="51" t="str">
        <f>IF(archive!CJ1225="","",archive!CJ1225)</f>
        <v/>
      </c>
      <c r="I1225" s="51" t="str">
        <f>IF(archive!CK1225="","",archive!CK1225)</f>
        <v/>
      </c>
      <c r="J1225" s="47" t="str">
        <f t="shared" si="269"/>
        <v/>
      </c>
      <c r="K1225" s="51" t="str">
        <f t="shared" si="270"/>
        <v/>
      </c>
      <c r="L1225" s="52" t="str">
        <f t="shared" si="271"/>
        <v/>
      </c>
      <c r="M1225" s="53" t="str">
        <f t="shared" si="272"/>
        <v/>
      </c>
      <c r="N1225" s="53" t="str">
        <f t="shared" si="273"/>
        <v/>
      </c>
      <c r="O1225" s="53" t="str">
        <f t="shared" si="274"/>
        <v/>
      </c>
      <c r="P1225" s="53" t="str">
        <f t="shared" si="275"/>
        <v/>
      </c>
      <c r="Q1225" s="53" t="str">
        <f t="shared" si="276"/>
        <v/>
      </c>
      <c r="R1225" s="53" t="str">
        <f t="shared" si="277"/>
        <v/>
      </c>
      <c r="S1225" s="53" t="str">
        <f t="shared" si="278"/>
        <v/>
      </c>
      <c r="T1225" s="53" t="str">
        <f t="shared" si="279"/>
        <v/>
      </c>
    </row>
    <row r="1226" spans="1:20">
      <c r="A1226" s="47" t="str">
        <f>IF(archive!E1226="","",archive!E1226)</f>
        <v/>
      </c>
      <c r="B1226" s="48" t="str">
        <f t="shared" si="266"/>
        <v/>
      </c>
      <c r="C1226" s="49" t="str">
        <f>IF(archive!F1226="","",archive!F1226)</f>
        <v/>
      </c>
      <c r="D1226" s="50" t="str">
        <f t="shared" si="267"/>
        <v/>
      </c>
      <c r="E1226" s="50" t="str">
        <f t="shared" si="268"/>
        <v/>
      </c>
      <c r="F1226" s="47" t="str">
        <f>IF(COUNTA(archive!H1226:CI1226)=0,"",COUNTA(archive!H1226:CI1226))</f>
        <v/>
      </c>
      <c r="G1226" s="47" t="str">
        <f>IF(archive!G1226="","",archive!G1226)</f>
        <v/>
      </c>
      <c r="H1226" s="51" t="str">
        <f>IF(archive!CJ1226="","",archive!CJ1226)</f>
        <v/>
      </c>
      <c r="I1226" s="51" t="str">
        <f>IF(archive!CK1226="","",archive!CK1226)</f>
        <v/>
      </c>
      <c r="J1226" s="47" t="str">
        <f t="shared" si="269"/>
        <v/>
      </c>
      <c r="K1226" s="51" t="str">
        <f t="shared" si="270"/>
        <v/>
      </c>
      <c r="L1226" s="52" t="str">
        <f t="shared" si="271"/>
        <v/>
      </c>
      <c r="M1226" s="53" t="str">
        <f t="shared" si="272"/>
        <v/>
      </c>
      <c r="N1226" s="53" t="str">
        <f t="shared" si="273"/>
        <v/>
      </c>
      <c r="O1226" s="53" t="str">
        <f t="shared" si="274"/>
        <v/>
      </c>
      <c r="P1226" s="53" t="str">
        <f t="shared" si="275"/>
        <v/>
      </c>
      <c r="Q1226" s="53" t="str">
        <f t="shared" si="276"/>
        <v/>
      </c>
      <c r="R1226" s="53" t="str">
        <f t="shared" si="277"/>
        <v/>
      </c>
      <c r="S1226" s="53" t="str">
        <f t="shared" si="278"/>
        <v/>
      </c>
      <c r="T1226" s="53" t="str">
        <f t="shared" si="279"/>
        <v/>
      </c>
    </row>
    <row r="1227" spans="1:20">
      <c r="A1227" s="47" t="str">
        <f>IF(archive!E1227="","",archive!E1227)</f>
        <v/>
      </c>
      <c r="B1227" s="48" t="str">
        <f t="shared" si="266"/>
        <v/>
      </c>
      <c r="C1227" s="49" t="str">
        <f>IF(archive!F1227="","",archive!F1227)</f>
        <v/>
      </c>
      <c r="D1227" s="50" t="str">
        <f t="shared" si="267"/>
        <v/>
      </c>
      <c r="E1227" s="50" t="str">
        <f t="shared" si="268"/>
        <v/>
      </c>
      <c r="F1227" s="47" t="str">
        <f>IF(COUNTA(archive!H1227:CI1227)=0,"",COUNTA(archive!H1227:CI1227))</f>
        <v/>
      </c>
      <c r="G1227" s="47" t="str">
        <f>IF(archive!G1227="","",archive!G1227)</f>
        <v/>
      </c>
      <c r="H1227" s="51" t="str">
        <f>IF(archive!CJ1227="","",archive!CJ1227)</f>
        <v/>
      </c>
      <c r="I1227" s="51" t="str">
        <f>IF(archive!CK1227="","",archive!CK1227)</f>
        <v/>
      </c>
      <c r="J1227" s="47" t="str">
        <f t="shared" si="269"/>
        <v/>
      </c>
      <c r="K1227" s="51" t="str">
        <f t="shared" si="270"/>
        <v/>
      </c>
      <c r="L1227" s="52" t="str">
        <f t="shared" si="271"/>
        <v/>
      </c>
      <c r="M1227" s="53" t="str">
        <f t="shared" si="272"/>
        <v/>
      </c>
      <c r="N1227" s="53" t="str">
        <f t="shared" si="273"/>
        <v/>
      </c>
      <c r="O1227" s="53" t="str">
        <f t="shared" si="274"/>
        <v/>
      </c>
      <c r="P1227" s="53" t="str">
        <f t="shared" si="275"/>
        <v/>
      </c>
      <c r="Q1227" s="53" t="str">
        <f t="shared" si="276"/>
        <v/>
      </c>
      <c r="R1227" s="53" t="str">
        <f t="shared" si="277"/>
        <v/>
      </c>
      <c r="S1227" s="53" t="str">
        <f t="shared" si="278"/>
        <v/>
      </c>
      <c r="T1227" s="53" t="str">
        <f t="shared" si="279"/>
        <v/>
      </c>
    </row>
    <row r="1228" spans="1:20">
      <c r="A1228" s="47" t="str">
        <f>IF(archive!E1228="","",archive!E1228)</f>
        <v/>
      </c>
      <c r="B1228" s="48" t="str">
        <f t="shared" si="266"/>
        <v/>
      </c>
      <c r="C1228" s="49" t="str">
        <f>IF(archive!F1228="","",archive!F1228)</f>
        <v/>
      </c>
      <c r="D1228" s="50" t="str">
        <f t="shared" si="267"/>
        <v/>
      </c>
      <c r="E1228" s="50" t="str">
        <f t="shared" si="268"/>
        <v/>
      </c>
      <c r="F1228" s="47" t="str">
        <f>IF(COUNTA(archive!H1228:CI1228)=0,"",COUNTA(archive!H1228:CI1228))</f>
        <v/>
      </c>
      <c r="G1228" s="47" t="str">
        <f>IF(archive!G1228="","",archive!G1228)</f>
        <v/>
      </c>
      <c r="H1228" s="51" t="str">
        <f>IF(archive!CJ1228="","",archive!CJ1228)</f>
        <v/>
      </c>
      <c r="I1228" s="51" t="str">
        <f>IF(archive!CK1228="","",archive!CK1228)</f>
        <v/>
      </c>
      <c r="J1228" s="47" t="str">
        <f t="shared" si="269"/>
        <v/>
      </c>
      <c r="K1228" s="51" t="str">
        <f t="shared" si="270"/>
        <v/>
      </c>
      <c r="L1228" s="52" t="str">
        <f t="shared" si="271"/>
        <v/>
      </c>
      <c r="M1228" s="53" t="str">
        <f t="shared" si="272"/>
        <v/>
      </c>
      <c r="N1228" s="53" t="str">
        <f t="shared" si="273"/>
        <v/>
      </c>
      <c r="O1228" s="53" t="str">
        <f t="shared" si="274"/>
        <v/>
      </c>
      <c r="P1228" s="53" t="str">
        <f t="shared" si="275"/>
        <v/>
      </c>
      <c r="Q1228" s="53" t="str">
        <f t="shared" si="276"/>
        <v/>
      </c>
      <c r="R1228" s="53" t="str">
        <f t="shared" si="277"/>
        <v/>
      </c>
      <c r="S1228" s="53" t="str">
        <f t="shared" si="278"/>
        <v/>
      </c>
      <c r="T1228" s="53" t="str">
        <f t="shared" si="279"/>
        <v/>
      </c>
    </row>
    <row r="1229" spans="1:20">
      <c r="A1229" s="47" t="str">
        <f>IF(archive!E1229="","",archive!E1229)</f>
        <v/>
      </c>
      <c r="B1229" s="48" t="str">
        <f t="shared" si="266"/>
        <v/>
      </c>
      <c r="C1229" s="49" t="str">
        <f>IF(archive!F1229="","",archive!F1229)</f>
        <v/>
      </c>
      <c r="D1229" s="50" t="str">
        <f t="shared" si="267"/>
        <v/>
      </c>
      <c r="E1229" s="50" t="str">
        <f t="shared" si="268"/>
        <v/>
      </c>
      <c r="F1229" s="47" t="str">
        <f>IF(COUNTA(archive!H1229:CI1229)=0,"",COUNTA(archive!H1229:CI1229))</f>
        <v/>
      </c>
      <c r="G1229" s="47" t="str">
        <f>IF(archive!G1229="","",archive!G1229)</f>
        <v/>
      </c>
      <c r="H1229" s="51" t="str">
        <f>IF(archive!CJ1229="","",archive!CJ1229)</f>
        <v/>
      </c>
      <c r="I1229" s="51" t="str">
        <f>IF(archive!CK1229="","",archive!CK1229)</f>
        <v/>
      </c>
      <c r="J1229" s="47" t="str">
        <f t="shared" si="269"/>
        <v/>
      </c>
      <c r="K1229" s="51" t="str">
        <f t="shared" si="270"/>
        <v/>
      </c>
      <c r="L1229" s="52" t="str">
        <f t="shared" si="271"/>
        <v/>
      </c>
      <c r="M1229" s="53" t="str">
        <f t="shared" si="272"/>
        <v/>
      </c>
      <c r="N1229" s="53" t="str">
        <f t="shared" si="273"/>
        <v/>
      </c>
      <c r="O1229" s="53" t="str">
        <f t="shared" si="274"/>
        <v/>
      </c>
      <c r="P1229" s="53" t="str">
        <f t="shared" si="275"/>
        <v/>
      </c>
      <c r="Q1229" s="53" t="str">
        <f t="shared" si="276"/>
        <v/>
      </c>
      <c r="R1229" s="53" t="str">
        <f t="shared" si="277"/>
        <v/>
      </c>
      <c r="S1229" s="53" t="str">
        <f t="shared" si="278"/>
        <v/>
      </c>
      <c r="T1229" s="53" t="str">
        <f t="shared" si="279"/>
        <v/>
      </c>
    </row>
    <row r="1230" spans="1:20">
      <c r="A1230" s="47" t="str">
        <f>IF(archive!E1230="","",archive!E1230)</f>
        <v/>
      </c>
      <c r="B1230" s="48" t="str">
        <f t="shared" si="266"/>
        <v/>
      </c>
      <c r="C1230" s="49" t="str">
        <f>IF(archive!F1230="","",archive!F1230)</f>
        <v/>
      </c>
      <c r="D1230" s="50" t="str">
        <f t="shared" si="267"/>
        <v/>
      </c>
      <c r="E1230" s="50" t="str">
        <f t="shared" si="268"/>
        <v/>
      </c>
      <c r="F1230" s="47" t="str">
        <f>IF(COUNTA(archive!H1230:CI1230)=0,"",COUNTA(archive!H1230:CI1230))</f>
        <v/>
      </c>
      <c r="G1230" s="47" t="str">
        <f>IF(archive!G1230="","",archive!G1230)</f>
        <v/>
      </c>
      <c r="H1230" s="51" t="str">
        <f>IF(archive!CJ1230="","",archive!CJ1230)</f>
        <v/>
      </c>
      <c r="I1230" s="51" t="str">
        <f>IF(archive!CK1230="","",archive!CK1230)</f>
        <v/>
      </c>
      <c r="J1230" s="47" t="str">
        <f t="shared" si="269"/>
        <v/>
      </c>
      <c r="K1230" s="51" t="str">
        <f t="shared" si="270"/>
        <v/>
      </c>
      <c r="L1230" s="52" t="str">
        <f t="shared" si="271"/>
        <v/>
      </c>
      <c r="M1230" s="53" t="str">
        <f t="shared" si="272"/>
        <v/>
      </c>
      <c r="N1230" s="53" t="str">
        <f t="shared" si="273"/>
        <v/>
      </c>
      <c r="O1230" s="53" t="str">
        <f t="shared" si="274"/>
        <v/>
      </c>
      <c r="P1230" s="53" t="str">
        <f t="shared" si="275"/>
        <v/>
      </c>
      <c r="Q1230" s="53" t="str">
        <f t="shared" si="276"/>
        <v/>
      </c>
      <c r="R1230" s="53" t="str">
        <f t="shared" si="277"/>
        <v/>
      </c>
      <c r="S1230" s="53" t="str">
        <f t="shared" si="278"/>
        <v/>
      </c>
      <c r="T1230" s="53" t="str">
        <f t="shared" si="279"/>
        <v/>
      </c>
    </row>
    <row r="1231" spans="1:20">
      <c r="A1231" s="47" t="str">
        <f>IF(archive!E1231="","",archive!E1231)</f>
        <v/>
      </c>
      <c r="B1231" s="48" t="str">
        <f t="shared" si="266"/>
        <v/>
      </c>
      <c r="C1231" s="49" t="str">
        <f>IF(archive!F1231="","",archive!F1231)</f>
        <v/>
      </c>
      <c r="D1231" s="50" t="str">
        <f t="shared" si="267"/>
        <v/>
      </c>
      <c r="E1231" s="50" t="str">
        <f t="shared" si="268"/>
        <v/>
      </c>
      <c r="F1231" s="47" t="str">
        <f>IF(COUNTA(archive!H1231:CI1231)=0,"",COUNTA(archive!H1231:CI1231))</f>
        <v/>
      </c>
      <c r="G1231" s="47" t="str">
        <f>IF(archive!G1231="","",archive!G1231)</f>
        <v/>
      </c>
      <c r="H1231" s="51" t="str">
        <f>IF(archive!CJ1231="","",archive!CJ1231)</f>
        <v/>
      </c>
      <c r="I1231" s="51" t="str">
        <f>IF(archive!CK1231="","",archive!CK1231)</f>
        <v/>
      </c>
      <c r="J1231" s="47" t="str">
        <f t="shared" si="269"/>
        <v/>
      </c>
      <c r="K1231" s="51" t="str">
        <f t="shared" si="270"/>
        <v/>
      </c>
      <c r="L1231" s="52" t="str">
        <f t="shared" si="271"/>
        <v/>
      </c>
      <c r="M1231" s="53" t="str">
        <f t="shared" si="272"/>
        <v/>
      </c>
      <c r="N1231" s="53" t="str">
        <f t="shared" si="273"/>
        <v/>
      </c>
      <c r="O1231" s="53" t="str">
        <f t="shared" si="274"/>
        <v/>
      </c>
      <c r="P1231" s="53" t="str">
        <f t="shared" si="275"/>
        <v/>
      </c>
      <c r="Q1231" s="53" t="str">
        <f t="shared" si="276"/>
        <v/>
      </c>
      <c r="R1231" s="53" t="str">
        <f t="shared" si="277"/>
        <v/>
      </c>
      <c r="S1231" s="53" t="str">
        <f t="shared" si="278"/>
        <v/>
      </c>
      <c r="T1231" s="53" t="str">
        <f t="shared" si="279"/>
        <v/>
      </c>
    </row>
    <row r="1232" spans="1:20">
      <c r="A1232" s="47" t="str">
        <f>IF(archive!E1232="","",archive!E1232)</f>
        <v/>
      </c>
      <c r="B1232" s="48" t="str">
        <f t="shared" si="266"/>
        <v/>
      </c>
      <c r="C1232" s="49" t="str">
        <f>IF(archive!F1232="","",archive!F1232)</f>
        <v/>
      </c>
      <c r="D1232" s="50" t="str">
        <f t="shared" si="267"/>
        <v/>
      </c>
      <c r="E1232" s="50" t="str">
        <f t="shared" si="268"/>
        <v/>
      </c>
      <c r="F1232" s="47" t="str">
        <f>IF(COUNTA(archive!H1232:CI1232)=0,"",COUNTA(archive!H1232:CI1232))</f>
        <v/>
      </c>
      <c r="G1232" s="47" t="str">
        <f>IF(archive!G1232="","",archive!G1232)</f>
        <v/>
      </c>
      <c r="H1232" s="51" t="str">
        <f>IF(archive!CJ1232="","",archive!CJ1232)</f>
        <v/>
      </c>
      <c r="I1232" s="51" t="str">
        <f>IF(archive!CK1232="","",archive!CK1232)</f>
        <v/>
      </c>
      <c r="J1232" s="47" t="str">
        <f t="shared" si="269"/>
        <v/>
      </c>
      <c r="K1232" s="51" t="str">
        <f t="shared" si="270"/>
        <v/>
      </c>
      <c r="L1232" s="52" t="str">
        <f t="shared" si="271"/>
        <v/>
      </c>
      <c r="M1232" s="53" t="str">
        <f t="shared" si="272"/>
        <v/>
      </c>
      <c r="N1232" s="53" t="str">
        <f t="shared" si="273"/>
        <v/>
      </c>
      <c r="O1232" s="53" t="str">
        <f t="shared" si="274"/>
        <v/>
      </c>
      <c r="P1232" s="53" t="str">
        <f t="shared" si="275"/>
        <v/>
      </c>
      <c r="Q1232" s="53" t="str">
        <f t="shared" si="276"/>
        <v/>
      </c>
      <c r="R1232" s="53" t="str">
        <f t="shared" si="277"/>
        <v/>
      </c>
      <c r="S1232" s="53" t="str">
        <f t="shared" si="278"/>
        <v/>
      </c>
      <c r="T1232" s="53" t="str">
        <f t="shared" si="279"/>
        <v/>
      </c>
    </row>
    <row r="1233" spans="1:20">
      <c r="A1233" s="47" t="str">
        <f>IF(archive!E1233="","",archive!E1233)</f>
        <v/>
      </c>
      <c r="B1233" s="48" t="str">
        <f t="shared" si="266"/>
        <v/>
      </c>
      <c r="C1233" s="49" t="str">
        <f>IF(archive!F1233="","",archive!F1233)</f>
        <v/>
      </c>
      <c r="D1233" s="50" t="str">
        <f t="shared" si="267"/>
        <v/>
      </c>
      <c r="E1233" s="50" t="str">
        <f t="shared" si="268"/>
        <v/>
      </c>
      <c r="F1233" s="47" t="str">
        <f>IF(COUNTA(archive!H1233:CI1233)=0,"",COUNTA(archive!H1233:CI1233))</f>
        <v/>
      </c>
      <c r="G1233" s="47" t="str">
        <f>IF(archive!G1233="","",archive!G1233)</f>
        <v/>
      </c>
      <c r="H1233" s="51" t="str">
        <f>IF(archive!CJ1233="","",archive!CJ1233)</f>
        <v/>
      </c>
      <c r="I1233" s="51" t="str">
        <f>IF(archive!CK1233="","",archive!CK1233)</f>
        <v/>
      </c>
      <c r="J1233" s="47" t="str">
        <f t="shared" si="269"/>
        <v/>
      </c>
      <c r="K1233" s="51" t="str">
        <f t="shared" si="270"/>
        <v/>
      </c>
      <c r="L1233" s="52" t="str">
        <f t="shared" si="271"/>
        <v/>
      </c>
      <c r="M1233" s="53" t="str">
        <f t="shared" si="272"/>
        <v/>
      </c>
      <c r="N1233" s="53" t="str">
        <f t="shared" si="273"/>
        <v/>
      </c>
      <c r="O1233" s="53" t="str">
        <f t="shared" si="274"/>
        <v/>
      </c>
      <c r="P1233" s="53" t="str">
        <f t="shared" si="275"/>
        <v/>
      </c>
      <c r="Q1233" s="53" t="str">
        <f t="shared" si="276"/>
        <v/>
      </c>
      <c r="R1233" s="53" t="str">
        <f t="shared" si="277"/>
        <v/>
      </c>
      <c r="S1233" s="53" t="str">
        <f t="shared" si="278"/>
        <v/>
      </c>
      <c r="T1233" s="53" t="str">
        <f t="shared" si="279"/>
        <v/>
      </c>
    </row>
    <row r="1234" spans="1:20">
      <c r="A1234" s="47" t="str">
        <f>IF(archive!E1234="","",archive!E1234)</f>
        <v/>
      </c>
      <c r="B1234" s="48" t="str">
        <f t="shared" si="266"/>
        <v/>
      </c>
      <c r="C1234" s="49" t="str">
        <f>IF(archive!F1234="","",archive!F1234)</f>
        <v/>
      </c>
      <c r="D1234" s="50" t="str">
        <f t="shared" si="267"/>
        <v/>
      </c>
      <c r="E1234" s="50" t="str">
        <f t="shared" si="268"/>
        <v/>
      </c>
      <c r="F1234" s="47" t="str">
        <f>IF(COUNTA(archive!H1234:CI1234)=0,"",COUNTA(archive!H1234:CI1234))</f>
        <v/>
      </c>
      <c r="G1234" s="47" t="str">
        <f>IF(archive!G1234="","",archive!G1234)</f>
        <v/>
      </c>
      <c r="H1234" s="51" t="str">
        <f>IF(archive!CJ1234="","",archive!CJ1234)</f>
        <v/>
      </c>
      <c r="I1234" s="51" t="str">
        <f>IF(archive!CK1234="","",archive!CK1234)</f>
        <v/>
      </c>
      <c r="J1234" s="47" t="str">
        <f t="shared" si="269"/>
        <v/>
      </c>
      <c r="K1234" s="51" t="str">
        <f t="shared" si="270"/>
        <v/>
      </c>
      <c r="L1234" s="52" t="str">
        <f t="shared" si="271"/>
        <v/>
      </c>
      <c r="M1234" s="53" t="str">
        <f t="shared" si="272"/>
        <v/>
      </c>
      <c r="N1234" s="53" t="str">
        <f t="shared" si="273"/>
        <v/>
      </c>
      <c r="O1234" s="53" t="str">
        <f t="shared" si="274"/>
        <v/>
      </c>
      <c r="P1234" s="53" t="str">
        <f t="shared" si="275"/>
        <v/>
      </c>
      <c r="Q1234" s="53" t="str">
        <f t="shared" si="276"/>
        <v/>
      </c>
      <c r="R1234" s="53" t="str">
        <f t="shared" si="277"/>
        <v/>
      </c>
      <c r="S1234" s="53" t="str">
        <f t="shared" si="278"/>
        <v/>
      </c>
      <c r="T1234" s="53" t="str">
        <f t="shared" si="279"/>
        <v/>
      </c>
    </row>
    <row r="1235" spans="1:20">
      <c r="A1235" s="47" t="str">
        <f>IF(archive!E1235="","",archive!E1235)</f>
        <v/>
      </c>
      <c r="B1235" s="48" t="str">
        <f t="shared" si="266"/>
        <v/>
      </c>
      <c r="C1235" s="49" t="str">
        <f>IF(archive!F1235="","",archive!F1235)</f>
        <v/>
      </c>
      <c r="D1235" s="50" t="str">
        <f t="shared" si="267"/>
        <v/>
      </c>
      <c r="E1235" s="50" t="str">
        <f t="shared" si="268"/>
        <v/>
      </c>
      <c r="F1235" s="47" t="str">
        <f>IF(COUNTA(archive!H1235:CI1235)=0,"",COUNTA(archive!H1235:CI1235))</f>
        <v/>
      </c>
      <c r="G1235" s="47" t="str">
        <f>IF(archive!G1235="","",archive!G1235)</f>
        <v/>
      </c>
      <c r="H1235" s="51" t="str">
        <f>IF(archive!CJ1235="","",archive!CJ1235)</f>
        <v/>
      </c>
      <c r="I1235" s="51" t="str">
        <f>IF(archive!CK1235="","",archive!CK1235)</f>
        <v/>
      </c>
      <c r="J1235" s="47" t="str">
        <f t="shared" si="269"/>
        <v/>
      </c>
      <c r="K1235" s="51" t="str">
        <f t="shared" si="270"/>
        <v/>
      </c>
      <c r="L1235" s="52" t="str">
        <f t="shared" si="271"/>
        <v/>
      </c>
      <c r="M1235" s="53" t="str">
        <f t="shared" si="272"/>
        <v/>
      </c>
      <c r="N1235" s="53" t="str">
        <f t="shared" si="273"/>
        <v/>
      </c>
      <c r="O1235" s="53" t="str">
        <f t="shared" si="274"/>
        <v/>
      </c>
      <c r="P1235" s="53" t="str">
        <f t="shared" si="275"/>
        <v/>
      </c>
      <c r="Q1235" s="53" t="str">
        <f t="shared" si="276"/>
        <v/>
      </c>
      <c r="R1235" s="53" t="str">
        <f t="shared" si="277"/>
        <v/>
      </c>
      <c r="S1235" s="53" t="str">
        <f t="shared" si="278"/>
        <v/>
      </c>
      <c r="T1235" s="53" t="str">
        <f t="shared" si="279"/>
        <v/>
      </c>
    </row>
    <row r="1236" spans="1:20">
      <c r="A1236" s="47" t="str">
        <f>IF(archive!E1236="","",archive!E1236)</f>
        <v/>
      </c>
      <c r="B1236" s="48" t="str">
        <f t="shared" si="266"/>
        <v/>
      </c>
      <c r="C1236" s="49" t="str">
        <f>IF(archive!F1236="","",archive!F1236)</f>
        <v/>
      </c>
      <c r="D1236" s="50" t="str">
        <f t="shared" si="267"/>
        <v/>
      </c>
      <c r="E1236" s="50" t="str">
        <f t="shared" si="268"/>
        <v/>
      </c>
      <c r="F1236" s="47" t="str">
        <f>IF(COUNTA(archive!H1236:CI1236)=0,"",COUNTA(archive!H1236:CI1236))</f>
        <v/>
      </c>
      <c r="G1236" s="47" t="str">
        <f>IF(archive!G1236="","",archive!G1236)</f>
        <v/>
      </c>
      <c r="H1236" s="51" t="str">
        <f>IF(archive!CJ1236="","",archive!CJ1236)</f>
        <v/>
      </c>
      <c r="I1236" s="51" t="str">
        <f>IF(archive!CK1236="","",archive!CK1236)</f>
        <v/>
      </c>
      <c r="J1236" s="47" t="str">
        <f t="shared" si="269"/>
        <v/>
      </c>
      <c r="K1236" s="51" t="str">
        <f t="shared" si="270"/>
        <v/>
      </c>
      <c r="L1236" s="52" t="str">
        <f t="shared" si="271"/>
        <v/>
      </c>
      <c r="M1236" s="53" t="str">
        <f t="shared" si="272"/>
        <v/>
      </c>
      <c r="N1236" s="53" t="str">
        <f t="shared" si="273"/>
        <v/>
      </c>
      <c r="O1236" s="53" t="str">
        <f t="shared" si="274"/>
        <v/>
      </c>
      <c r="P1236" s="53" t="str">
        <f t="shared" si="275"/>
        <v/>
      </c>
      <c r="Q1236" s="53" t="str">
        <f t="shared" si="276"/>
        <v/>
      </c>
      <c r="R1236" s="53" t="str">
        <f t="shared" si="277"/>
        <v/>
      </c>
      <c r="S1236" s="53" t="str">
        <f t="shared" si="278"/>
        <v/>
      </c>
      <c r="T1236" s="53" t="str">
        <f t="shared" si="279"/>
        <v/>
      </c>
    </row>
    <row r="1237" spans="1:20">
      <c r="A1237" s="47" t="str">
        <f>IF(archive!E1237="","",archive!E1237)</f>
        <v/>
      </c>
      <c r="B1237" s="48" t="str">
        <f t="shared" si="266"/>
        <v/>
      </c>
      <c r="C1237" s="49" t="str">
        <f>IF(archive!F1237="","",archive!F1237)</f>
        <v/>
      </c>
      <c r="D1237" s="50" t="str">
        <f t="shared" si="267"/>
        <v/>
      </c>
      <c r="E1237" s="50" t="str">
        <f t="shared" si="268"/>
        <v/>
      </c>
      <c r="F1237" s="47" t="str">
        <f>IF(COUNTA(archive!H1237:CI1237)=0,"",COUNTA(archive!H1237:CI1237))</f>
        <v/>
      </c>
      <c r="G1237" s="47" t="str">
        <f>IF(archive!G1237="","",archive!G1237)</f>
        <v/>
      </c>
      <c r="H1237" s="51" t="str">
        <f>IF(archive!CJ1237="","",archive!CJ1237)</f>
        <v/>
      </c>
      <c r="I1237" s="51" t="str">
        <f>IF(archive!CK1237="","",archive!CK1237)</f>
        <v/>
      </c>
      <c r="J1237" s="47" t="str">
        <f t="shared" si="269"/>
        <v/>
      </c>
      <c r="K1237" s="51" t="str">
        <f t="shared" si="270"/>
        <v/>
      </c>
      <c r="L1237" s="52" t="str">
        <f t="shared" si="271"/>
        <v/>
      </c>
      <c r="M1237" s="53" t="str">
        <f t="shared" si="272"/>
        <v/>
      </c>
      <c r="N1237" s="53" t="str">
        <f t="shared" si="273"/>
        <v/>
      </c>
      <c r="O1237" s="53" t="str">
        <f t="shared" si="274"/>
        <v/>
      </c>
      <c r="P1237" s="53" t="str">
        <f t="shared" si="275"/>
        <v/>
      </c>
      <c r="Q1237" s="53" t="str">
        <f t="shared" si="276"/>
        <v/>
      </c>
      <c r="R1237" s="53" t="str">
        <f t="shared" si="277"/>
        <v/>
      </c>
      <c r="S1237" s="53" t="str">
        <f t="shared" si="278"/>
        <v/>
      </c>
      <c r="T1237" s="53" t="str">
        <f t="shared" si="279"/>
        <v/>
      </c>
    </row>
    <row r="1238" spans="1:20">
      <c r="A1238" s="47" t="str">
        <f>IF(archive!E1238="","",archive!E1238)</f>
        <v/>
      </c>
      <c r="B1238" s="48" t="str">
        <f t="shared" si="266"/>
        <v/>
      </c>
      <c r="C1238" s="49" t="str">
        <f>IF(archive!F1238="","",archive!F1238)</f>
        <v/>
      </c>
      <c r="D1238" s="50" t="str">
        <f t="shared" si="267"/>
        <v/>
      </c>
      <c r="E1238" s="50" t="str">
        <f t="shared" si="268"/>
        <v/>
      </c>
      <c r="F1238" s="47" t="str">
        <f>IF(COUNTA(archive!H1238:CI1238)=0,"",COUNTA(archive!H1238:CI1238))</f>
        <v/>
      </c>
      <c r="G1238" s="47" t="str">
        <f>IF(archive!G1238="","",archive!G1238)</f>
        <v/>
      </c>
      <c r="H1238" s="51" t="str">
        <f>IF(archive!CJ1238="","",archive!CJ1238)</f>
        <v/>
      </c>
      <c r="I1238" s="51" t="str">
        <f>IF(archive!CK1238="","",archive!CK1238)</f>
        <v/>
      </c>
      <c r="J1238" s="47" t="str">
        <f t="shared" si="269"/>
        <v/>
      </c>
      <c r="K1238" s="51" t="str">
        <f t="shared" si="270"/>
        <v/>
      </c>
      <c r="L1238" s="52" t="str">
        <f t="shared" si="271"/>
        <v/>
      </c>
      <c r="M1238" s="53" t="str">
        <f t="shared" si="272"/>
        <v/>
      </c>
      <c r="N1238" s="53" t="str">
        <f t="shared" si="273"/>
        <v/>
      </c>
      <c r="O1238" s="53" t="str">
        <f t="shared" si="274"/>
        <v/>
      </c>
      <c r="P1238" s="53" t="str">
        <f t="shared" si="275"/>
        <v/>
      </c>
      <c r="Q1238" s="53" t="str">
        <f t="shared" si="276"/>
        <v/>
      </c>
      <c r="R1238" s="53" t="str">
        <f t="shared" si="277"/>
        <v/>
      </c>
      <c r="S1238" s="53" t="str">
        <f t="shared" si="278"/>
        <v/>
      </c>
      <c r="T1238" s="53" t="str">
        <f t="shared" si="279"/>
        <v/>
      </c>
    </row>
    <row r="1239" spans="1:20">
      <c r="A1239" s="47" t="str">
        <f>IF(archive!E1239="","",archive!E1239)</f>
        <v/>
      </c>
      <c r="B1239" s="48" t="str">
        <f t="shared" si="266"/>
        <v/>
      </c>
      <c r="C1239" s="49" t="str">
        <f>IF(archive!F1239="","",archive!F1239)</f>
        <v/>
      </c>
      <c r="D1239" s="50" t="str">
        <f t="shared" si="267"/>
        <v/>
      </c>
      <c r="E1239" s="50" t="str">
        <f t="shared" si="268"/>
        <v/>
      </c>
      <c r="F1239" s="47" t="str">
        <f>IF(COUNTA(archive!H1239:CI1239)=0,"",COUNTA(archive!H1239:CI1239))</f>
        <v/>
      </c>
      <c r="G1239" s="47" t="str">
        <f>IF(archive!G1239="","",archive!G1239)</f>
        <v/>
      </c>
      <c r="H1239" s="51" t="str">
        <f>IF(archive!CJ1239="","",archive!CJ1239)</f>
        <v/>
      </c>
      <c r="I1239" s="51" t="str">
        <f>IF(archive!CK1239="","",archive!CK1239)</f>
        <v/>
      </c>
      <c r="J1239" s="47" t="str">
        <f t="shared" si="269"/>
        <v/>
      </c>
      <c r="K1239" s="51" t="str">
        <f t="shared" si="270"/>
        <v/>
      </c>
      <c r="L1239" s="52" t="str">
        <f t="shared" si="271"/>
        <v/>
      </c>
      <c r="M1239" s="53" t="str">
        <f t="shared" si="272"/>
        <v/>
      </c>
      <c r="N1239" s="53" t="str">
        <f t="shared" si="273"/>
        <v/>
      </c>
      <c r="O1239" s="53" t="str">
        <f t="shared" si="274"/>
        <v/>
      </c>
      <c r="P1239" s="53" t="str">
        <f t="shared" si="275"/>
        <v/>
      </c>
      <c r="Q1239" s="53" t="str">
        <f t="shared" si="276"/>
        <v/>
      </c>
      <c r="R1239" s="53" t="str">
        <f t="shared" si="277"/>
        <v/>
      </c>
      <c r="S1239" s="53" t="str">
        <f t="shared" si="278"/>
        <v/>
      </c>
      <c r="T1239" s="53" t="str">
        <f t="shared" si="279"/>
        <v/>
      </c>
    </row>
    <row r="1240" spans="1:20">
      <c r="A1240" s="47" t="str">
        <f>IF(archive!E1240="","",archive!E1240)</f>
        <v/>
      </c>
      <c r="B1240" s="48" t="str">
        <f t="shared" si="266"/>
        <v/>
      </c>
      <c r="C1240" s="49" t="str">
        <f>IF(archive!F1240="","",archive!F1240)</f>
        <v/>
      </c>
      <c r="D1240" s="50" t="str">
        <f t="shared" si="267"/>
        <v/>
      </c>
      <c r="E1240" s="50" t="str">
        <f t="shared" si="268"/>
        <v/>
      </c>
      <c r="F1240" s="47" t="str">
        <f>IF(COUNTA(archive!H1240:CI1240)=0,"",COUNTA(archive!H1240:CI1240))</f>
        <v/>
      </c>
      <c r="G1240" s="47" t="str">
        <f>IF(archive!G1240="","",archive!G1240)</f>
        <v/>
      </c>
      <c r="H1240" s="51" t="str">
        <f>IF(archive!CJ1240="","",archive!CJ1240)</f>
        <v/>
      </c>
      <c r="I1240" s="51" t="str">
        <f>IF(archive!CK1240="","",archive!CK1240)</f>
        <v/>
      </c>
      <c r="J1240" s="47" t="str">
        <f t="shared" si="269"/>
        <v/>
      </c>
      <c r="K1240" s="51" t="str">
        <f t="shared" si="270"/>
        <v/>
      </c>
      <c r="L1240" s="52" t="str">
        <f t="shared" si="271"/>
        <v/>
      </c>
      <c r="M1240" s="53" t="str">
        <f t="shared" si="272"/>
        <v/>
      </c>
      <c r="N1240" s="53" t="str">
        <f t="shared" si="273"/>
        <v/>
      </c>
      <c r="O1240" s="53" t="str">
        <f t="shared" si="274"/>
        <v/>
      </c>
      <c r="P1240" s="53" t="str">
        <f t="shared" si="275"/>
        <v/>
      </c>
      <c r="Q1240" s="53" t="str">
        <f t="shared" si="276"/>
        <v/>
      </c>
      <c r="R1240" s="53" t="str">
        <f t="shared" si="277"/>
        <v/>
      </c>
      <c r="S1240" s="53" t="str">
        <f t="shared" si="278"/>
        <v/>
      </c>
      <c r="T1240" s="53" t="str">
        <f t="shared" si="279"/>
        <v/>
      </c>
    </row>
    <row r="1241" spans="1:20">
      <c r="A1241" s="47" t="str">
        <f>IF(archive!E1241="","",archive!E1241)</f>
        <v/>
      </c>
      <c r="B1241" s="48" t="str">
        <f t="shared" si="266"/>
        <v/>
      </c>
      <c r="C1241" s="49" t="str">
        <f>IF(archive!F1241="","",archive!F1241)</f>
        <v/>
      </c>
      <c r="D1241" s="50" t="str">
        <f t="shared" si="267"/>
        <v/>
      </c>
      <c r="E1241" s="50" t="str">
        <f t="shared" si="268"/>
        <v/>
      </c>
      <c r="F1241" s="47" t="str">
        <f>IF(COUNTA(archive!H1241:CI1241)=0,"",COUNTA(archive!H1241:CI1241))</f>
        <v/>
      </c>
      <c r="G1241" s="47" t="str">
        <f>IF(archive!G1241="","",archive!G1241)</f>
        <v/>
      </c>
      <c r="H1241" s="51" t="str">
        <f>IF(archive!CJ1241="","",archive!CJ1241)</f>
        <v/>
      </c>
      <c r="I1241" s="51" t="str">
        <f>IF(archive!CK1241="","",archive!CK1241)</f>
        <v/>
      </c>
      <c r="J1241" s="47" t="str">
        <f t="shared" si="269"/>
        <v/>
      </c>
      <c r="K1241" s="51" t="str">
        <f t="shared" si="270"/>
        <v/>
      </c>
      <c r="L1241" s="52" t="str">
        <f t="shared" si="271"/>
        <v/>
      </c>
      <c r="M1241" s="53" t="str">
        <f t="shared" si="272"/>
        <v/>
      </c>
      <c r="N1241" s="53" t="str">
        <f t="shared" si="273"/>
        <v/>
      </c>
      <c r="O1241" s="53" t="str">
        <f t="shared" si="274"/>
        <v/>
      </c>
      <c r="P1241" s="53" t="str">
        <f t="shared" si="275"/>
        <v/>
      </c>
      <c r="Q1241" s="53" t="str">
        <f t="shared" si="276"/>
        <v/>
      </c>
      <c r="R1241" s="53" t="str">
        <f t="shared" si="277"/>
        <v/>
      </c>
      <c r="S1241" s="53" t="str">
        <f t="shared" si="278"/>
        <v/>
      </c>
      <c r="T1241" s="53" t="str">
        <f t="shared" si="279"/>
        <v/>
      </c>
    </row>
    <row r="1242" spans="1:20">
      <c r="A1242" s="47" t="str">
        <f>IF(archive!E1242="","",archive!E1242)</f>
        <v/>
      </c>
      <c r="B1242" s="48" t="str">
        <f t="shared" si="266"/>
        <v/>
      </c>
      <c r="C1242" s="49" t="str">
        <f>IF(archive!F1242="","",archive!F1242)</f>
        <v/>
      </c>
      <c r="D1242" s="50" t="str">
        <f t="shared" si="267"/>
        <v/>
      </c>
      <c r="E1242" s="50" t="str">
        <f t="shared" si="268"/>
        <v/>
      </c>
      <c r="F1242" s="47" t="str">
        <f>IF(COUNTA(archive!H1242:CI1242)=0,"",COUNTA(archive!H1242:CI1242))</f>
        <v/>
      </c>
      <c r="G1242" s="47" t="str">
        <f>IF(archive!G1242="","",archive!G1242)</f>
        <v/>
      </c>
      <c r="H1242" s="51" t="str">
        <f>IF(archive!CJ1242="","",archive!CJ1242)</f>
        <v/>
      </c>
      <c r="I1242" s="51" t="str">
        <f>IF(archive!CK1242="","",archive!CK1242)</f>
        <v/>
      </c>
      <c r="J1242" s="47" t="str">
        <f t="shared" si="269"/>
        <v/>
      </c>
      <c r="K1242" s="51" t="str">
        <f t="shared" si="270"/>
        <v/>
      </c>
      <c r="L1242" s="52" t="str">
        <f t="shared" si="271"/>
        <v/>
      </c>
      <c r="M1242" s="53" t="str">
        <f t="shared" si="272"/>
        <v/>
      </c>
      <c r="N1242" s="53" t="str">
        <f t="shared" si="273"/>
        <v/>
      </c>
      <c r="O1242" s="53" t="str">
        <f t="shared" si="274"/>
        <v/>
      </c>
      <c r="P1242" s="53" t="str">
        <f t="shared" si="275"/>
        <v/>
      </c>
      <c r="Q1242" s="53" t="str">
        <f t="shared" si="276"/>
        <v/>
      </c>
      <c r="R1242" s="53" t="str">
        <f t="shared" si="277"/>
        <v/>
      </c>
      <c r="S1242" s="53" t="str">
        <f t="shared" si="278"/>
        <v/>
      </c>
      <c r="T1242" s="53" t="str">
        <f t="shared" si="279"/>
        <v/>
      </c>
    </row>
    <row r="1243" spans="1:20">
      <c r="A1243" s="47" t="str">
        <f>IF(archive!E1243="","",archive!E1243)</f>
        <v/>
      </c>
      <c r="B1243" s="48" t="str">
        <f t="shared" si="266"/>
        <v/>
      </c>
      <c r="C1243" s="49" t="str">
        <f>IF(archive!F1243="","",archive!F1243)</f>
        <v/>
      </c>
      <c r="D1243" s="50" t="str">
        <f t="shared" si="267"/>
        <v/>
      </c>
      <c r="E1243" s="50" t="str">
        <f t="shared" si="268"/>
        <v/>
      </c>
      <c r="F1243" s="47" t="str">
        <f>IF(COUNTA(archive!H1243:CI1243)=0,"",COUNTA(archive!H1243:CI1243))</f>
        <v/>
      </c>
      <c r="G1243" s="47" t="str">
        <f>IF(archive!G1243="","",archive!G1243)</f>
        <v/>
      </c>
      <c r="H1243" s="51" t="str">
        <f>IF(archive!CJ1243="","",archive!CJ1243)</f>
        <v/>
      </c>
      <c r="I1243" s="51" t="str">
        <f>IF(archive!CK1243="","",archive!CK1243)</f>
        <v/>
      </c>
      <c r="J1243" s="47" t="str">
        <f t="shared" si="269"/>
        <v/>
      </c>
      <c r="K1243" s="51" t="str">
        <f t="shared" si="270"/>
        <v/>
      </c>
      <c r="L1243" s="52" t="str">
        <f t="shared" si="271"/>
        <v/>
      </c>
      <c r="M1243" s="53" t="str">
        <f t="shared" si="272"/>
        <v/>
      </c>
      <c r="N1243" s="53" t="str">
        <f t="shared" si="273"/>
        <v/>
      </c>
      <c r="O1243" s="53" t="str">
        <f t="shared" si="274"/>
        <v/>
      </c>
      <c r="P1243" s="53" t="str">
        <f t="shared" si="275"/>
        <v/>
      </c>
      <c r="Q1243" s="53" t="str">
        <f t="shared" si="276"/>
        <v/>
      </c>
      <c r="R1243" s="53" t="str">
        <f t="shared" si="277"/>
        <v/>
      </c>
      <c r="S1243" s="53" t="str">
        <f t="shared" si="278"/>
        <v/>
      </c>
      <c r="T1243" s="53" t="str">
        <f t="shared" si="279"/>
        <v/>
      </c>
    </row>
    <row r="1244" spans="1:20">
      <c r="A1244" s="47" t="str">
        <f>IF(archive!E1244="","",archive!E1244)</f>
        <v/>
      </c>
      <c r="B1244" s="48" t="str">
        <f t="shared" si="266"/>
        <v/>
      </c>
      <c r="C1244" s="49" t="str">
        <f>IF(archive!F1244="","",archive!F1244)</f>
        <v/>
      </c>
      <c r="D1244" s="50" t="str">
        <f t="shared" si="267"/>
        <v/>
      </c>
      <c r="E1244" s="50" t="str">
        <f t="shared" si="268"/>
        <v/>
      </c>
      <c r="F1244" s="47" t="str">
        <f>IF(COUNTA(archive!H1244:CI1244)=0,"",COUNTA(archive!H1244:CI1244))</f>
        <v/>
      </c>
      <c r="G1244" s="47" t="str">
        <f>IF(archive!G1244="","",archive!G1244)</f>
        <v/>
      </c>
      <c r="H1244" s="51" t="str">
        <f>IF(archive!CJ1244="","",archive!CJ1244)</f>
        <v/>
      </c>
      <c r="I1244" s="51" t="str">
        <f>IF(archive!CK1244="","",archive!CK1244)</f>
        <v/>
      </c>
      <c r="J1244" s="47" t="str">
        <f t="shared" si="269"/>
        <v/>
      </c>
      <c r="K1244" s="51" t="str">
        <f t="shared" si="270"/>
        <v/>
      </c>
      <c r="L1244" s="52" t="str">
        <f t="shared" si="271"/>
        <v/>
      </c>
      <c r="M1244" s="53" t="str">
        <f t="shared" si="272"/>
        <v/>
      </c>
      <c r="N1244" s="53" t="str">
        <f t="shared" si="273"/>
        <v/>
      </c>
      <c r="O1244" s="53" t="str">
        <f t="shared" si="274"/>
        <v/>
      </c>
      <c r="P1244" s="53" t="str">
        <f t="shared" si="275"/>
        <v/>
      </c>
      <c r="Q1244" s="53" t="str">
        <f t="shared" si="276"/>
        <v/>
      </c>
      <c r="R1244" s="53" t="str">
        <f t="shared" si="277"/>
        <v/>
      </c>
      <c r="S1244" s="53" t="str">
        <f t="shared" si="278"/>
        <v/>
      </c>
      <c r="T1244" s="53" t="str">
        <f t="shared" si="279"/>
        <v/>
      </c>
    </row>
    <row r="1245" spans="1:20">
      <c r="A1245" s="47" t="str">
        <f>IF(archive!E1245="","",archive!E1245)</f>
        <v/>
      </c>
      <c r="B1245" s="48" t="str">
        <f t="shared" si="266"/>
        <v/>
      </c>
      <c r="C1245" s="49" t="str">
        <f>IF(archive!F1245="","",archive!F1245)</f>
        <v/>
      </c>
      <c r="D1245" s="50" t="str">
        <f t="shared" si="267"/>
        <v/>
      </c>
      <c r="E1245" s="50" t="str">
        <f t="shared" si="268"/>
        <v/>
      </c>
      <c r="F1245" s="47" t="str">
        <f>IF(COUNTA(archive!H1245:CI1245)=0,"",COUNTA(archive!H1245:CI1245))</f>
        <v/>
      </c>
      <c r="G1245" s="47" t="str">
        <f>IF(archive!G1245="","",archive!G1245)</f>
        <v/>
      </c>
      <c r="H1245" s="51" t="str">
        <f>IF(archive!CJ1245="","",archive!CJ1245)</f>
        <v/>
      </c>
      <c r="I1245" s="51" t="str">
        <f>IF(archive!CK1245="","",archive!CK1245)</f>
        <v/>
      </c>
      <c r="J1245" s="47" t="str">
        <f t="shared" si="269"/>
        <v/>
      </c>
      <c r="K1245" s="51" t="str">
        <f t="shared" si="270"/>
        <v/>
      </c>
      <c r="L1245" s="52" t="str">
        <f t="shared" si="271"/>
        <v/>
      </c>
      <c r="M1245" s="53" t="str">
        <f t="shared" si="272"/>
        <v/>
      </c>
      <c r="N1245" s="53" t="str">
        <f t="shared" si="273"/>
        <v/>
      </c>
      <c r="O1245" s="53" t="str">
        <f t="shared" si="274"/>
        <v/>
      </c>
      <c r="P1245" s="53" t="str">
        <f t="shared" si="275"/>
        <v/>
      </c>
      <c r="Q1245" s="53" t="str">
        <f t="shared" si="276"/>
        <v/>
      </c>
      <c r="R1245" s="53" t="str">
        <f t="shared" si="277"/>
        <v/>
      </c>
      <c r="S1245" s="53" t="str">
        <f t="shared" si="278"/>
        <v/>
      </c>
      <c r="T1245" s="53" t="str">
        <f t="shared" si="279"/>
        <v/>
      </c>
    </row>
    <row r="1246" spans="1:20">
      <c r="A1246" s="47" t="str">
        <f>IF(archive!E1246="","",archive!E1246)</f>
        <v/>
      </c>
      <c r="B1246" s="48" t="str">
        <f t="shared" si="266"/>
        <v/>
      </c>
      <c r="C1246" s="49" t="str">
        <f>IF(archive!F1246="","",archive!F1246)</f>
        <v/>
      </c>
      <c r="D1246" s="50" t="str">
        <f t="shared" si="267"/>
        <v/>
      </c>
      <c r="E1246" s="50" t="str">
        <f t="shared" si="268"/>
        <v/>
      </c>
      <c r="F1246" s="47" t="str">
        <f>IF(COUNTA(archive!H1246:CI1246)=0,"",COUNTA(archive!H1246:CI1246))</f>
        <v/>
      </c>
      <c r="G1246" s="47" t="str">
        <f>IF(archive!G1246="","",archive!G1246)</f>
        <v/>
      </c>
      <c r="H1246" s="51" t="str">
        <f>IF(archive!CJ1246="","",archive!CJ1246)</f>
        <v/>
      </c>
      <c r="I1246" s="51" t="str">
        <f>IF(archive!CK1246="","",archive!CK1246)</f>
        <v/>
      </c>
      <c r="J1246" s="47" t="str">
        <f t="shared" si="269"/>
        <v/>
      </c>
      <c r="K1246" s="51" t="str">
        <f t="shared" si="270"/>
        <v/>
      </c>
      <c r="L1246" s="52" t="str">
        <f t="shared" si="271"/>
        <v/>
      </c>
      <c r="M1246" s="53" t="str">
        <f t="shared" si="272"/>
        <v/>
      </c>
      <c r="N1246" s="53" t="str">
        <f t="shared" si="273"/>
        <v/>
      </c>
      <c r="O1246" s="53" t="str">
        <f t="shared" si="274"/>
        <v/>
      </c>
      <c r="P1246" s="53" t="str">
        <f t="shared" si="275"/>
        <v/>
      </c>
      <c r="Q1246" s="53" t="str">
        <f t="shared" si="276"/>
        <v/>
      </c>
      <c r="R1246" s="53" t="str">
        <f t="shared" si="277"/>
        <v/>
      </c>
      <c r="S1246" s="53" t="str">
        <f t="shared" si="278"/>
        <v/>
      </c>
      <c r="T1246" s="53" t="str">
        <f t="shared" si="279"/>
        <v/>
      </c>
    </row>
    <row r="1247" spans="1:20">
      <c r="A1247" s="47" t="str">
        <f>IF(archive!E1247="","",archive!E1247)</f>
        <v/>
      </c>
      <c r="B1247" s="48" t="str">
        <f t="shared" si="266"/>
        <v/>
      </c>
      <c r="C1247" s="49" t="str">
        <f>IF(archive!F1247="","",archive!F1247)</f>
        <v/>
      </c>
      <c r="D1247" s="50" t="str">
        <f t="shared" si="267"/>
        <v/>
      </c>
      <c r="E1247" s="50" t="str">
        <f t="shared" si="268"/>
        <v/>
      </c>
      <c r="F1247" s="47" t="str">
        <f>IF(COUNTA(archive!H1247:CI1247)=0,"",COUNTA(archive!H1247:CI1247))</f>
        <v/>
      </c>
      <c r="G1247" s="47" t="str">
        <f>IF(archive!G1247="","",archive!G1247)</f>
        <v/>
      </c>
      <c r="H1247" s="51" t="str">
        <f>IF(archive!CJ1247="","",archive!CJ1247)</f>
        <v/>
      </c>
      <c r="I1247" s="51" t="str">
        <f>IF(archive!CK1247="","",archive!CK1247)</f>
        <v/>
      </c>
      <c r="J1247" s="47" t="str">
        <f t="shared" si="269"/>
        <v/>
      </c>
      <c r="K1247" s="51" t="str">
        <f t="shared" si="270"/>
        <v/>
      </c>
      <c r="L1247" s="52" t="str">
        <f t="shared" si="271"/>
        <v/>
      </c>
      <c r="M1247" s="53" t="str">
        <f t="shared" si="272"/>
        <v/>
      </c>
      <c r="N1247" s="53" t="str">
        <f t="shared" si="273"/>
        <v/>
      </c>
      <c r="O1247" s="53" t="str">
        <f t="shared" si="274"/>
        <v/>
      </c>
      <c r="P1247" s="53" t="str">
        <f t="shared" si="275"/>
        <v/>
      </c>
      <c r="Q1247" s="53" t="str">
        <f t="shared" si="276"/>
        <v/>
      </c>
      <c r="R1247" s="53" t="str">
        <f t="shared" si="277"/>
        <v/>
      </c>
      <c r="S1247" s="53" t="str">
        <f t="shared" si="278"/>
        <v/>
      </c>
      <c r="T1247" s="53" t="str">
        <f t="shared" si="279"/>
        <v/>
      </c>
    </row>
    <row r="1248" spans="1:20">
      <c r="A1248" s="47" t="str">
        <f>IF(archive!E1248="","",archive!E1248)</f>
        <v/>
      </c>
      <c r="B1248" s="48" t="str">
        <f t="shared" si="266"/>
        <v/>
      </c>
      <c r="C1248" s="49" t="str">
        <f>IF(archive!F1248="","",archive!F1248)</f>
        <v/>
      </c>
      <c r="D1248" s="50" t="str">
        <f t="shared" si="267"/>
        <v/>
      </c>
      <c r="E1248" s="50" t="str">
        <f t="shared" si="268"/>
        <v/>
      </c>
      <c r="F1248" s="47" t="str">
        <f>IF(COUNTA(archive!H1248:CI1248)=0,"",COUNTA(archive!H1248:CI1248))</f>
        <v/>
      </c>
      <c r="G1248" s="47" t="str">
        <f>IF(archive!G1248="","",archive!G1248)</f>
        <v/>
      </c>
      <c r="H1248" s="51" t="str">
        <f>IF(archive!CJ1248="","",archive!CJ1248)</f>
        <v/>
      </c>
      <c r="I1248" s="51" t="str">
        <f>IF(archive!CK1248="","",archive!CK1248)</f>
        <v/>
      </c>
      <c r="J1248" s="47" t="str">
        <f t="shared" si="269"/>
        <v/>
      </c>
      <c r="K1248" s="51" t="str">
        <f t="shared" si="270"/>
        <v/>
      </c>
      <c r="L1248" s="52" t="str">
        <f t="shared" si="271"/>
        <v/>
      </c>
      <c r="M1248" s="53" t="str">
        <f t="shared" si="272"/>
        <v/>
      </c>
      <c r="N1248" s="53" t="str">
        <f t="shared" si="273"/>
        <v/>
      </c>
      <c r="O1248" s="53" t="str">
        <f t="shared" si="274"/>
        <v/>
      </c>
      <c r="P1248" s="53" t="str">
        <f t="shared" si="275"/>
        <v/>
      </c>
      <c r="Q1248" s="53" t="str">
        <f t="shared" si="276"/>
        <v/>
      </c>
      <c r="R1248" s="53" t="str">
        <f t="shared" si="277"/>
        <v/>
      </c>
      <c r="S1248" s="53" t="str">
        <f t="shared" si="278"/>
        <v/>
      </c>
      <c r="T1248" s="53" t="str">
        <f t="shared" si="279"/>
        <v/>
      </c>
    </row>
    <row r="1249" spans="1:20">
      <c r="A1249" s="47" t="str">
        <f>IF(archive!E1249="","",archive!E1249)</f>
        <v/>
      </c>
      <c r="B1249" s="48" t="str">
        <f t="shared" si="266"/>
        <v/>
      </c>
      <c r="C1249" s="49" t="str">
        <f>IF(archive!F1249="","",archive!F1249)</f>
        <v/>
      </c>
      <c r="D1249" s="50" t="str">
        <f t="shared" si="267"/>
        <v/>
      </c>
      <c r="E1249" s="50" t="str">
        <f t="shared" si="268"/>
        <v/>
      </c>
      <c r="F1249" s="47" t="str">
        <f>IF(COUNTA(archive!H1249:CI1249)=0,"",COUNTA(archive!H1249:CI1249))</f>
        <v/>
      </c>
      <c r="G1249" s="47" t="str">
        <f>IF(archive!G1249="","",archive!G1249)</f>
        <v/>
      </c>
      <c r="H1249" s="51" t="str">
        <f>IF(archive!CJ1249="","",archive!CJ1249)</f>
        <v/>
      </c>
      <c r="I1249" s="51" t="str">
        <f>IF(archive!CK1249="","",archive!CK1249)</f>
        <v/>
      </c>
      <c r="J1249" s="47" t="str">
        <f t="shared" si="269"/>
        <v/>
      </c>
      <c r="K1249" s="51" t="str">
        <f t="shared" si="270"/>
        <v/>
      </c>
      <c r="L1249" s="52" t="str">
        <f t="shared" si="271"/>
        <v/>
      </c>
      <c r="M1249" s="53" t="str">
        <f t="shared" si="272"/>
        <v/>
      </c>
      <c r="N1249" s="53" t="str">
        <f t="shared" si="273"/>
        <v/>
      </c>
      <c r="O1249" s="53" t="str">
        <f t="shared" si="274"/>
        <v/>
      </c>
      <c r="P1249" s="53" t="str">
        <f t="shared" si="275"/>
        <v/>
      </c>
      <c r="Q1249" s="53" t="str">
        <f t="shared" si="276"/>
        <v/>
      </c>
      <c r="R1249" s="53" t="str">
        <f t="shared" si="277"/>
        <v/>
      </c>
      <c r="S1249" s="53" t="str">
        <f t="shared" si="278"/>
        <v/>
      </c>
      <c r="T1249" s="53" t="str">
        <f t="shared" si="279"/>
        <v/>
      </c>
    </row>
    <row r="1250" spans="1:20">
      <c r="A1250" s="47" t="str">
        <f>IF(archive!E1250="","",archive!E1250)</f>
        <v/>
      </c>
      <c r="B1250" s="48" t="str">
        <f t="shared" si="266"/>
        <v/>
      </c>
      <c r="C1250" s="49" t="str">
        <f>IF(archive!F1250="","",archive!F1250)</f>
        <v/>
      </c>
      <c r="D1250" s="50" t="str">
        <f t="shared" si="267"/>
        <v/>
      </c>
      <c r="E1250" s="50" t="str">
        <f t="shared" si="268"/>
        <v/>
      </c>
      <c r="F1250" s="47" t="str">
        <f>IF(COUNTA(archive!H1250:CI1250)=0,"",COUNTA(archive!H1250:CI1250))</f>
        <v/>
      </c>
      <c r="G1250" s="47" t="str">
        <f>IF(archive!G1250="","",archive!G1250)</f>
        <v/>
      </c>
      <c r="H1250" s="51" t="str">
        <f>IF(archive!CJ1250="","",archive!CJ1250)</f>
        <v/>
      </c>
      <c r="I1250" s="51" t="str">
        <f>IF(archive!CK1250="","",archive!CK1250)</f>
        <v/>
      </c>
      <c r="J1250" s="47" t="str">
        <f t="shared" si="269"/>
        <v/>
      </c>
      <c r="K1250" s="51" t="str">
        <f t="shared" si="270"/>
        <v/>
      </c>
      <c r="L1250" s="52" t="str">
        <f t="shared" si="271"/>
        <v/>
      </c>
      <c r="M1250" s="53" t="str">
        <f t="shared" si="272"/>
        <v/>
      </c>
      <c r="N1250" s="53" t="str">
        <f t="shared" si="273"/>
        <v/>
      </c>
      <c r="O1250" s="53" t="str">
        <f t="shared" si="274"/>
        <v/>
      </c>
      <c r="P1250" s="53" t="str">
        <f t="shared" si="275"/>
        <v/>
      </c>
      <c r="Q1250" s="53" t="str">
        <f t="shared" si="276"/>
        <v/>
      </c>
      <c r="R1250" s="53" t="str">
        <f t="shared" si="277"/>
        <v/>
      </c>
      <c r="S1250" s="53" t="str">
        <f t="shared" si="278"/>
        <v/>
      </c>
      <c r="T1250" s="53" t="str">
        <f t="shared" si="279"/>
        <v/>
      </c>
    </row>
    <row r="1251" spans="1:20">
      <c r="A1251" s="47" t="str">
        <f>IF(archive!E1251="","",archive!E1251)</f>
        <v/>
      </c>
      <c r="B1251" s="48" t="str">
        <f t="shared" si="266"/>
        <v/>
      </c>
      <c r="C1251" s="49" t="str">
        <f>IF(archive!F1251="","",archive!F1251)</f>
        <v/>
      </c>
      <c r="D1251" s="50" t="str">
        <f t="shared" si="267"/>
        <v/>
      </c>
      <c r="E1251" s="50" t="str">
        <f t="shared" si="268"/>
        <v/>
      </c>
      <c r="F1251" s="47" t="str">
        <f>IF(COUNTA(archive!H1251:CI1251)=0,"",COUNTA(archive!H1251:CI1251))</f>
        <v/>
      </c>
      <c r="G1251" s="47" t="str">
        <f>IF(archive!G1251="","",archive!G1251)</f>
        <v/>
      </c>
      <c r="H1251" s="51" t="str">
        <f>IF(archive!CJ1251="","",archive!CJ1251)</f>
        <v/>
      </c>
      <c r="I1251" s="51" t="str">
        <f>IF(archive!CK1251="","",archive!CK1251)</f>
        <v/>
      </c>
      <c r="J1251" s="47" t="str">
        <f t="shared" si="269"/>
        <v/>
      </c>
      <c r="K1251" s="51" t="str">
        <f t="shared" si="270"/>
        <v/>
      </c>
      <c r="L1251" s="52" t="str">
        <f t="shared" si="271"/>
        <v/>
      </c>
      <c r="M1251" s="53" t="str">
        <f t="shared" si="272"/>
        <v/>
      </c>
      <c r="N1251" s="53" t="str">
        <f t="shared" si="273"/>
        <v/>
      </c>
      <c r="O1251" s="53" t="str">
        <f t="shared" si="274"/>
        <v/>
      </c>
      <c r="P1251" s="53" t="str">
        <f t="shared" si="275"/>
        <v/>
      </c>
      <c r="Q1251" s="53" t="str">
        <f t="shared" si="276"/>
        <v/>
      </c>
      <c r="R1251" s="53" t="str">
        <f t="shared" si="277"/>
        <v/>
      </c>
      <c r="S1251" s="53" t="str">
        <f t="shared" si="278"/>
        <v/>
      </c>
      <c r="T1251" s="53" t="str">
        <f t="shared" si="279"/>
        <v/>
      </c>
    </row>
    <row r="1252" spans="1:20">
      <c r="A1252" s="47" t="str">
        <f>IF(archive!E1252="","",archive!E1252)</f>
        <v/>
      </c>
      <c r="B1252" s="48" t="str">
        <f t="shared" si="266"/>
        <v/>
      </c>
      <c r="C1252" s="49" t="str">
        <f>IF(archive!F1252="","",archive!F1252)</f>
        <v/>
      </c>
      <c r="D1252" s="50" t="str">
        <f t="shared" si="267"/>
        <v/>
      </c>
      <c r="E1252" s="50" t="str">
        <f t="shared" si="268"/>
        <v/>
      </c>
      <c r="F1252" s="47" t="str">
        <f>IF(COUNTA(archive!H1252:CI1252)=0,"",COUNTA(archive!H1252:CI1252))</f>
        <v/>
      </c>
      <c r="G1252" s="47" t="str">
        <f>IF(archive!G1252="","",archive!G1252)</f>
        <v/>
      </c>
      <c r="H1252" s="51" t="str">
        <f>IF(archive!CJ1252="","",archive!CJ1252)</f>
        <v/>
      </c>
      <c r="I1252" s="51" t="str">
        <f>IF(archive!CK1252="","",archive!CK1252)</f>
        <v/>
      </c>
      <c r="J1252" s="47" t="str">
        <f t="shared" si="269"/>
        <v/>
      </c>
      <c r="K1252" s="51" t="str">
        <f t="shared" si="270"/>
        <v/>
      </c>
      <c r="L1252" s="52" t="str">
        <f t="shared" si="271"/>
        <v/>
      </c>
      <c r="M1252" s="53" t="str">
        <f t="shared" si="272"/>
        <v/>
      </c>
      <c r="N1252" s="53" t="str">
        <f t="shared" si="273"/>
        <v/>
      </c>
      <c r="O1252" s="53" t="str">
        <f t="shared" si="274"/>
        <v/>
      </c>
      <c r="P1252" s="53" t="str">
        <f t="shared" si="275"/>
        <v/>
      </c>
      <c r="Q1252" s="53" t="str">
        <f t="shared" si="276"/>
        <v/>
      </c>
      <c r="R1252" s="53" t="str">
        <f t="shared" si="277"/>
        <v/>
      </c>
      <c r="S1252" s="53" t="str">
        <f t="shared" si="278"/>
        <v/>
      </c>
      <c r="T1252" s="53" t="str">
        <f t="shared" si="279"/>
        <v/>
      </c>
    </row>
    <row r="1253" spans="1:20">
      <c r="A1253" s="47" t="str">
        <f>IF(archive!E1253="","",archive!E1253)</f>
        <v/>
      </c>
      <c r="B1253" s="48" t="str">
        <f t="shared" si="266"/>
        <v/>
      </c>
      <c r="C1253" s="49" t="str">
        <f>IF(archive!F1253="","",archive!F1253)</f>
        <v/>
      </c>
      <c r="D1253" s="50" t="str">
        <f t="shared" si="267"/>
        <v/>
      </c>
      <c r="E1253" s="50" t="str">
        <f t="shared" si="268"/>
        <v/>
      </c>
      <c r="F1253" s="47" t="str">
        <f>IF(COUNTA(archive!H1253:CI1253)=0,"",COUNTA(archive!H1253:CI1253))</f>
        <v/>
      </c>
      <c r="G1253" s="47" t="str">
        <f>IF(archive!G1253="","",archive!G1253)</f>
        <v/>
      </c>
      <c r="H1253" s="51" t="str">
        <f>IF(archive!CJ1253="","",archive!CJ1253)</f>
        <v/>
      </c>
      <c r="I1253" s="51" t="str">
        <f>IF(archive!CK1253="","",archive!CK1253)</f>
        <v/>
      </c>
      <c r="J1253" s="47" t="str">
        <f t="shared" si="269"/>
        <v/>
      </c>
      <c r="K1253" s="51" t="str">
        <f t="shared" si="270"/>
        <v/>
      </c>
      <c r="L1253" s="52" t="str">
        <f t="shared" si="271"/>
        <v/>
      </c>
      <c r="M1253" s="53" t="str">
        <f t="shared" si="272"/>
        <v/>
      </c>
      <c r="N1253" s="53" t="str">
        <f t="shared" si="273"/>
        <v/>
      </c>
      <c r="O1253" s="53" t="str">
        <f t="shared" si="274"/>
        <v/>
      </c>
      <c r="P1253" s="53" t="str">
        <f t="shared" si="275"/>
        <v/>
      </c>
      <c r="Q1253" s="53" t="str">
        <f t="shared" si="276"/>
        <v/>
      </c>
      <c r="R1253" s="53" t="str">
        <f t="shared" si="277"/>
        <v/>
      </c>
      <c r="S1253" s="53" t="str">
        <f t="shared" si="278"/>
        <v/>
      </c>
      <c r="T1253" s="53" t="str">
        <f t="shared" si="279"/>
        <v/>
      </c>
    </row>
    <row r="1254" spans="1:20">
      <c r="A1254" s="47" t="str">
        <f>IF(archive!E1254="","",archive!E1254)</f>
        <v/>
      </c>
      <c r="B1254" s="48" t="str">
        <f t="shared" si="266"/>
        <v/>
      </c>
      <c r="C1254" s="49" t="str">
        <f>IF(archive!F1254="","",archive!F1254)</f>
        <v/>
      </c>
      <c r="D1254" s="50" t="str">
        <f t="shared" si="267"/>
        <v/>
      </c>
      <c r="E1254" s="50" t="str">
        <f t="shared" si="268"/>
        <v/>
      </c>
      <c r="F1254" s="47" t="str">
        <f>IF(COUNTA(archive!H1254:CI1254)=0,"",COUNTA(archive!H1254:CI1254))</f>
        <v/>
      </c>
      <c r="G1254" s="47" t="str">
        <f>IF(archive!G1254="","",archive!G1254)</f>
        <v/>
      </c>
      <c r="H1254" s="51" t="str">
        <f>IF(archive!CJ1254="","",archive!CJ1254)</f>
        <v/>
      </c>
      <c r="I1254" s="51" t="str">
        <f>IF(archive!CK1254="","",archive!CK1254)</f>
        <v/>
      </c>
      <c r="J1254" s="47" t="str">
        <f t="shared" si="269"/>
        <v/>
      </c>
      <c r="K1254" s="51" t="str">
        <f t="shared" si="270"/>
        <v/>
      </c>
      <c r="L1254" s="52" t="str">
        <f t="shared" si="271"/>
        <v/>
      </c>
      <c r="M1254" s="53" t="str">
        <f t="shared" si="272"/>
        <v/>
      </c>
      <c r="N1254" s="53" t="str">
        <f t="shared" si="273"/>
        <v/>
      </c>
      <c r="O1254" s="53" t="str">
        <f t="shared" si="274"/>
        <v/>
      </c>
      <c r="P1254" s="53" t="str">
        <f t="shared" si="275"/>
        <v/>
      </c>
      <c r="Q1254" s="53" t="str">
        <f t="shared" si="276"/>
        <v/>
      </c>
      <c r="R1254" s="53" t="str">
        <f t="shared" si="277"/>
        <v/>
      </c>
      <c r="S1254" s="53" t="str">
        <f t="shared" si="278"/>
        <v/>
      </c>
      <c r="T1254" s="53" t="str">
        <f t="shared" si="279"/>
        <v/>
      </c>
    </row>
    <row r="1255" spans="1:20">
      <c r="A1255" s="47" t="str">
        <f>IF(archive!E1255="","",archive!E1255)</f>
        <v/>
      </c>
      <c r="B1255" s="48" t="str">
        <f t="shared" si="266"/>
        <v/>
      </c>
      <c r="C1255" s="49" t="str">
        <f>IF(archive!F1255="","",archive!F1255)</f>
        <v/>
      </c>
      <c r="D1255" s="50" t="str">
        <f t="shared" si="267"/>
        <v/>
      </c>
      <c r="E1255" s="50" t="str">
        <f t="shared" si="268"/>
        <v/>
      </c>
      <c r="F1255" s="47" t="str">
        <f>IF(COUNTA(archive!H1255:CI1255)=0,"",COUNTA(archive!H1255:CI1255))</f>
        <v/>
      </c>
      <c r="G1255" s="47" t="str">
        <f>IF(archive!G1255="","",archive!G1255)</f>
        <v/>
      </c>
      <c r="H1255" s="51" t="str">
        <f>IF(archive!CJ1255="","",archive!CJ1255)</f>
        <v/>
      </c>
      <c r="I1255" s="51" t="str">
        <f>IF(archive!CK1255="","",archive!CK1255)</f>
        <v/>
      </c>
      <c r="J1255" s="47" t="str">
        <f t="shared" si="269"/>
        <v/>
      </c>
      <c r="K1255" s="51" t="str">
        <f t="shared" si="270"/>
        <v/>
      </c>
      <c r="L1255" s="52" t="str">
        <f t="shared" si="271"/>
        <v/>
      </c>
      <c r="M1255" s="53" t="str">
        <f t="shared" si="272"/>
        <v/>
      </c>
      <c r="N1255" s="53" t="str">
        <f t="shared" si="273"/>
        <v/>
      </c>
      <c r="O1255" s="53" t="str">
        <f t="shared" si="274"/>
        <v/>
      </c>
      <c r="P1255" s="53" t="str">
        <f t="shared" si="275"/>
        <v/>
      </c>
      <c r="Q1255" s="53" t="str">
        <f t="shared" si="276"/>
        <v/>
      </c>
      <c r="R1255" s="53" t="str">
        <f t="shared" si="277"/>
        <v/>
      </c>
      <c r="S1255" s="53" t="str">
        <f t="shared" si="278"/>
        <v/>
      </c>
      <c r="T1255" s="53" t="str">
        <f t="shared" si="279"/>
        <v/>
      </c>
    </row>
    <row r="1256" spans="1:20">
      <c r="A1256" s="47" t="str">
        <f>IF(archive!E1256="","",archive!E1256)</f>
        <v/>
      </c>
      <c r="B1256" s="48" t="str">
        <f t="shared" si="266"/>
        <v/>
      </c>
      <c r="C1256" s="49" t="str">
        <f>IF(archive!F1256="","",archive!F1256)</f>
        <v/>
      </c>
      <c r="D1256" s="50" t="str">
        <f t="shared" si="267"/>
        <v/>
      </c>
      <c r="E1256" s="50" t="str">
        <f t="shared" si="268"/>
        <v/>
      </c>
      <c r="F1256" s="47" t="str">
        <f>IF(COUNTA(archive!H1256:CI1256)=0,"",COUNTA(archive!H1256:CI1256))</f>
        <v/>
      </c>
      <c r="G1256" s="47" t="str">
        <f>IF(archive!G1256="","",archive!G1256)</f>
        <v/>
      </c>
      <c r="H1256" s="51" t="str">
        <f>IF(archive!CJ1256="","",archive!CJ1256)</f>
        <v/>
      </c>
      <c r="I1256" s="51" t="str">
        <f>IF(archive!CK1256="","",archive!CK1256)</f>
        <v/>
      </c>
      <c r="J1256" s="47" t="str">
        <f t="shared" si="269"/>
        <v/>
      </c>
      <c r="K1256" s="51" t="str">
        <f t="shared" si="270"/>
        <v/>
      </c>
      <c r="L1256" s="52" t="str">
        <f t="shared" si="271"/>
        <v/>
      </c>
      <c r="M1256" s="53" t="str">
        <f t="shared" si="272"/>
        <v/>
      </c>
      <c r="N1256" s="53" t="str">
        <f t="shared" si="273"/>
        <v/>
      </c>
      <c r="O1256" s="53" t="str">
        <f t="shared" si="274"/>
        <v/>
      </c>
      <c r="P1256" s="53" t="str">
        <f t="shared" si="275"/>
        <v/>
      </c>
      <c r="Q1256" s="53" t="str">
        <f t="shared" si="276"/>
        <v/>
      </c>
      <c r="R1256" s="53" t="str">
        <f t="shared" si="277"/>
        <v/>
      </c>
      <c r="S1256" s="53" t="str">
        <f t="shared" si="278"/>
        <v/>
      </c>
      <c r="T1256" s="53" t="str">
        <f t="shared" si="279"/>
        <v/>
      </c>
    </row>
    <row r="1257" spans="1:20">
      <c r="A1257" s="47" t="str">
        <f>IF(archive!E1257="","",archive!E1257)</f>
        <v/>
      </c>
      <c r="B1257" s="48" t="str">
        <f t="shared" si="266"/>
        <v/>
      </c>
      <c r="C1257" s="49" t="str">
        <f>IF(archive!F1257="","",archive!F1257)</f>
        <v/>
      </c>
      <c r="D1257" s="50" t="str">
        <f t="shared" si="267"/>
        <v/>
      </c>
      <c r="E1257" s="50" t="str">
        <f t="shared" si="268"/>
        <v/>
      </c>
      <c r="F1257" s="47" t="str">
        <f>IF(COUNTA(archive!H1257:CI1257)=0,"",COUNTA(archive!H1257:CI1257))</f>
        <v/>
      </c>
      <c r="G1257" s="47" t="str">
        <f>IF(archive!G1257="","",archive!G1257)</f>
        <v/>
      </c>
      <c r="H1257" s="51" t="str">
        <f>IF(archive!CJ1257="","",archive!CJ1257)</f>
        <v/>
      </c>
      <c r="I1257" s="51" t="str">
        <f>IF(archive!CK1257="","",archive!CK1257)</f>
        <v/>
      </c>
      <c r="J1257" s="47" t="str">
        <f t="shared" si="269"/>
        <v/>
      </c>
      <c r="K1257" s="51" t="str">
        <f t="shared" si="270"/>
        <v/>
      </c>
      <c r="L1257" s="52" t="str">
        <f t="shared" si="271"/>
        <v/>
      </c>
      <c r="M1257" s="53" t="str">
        <f t="shared" si="272"/>
        <v/>
      </c>
      <c r="N1257" s="53" t="str">
        <f t="shared" si="273"/>
        <v/>
      </c>
      <c r="O1257" s="53" t="str">
        <f t="shared" si="274"/>
        <v/>
      </c>
      <c r="P1257" s="53" t="str">
        <f t="shared" si="275"/>
        <v/>
      </c>
      <c r="Q1257" s="53" t="str">
        <f t="shared" si="276"/>
        <v/>
      </c>
      <c r="R1257" s="53" t="str">
        <f t="shared" si="277"/>
        <v/>
      </c>
      <c r="S1257" s="53" t="str">
        <f t="shared" si="278"/>
        <v/>
      </c>
      <c r="T1257" s="53" t="str">
        <f t="shared" si="279"/>
        <v/>
      </c>
    </row>
    <row r="1258" spans="1:20">
      <c r="A1258" s="47" t="str">
        <f>IF(archive!E1258="","",archive!E1258)</f>
        <v/>
      </c>
      <c r="B1258" s="48" t="str">
        <f t="shared" si="266"/>
        <v/>
      </c>
      <c r="C1258" s="49" t="str">
        <f>IF(archive!F1258="","",archive!F1258)</f>
        <v/>
      </c>
      <c r="D1258" s="50" t="str">
        <f t="shared" si="267"/>
        <v/>
      </c>
      <c r="E1258" s="50" t="str">
        <f t="shared" si="268"/>
        <v/>
      </c>
      <c r="F1258" s="47" t="str">
        <f>IF(COUNTA(archive!H1258:CI1258)=0,"",COUNTA(archive!H1258:CI1258))</f>
        <v/>
      </c>
      <c r="G1258" s="47" t="str">
        <f>IF(archive!G1258="","",archive!G1258)</f>
        <v/>
      </c>
      <c r="H1258" s="51" t="str">
        <f>IF(archive!CJ1258="","",archive!CJ1258)</f>
        <v/>
      </c>
      <c r="I1258" s="51" t="str">
        <f>IF(archive!CK1258="","",archive!CK1258)</f>
        <v/>
      </c>
      <c r="J1258" s="47" t="str">
        <f t="shared" si="269"/>
        <v/>
      </c>
      <c r="K1258" s="51" t="str">
        <f t="shared" si="270"/>
        <v/>
      </c>
      <c r="L1258" s="52" t="str">
        <f t="shared" si="271"/>
        <v/>
      </c>
      <c r="M1258" s="53" t="str">
        <f t="shared" si="272"/>
        <v/>
      </c>
      <c r="N1258" s="53" t="str">
        <f t="shared" si="273"/>
        <v/>
      </c>
      <c r="O1258" s="53" t="str">
        <f t="shared" si="274"/>
        <v/>
      </c>
      <c r="P1258" s="53" t="str">
        <f t="shared" si="275"/>
        <v/>
      </c>
      <c r="Q1258" s="53" t="str">
        <f t="shared" si="276"/>
        <v/>
      </c>
      <c r="R1258" s="53" t="str">
        <f t="shared" si="277"/>
        <v/>
      </c>
      <c r="S1258" s="53" t="str">
        <f t="shared" si="278"/>
        <v/>
      </c>
      <c r="T1258" s="53" t="str">
        <f t="shared" si="279"/>
        <v/>
      </c>
    </row>
    <row r="1259" spans="1:20">
      <c r="A1259" s="47" t="str">
        <f>IF(archive!E1259="","",archive!E1259)</f>
        <v/>
      </c>
      <c r="B1259" s="48" t="str">
        <f t="shared" si="266"/>
        <v/>
      </c>
      <c r="C1259" s="49" t="str">
        <f>IF(archive!F1259="","",archive!F1259)</f>
        <v/>
      </c>
      <c r="D1259" s="50" t="str">
        <f t="shared" si="267"/>
        <v/>
      </c>
      <c r="E1259" s="50" t="str">
        <f t="shared" si="268"/>
        <v/>
      </c>
      <c r="F1259" s="47" t="str">
        <f>IF(COUNTA(archive!H1259:CI1259)=0,"",COUNTA(archive!H1259:CI1259))</f>
        <v/>
      </c>
      <c r="G1259" s="47" t="str">
        <f>IF(archive!G1259="","",archive!G1259)</f>
        <v/>
      </c>
      <c r="H1259" s="51" t="str">
        <f>IF(archive!CJ1259="","",archive!CJ1259)</f>
        <v/>
      </c>
      <c r="I1259" s="51" t="str">
        <f>IF(archive!CK1259="","",archive!CK1259)</f>
        <v/>
      </c>
      <c r="J1259" s="47" t="str">
        <f t="shared" si="269"/>
        <v/>
      </c>
      <c r="K1259" s="51" t="str">
        <f t="shared" si="270"/>
        <v/>
      </c>
      <c r="L1259" s="52" t="str">
        <f t="shared" si="271"/>
        <v/>
      </c>
      <c r="M1259" s="53" t="str">
        <f t="shared" si="272"/>
        <v/>
      </c>
      <c r="N1259" s="53" t="str">
        <f t="shared" si="273"/>
        <v/>
      </c>
      <c r="O1259" s="53" t="str">
        <f t="shared" si="274"/>
        <v/>
      </c>
      <c r="P1259" s="53" t="str">
        <f t="shared" si="275"/>
        <v/>
      </c>
      <c r="Q1259" s="53" t="str">
        <f t="shared" si="276"/>
        <v/>
      </c>
      <c r="R1259" s="53" t="str">
        <f t="shared" si="277"/>
        <v/>
      </c>
      <c r="S1259" s="53" t="str">
        <f t="shared" si="278"/>
        <v/>
      </c>
      <c r="T1259" s="53" t="str">
        <f t="shared" si="279"/>
        <v/>
      </c>
    </row>
    <row r="1260" spans="1:20">
      <c r="A1260" s="47" t="str">
        <f>IF(archive!E1260="","",archive!E1260)</f>
        <v/>
      </c>
      <c r="B1260" s="48" t="str">
        <f t="shared" si="266"/>
        <v/>
      </c>
      <c r="C1260" s="49" t="str">
        <f>IF(archive!F1260="","",archive!F1260)</f>
        <v/>
      </c>
      <c r="D1260" s="50" t="str">
        <f t="shared" si="267"/>
        <v/>
      </c>
      <c r="E1260" s="50" t="str">
        <f t="shared" si="268"/>
        <v/>
      </c>
      <c r="F1260" s="47" t="str">
        <f>IF(COUNTA(archive!H1260:CI1260)=0,"",COUNTA(archive!H1260:CI1260))</f>
        <v/>
      </c>
      <c r="G1260" s="47" t="str">
        <f>IF(archive!G1260="","",archive!G1260)</f>
        <v/>
      </c>
      <c r="H1260" s="51" t="str">
        <f>IF(archive!CJ1260="","",archive!CJ1260)</f>
        <v/>
      </c>
      <c r="I1260" s="51" t="str">
        <f>IF(archive!CK1260="","",archive!CK1260)</f>
        <v/>
      </c>
      <c r="J1260" s="47" t="str">
        <f t="shared" si="269"/>
        <v/>
      </c>
      <c r="K1260" s="51" t="str">
        <f t="shared" si="270"/>
        <v/>
      </c>
      <c r="L1260" s="52" t="str">
        <f t="shared" si="271"/>
        <v/>
      </c>
      <c r="M1260" s="53" t="str">
        <f t="shared" si="272"/>
        <v/>
      </c>
      <c r="N1260" s="53" t="str">
        <f t="shared" si="273"/>
        <v/>
      </c>
      <c r="O1260" s="53" t="str">
        <f t="shared" si="274"/>
        <v/>
      </c>
      <c r="P1260" s="53" t="str">
        <f t="shared" si="275"/>
        <v/>
      </c>
      <c r="Q1260" s="53" t="str">
        <f t="shared" si="276"/>
        <v/>
      </c>
      <c r="R1260" s="53" t="str">
        <f t="shared" si="277"/>
        <v/>
      </c>
      <c r="S1260" s="53" t="str">
        <f t="shared" si="278"/>
        <v/>
      </c>
      <c r="T1260" s="53" t="str">
        <f t="shared" si="279"/>
        <v/>
      </c>
    </row>
    <row r="1261" spans="1:20">
      <c r="A1261" s="47" t="str">
        <f>IF(archive!E1261="","",archive!E1261)</f>
        <v/>
      </c>
      <c r="B1261" s="48" t="str">
        <f t="shared" si="266"/>
        <v/>
      </c>
      <c r="C1261" s="49" t="str">
        <f>IF(archive!F1261="","",archive!F1261)</f>
        <v/>
      </c>
      <c r="D1261" s="50" t="str">
        <f t="shared" si="267"/>
        <v/>
      </c>
      <c r="E1261" s="50" t="str">
        <f t="shared" si="268"/>
        <v/>
      </c>
      <c r="F1261" s="47" t="str">
        <f>IF(COUNTA(archive!H1261:CI1261)=0,"",COUNTA(archive!H1261:CI1261))</f>
        <v/>
      </c>
      <c r="G1261" s="47" t="str">
        <f>IF(archive!G1261="","",archive!G1261)</f>
        <v/>
      </c>
      <c r="H1261" s="51" t="str">
        <f>IF(archive!CJ1261="","",archive!CJ1261)</f>
        <v/>
      </c>
      <c r="I1261" s="51" t="str">
        <f>IF(archive!CK1261="","",archive!CK1261)</f>
        <v/>
      </c>
      <c r="J1261" s="47" t="str">
        <f t="shared" si="269"/>
        <v/>
      </c>
      <c r="K1261" s="51" t="str">
        <f t="shared" si="270"/>
        <v/>
      </c>
      <c r="L1261" s="52" t="str">
        <f t="shared" si="271"/>
        <v/>
      </c>
      <c r="M1261" s="53" t="str">
        <f t="shared" si="272"/>
        <v/>
      </c>
      <c r="N1261" s="53" t="str">
        <f t="shared" si="273"/>
        <v/>
      </c>
      <c r="O1261" s="53" t="str">
        <f t="shared" si="274"/>
        <v/>
      </c>
      <c r="P1261" s="53" t="str">
        <f t="shared" si="275"/>
        <v/>
      </c>
      <c r="Q1261" s="53" t="str">
        <f t="shared" si="276"/>
        <v/>
      </c>
      <c r="R1261" s="53" t="str">
        <f t="shared" si="277"/>
        <v/>
      </c>
      <c r="S1261" s="53" t="str">
        <f t="shared" si="278"/>
        <v/>
      </c>
      <c r="T1261" s="53" t="str">
        <f t="shared" si="279"/>
        <v/>
      </c>
    </row>
    <row r="1262" spans="1:20">
      <c r="A1262" s="47" t="str">
        <f>IF(archive!E1262="","",archive!E1262)</f>
        <v/>
      </c>
      <c r="B1262" s="48" t="str">
        <f t="shared" si="266"/>
        <v/>
      </c>
      <c r="C1262" s="49" t="str">
        <f>IF(archive!F1262="","",archive!F1262)</f>
        <v/>
      </c>
      <c r="D1262" s="50" t="str">
        <f t="shared" si="267"/>
        <v/>
      </c>
      <c r="E1262" s="50" t="str">
        <f t="shared" si="268"/>
        <v/>
      </c>
      <c r="F1262" s="47" t="str">
        <f>IF(COUNTA(archive!H1262:CI1262)=0,"",COUNTA(archive!H1262:CI1262))</f>
        <v/>
      </c>
      <c r="G1262" s="47" t="str">
        <f>IF(archive!G1262="","",archive!G1262)</f>
        <v/>
      </c>
      <c r="H1262" s="51" t="str">
        <f>IF(archive!CJ1262="","",archive!CJ1262)</f>
        <v/>
      </c>
      <c r="I1262" s="51" t="str">
        <f>IF(archive!CK1262="","",archive!CK1262)</f>
        <v/>
      </c>
      <c r="J1262" s="47" t="str">
        <f t="shared" si="269"/>
        <v/>
      </c>
      <c r="K1262" s="51" t="str">
        <f t="shared" si="270"/>
        <v/>
      </c>
      <c r="L1262" s="52" t="str">
        <f t="shared" si="271"/>
        <v/>
      </c>
      <c r="M1262" s="53" t="str">
        <f t="shared" si="272"/>
        <v/>
      </c>
      <c r="N1262" s="53" t="str">
        <f t="shared" si="273"/>
        <v/>
      </c>
      <c r="O1262" s="53" t="str">
        <f t="shared" si="274"/>
        <v/>
      </c>
      <c r="P1262" s="53" t="str">
        <f t="shared" si="275"/>
        <v/>
      </c>
      <c r="Q1262" s="53" t="str">
        <f t="shared" si="276"/>
        <v/>
      </c>
      <c r="R1262" s="53" t="str">
        <f t="shared" si="277"/>
        <v/>
      </c>
      <c r="S1262" s="53" t="str">
        <f t="shared" si="278"/>
        <v/>
      </c>
      <c r="T1262" s="53" t="str">
        <f t="shared" si="279"/>
        <v/>
      </c>
    </row>
    <row r="1263" spans="1:20">
      <c r="A1263" s="47" t="str">
        <f>IF(archive!E1263="","",archive!E1263)</f>
        <v/>
      </c>
      <c r="B1263" s="48" t="str">
        <f t="shared" si="266"/>
        <v/>
      </c>
      <c r="C1263" s="49" t="str">
        <f>IF(archive!F1263="","",archive!F1263)</f>
        <v/>
      </c>
      <c r="D1263" s="50" t="str">
        <f t="shared" si="267"/>
        <v/>
      </c>
      <c r="E1263" s="50" t="str">
        <f t="shared" si="268"/>
        <v/>
      </c>
      <c r="F1263" s="47" t="str">
        <f>IF(COUNTA(archive!H1263:CI1263)=0,"",COUNTA(archive!H1263:CI1263))</f>
        <v/>
      </c>
      <c r="G1263" s="47" t="str">
        <f>IF(archive!G1263="","",archive!G1263)</f>
        <v/>
      </c>
      <c r="H1263" s="51" t="str">
        <f>IF(archive!CJ1263="","",archive!CJ1263)</f>
        <v/>
      </c>
      <c r="I1263" s="51" t="str">
        <f>IF(archive!CK1263="","",archive!CK1263)</f>
        <v/>
      </c>
      <c r="J1263" s="47" t="str">
        <f t="shared" si="269"/>
        <v/>
      </c>
      <c r="K1263" s="51" t="str">
        <f t="shared" si="270"/>
        <v/>
      </c>
      <c r="L1263" s="52" t="str">
        <f t="shared" si="271"/>
        <v/>
      </c>
      <c r="M1263" s="53" t="str">
        <f t="shared" si="272"/>
        <v/>
      </c>
      <c r="N1263" s="53" t="str">
        <f t="shared" si="273"/>
        <v/>
      </c>
      <c r="O1263" s="53" t="str">
        <f t="shared" si="274"/>
        <v/>
      </c>
      <c r="P1263" s="53" t="str">
        <f t="shared" si="275"/>
        <v/>
      </c>
      <c r="Q1263" s="53" t="str">
        <f t="shared" si="276"/>
        <v/>
      </c>
      <c r="R1263" s="53" t="str">
        <f t="shared" si="277"/>
        <v/>
      </c>
      <c r="S1263" s="53" t="str">
        <f t="shared" si="278"/>
        <v/>
      </c>
      <c r="T1263" s="53" t="str">
        <f t="shared" si="279"/>
        <v/>
      </c>
    </row>
    <row r="1264" spans="1:20">
      <c r="A1264" s="47" t="str">
        <f>IF(archive!E1264="","",archive!E1264)</f>
        <v/>
      </c>
      <c r="B1264" s="48" t="str">
        <f t="shared" si="266"/>
        <v/>
      </c>
      <c r="C1264" s="49" t="str">
        <f>IF(archive!F1264="","",archive!F1264)</f>
        <v/>
      </c>
      <c r="D1264" s="50" t="str">
        <f t="shared" si="267"/>
        <v/>
      </c>
      <c r="E1264" s="50" t="str">
        <f t="shared" si="268"/>
        <v/>
      </c>
      <c r="F1264" s="47" t="str">
        <f>IF(COUNTA(archive!H1264:CI1264)=0,"",COUNTA(archive!H1264:CI1264))</f>
        <v/>
      </c>
      <c r="G1264" s="47" t="str">
        <f>IF(archive!G1264="","",archive!G1264)</f>
        <v/>
      </c>
      <c r="H1264" s="51" t="str">
        <f>IF(archive!CJ1264="","",archive!CJ1264)</f>
        <v/>
      </c>
      <c r="I1264" s="51" t="str">
        <f>IF(archive!CK1264="","",archive!CK1264)</f>
        <v/>
      </c>
      <c r="J1264" s="47" t="str">
        <f t="shared" si="269"/>
        <v/>
      </c>
      <c r="K1264" s="51" t="str">
        <f t="shared" si="270"/>
        <v/>
      </c>
      <c r="L1264" s="52" t="str">
        <f t="shared" si="271"/>
        <v/>
      </c>
      <c r="M1264" s="53" t="str">
        <f t="shared" si="272"/>
        <v/>
      </c>
      <c r="N1264" s="53" t="str">
        <f t="shared" si="273"/>
        <v/>
      </c>
      <c r="O1264" s="53" t="str">
        <f t="shared" si="274"/>
        <v/>
      </c>
      <c r="P1264" s="53" t="str">
        <f t="shared" si="275"/>
        <v/>
      </c>
      <c r="Q1264" s="53" t="str">
        <f t="shared" si="276"/>
        <v/>
      </c>
      <c r="R1264" s="53" t="str">
        <f t="shared" si="277"/>
        <v/>
      </c>
      <c r="S1264" s="53" t="str">
        <f t="shared" si="278"/>
        <v/>
      </c>
      <c r="T1264" s="53" t="str">
        <f t="shared" si="279"/>
        <v/>
      </c>
    </row>
    <row r="1265" spans="1:20">
      <c r="A1265" s="47" t="str">
        <f>IF(archive!E1265="","",archive!E1265)</f>
        <v/>
      </c>
      <c r="B1265" s="48" t="str">
        <f t="shared" si="266"/>
        <v/>
      </c>
      <c r="C1265" s="49" t="str">
        <f>IF(archive!F1265="","",archive!F1265)</f>
        <v/>
      </c>
      <c r="D1265" s="50" t="str">
        <f t="shared" si="267"/>
        <v/>
      </c>
      <c r="E1265" s="50" t="str">
        <f t="shared" si="268"/>
        <v/>
      </c>
      <c r="F1265" s="47" t="str">
        <f>IF(COUNTA(archive!H1265:CI1265)=0,"",COUNTA(archive!H1265:CI1265))</f>
        <v/>
      </c>
      <c r="G1265" s="47" t="str">
        <f>IF(archive!G1265="","",archive!G1265)</f>
        <v/>
      </c>
      <c r="H1265" s="51" t="str">
        <f>IF(archive!CJ1265="","",archive!CJ1265)</f>
        <v/>
      </c>
      <c r="I1265" s="51" t="str">
        <f>IF(archive!CK1265="","",archive!CK1265)</f>
        <v/>
      </c>
      <c r="J1265" s="47" t="str">
        <f t="shared" si="269"/>
        <v/>
      </c>
      <c r="K1265" s="51" t="str">
        <f t="shared" si="270"/>
        <v/>
      </c>
      <c r="L1265" s="52" t="str">
        <f t="shared" si="271"/>
        <v/>
      </c>
      <c r="M1265" s="53" t="str">
        <f t="shared" si="272"/>
        <v/>
      </c>
      <c r="N1265" s="53" t="str">
        <f t="shared" si="273"/>
        <v/>
      </c>
      <c r="O1265" s="53" t="str">
        <f t="shared" si="274"/>
        <v/>
      </c>
      <c r="P1265" s="53" t="str">
        <f t="shared" si="275"/>
        <v/>
      </c>
      <c r="Q1265" s="53" t="str">
        <f t="shared" si="276"/>
        <v/>
      </c>
      <c r="R1265" s="53" t="str">
        <f t="shared" si="277"/>
        <v/>
      </c>
      <c r="S1265" s="53" t="str">
        <f t="shared" si="278"/>
        <v/>
      </c>
      <c r="T1265" s="53" t="str">
        <f t="shared" si="279"/>
        <v/>
      </c>
    </row>
    <row r="1266" spans="1:20">
      <c r="A1266" s="47" t="str">
        <f>IF(archive!E1266="","",archive!E1266)</f>
        <v/>
      </c>
      <c r="B1266" s="48" t="str">
        <f t="shared" si="266"/>
        <v/>
      </c>
      <c r="C1266" s="49" t="str">
        <f>IF(archive!F1266="","",archive!F1266)</f>
        <v/>
      </c>
      <c r="D1266" s="50" t="str">
        <f t="shared" si="267"/>
        <v/>
      </c>
      <c r="E1266" s="50" t="str">
        <f t="shared" si="268"/>
        <v/>
      </c>
      <c r="F1266" s="47" t="str">
        <f>IF(COUNTA(archive!H1266:CI1266)=0,"",COUNTA(archive!H1266:CI1266))</f>
        <v/>
      </c>
      <c r="G1266" s="47" t="str">
        <f>IF(archive!G1266="","",archive!G1266)</f>
        <v/>
      </c>
      <c r="H1266" s="51" t="str">
        <f>IF(archive!CJ1266="","",archive!CJ1266)</f>
        <v/>
      </c>
      <c r="I1266" s="51" t="str">
        <f>IF(archive!CK1266="","",archive!CK1266)</f>
        <v/>
      </c>
      <c r="J1266" s="47" t="str">
        <f t="shared" si="269"/>
        <v/>
      </c>
      <c r="K1266" s="51" t="str">
        <f t="shared" si="270"/>
        <v/>
      </c>
      <c r="L1266" s="52" t="str">
        <f t="shared" si="271"/>
        <v/>
      </c>
      <c r="M1266" s="53" t="str">
        <f t="shared" si="272"/>
        <v/>
      </c>
      <c r="N1266" s="53" t="str">
        <f t="shared" si="273"/>
        <v/>
      </c>
      <c r="O1266" s="53" t="str">
        <f t="shared" si="274"/>
        <v/>
      </c>
      <c r="P1266" s="53" t="str">
        <f t="shared" si="275"/>
        <v/>
      </c>
      <c r="Q1266" s="53" t="str">
        <f t="shared" si="276"/>
        <v/>
      </c>
      <c r="R1266" s="53" t="str">
        <f t="shared" si="277"/>
        <v/>
      </c>
      <c r="S1266" s="53" t="str">
        <f t="shared" si="278"/>
        <v/>
      </c>
      <c r="T1266" s="53" t="str">
        <f t="shared" si="279"/>
        <v/>
      </c>
    </row>
    <row r="1267" spans="1:20">
      <c r="A1267" s="47" t="str">
        <f>IF(archive!E1267="","",archive!E1267)</f>
        <v/>
      </c>
      <c r="B1267" s="48" t="str">
        <f t="shared" si="266"/>
        <v/>
      </c>
      <c r="C1267" s="49" t="str">
        <f>IF(archive!F1267="","",archive!F1267)</f>
        <v/>
      </c>
      <c r="D1267" s="50" t="str">
        <f t="shared" si="267"/>
        <v/>
      </c>
      <c r="E1267" s="50" t="str">
        <f t="shared" si="268"/>
        <v/>
      </c>
      <c r="F1267" s="47" t="str">
        <f>IF(COUNTA(archive!H1267:CI1267)=0,"",COUNTA(archive!H1267:CI1267))</f>
        <v/>
      </c>
      <c r="G1267" s="47" t="str">
        <f>IF(archive!G1267="","",archive!G1267)</f>
        <v/>
      </c>
      <c r="H1267" s="51" t="str">
        <f>IF(archive!CJ1267="","",archive!CJ1267)</f>
        <v/>
      </c>
      <c r="I1267" s="51" t="str">
        <f>IF(archive!CK1267="","",archive!CK1267)</f>
        <v/>
      </c>
      <c r="J1267" s="47" t="str">
        <f t="shared" si="269"/>
        <v/>
      </c>
      <c r="K1267" s="51" t="str">
        <f t="shared" si="270"/>
        <v/>
      </c>
      <c r="L1267" s="52" t="str">
        <f t="shared" si="271"/>
        <v/>
      </c>
      <c r="M1267" s="53" t="str">
        <f t="shared" si="272"/>
        <v/>
      </c>
      <c r="N1267" s="53" t="str">
        <f t="shared" si="273"/>
        <v/>
      </c>
      <c r="O1267" s="53" t="str">
        <f t="shared" si="274"/>
        <v/>
      </c>
      <c r="P1267" s="53" t="str">
        <f t="shared" si="275"/>
        <v/>
      </c>
      <c r="Q1267" s="53" t="str">
        <f t="shared" si="276"/>
        <v/>
      </c>
      <c r="R1267" s="53" t="str">
        <f t="shared" si="277"/>
        <v/>
      </c>
      <c r="S1267" s="53" t="str">
        <f t="shared" si="278"/>
        <v/>
      </c>
      <c r="T1267" s="53" t="str">
        <f t="shared" si="279"/>
        <v/>
      </c>
    </row>
    <row r="1268" spans="1:20">
      <c r="A1268" s="47" t="str">
        <f>IF(archive!E1268="","",archive!E1268)</f>
        <v/>
      </c>
      <c r="B1268" s="48" t="str">
        <f t="shared" si="266"/>
        <v/>
      </c>
      <c r="C1268" s="49" t="str">
        <f>IF(archive!F1268="","",archive!F1268)</f>
        <v/>
      </c>
      <c r="D1268" s="50" t="str">
        <f t="shared" si="267"/>
        <v/>
      </c>
      <c r="E1268" s="50" t="str">
        <f t="shared" si="268"/>
        <v/>
      </c>
      <c r="F1268" s="47" t="str">
        <f>IF(COUNTA(archive!H1268:CI1268)=0,"",COUNTA(archive!H1268:CI1268))</f>
        <v/>
      </c>
      <c r="G1268" s="47" t="str">
        <f>IF(archive!G1268="","",archive!G1268)</f>
        <v/>
      </c>
      <c r="H1268" s="51" t="str">
        <f>IF(archive!CJ1268="","",archive!CJ1268)</f>
        <v/>
      </c>
      <c r="I1268" s="51" t="str">
        <f>IF(archive!CK1268="","",archive!CK1268)</f>
        <v/>
      </c>
      <c r="J1268" s="47" t="str">
        <f t="shared" si="269"/>
        <v/>
      </c>
      <c r="K1268" s="51" t="str">
        <f t="shared" si="270"/>
        <v/>
      </c>
      <c r="L1268" s="52" t="str">
        <f t="shared" si="271"/>
        <v/>
      </c>
      <c r="M1268" s="53" t="str">
        <f t="shared" si="272"/>
        <v/>
      </c>
      <c r="N1268" s="53" t="str">
        <f t="shared" si="273"/>
        <v/>
      </c>
      <c r="O1268" s="53" t="str">
        <f t="shared" si="274"/>
        <v/>
      </c>
      <c r="P1268" s="53" t="str">
        <f t="shared" si="275"/>
        <v/>
      </c>
      <c r="Q1268" s="53" t="str">
        <f t="shared" si="276"/>
        <v/>
      </c>
      <c r="R1268" s="53" t="str">
        <f t="shared" si="277"/>
        <v/>
      </c>
      <c r="S1268" s="53" t="str">
        <f t="shared" si="278"/>
        <v/>
      </c>
      <c r="T1268" s="53" t="str">
        <f t="shared" si="279"/>
        <v/>
      </c>
    </row>
    <row r="1269" spans="1:20">
      <c r="A1269" s="47" t="str">
        <f>IF(archive!E1269="","",archive!E1269)</f>
        <v/>
      </c>
      <c r="B1269" s="48" t="str">
        <f t="shared" si="266"/>
        <v/>
      </c>
      <c r="C1269" s="49" t="str">
        <f>IF(archive!F1269="","",archive!F1269)</f>
        <v/>
      </c>
      <c r="D1269" s="50" t="str">
        <f t="shared" si="267"/>
        <v/>
      </c>
      <c r="E1269" s="50" t="str">
        <f t="shared" si="268"/>
        <v/>
      </c>
      <c r="F1269" s="47" t="str">
        <f>IF(COUNTA(archive!H1269:CI1269)=0,"",COUNTA(archive!H1269:CI1269))</f>
        <v/>
      </c>
      <c r="G1269" s="47" t="str">
        <f>IF(archive!G1269="","",archive!G1269)</f>
        <v/>
      </c>
      <c r="H1269" s="51" t="str">
        <f>IF(archive!CJ1269="","",archive!CJ1269)</f>
        <v/>
      </c>
      <c r="I1269" s="51" t="str">
        <f>IF(archive!CK1269="","",archive!CK1269)</f>
        <v/>
      </c>
      <c r="J1269" s="47" t="str">
        <f t="shared" si="269"/>
        <v/>
      </c>
      <c r="K1269" s="51" t="str">
        <f t="shared" si="270"/>
        <v/>
      </c>
      <c r="L1269" s="52" t="str">
        <f t="shared" si="271"/>
        <v/>
      </c>
      <c r="M1269" s="53" t="str">
        <f t="shared" si="272"/>
        <v/>
      </c>
      <c r="N1269" s="53" t="str">
        <f t="shared" si="273"/>
        <v/>
      </c>
      <c r="O1269" s="53" t="str">
        <f t="shared" si="274"/>
        <v/>
      </c>
      <c r="P1269" s="53" t="str">
        <f t="shared" si="275"/>
        <v/>
      </c>
      <c r="Q1269" s="53" t="str">
        <f t="shared" si="276"/>
        <v/>
      </c>
      <c r="R1269" s="53" t="str">
        <f t="shared" si="277"/>
        <v/>
      </c>
      <c r="S1269" s="53" t="str">
        <f t="shared" si="278"/>
        <v/>
      </c>
      <c r="T1269" s="53" t="str">
        <f t="shared" si="279"/>
        <v/>
      </c>
    </row>
    <row r="1270" spans="1:20">
      <c r="A1270" s="47" t="str">
        <f>IF(archive!E1270="","",archive!E1270)</f>
        <v/>
      </c>
      <c r="B1270" s="48" t="str">
        <f t="shared" si="266"/>
        <v/>
      </c>
      <c r="C1270" s="49" t="str">
        <f>IF(archive!F1270="","",archive!F1270)</f>
        <v/>
      </c>
      <c r="D1270" s="50" t="str">
        <f t="shared" si="267"/>
        <v/>
      </c>
      <c r="E1270" s="50" t="str">
        <f t="shared" si="268"/>
        <v/>
      </c>
      <c r="F1270" s="47" t="str">
        <f>IF(COUNTA(archive!H1270:CI1270)=0,"",COUNTA(archive!H1270:CI1270))</f>
        <v/>
      </c>
      <c r="G1270" s="47" t="str">
        <f>IF(archive!G1270="","",archive!G1270)</f>
        <v/>
      </c>
      <c r="H1270" s="51" t="str">
        <f>IF(archive!CJ1270="","",archive!CJ1270)</f>
        <v/>
      </c>
      <c r="I1270" s="51" t="str">
        <f>IF(archive!CK1270="","",archive!CK1270)</f>
        <v/>
      </c>
      <c r="J1270" s="47" t="str">
        <f t="shared" si="269"/>
        <v/>
      </c>
      <c r="K1270" s="51" t="str">
        <f t="shared" si="270"/>
        <v/>
      </c>
      <c r="L1270" s="52" t="str">
        <f t="shared" si="271"/>
        <v/>
      </c>
      <c r="M1270" s="53" t="str">
        <f t="shared" si="272"/>
        <v/>
      </c>
      <c r="N1270" s="53" t="str">
        <f t="shared" si="273"/>
        <v/>
      </c>
      <c r="O1270" s="53" t="str">
        <f t="shared" si="274"/>
        <v/>
      </c>
      <c r="P1270" s="53" t="str">
        <f t="shared" si="275"/>
        <v/>
      </c>
      <c r="Q1270" s="53" t="str">
        <f t="shared" si="276"/>
        <v/>
      </c>
      <c r="R1270" s="53" t="str">
        <f t="shared" si="277"/>
        <v/>
      </c>
      <c r="S1270" s="53" t="str">
        <f t="shared" si="278"/>
        <v/>
      </c>
      <c r="T1270" s="53" t="str">
        <f t="shared" si="279"/>
        <v/>
      </c>
    </row>
    <row r="1271" spans="1:20">
      <c r="A1271" s="47" t="str">
        <f>IF(archive!E1271="","",archive!E1271)</f>
        <v/>
      </c>
      <c r="B1271" s="48" t="str">
        <f t="shared" si="266"/>
        <v/>
      </c>
      <c r="C1271" s="49" t="str">
        <f>IF(archive!F1271="","",archive!F1271)</f>
        <v/>
      </c>
      <c r="D1271" s="50" t="str">
        <f t="shared" si="267"/>
        <v/>
      </c>
      <c r="E1271" s="50" t="str">
        <f t="shared" si="268"/>
        <v/>
      </c>
      <c r="F1271" s="47" t="str">
        <f>IF(COUNTA(archive!H1271:CI1271)=0,"",COUNTA(archive!H1271:CI1271))</f>
        <v/>
      </c>
      <c r="G1271" s="47" t="str">
        <f>IF(archive!G1271="","",archive!G1271)</f>
        <v/>
      </c>
      <c r="H1271" s="51" t="str">
        <f>IF(archive!CJ1271="","",archive!CJ1271)</f>
        <v/>
      </c>
      <c r="I1271" s="51" t="str">
        <f>IF(archive!CK1271="","",archive!CK1271)</f>
        <v/>
      </c>
      <c r="J1271" s="47" t="str">
        <f t="shared" si="269"/>
        <v/>
      </c>
      <c r="K1271" s="51" t="str">
        <f t="shared" si="270"/>
        <v/>
      </c>
      <c r="L1271" s="52" t="str">
        <f t="shared" si="271"/>
        <v/>
      </c>
      <c r="M1271" s="53" t="str">
        <f t="shared" si="272"/>
        <v/>
      </c>
      <c r="N1271" s="53" t="str">
        <f t="shared" si="273"/>
        <v/>
      </c>
      <c r="O1271" s="53" t="str">
        <f t="shared" si="274"/>
        <v/>
      </c>
      <c r="P1271" s="53" t="str">
        <f t="shared" si="275"/>
        <v/>
      </c>
      <c r="Q1271" s="53" t="str">
        <f t="shared" si="276"/>
        <v/>
      </c>
      <c r="R1271" s="53" t="str">
        <f t="shared" si="277"/>
        <v/>
      </c>
      <c r="S1271" s="53" t="str">
        <f t="shared" si="278"/>
        <v/>
      </c>
      <c r="T1271" s="53" t="str">
        <f t="shared" si="279"/>
        <v/>
      </c>
    </row>
    <row r="1272" spans="1:20">
      <c r="A1272" s="47" t="str">
        <f>IF(archive!E1272="","",archive!E1272)</f>
        <v/>
      </c>
      <c r="B1272" s="48" t="str">
        <f t="shared" si="266"/>
        <v/>
      </c>
      <c r="C1272" s="49" t="str">
        <f>IF(archive!F1272="","",archive!F1272)</f>
        <v/>
      </c>
      <c r="D1272" s="50" t="str">
        <f t="shared" si="267"/>
        <v/>
      </c>
      <c r="E1272" s="50" t="str">
        <f t="shared" si="268"/>
        <v/>
      </c>
      <c r="F1272" s="47" t="str">
        <f>IF(COUNTA(archive!H1272:CI1272)=0,"",COUNTA(archive!H1272:CI1272))</f>
        <v/>
      </c>
      <c r="G1272" s="47" t="str">
        <f>IF(archive!G1272="","",archive!G1272)</f>
        <v/>
      </c>
      <c r="H1272" s="51" t="str">
        <f>IF(archive!CJ1272="","",archive!CJ1272)</f>
        <v/>
      </c>
      <c r="I1272" s="51" t="str">
        <f>IF(archive!CK1272="","",archive!CK1272)</f>
        <v/>
      </c>
      <c r="J1272" s="47" t="str">
        <f t="shared" si="269"/>
        <v/>
      </c>
      <c r="K1272" s="51" t="str">
        <f t="shared" si="270"/>
        <v/>
      </c>
      <c r="L1272" s="52" t="str">
        <f t="shared" si="271"/>
        <v/>
      </c>
      <c r="M1272" s="53" t="str">
        <f t="shared" si="272"/>
        <v/>
      </c>
      <c r="N1272" s="53" t="str">
        <f t="shared" si="273"/>
        <v/>
      </c>
      <c r="O1272" s="53" t="str">
        <f t="shared" si="274"/>
        <v/>
      </c>
      <c r="P1272" s="53" t="str">
        <f t="shared" si="275"/>
        <v/>
      </c>
      <c r="Q1272" s="53" t="str">
        <f t="shared" si="276"/>
        <v/>
      </c>
      <c r="R1272" s="53" t="str">
        <f t="shared" si="277"/>
        <v/>
      </c>
      <c r="S1272" s="53" t="str">
        <f t="shared" si="278"/>
        <v/>
      </c>
      <c r="T1272" s="53" t="str">
        <f t="shared" si="279"/>
        <v/>
      </c>
    </row>
    <row r="1273" spans="1:20">
      <c r="A1273" s="47" t="str">
        <f>IF(archive!E1273="","",archive!E1273)</f>
        <v/>
      </c>
      <c r="B1273" s="48" t="str">
        <f t="shared" si="266"/>
        <v/>
      </c>
      <c r="C1273" s="49" t="str">
        <f>IF(archive!F1273="","",archive!F1273)</f>
        <v/>
      </c>
      <c r="D1273" s="50" t="str">
        <f t="shared" si="267"/>
        <v/>
      </c>
      <c r="E1273" s="50" t="str">
        <f t="shared" si="268"/>
        <v/>
      </c>
      <c r="F1273" s="47" t="str">
        <f>IF(COUNTA(archive!H1273:CI1273)=0,"",COUNTA(archive!H1273:CI1273))</f>
        <v/>
      </c>
      <c r="G1273" s="47" t="str">
        <f>IF(archive!G1273="","",archive!G1273)</f>
        <v/>
      </c>
      <c r="H1273" s="51" t="str">
        <f>IF(archive!CJ1273="","",archive!CJ1273)</f>
        <v/>
      </c>
      <c r="I1273" s="51" t="str">
        <f>IF(archive!CK1273="","",archive!CK1273)</f>
        <v/>
      </c>
      <c r="J1273" s="47" t="str">
        <f t="shared" si="269"/>
        <v/>
      </c>
      <c r="K1273" s="51" t="str">
        <f t="shared" si="270"/>
        <v/>
      </c>
      <c r="L1273" s="52" t="str">
        <f t="shared" si="271"/>
        <v/>
      </c>
      <c r="M1273" s="53" t="str">
        <f t="shared" si="272"/>
        <v/>
      </c>
      <c r="N1273" s="53" t="str">
        <f t="shared" si="273"/>
        <v/>
      </c>
      <c r="O1273" s="53" t="str">
        <f t="shared" si="274"/>
        <v/>
      </c>
      <c r="P1273" s="53" t="str">
        <f t="shared" si="275"/>
        <v/>
      </c>
      <c r="Q1273" s="53" t="str">
        <f t="shared" si="276"/>
        <v/>
      </c>
      <c r="R1273" s="53" t="str">
        <f t="shared" si="277"/>
        <v/>
      </c>
      <c r="S1273" s="53" t="str">
        <f t="shared" si="278"/>
        <v/>
      </c>
      <c r="T1273" s="53" t="str">
        <f t="shared" si="279"/>
        <v/>
      </c>
    </row>
    <row r="1274" spans="1:20">
      <c r="A1274" s="47" t="str">
        <f>IF(archive!E1274="","",archive!E1274)</f>
        <v/>
      </c>
      <c r="B1274" s="48" t="str">
        <f t="shared" si="266"/>
        <v/>
      </c>
      <c r="C1274" s="49" t="str">
        <f>IF(archive!F1274="","",archive!F1274)</f>
        <v/>
      </c>
      <c r="D1274" s="50" t="str">
        <f t="shared" si="267"/>
        <v/>
      </c>
      <c r="E1274" s="50" t="str">
        <f t="shared" si="268"/>
        <v/>
      </c>
      <c r="F1274" s="47" t="str">
        <f>IF(COUNTA(archive!H1274:CI1274)=0,"",COUNTA(archive!H1274:CI1274))</f>
        <v/>
      </c>
      <c r="G1274" s="47" t="str">
        <f>IF(archive!G1274="","",archive!G1274)</f>
        <v/>
      </c>
      <c r="H1274" s="51" t="str">
        <f>IF(archive!CJ1274="","",archive!CJ1274)</f>
        <v/>
      </c>
      <c r="I1274" s="51" t="str">
        <f>IF(archive!CK1274="","",archive!CK1274)</f>
        <v/>
      </c>
      <c r="J1274" s="47" t="str">
        <f t="shared" si="269"/>
        <v/>
      </c>
      <c r="K1274" s="51" t="str">
        <f t="shared" si="270"/>
        <v/>
      </c>
      <c r="L1274" s="52" t="str">
        <f t="shared" si="271"/>
        <v/>
      </c>
      <c r="M1274" s="53" t="str">
        <f t="shared" si="272"/>
        <v/>
      </c>
      <c r="N1274" s="53" t="str">
        <f t="shared" si="273"/>
        <v/>
      </c>
      <c r="O1274" s="53" t="str">
        <f t="shared" si="274"/>
        <v/>
      </c>
      <c r="P1274" s="53" t="str">
        <f t="shared" si="275"/>
        <v/>
      </c>
      <c r="Q1274" s="53" t="str">
        <f t="shared" si="276"/>
        <v/>
      </c>
      <c r="R1274" s="53" t="str">
        <f t="shared" si="277"/>
        <v/>
      </c>
      <c r="S1274" s="53" t="str">
        <f t="shared" si="278"/>
        <v/>
      </c>
      <c r="T1274" s="53" t="str">
        <f t="shared" si="279"/>
        <v/>
      </c>
    </row>
    <row r="1275" spans="1:20">
      <c r="A1275" s="47" t="str">
        <f>IF(archive!E1275="","",archive!E1275)</f>
        <v/>
      </c>
      <c r="B1275" s="48" t="str">
        <f t="shared" si="266"/>
        <v/>
      </c>
      <c r="C1275" s="49" t="str">
        <f>IF(archive!F1275="","",archive!F1275)</f>
        <v/>
      </c>
      <c r="D1275" s="50" t="str">
        <f t="shared" si="267"/>
        <v/>
      </c>
      <c r="E1275" s="50" t="str">
        <f t="shared" si="268"/>
        <v/>
      </c>
      <c r="F1275" s="47" t="str">
        <f>IF(COUNTA(archive!H1275:CI1275)=0,"",COUNTA(archive!H1275:CI1275))</f>
        <v/>
      </c>
      <c r="G1275" s="47" t="str">
        <f>IF(archive!G1275="","",archive!G1275)</f>
        <v/>
      </c>
      <c r="H1275" s="51" t="str">
        <f>IF(archive!CJ1275="","",archive!CJ1275)</f>
        <v/>
      </c>
      <c r="I1275" s="51" t="str">
        <f>IF(archive!CK1275="","",archive!CK1275)</f>
        <v/>
      </c>
      <c r="J1275" s="47" t="str">
        <f t="shared" si="269"/>
        <v/>
      </c>
      <c r="K1275" s="51" t="str">
        <f t="shared" si="270"/>
        <v/>
      </c>
      <c r="L1275" s="52" t="str">
        <f t="shared" si="271"/>
        <v/>
      </c>
      <c r="M1275" s="53" t="str">
        <f t="shared" si="272"/>
        <v/>
      </c>
      <c r="N1275" s="53" t="str">
        <f t="shared" si="273"/>
        <v/>
      </c>
      <c r="O1275" s="53" t="str">
        <f t="shared" si="274"/>
        <v/>
      </c>
      <c r="P1275" s="53" t="str">
        <f t="shared" si="275"/>
        <v/>
      </c>
      <c r="Q1275" s="53" t="str">
        <f t="shared" si="276"/>
        <v/>
      </c>
      <c r="R1275" s="53" t="str">
        <f t="shared" si="277"/>
        <v/>
      </c>
      <c r="S1275" s="53" t="str">
        <f t="shared" si="278"/>
        <v/>
      </c>
      <c r="T1275" s="53" t="str">
        <f t="shared" si="279"/>
        <v/>
      </c>
    </row>
    <row r="1276" spans="1:20">
      <c r="A1276" s="47" t="str">
        <f>IF(archive!E1276="","",archive!E1276)</f>
        <v/>
      </c>
      <c r="B1276" s="48" t="str">
        <f t="shared" si="266"/>
        <v/>
      </c>
      <c r="C1276" s="49" t="str">
        <f>IF(archive!F1276="","",archive!F1276)</f>
        <v/>
      </c>
      <c r="D1276" s="50" t="str">
        <f t="shared" si="267"/>
        <v/>
      </c>
      <c r="E1276" s="50" t="str">
        <f t="shared" si="268"/>
        <v/>
      </c>
      <c r="F1276" s="47" t="str">
        <f>IF(COUNTA(archive!H1276:CI1276)=0,"",COUNTA(archive!H1276:CI1276))</f>
        <v/>
      </c>
      <c r="G1276" s="47" t="str">
        <f>IF(archive!G1276="","",archive!G1276)</f>
        <v/>
      </c>
      <c r="H1276" s="51" t="str">
        <f>IF(archive!CJ1276="","",archive!CJ1276)</f>
        <v/>
      </c>
      <c r="I1276" s="51" t="str">
        <f>IF(archive!CK1276="","",archive!CK1276)</f>
        <v/>
      </c>
      <c r="J1276" s="47" t="str">
        <f t="shared" si="269"/>
        <v/>
      </c>
      <c r="K1276" s="51" t="str">
        <f t="shared" si="270"/>
        <v/>
      </c>
      <c r="L1276" s="52" t="str">
        <f t="shared" si="271"/>
        <v/>
      </c>
      <c r="M1276" s="53" t="str">
        <f t="shared" si="272"/>
        <v/>
      </c>
      <c r="N1276" s="53" t="str">
        <f t="shared" si="273"/>
        <v/>
      </c>
      <c r="O1276" s="53" t="str">
        <f t="shared" si="274"/>
        <v/>
      </c>
      <c r="P1276" s="53" t="str">
        <f t="shared" si="275"/>
        <v/>
      </c>
      <c r="Q1276" s="53" t="str">
        <f t="shared" si="276"/>
        <v/>
      </c>
      <c r="R1276" s="53" t="str">
        <f t="shared" si="277"/>
        <v/>
      </c>
      <c r="S1276" s="53" t="str">
        <f t="shared" si="278"/>
        <v/>
      </c>
      <c r="T1276" s="53" t="str">
        <f t="shared" si="279"/>
        <v/>
      </c>
    </row>
    <row r="1277" spans="1:20">
      <c r="A1277" s="47" t="str">
        <f>IF(archive!E1277="","",archive!E1277)</f>
        <v/>
      </c>
      <c r="B1277" s="48" t="str">
        <f t="shared" si="266"/>
        <v/>
      </c>
      <c r="C1277" s="49" t="str">
        <f>IF(archive!F1277="","",archive!F1277)</f>
        <v/>
      </c>
      <c r="D1277" s="50" t="str">
        <f t="shared" si="267"/>
        <v/>
      </c>
      <c r="E1277" s="50" t="str">
        <f t="shared" si="268"/>
        <v/>
      </c>
      <c r="F1277" s="47" t="str">
        <f>IF(COUNTA(archive!H1277:CI1277)=0,"",COUNTA(archive!H1277:CI1277))</f>
        <v/>
      </c>
      <c r="G1277" s="47" t="str">
        <f>IF(archive!G1277="","",archive!G1277)</f>
        <v/>
      </c>
      <c r="H1277" s="51" t="str">
        <f>IF(archive!CJ1277="","",archive!CJ1277)</f>
        <v/>
      </c>
      <c r="I1277" s="51" t="str">
        <f>IF(archive!CK1277="","",archive!CK1277)</f>
        <v/>
      </c>
      <c r="J1277" s="47" t="str">
        <f t="shared" si="269"/>
        <v/>
      </c>
      <c r="K1277" s="51" t="str">
        <f t="shared" si="270"/>
        <v/>
      </c>
      <c r="L1277" s="52" t="str">
        <f t="shared" si="271"/>
        <v/>
      </c>
      <c r="M1277" s="53" t="str">
        <f t="shared" si="272"/>
        <v/>
      </c>
      <c r="N1277" s="53" t="str">
        <f t="shared" si="273"/>
        <v/>
      </c>
      <c r="O1277" s="53" t="str">
        <f t="shared" si="274"/>
        <v/>
      </c>
      <c r="P1277" s="53" t="str">
        <f t="shared" si="275"/>
        <v/>
      </c>
      <c r="Q1277" s="53" t="str">
        <f t="shared" si="276"/>
        <v/>
      </c>
      <c r="R1277" s="53" t="str">
        <f t="shared" si="277"/>
        <v/>
      </c>
      <c r="S1277" s="53" t="str">
        <f t="shared" si="278"/>
        <v/>
      </c>
      <c r="T1277" s="53" t="str">
        <f t="shared" si="279"/>
        <v/>
      </c>
    </row>
    <row r="1278" spans="1:20">
      <c r="A1278" s="47" t="str">
        <f>IF(archive!E1278="","",archive!E1278)</f>
        <v/>
      </c>
      <c r="B1278" s="48" t="str">
        <f t="shared" si="266"/>
        <v/>
      </c>
      <c r="C1278" s="49" t="str">
        <f>IF(archive!F1278="","",archive!F1278)</f>
        <v/>
      </c>
      <c r="D1278" s="50" t="str">
        <f t="shared" si="267"/>
        <v/>
      </c>
      <c r="E1278" s="50" t="str">
        <f t="shared" si="268"/>
        <v/>
      </c>
      <c r="F1278" s="47" t="str">
        <f>IF(COUNTA(archive!H1278:CI1278)=0,"",COUNTA(archive!H1278:CI1278))</f>
        <v/>
      </c>
      <c r="G1278" s="47" t="str">
        <f>IF(archive!G1278="","",archive!G1278)</f>
        <v/>
      </c>
      <c r="H1278" s="51" t="str">
        <f>IF(archive!CJ1278="","",archive!CJ1278)</f>
        <v/>
      </c>
      <c r="I1278" s="51" t="str">
        <f>IF(archive!CK1278="","",archive!CK1278)</f>
        <v/>
      </c>
      <c r="J1278" s="47" t="str">
        <f t="shared" si="269"/>
        <v/>
      </c>
      <c r="K1278" s="51" t="str">
        <f t="shared" si="270"/>
        <v/>
      </c>
      <c r="L1278" s="52" t="str">
        <f t="shared" si="271"/>
        <v/>
      </c>
      <c r="M1278" s="53" t="str">
        <f t="shared" si="272"/>
        <v/>
      </c>
      <c r="N1278" s="53" t="str">
        <f t="shared" si="273"/>
        <v/>
      </c>
      <c r="O1278" s="53" t="str">
        <f t="shared" si="274"/>
        <v/>
      </c>
      <c r="P1278" s="53" t="str">
        <f t="shared" si="275"/>
        <v/>
      </c>
      <c r="Q1278" s="53" t="str">
        <f t="shared" si="276"/>
        <v/>
      </c>
      <c r="R1278" s="53" t="str">
        <f t="shared" si="277"/>
        <v/>
      </c>
      <c r="S1278" s="53" t="str">
        <f t="shared" si="278"/>
        <v/>
      </c>
      <c r="T1278" s="53" t="str">
        <f t="shared" si="279"/>
        <v/>
      </c>
    </row>
    <row r="1279" spans="1:20">
      <c r="A1279" s="47" t="str">
        <f>IF(archive!E1279="","",archive!E1279)</f>
        <v/>
      </c>
      <c r="B1279" s="48" t="str">
        <f t="shared" si="266"/>
        <v/>
      </c>
      <c r="C1279" s="49" t="str">
        <f>IF(archive!F1279="","",archive!F1279)</f>
        <v/>
      </c>
      <c r="D1279" s="50" t="str">
        <f t="shared" si="267"/>
        <v/>
      </c>
      <c r="E1279" s="50" t="str">
        <f t="shared" si="268"/>
        <v/>
      </c>
      <c r="F1279" s="47" t="str">
        <f>IF(COUNTA(archive!H1279:CI1279)=0,"",COUNTA(archive!H1279:CI1279))</f>
        <v/>
      </c>
      <c r="G1279" s="47" t="str">
        <f>IF(archive!G1279="","",archive!G1279)</f>
        <v/>
      </c>
      <c r="H1279" s="51" t="str">
        <f>IF(archive!CJ1279="","",archive!CJ1279)</f>
        <v/>
      </c>
      <c r="I1279" s="51" t="str">
        <f>IF(archive!CK1279="","",archive!CK1279)</f>
        <v/>
      </c>
      <c r="J1279" s="47" t="str">
        <f t="shared" si="269"/>
        <v/>
      </c>
      <c r="K1279" s="51" t="str">
        <f t="shared" si="270"/>
        <v/>
      </c>
      <c r="L1279" s="52" t="str">
        <f t="shared" si="271"/>
        <v/>
      </c>
      <c r="M1279" s="53" t="str">
        <f t="shared" si="272"/>
        <v/>
      </c>
      <c r="N1279" s="53" t="str">
        <f t="shared" si="273"/>
        <v/>
      </c>
      <c r="O1279" s="53" t="str">
        <f t="shared" si="274"/>
        <v/>
      </c>
      <c r="P1279" s="53" t="str">
        <f t="shared" si="275"/>
        <v/>
      </c>
      <c r="Q1279" s="53" t="str">
        <f t="shared" si="276"/>
        <v/>
      </c>
      <c r="R1279" s="53" t="str">
        <f t="shared" si="277"/>
        <v/>
      </c>
      <c r="S1279" s="53" t="str">
        <f t="shared" si="278"/>
        <v/>
      </c>
      <c r="T1279" s="53" t="str">
        <f t="shared" si="279"/>
        <v/>
      </c>
    </row>
    <row r="1280" spans="1:20">
      <c r="A1280" s="47" t="str">
        <f>IF(archive!E1280="","",archive!E1280)</f>
        <v/>
      </c>
      <c r="B1280" s="48" t="str">
        <f t="shared" si="266"/>
        <v/>
      </c>
      <c r="C1280" s="49" t="str">
        <f>IF(archive!F1280="","",archive!F1280)</f>
        <v/>
      </c>
      <c r="D1280" s="50" t="str">
        <f t="shared" si="267"/>
        <v/>
      </c>
      <c r="E1280" s="50" t="str">
        <f t="shared" si="268"/>
        <v/>
      </c>
      <c r="F1280" s="47" t="str">
        <f>IF(COUNTA(archive!H1280:CI1280)=0,"",COUNTA(archive!H1280:CI1280))</f>
        <v/>
      </c>
      <c r="G1280" s="47" t="str">
        <f>IF(archive!G1280="","",archive!G1280)</f>
        <v/>
      </c>
      <c r="H1280" s="51" t="str">
        <f>IF(archive!CJ1280="","",archive!CJ1280)</f>
        <v/>
      </c>
      <c r="I1280" s="51" t="str">
        <f>IF(archive!CK1280="","",archive!CK1280)</f>
        <v/>
      </c>
      <c r="J1280" s="47" t="str">
        <f t="shared" si="269"/>
        <v/>
      </c>
      <c r="K1280" s="51" t="str">
        <f t="shared" si="270"/>
        <v/>
      </c>
      <c r="L1280" s="52" t="str">
        <f t="shared" si="271"/>
        <v/>
      </c>
      <c r="M1280" s="53" t="str">
        <f t="shared" si="272"/>
        <v/>
      </c>
      <c r="N1280" s="53" t="str">
        <f t="shared" si="273"/>
        <v/>
      </c>
      <c r="O1280" s="53" t="str">
        <f t="shared" si="274"/>
        <v/>
      </c>
      <c r="P1280" s="53" t="str">
        <f t="shared" si="275"/>
        <v/>
      </c>
      <c r="Q1280" s="53" t="str">
        <f t="shared" si="276"/>
        <v/>
      </c>
      <c r="R1280" s="53" t="str">
        <f t="shared" si="277"/>
        <v/>
      </c>
      <c r="S1280" s="53" t="str">
        <f t="shared" si="278"/>
        <v/>
      </c>
      <c r="T1280" s="53" t="str">
        <f t="shared" si="279"/>
        <v/>
      </c>
    </row>
    <row r="1281" spans="1:20">
      <c r="A1281" s="47" t="str">
        <f>IF(archive!E1281="","",archive!E1281)</f>
        <v/>
      </c>
      <c r="B1281" s="48" t="str">
        <f t="shared" si="266"/>
        <v/>
      </c>
      <c r="C1281" s="49" t="str">
        <f>IF(archive!F1281="","",archive!F1281)</f>
        <v/>
      </c>
      <c r="D1281" s="50" t="str">
        <f t="shared" si="267"/>
        <v/>
      </c>
      <c r="E1281" s="50" t="str">
        <f t="shared" si="268"/>
        <v/>
      </c>
      <c r="F1281" s="47" t="str">
        <f>IF(COUNTA(archive!H1281:CI1281)=0,"",COUNTA(archive!H1281:CI1281))</f>
        <v/>
      </c>
      <c r="G1281" s="47" t="str">
        <f>IF(archive!G1281="","",archive!G1281)</f>
        <v/>
      </c>
      <c r="H1281" s="51" t="str">
        <f>IF(archive!CJ1281="","",archive!CJ1281)</f>
        <v/>
      </c>
      <c r="I1281" s="51" t="str">
        <f>IF(archive!CK1281="","",archive!CK1281)</f>
        <v/>
      </c>
      <c r="J1281" s="47" t="str">
        <f t="shared" si="269"/>
        <v/>
      </c>
      <c r="K1281" s="51" t="str">
        <f t="shared" si="270"/>
        <v/>
      </c>
      <c r="L1281" s="52" t="str">
        <f t="shared" si="271"/>
        <v/>
      </c>
      <c r="M1281" s="53" t="str">
        <f t="shared" si="272"/>
        <v/>
      </c>
      <c r="N1281" s="53" t="str">
        <f t="shared" si="273"/>
        <v/>
      </c>
      <c r="O1281" s="53" t="str">
        <f t="shared" si="274"/>
        <v/>
      </c>
      <c r="P1281" s="53" t="str">
        <f t="shared" si="275"/>
        <v/>
      </c>
      <c r="Q1281" s="53" t="str">
        <f t="shared" si="276"/>
        <v/>
      </c>
      <c r="R1281" s="53" t="str">
        <f t="shared" si="277"/>
        <v/>
      </c>
      <c r="S1281" s="53" t="str">
        <f t="shared" si="278"/>
        <v/>
      </c>
      <c r="T1281" s="53" t="str">
        <f t="shared" si="279"/>
        <v/>
      </c>
    </row>
    <row r="1282" spans="1:20">
      <c r="A1282" s="47" t="str">
        <f>IF(archive!E1282="","",archive!E1282)</f>
        <v/>
      </c>
      <c r="B1282" s="48" t="str">
        <f t="shared" si="266"/>
        <v/>
      </c>
      <c r="C1282" s="49" t="str">
        <f>IF(archive!F1282="","",archive!F1282)</f>
        <v/>
      </c>
      <c r="D1282" s="50" t="str">
        <f t="shared" si="267"/>
        <v/>
      </c>
      <c r="E1282" s="50" t="str">
        <f t="shared" si="268"/>
        <v/>
      </c>
      <c r="F1282" s="47" t="str">
        <f>IF(COUNTA(archive!H1282:CI1282)=0,"",COUNTA(archive!H1282:CI1282))</f>
        <v/>
      </c>
      <c r="G1282" s="47" t="str">
        <f>IF(archive!G1282="","",archive!G1282)</f>
        <v/>
      </c>
      <c r="H1282" s="51" t="str">
        <f>IF(archive!CJ1282="","",archive!CJ1282)</f>
        <v/>
      </c>
      <c r="I1282" s="51" t="str">
        <f>IF(archive!CK1282="","",archive!CK1282)</f>
        <v/>
      </c>
      <c r="J1282" s="47" t="str">
        <f t="shared" si="269"/>
        <v/>
      </c>
      <c r="K1282" s="51" t="str">
        <f t="shared" si="270"/>
        <v/>
      </c>
      <c r="L1282" s="52" t="str">
        <f t="shared" si="271"/>
        <v/>
      </c>
      <c r="M1282" s="53" t="str">
        <f t="shared" si="272"/>
        <v/>
      </c>
      <c r="N1282" s="53" t="str">
        <f t="shared" si="273"/>
        <v/>
      </c>
      <c r="O1282" s="53" t="str">
        <f t="shared" si="274"/>
        <v/>
      </c>
      <c r="P1282" s="53" t="str">
        <f t="shared" si="275"/>
        <v/>
      </c>
      <c r="Q1282" s="53" t="str">
        <f t="shared" si="276"/>
        <v/>
      </c>
      <c r="R1282" s="53" t="str">
        <f t="shared" si="277"/>
        <v/>
      </c>
      <c r="S1282" s="53" t="str">
        <f t="shared" si="278"/>
        <v/>
      </c>
      <c r="T1282" s="53" t="str">
        <f t="shared" si="279"/>
        <v/>
      </c>
    </row>
    <row r="1283" spans="1:20">
      <c r="A1283" s="47" t="str">
        <f>IF(archive!E1283="","",archive!E1283)</f>
        <v/>
      </c>
      <c r="B1283" s="48" t="str">
        <f t="shared" si="266"/>
        <v/>
      </c>
      <c r="C1283" s="49" t="str">
        <f>IF(archive!F1283="","",archive!F1283)</f>
        <v/>
      </c>
      <c r="D1283" s="50" t="str">
        <f t="shared" si="267"/>
        <v/>
      </c>
      <c r="E1283" s="50" t="str">
        <f t="shared" si="268"/>
        <v/>
      </c>
      <c r="F1283" s="47" t="str">
        <f>IF(COUNTA(archive!H1283:CI1283)=0,"",COUNTA(archive!H1283:CI1283))</f>
        <v/>
      </c>
      <c r="G1283" s="47" t="str">
        <f>IF(archive!G1283="","",archive!G1283)</f>
        <v/>
      </c>
      <c r="H1283" s="51" t="str">
        <f>IF(archive!CJ1283="","",archive!CJ1283)</f>
        <v/>
      </c>
      <c r="I1283" s="51" t="str">
        <f>IF(archive!CK1283="","",archive!CK1283)</f>
        <v/>
      </c>
      <c r="J1283" s="47" t="str">
        <f t="shared" si="269"/>
        <v/>
      </c>
      <c r="K1283" s="51" t="str">
        <f t="shared" si="270"/>
        <v/>
      </c>
      <c r="L1283" s="52" t="str">
        <f t="shared" si="271"/>
        <v/>
      </c>
      <c r="M1283" s="53" t="str">
        <f t="shared" si="272"/>
        <v/>
      </c>
      <c r="N1283" s="53" t="str">
        <f t="shared" si="273"/>
        <v/>
      </c>
      <c r="O1283" s="53" t="str">
        <f t="shared" si="274"/>
        <v/>
      </c>
      <c r="P1283" s="53" t="str">
        <f t="shared" si="275"/>
        <v/>
      </c>
      <c r="Q1283" s="53" t="str">
        <f t="shared" si="276"/>
        <v/>
      </c>
      <c r="R1283" s="53" t="str">
        <f t="shared" si="277"/>
        <v/>
      </c>
      <c r="S1283" s="53" t="str">
        <f t="shared" si="278"/>
        <v/>
      </c>
      <c r="T1283" s="53" t="str">
        <f t="shared" si="279"/>
        <v/>
      </c>
    </row>
    <row r="1284" spans="1:20">
      <c r="A1284" s="47" t="str">
        <f>IF(archive!E1284="","",archive!E1284)</f>
        <v/>
      </c>
      <c r="B1284" s="48" t="str">
        <f t="shared" ref="B1284:B1347" si="280">IF(C1284="","",VLOOKUP($C1284,Tare,2,0))</f>
        <v/>
      </c>
      <c r="C1284" s="49" t="str">
        <f>IF(archive!F1284="","",archive!F1284)</f>
        <v/>
      </c>
      <c r="D1284" s="50" t="str">
        <f t="shared" ref="D1284:D1347" si="281">IF(C1284="","",C1284+B1284)</f>
        <v/>
      </c>
      <c r="E1284" s="50" t="str">
        <f t="shared" ref="E1284:E1347" si="282">IF(C1284="","",(C1284*0.025)+D1284)</f>
        <v/>
      </c>
      <c r="F1284" s="47" t="str">
        <f>IF(COUNTA(archive!H1284:CI1284)=0,"",COUNTA(archive!H1284:CI1284))</f>
        <v/>
      </c>
      <c r="G1284" s="47" t="str">
        <f>IF(archive!G1284="","",archive!G1284)</f>
        <v/>
      </c>
      <c r="H1284" s="51" t="str">
        <f>IF(archive!CJ1284="","",archive!CJ1284)</f>
        <v/>
      </c>
      <c r="I1284" s="51" t="str">
        <f>IF(archive!CK1284="","",archive!CK1284)</f>
        <v/>
      </c>
      <c r="J1284" s="47" t="str">
        <f t="shared" ref="J1284:J1347" si="283">IF(F1284="","",VLOOKUP(F1284,Valeur_g,2,0))</f>
        <v/>
      </c>
      <c r="K1284" s="51" t="str">
        <f t="shared" ref="K1284:K1347" si="284">IF(C1284="","",D1284+(J1284*I1284))</f>
        <v/>
      </c>
      <c r="L1284" s="52" t="str">
        <f t="shared" ref="L1284:L1347" si="285">IF(C1284="","",IF(K1284&lt;H1284,"Conforme","Non conforme"))</f>
        <v/>
      </c>
      <c r="M1284" s="53" t="str">
        <f t="shared" ref="M1284:M1347" si="286">IF(C1284="","",1)</f>
        <v/>
      </c>
      <c r="N1284" s="53" t="str">
        <f t="shared" ref="N1284:N1347" si="287">IF(L1284="","",COUNTIF(L1284,"Non conforme"))</f>
        <v/>
      </c>
      <c r="O1284" s="53" t="str">
        <f t="shared" ref="O1284:O1347" si="288">IF($C1284="","",IF($C1284=0.25,$G1284,"-"))</f>
        <v/>
      </c>
      <c r="P1284" s="53" t="str">
        <f t="shared" ref="P1284:P1347" si="289">IF($C1284="","",IF($C1284=0.4,$G1284,"-"))</f>
        <v/>
      </c>
      <c r="Q1284" s="53" t="str">
        <f t="shared" ref="Q1284:Q1347" si="290">IF($C1284="","",IF($C1284=0.5,$G1284,"-"))</f>
        <v/>
      </c>
      <c r="R1284" s="53" t="str">
        <f t="shared" ref="R1284:R1347" si="291">IF($C1284="","",IF($C1284=0.6,$G1284,"-"))</f>
        <v/>
      </c>
      <c r="S1284" s="53" t="str">
        <f t="shared" ref="S1284:S1347" si="292">IF($C1284="","",IF($C1284=0.8,$G1284,"-"))</f>
        <v/>
      </c>
      <c r="T1284" s="53" t="str">
        <f t="shared" ref="T1284:T1347" si="293">IF($C1284="","",IF($C1284=1,$G1284,"-"))</f>
        <v/>
      </c>
    </row>
    <row r="1285" spans="1:20">
      <c r="A1285" s="47" t="str">
        <f>IF(archive!E1285="","",archive!E1285)</f>
        <v/>
      </c>
      <c r="B1285" s="48" t="str">
        <f t="shared" si="280"/>
        <v/>
      </c>
      <c r="C1285" s="49" t="str">
        <f>IF(archive!F1285="","",archive!F1285)</f>
        <v/>
      </c>
      <c r="D1285" s="50" t="str">
        <f t="shared" si="281"/>
        <v/>
      </c>
      <c r="E1285" s="50" t="str">
        <f t="shared" si="282"/>
        <v/>
      </c>
      <c r="F1285" s="47" t="str">
        <f>IF(COUNTA(archive!H1285:CI1285)=0,"",COUNTA(archive!H1285:CI1285))</f>
        <v/>
      </c>
      <c r="G1285" s="47" t="str">
        <f>IF(archive!G1285="","",archive!G1285)</f>
        <v/>
      </c>
      <c r="H1285" s="51" t="str">
        <f>IF(archive!CJ1285="","",archive!CJ1285)</f>
        <v/>
      </c>
      <c r="I1285" s="51" t="str">
        <f>IF(archive!CK1285="","",archive!CK1285)</f>
        <v/>
      </c>
      <c r="J1285" s="47" t="str">
        <f t="shared" si="283"/>
        <v/>
      </c>
      <c r="K1285" s="51" t="str">
        <f t="shared" si="284"/>
        <v/>
      </c>
      <c r="L1285" s="52" t="str">
        <f t="shared" si="285"/>
        <v/>
      </c>
      <c r="M1285" s="53" t="str">
        <f t="shared" si="286"/>
        <v/>
      </c>
      <c r="N1285" s="53" t="str">
        <f t="shared" si="287"/>
        <v/>
      </c>
      <c r="O1285" s="53" t="str">
        <f t="shared" si="288"/>
        <v/>
      </c>
      <c r="P1285" s="53" t="str">
        <f t="shared" si="289"/>
        <v/>
      </c>
      <c r="Q1285" s="53" t="str">
        <f t="shared" si="290"/>
        <v/>
      </c>
      <c r="R1285" s="53" t="str">
        <f t="shared" si="291"/>
        <v/>
      </c>
      <c r="S1285" s="53" t="str">
        <f t="shared" si="292"/>
        <v/>
      </c>
      <c r="T1285" s="53" t="str">
        <f t="shared" si="293"/>
        <v/>
      </c>
    </row>
    <row r="1286" spans="1:20">
      <c r="A1286" s="47" t="str">
        <f>IF(archive!E1286="","",archive!E1286)</f>
        <v/>
      </c>
      <c r="B1286" s="48" t="str">
        <f t="shared" si="280"/>
        <v/>
      </c>
      <c r="C1286" s="49" t="str">
        <f>IF(archive!F1286="","",archive!F1286)</f>
        <v/>
      </c>
      <c r="D1286" s="50" t="str">
        <f t="shared" si="281"/>
        <v/>
      </c>
      <c r="E1286" s="50" t="str">
        <f t="shared" si="282"/>
        <v/>
      </c>
      <c r="F1286" s="47" t="str">
        <f>IF(COUNTA(archive!H1286:CI1286)=0,"",COUNTA(archive!H1286:CI1286))</f>
        <v/>
      </c>
      <c r="G1286" s="47" t="str">
        <f>IF(archive!G1286="","",archive!G1286)</f>
        <v/>
      </c>
      <c r="H1286" s="51" t="str">
        <f>IF(archive!CJ1286="","",archive!CJ1286)</f>
        <v/>
      </c>
      <c r="I1286" s="51" t="str">
        <f>IF(archive!CK1286="","",archive!CK1286)</f>
        <v/>
      </c>
      <c r="J1286" s="47" t="str">
        <f t="shared" si="283"/>
        <v/>
      </c>
      <c r="K1286" s="51" t="str">
        <f t="shared" si="284"/>
        <v/>
      </c>
      <c r="L1286" s="52" t="str">
        <f t="shared" si="285"/>
        <v/>
      </c>
      <c r="M1286" s="53" t="str">
        <f t="shared" si="286"/>
        <v/>
      </c>
      <c r="N1286" s="53" t="str">
        <f t="shared" si="287"/>
        <v/>
      </c>
      <c r="O1286" s="53" t="str">
        <f t="shared" si="288"/>
        <v/>
      </c>
      <c r="P1286" s="53" t="str">
        <f t="shared" si="289"/>
        <v/>
      </c>
      <c r="Q1286" s="53" t="str">
        <f t="shared" si="290"/>
        <v/>
      </c>
      <c r="R1286" s="53" t="str">
        <f t="shared" si="291"/>
        <v/>
      </c>
      <c r="S1286" s="53" t="str">
        <f t="shared" si="292"/>
        <v/>
      </c>
      <c r="T1286" s="53" t="str">
        <f t="shared" si="293"/>
        <v/>
      </c>
    </row>
    <row r="1287" spans="1:20">
      <c r="A1287" s="47" t="str">
        <f>IF(archive!E1287="","",archive!E1287)</f>
        <v/>
      </c>
      <c r="B1287" s="48" t="str">
        <f t="shared" si="280"/>
        <v/>
      </c>
      <c r="C1287" s="49" t="str">
        <f>IF(archive!F1287="","",archive!F1287)</f>
        <v/>
      </c>
      <c r="D1287" s="50" t="str">
        <f t="shared" si="281"/>
        <v/>
      </c>
      <c r="E1287" s="50" t="str">
        <f t="shared" si="282"/>
        <v/>
      </c>
      <c r="F1287" s="47" t="str">
        <f>IF(COUNTA(archive!H1287:CI1287)=0,"",COUNTA(archive!H1287:CI1287))</f>
        <v/>
      </c>
      <c r="G1287" s="47" t="str">
        <f>IF(archive!G1287="","",archive!G1287)</f>
        <v/>
      </c>
      <c r="H1287" s="51" t="str">
        <f>IF(archive!CJ1287="","",archive!CJ1287)</f>
        <v/>
      </c>
      <c r="I1287" s="51" t="str">
        <f>IF(archive!CK1287="","",archive!CK1287)</f>
        <v/>
      </c>
      <c r="J1287" s="47" t="str">
        <f t="shared" si="283"/>
        <v/>
      </c>
      <c r="K1287" s="51" t="str">
        <f t="shared" si="284"/>
        <v/>
      </c>
      <c r="L1287" s="52" t="str">
        <f t="shared" si="285"/>
        <v/>
      </c>
      <c r="M1287" s="53" t="str">
        <f t="shared" si="286"/>
        <v/>
      </c>
      <c r="N1287" s="53" t="str">
        <f t="shared" si="287"/>
        <v/>
      </c>
      <c r="O1287" s="53" t="str">
        <f t="shared" si="288"/>
        <v/>
      </c>
      <c r="P1287" s="53" t="str">
        <f t="shared" si="289"/>
        <v/>
      </c>
      <c r="Q1287" s="53" t="str">
        <f t="shared" si="290"/>
        <v/>
      </c>
      <c r="R1287" s="53" t="str">
        <f t="shared" si="291"/>
        <v/>
      </c>
      <c r="S1287" s="53" t="str">
        <f t="shared" si="292"/>
        <v/>
      </c>
      <c r="T1287" s="53" t="str">
        <f t="shared" si="293"/>
        <v/>
      </c>
    </row>
    <row r="1288" spans="1:20">
      <c r="A1288" s="47" t="str">
        <f>IF(archive!E1288="","",archive!E1288)</f>
        <v/>
      </c>
      <c r="B1288" s="48" t="str">
        <f t="shared" si="280"/>
        <v/>
      </c>
      <c r="C1288" s="49" t="str">
        <f>IF(archive!F1288="","",archive!F1288)</f>
        <v/>
      </c>
      <c r="D1288" s="50" t="str">
        <f t="shared" si="281"/>
        <v/>
      </c>
      <c r="E1288" s="50" t="str">
        <f t="shared" si="282"/>
        <v/>
      </c>
      <c r="F1288" s="47" t="str">
        <f>IF(COUNTA(archive!H1288:CI1288)=0,"",COUNTA(archive!H1288:CI1288))</f>
        <v/>
      </c>
      <c r="G1288" s="47" t="str">
        <f>IF(archive!G1288="","",archive!G1288)</f>
        <v/>
      </c>
      <c r="H1288" s="51" t="str">
        <f>IF(archive!CJ1288="","",archive!CJ1288)</f>
        <v/>
      </c>
      <c r="I1288" s="51" t="str">
        <f>IF(archive!CK1288="","",archive!CK1288)</f>
        <v/>
      </c>
      <c r="J1288" s="47" t="str">
        <f t="shared" si="283"/>
        <v/>
      </c>
      <c r="K1288" s="51" t="str">
        <f t="shared" si="284"/>
        <v/>
      </c>
      <c r="L1288" s="52" t="str">
        <f t="shared" si="285"/>
        <v/>
      </c>
      <c r="M1288" s="53" t="str">
        <f t="shared" si="286"/>
        <v/>
      </c>
      <c r="N1288" s="53" t="str">
        <f t="shared" si="287"/>
        <v/>
      </c>
      <c r="O1288" s="53" t="str">
        <f t="shared" si="288"/>
        <v/>
      </c>
      <c r="P1288" s="53" t="str">
        <f t="shared" si="289"/>
        <v/>
      </c>
      <c r="Q1288" s="53" t="str">
        <f t="shared" si="290"/>
        <v/>
      </c>
      <c r="R1288" s="53" t="str">
        <f t="shared" si="291"/>
        <v/>
      </c>
      <c r="S1288" s="53" t="str">
        <f t="shared" si="292"/>
        <v/>
      </c>
      <c r="T1288" s="53" t="str">
        <f t="shared" si="293"/>
        <v/>
      </c>
    </row>
    <row r="1289" spans="1:20">
      <c r="A1289" s="47" t="str">
        <f>IF(archive!E1289="","",archive!E1289)</f>
        <v/>
      </c>
      <c r="B1289" s="48" t="str">
        <f t="shared" si="280"/>
        <v/>
      </c>
      <c r="C1289" s="49" t="str">
        <f>IF(archive!F1289="","",archive!F1289)</f>
        <v/>
      </c>
      <c r="D1289" s="50" t="str">
        <f t="shared" si="281"/>
        <v/>
      </c>
      <c r="E1289" s="50" t="str">
        <f t="shared" si="282"/>
        <v/>
      </c>
      <c r="F1289" s="47" t="str">
        <f>IF(COUNTA(archive!H1289:CI1289)=0,"",COUNTA(archive!H1289:CI1289))</f>
        <v/>
      </c>
      <c r="G1289" s="47" t="str">
        <f>IF(archive!G1289="","",archive!G1289)</f>
        <v/>
      </c>
      <c r="H1289" s="51" t="str">
        <f>IF(archive!CJ1289="","",archive!CJ1289)</f>
        <v/>
      </c>
      <c r="I1289" s="51" t="str">
        <f>IF(archive!CK1289="","",archive!CK1289)</f>
        <v/>
      </c>
      <c r="J1289" s="47" t="str">
        <f t="shared" si="283"/>
        <v/>
      </c>
      <c r="K1289" s="51" t="str">
        <f t="shared" si="284"/>
        <v/>
      </c>
      <c r="L1289" s="52" t="str">
        <f t="shared" si="285"/>
        <v/>
      </c>
      <c r="M1289" s="53" t="str">
        <f t="shared" si="286"/>
        <v/>
      </c>
      <c r="N1289" s="53" t="str">
        <f t="shared" si="287"/>
        <v/>
      </c>
      <c r="O1289" s="53" t="str">
        <f t="shared" si="288"/>
        <v/>
      </c>
      <c r="P1289" s="53" t="str">
        <f t="shared" si="289"/>
        <v/>
      </c>
      <c r="Q1289" s="53" t="str">
        <f t="shared" si="290"/>
        <v/>
      </c>
      <c r="R1289" s="53" t="str">
        <f t="shared" si="291"/>
        <v/>
      </c>
      <c r="S1289" s="53" t="str">
        <f t="shared" si="292"/>
        <v/>
      </c>
      <c r="T1289" s="53" t="str">
        <f t="shared" si="293"/>
        <v/>
      </c>
    </row>
    <row r="1290" spans="1:20">
      <c r="A1290" s="47" t="str">
        <f>IF(archive!E1290="","",archive!E1290)</f>
        <v/>
      </c>
      <c r="B1290" s="48" t="str">
        <f t="shared" si="280"/>
        <v/>
      </c>
      <c r="C1290" s="49" t="str">
        <f>IF(archive!F1290="","",archive!F1290)</f>
        <v/>
      </c>
      <c r="D1290" s="50" t="str">
        <f t="shared" si="281"/>
        <v/>
      </c>
      <c r="E1290" s="50" t="str">
        <f t="shared" si="282"/>
        <v/>
      </c>
      <c r="F1290" s="47" t="str">
        <f>IF(COUNTA(archive!H1290:CI1290)=0,"",COUNTA(archive!H1290:CI1290))</f>
        <v/>
      </c>
      <c r="G1290" s="47" t="str">
        <f>IF(archive!G1290="","",archive!G1290)</f>
        <v/>
      </c>
      <c r="H1290" s="51" t="str">
        <f>IF(archive!CJ1290="","",archive!CJ1290)</f>
        <v/>
      </c>
      <c r="I1290" s="51" t="str">
        <f>IF(archive!CK1290="","",archive!CK1290)</f>
        <v/>
      </c>
      <c r="J1290" s="47" t="str">
        <f t="shared" si="283"/>
        <v/>
      </c>
      <c r="K1290" s="51" t="str">
        <f t="shared" si="284"/>
        <v/>
      </c>
      <c r="L1290" s="52" t="str">
        <f t="shared" si="285"/>
        <v/>
      </c>
      <c r="M1290" s="53" t="str">
        <f t="shared" si="286"/>
        <v/>
      </c>
      <c r="N1290" s="53" t="str">
        <f t="shared" si="287"/>
        <v/>
      </c>
      <c r="O1290" s="53" t="str">
        <f t="shared" si="288"/>
        <v/>
      </c>
      <c r="P1290" s="53" t="str">
        <f t="shared" si="289"/>
        <v/>
      </c>
      <c r="Q1290" s="53" t="str">
        <f t="shared" si="290"/>
        <v/>
      </c>
      <c r="R1290" s="53" t="str">
        <f t="shared" si="291"/>
        <v/>
      </c>
      <c r="S1290" s="53" t="str">
        <f t="shared" si="292"/>
        <v/>
      </c>
      <c r="T1290" s="53" t="str">
        <f t="shared" si="293"/>
        <v/>
      </c>
    </row>
    <row r="1291" spans="1:20">
      <c r="A1291" s="47" t="str">
        <f>IF(archive!E1291="","",archive!E1291)</f>
        <v/>
      </c>
      <c r="B1291" s="48" t="str">
        <f t="shared" si="280"/>
        <v/>
      </c>
      <c r="C1291" s="49" t="str">
        <f>IF(archive!F1291="","",archive!F1291)</f>
        <v/>
      </c>
      <c r="D1291" s="50" t="str">
        <f t="shared" si="281"/>
        <v/>
      </c>
      <c r="E1291" s="50" t="str">
        <f t="shared" si="282"/>
        <v/>
      </c>
      <c r="F1291" s="47" t="str">
        <f>IF(COUNTA(archive!H1291:CI1291)=0,"",COUNTA(archive!H1291:CI1291))</f>
        <v/>
      </c>
      <c r="G1291" s="47" t="str">
        <f>IF(archive!G1291="","",archive!G1291)</f>
        <v/>
      </c>
      <c r="H1291" s="51" t="str">
        <f>IF(archive!CJ1291="","",archive!CJ1291)</f>
        <v/>
      </c>
      <c r="I1291" s="51" t="str">
        <f>IF(archive!CK1291="","",archive!CK1291)</f>
        <v/>
      </c>
      <c r="J1291" s="47" t="str">
        <f t="shared" si="283"/>
        <v/>
      </c>
      <c r="K1291" s="51" t="str">
        <f t="shared" si="284"/>
        <v/>
      </c>
      <c r="L1291" s="52" t="str">
        <f t="shared" si="285"/>
        <v/>
      </c>
      <c r="M1291" s="53" t="str">
        <f t="shared" si="286"/>
        <v/>
      </c>
      <c r="N1291" s="53" t="str">
        <f t="shared" si="287"/>
        <v/>
      </c>
      <c r="O1291" s="53" t="str">
        <f t="shared" si="288"/>
        <v/>
      </c>
      <c r="P1291" s="53" t="str">
        <f t="shared" si="289"/>
        <v/>
      </c>
      <c r="Q1291" s="53" t="str">
        <f t="shared" si="290"/>
        <v/>
      </c>
      <c r="R1291" s="53" t="str">
        <f t="shared" si="291"/>
        <v/>
      </c>
      <c r="S1291" s="53" t="str">
        <f t="shared" si="292"/>
        <v/>
      </c>
      <c r="T1291" s="53" t="str">
        <f t="shared" si="293"/>
        <v/>
      </c>
    </row>
    <row r="1292" spans="1:20">
      <c r="A1292" s="47" t="str">
        <f>IF(archive!E1292="","",archive!E1292)</f>
        <v/>
      </c>
      <c r="B1292" s="48" t="str">
        <f t="shared" si="280"/>
        <v/>
      </c>
      <c r="C1292" s="49" t="str">
        <f>IF(archive!F1292="","",archive!F1292)</f>
        <v/>
      </c>
      <c r="D1292" s="50" t="str">
        <f t="shared" si="281"/>
        <v/>
      </c>
      <c r="E1292" s="50" t="str">
        <f t="shared" si="282"/>
        <v/>
      </c>
      <c r="F1292" s="47" t="str">
        <f>IF(COUNTA(archive!H1292:CI1292)=0,"",COUNTA(archive!H1292:CI1292))</f>
        <v/>
      </c>
      <c r="G1292" s="47" t="str">
        <f>IF(archive!G1292="","",archive!G1292)</f>
        <v/>
      </c>
      <c r="H1292" s="51" t="str">
        <f>IF(archive!CJ1292="","",archive!CJ1292)</f>
        <v/>
      </c>
      <c r="I1292" s="51" t="str">
        <f>IF(archive!CK1292="","",archive!CK1292)</f>
        <v/>
      </c>
      <c r="J1292" s="47" t="str">
        <f t="shared" si="283"/>
        <v/>
      </c>
      <c r="K1292" s="51" t="str">
        <f t="shared" si="284"/>
        <v/>
      </c>
      <c r="L1292" s="52" t="str">
        <f t="shared" si="285"/>
        <v/>
      </c>
      <c r="M1292" s="53" t="str">
        <f t="shared" si="286"/>
        <v/>
      </c>
      <c r="N1292" s="53" t="str">
        <f t="shared" si="287"/>
        <v/>
      </c>
      <c r="O1292" s="53" t="str">
        <f t="shared" si="288"/>
        <v/>
      </c>
      <c r="P1292" s="53" t="str">
        <f t="shared" si="289"/>
        <v/>
      </c>
      <c r="Q1292" s="53" t="str">
        <f t="shared" si="290"/>
        <v/>
      </c>
      <c r="R1292" s="53" t="str">
        <f t="shared" si="291"/>
        <v/>
      </c>
      <c r="S1292" s="53" t="str">
        <f t="shared" si="292"/>
        <v/>
      </c>
      <c r="T1292" s="53" t="str">
        <f t="shared" si="293"/>
        <v/>
      </c>
    </row>
    <row r="1293" spans="1:20">
      <c r="A1293" s="47" t="str">
        <f>IF(archive!E1293="","",archive!E1293)</f>
        <v/>
      </c>
      <c r="B1293" s="48" t="str">
        <f t="shared" si="280"/>
        <v/>
      </c>
      <c r="C1293" s="49" t="str">
        <f>IF(archive!F1293="","",archive!F1293)</f>
        <v/>
      </c>
      <c r="D1293" s="50" t="str">
        <f t="shared" si="281"/>
        <v/>
      </c>
      <c r="E1293" s="50" t="str">
        <f t="shared" si="282"/>
        <v/>
      </c>
      <c r="F1293" s="47" t="str">
        <f>IF(COUNTA(archive!H1293:CI1293)=0,"",COUNTA(archive!H1293:CI1293))</f>
        <v/>
      </c>
      <c r="G1293" s="47" t="str">
        <f>IF(archive!G1293="","",archive!G1293)</f>
        <v/>
      </c>
      <c r="H1293" s="51" t="str">
        <f>IF(archive!CJ1293="","",archive!CJ1293)</f>
        <v/>
      </c>
      <c r="I1293" s="51" t="str">
        <f>IF(archive!CK1293="","",archive!CK1293)</f>
        <v/>
      </c>
      <c r="J1293" s="47" t="str">
        <f t="shared" si="283"/>
        <v/>
      </c>
      <c r="K1293" s="51" t="str">
        <f t="shared" si="284"/>
        <v/>
      </c>
      <c r="L1293" s="52" t="str">
        <f t="shared" si="285"/>
        <v/>
      </c>
      <c r="M1293" s="53" t="str">
        <f t="shared" si="286"/>
        <v/>
      </c>
      <c r="N1293" s="53" t="str">
        <f t="shared" si="287"/>
        <v/>
      </c>
      <c r="O1293" s="53" t="str">
        <f t="shared" si="288"/>
        <v/>
      </c>
      <c r="P1293" s="53" t="str">
        <f t="shared" si="289"/>
        <v/>
      </c>
      <c r="Q1293" s="53" t="str">
        <f t="shared" si="290"/>
        <v/>
      </c>
      <c r="R1293" s="53" t="str">
        <f t="shared" si="291"/>
        <v/>
      </c>
      <c r="S1293" s="53" t="str">
        <f t="shared" si="292"/>
        <v/>
      </c>
      <c r="T1293" s="53" t="str">
        <f t="shared" si="293"/>
        <v/>
      </c>
    </row>
    <row r="1294" spans="1:20">
      <c r="A1294" s="47" t="str">
        <f>IF(archive!E1294="","",archive!E1294)</f>
        <v/>
      </c>
      <c r="B1294" s="48" t="str">
        <f t="shared" si="280"/>
        <v/>
      </c>
      <c r="C1294" s="49" t="str">
        <f>IF(archive!F1294="","",archive!F1294)</f>
        <v/>
      </c>
      <c r="D1294" s="50" t="str">
        <f t="shared" si="281"/>
        <v/>
      </c>
      <c r="E1294" s="50" t="str">
        <f t="shared" si="282"/>
        <v/>
      </c>
      <c r="F1294" s="47" t="str">
        <f>IF(COUNTA(archive!H1294:CI1294)=0,"",COUNTA(archive!H1294:CI1294))</f>
        <v/>
      </c>
      <c r="G1294" s="47" t="str">
        <f>IF(archive!G1294="","",archive!G1294)</f>
        <v/>
      </c>
      <c r="H1294" s="51" t="str">
        <f>IF(archive!CJ1294="","",archive!CJ1294)</f>
        <v/>
      </c>
      <c r="I1294" s="51" t="str">
        <f>IF(archive!CK1294="","",archive!CK1294)</f>
        <v/>
      </c>
      <c r="J1294" s="47" t="str">
        <f t="shared" si="283"/>
        <v/>
      </c>
      <c r="K1294" s="51" t="str">
        <f t="shared" si="284"/>
        <v/>
      </c>
      <c r="L1294" s="52" t="str">
        <f t="shared" si="285"/>
        <v/>
      </c>
      <c r="M1294" s="53" t="str">
        <f t="shared" si="286"/>
        <v/>
      </c>
      <c r="N1294" s="53" t="str">
        <f t="shared" si="287"/>
        <v/>
      </c>
      <c r="O1294" s="53" t="str">
        <f t="shared" si="288"/>
        <v/>
      </c>
      <c r="P1294" s="53" t="str">
        <f t="shared" si="289"/>
        <v/>
      </c>
      <c r="Q1294" s="53" t="str">
        <f t="shared" si="290"/>
        <v/>
      </c>
      <c r="R1294" s="53" t="str">
        <f t="shared" si="291"/>
        <v/>
      </c>
      <c r="S1294" s="53" t="str">
        <f t="shared" si="292"/>
        <v/>
      </c>
      <c r="T1294" s="53" t="str">
        <f t="shared" si="293"/>
        <v/>
      </c>
    </row>
    <row r="1295" spans="1:20">
      <c r="A1295" s="47" t="str">
        <f>IF(archive!E1295="","",archive!E1295)</f>
        <v/>
      </c>
      <c r="B1295" s="48" t="str">
        <f t="shared" si="280"/>
        <v/>
      </c>
      <c r="C1295" s="49" t="str">
        <f>IF(archive!F1295="","",archive!F1295)</f>
        <v/>
      </c>
      <c r="D1295" s="50" t="str">
        <f t="shared" si="281"/>
        <v/>
      </c>
      <c r="E1295" s="50" t="str">
        <f t="shared" si="282"/>
        <v/>
      </c>
      <c r="F1295" s="47" t="str">
        <f>IF(COUNTA(archive!H1295:CI1295)=0,"",COUNTA(archive!H1295:CI1295))</f>
        <v/>
      </c>
      <c r="G1295" s="47" t="str">
        <f>IF(archive!G1295="","",archive!G1295)</f>
        <v/>
      </c>
      <c r="H1295" s="51" t="str">
        <f>IF(archive!CJ1295="","",archive!CJ1295)</f>
        <v/>
      </c>
      <c r="I1295" s="51" t="str">
        <f>IF(archive!CK1295="","",archive!CK1295)</f>
        <v/>
      </c>
      <c r="J1295" s="47" t="str">
        <f t="shared" si="283"/>
        <v/>
      </c>
      <c r="K1295" s="51" t="str">
        <f t="shared" si="284"/>
        <v/>
      </c>
      <c r="L1295" s="52" t="str">
        <f t="shared" si="285"/>
        <v/>
      </c>
      <c r="M1295" s="53" t="str">
        <f t="shared" si="286"/>
        <v/>
      </c>
      <c r="N1295" s="53" t="str">
        <f t="shared" si="287"/>
        <v/>
      </c>
      <c r="O1295" s="53" t="str">
        <f t="shared" si="288"/>
        <v/>
      </c>
      <c r="P1295" s="53" t="str">
        <f t="shared" si="289"/>
        <v/>
      </c>
      <c r="Q1295" s="53" t="str">
        <f t="shared" si="290"/>
        <v/>
      </c>
      <c r="R1295" s="53" t="str">
        <f t="shared" si="291"/>
        <v/>
      </c>
      <c r="S1295" s="53" t="str">
        <f t="shared" si="292"/>
        <v/>
      </c>
      <c r="T1295" s="53" t="str">
        <f t="shared" si="293"/>
        <v/>
      </c>
    </row>
    <row r="1296" spans="1:20">
      <c r="A1296" s="47" t="str">
        <f>IF(archive!E1296="","",archive!E1296)</f>
        <v/>
      </c>
      <c r="B1296" s="48" t="str">
        <f t="shared" si="280"/>
        <v/>
      </c>
      <c r="C1296" s="49" t="str">
        <f>IF(archive!F1296="","",archive!F1296)</f>
        <v/>
      </c>
      <c r="D1296" s="50" t="str">
        <f t="shared" si="281"/>
        <v/>
      </c>
      <c r="E1296" s="50" t="str">
        <f t="shared" si="282"/>
        <v/>
      </c>
      <c r="F1296" s="47" t="str">
        <f>IF(COUNTA(archive!H1296:CI1296)=0,"",COUNTA(archive!H1296:CI1296))</f>
        <v/>
      </c>
      <c r="G1296" s="47" t="str">
        <f>IF(archive!G1296="","",archive!G1296)</f>
        <v/>
      </c>
      <c r="H1296" s="51" t="str">
        <f>IF(archive!CJ1296="","",archive!CJ1296)</f>
        <v/>
      </c>
      <c r="I1296" s="51" t="str">
        <f>IF(archive!CK1296="","",archive!CK1296)</f>
        <v/>
      </c>
      <c r="J1296" s="47" t="str">
        <f t="shared" si="283"/>
        <v/>
      </c>
      <c r="K1296" s="51" t="str">
        <f t="shared" si="284"/>
        <v/>
      </c>
      <c r="L1296" s="52" t="str">
        <f t="shared" si="285"/>
        <v/>
      </c>
      <c r="M1296" s="53" t="str">
        <f t="shared" si="286"/>
        <v/>
      </c>
      <c r="N1296" s="53" t="str">
        <f t="shared" si="287"/>
        <v/>
      </c>
      <c r="O1296" s="53" t="str">
        <f t="shared" si="288"/>
        <v/>
      </c>
      <c r="P1296" s="53" t="str">
        <f t="shared" si="289"/>
        <v/>
      </c>
      <c r="Q1296" s="53" t="str">
        <f t="shared" si="290"/>
        <v/>
      </c>
      <c r="R1296" s="53" t="str">
        <f t="shared" si="291"/>
        <v/>
      </c>
      <c r="S1296" s="53" t="str">
        <f t="shared" si="292"/>
        <v/>
      </c>
      <c r="T1296" s="53" t="str">
        <f t="shared" si="293"/>
        <v/>
      </c>
    </row>
    <row r="1297" spans="1:20">
      <c r="A1297" s="47" t="str">
        <f>IF(archive!E1297="","",archive!E1297)</f>
        <v/>
      </c>
      <c r="B1297" s="48" t="str">
        <f t="shared" si="280"/>
        <v/>
      </c>
      <c r="C1297" s="49" t="str">
        <f>IF(archive!F1297="","",archive!F1297)</f>
        <v/>
      </c>
      <c r="D1297" s="50" t="str">
        <f t="shared" si="281"/>
        <v/>
      </c>
      <c r="E1297" s="50" t="str">
        <f t="shared" si="282"/>
        <v/>
      </c>
      <c r="F1297" s="47" t="str">
        <f>IF(COUNTA(archive!H1297:CI1297)=0,"",COUNTA(archive!H1297:CI1297))</f>
        <v/>
      </c>
      <c r="G1297" s="47" t="str">
        <f>IF(archive!G1297="","",archive!G1297)</f>
        <v/>
      </c>
      <c r="H1297" s="51" t="str">
        <f>IF(archive!CJ1297="","",archive!CJ1297)</f>
        <v/>
      </c>
      <c r="I1297" s="51" t="str">
        <f>IF(archive!CK1297="","",archive!CK1297)</f>
        <v/>
      </c>
      <c r="J1297" s="47" t="str">
        <f t="shared" si="283"/>
        <v/>
      </c>
      <c r="K1297" s="51" t="str">
        <f t="shared" si="284"/>
        <v/>
      </c>
      <c r="L1297" s="52" t="str">
        <f t="shared" si="285"/>
        <v/>
      </c>
      <c r="M1297" s="53" t="str">
        <f t="shared" si="286"/>
        <v/>
      </c>
      <c r="N1297" s="53" t="str">
        <f t="shared" si="287"/>
        <v/>
      </c>
      <c r="O1297" s="53" t="str">
        <f t="shared" si="288"/>
        <v/>
      </c>
      <c r="P1297" s="53" t="str">
        <f t="shared" si="289"/>
        <v/>
      </c>
      <c r="Q1297" s="53" t="str">
        <f t="shared" si="290"/>
        <v/>
      </c>
      <c r="R1297" s="53" t="str">
        <f t="shared" si="291"/>
        <v/>
      </c>
      <c r="S1297" s="53" t="str">
        <f t="shared" si="292"/>
        <v/>
      </c>
      <c r="T1297" s="53" t="str">
        <f t="shared" si="293"/>
        <v/>
      </c>
    </row>
    <row r="1298" spans="1:20">
      <c r="A1298" s="47" t="str">
        <f>IF(archive!E1298="","",archive!E1298)</f>
        <v/>
      </c>
      <c r="B1298" s="48" t="str">
        <f t="shared" si="280"/>
        <v/>
      </c>
      <c r="C1298" s="49" t="str">
        <f>IF(archive!F1298="","",archive!F1298)</f>
        <v/>
      </c>
      <c r="D1298" s="50" t="str">
        <f t="shared" si="281"/>
        <v/>
      </c>
      <c r="E1298" s="50" t="str">
        <f t="shared" si="282"/>
        <v/>
      </c>
      <c r="F1298" s="47" t="str">
        <f>IF(COUNTA(archive!H1298:CI1298)=0,"",COUNTA(archive!H1298:CI1298))</f>
        <v/>
      </c>
      <c r="G1298" s="47" t="str">
        <f>IF(archive!G1298="","",archive!G1298)</f>
        <v/>
      </c>
      <c r="H1298" s="51" t="str">
        <f>IF(archive!CJ1298="","",archive!CJ1298)</f>
        <v/>
      </c>
      <c r="I1298" s="51" t="str">
        <f>IF(archive!CK1298="","",archive!CK1298)</f>
        <v/>
      </c>
      <c r="J1298" s="47" t="str">
        <f t="shared" si="283"/>
        <v/>
      </c>
      <c r="K1298" s="51" t="str">
        <f t="shared" si="284"/>
        <v/>
      </c>
      <c r="L1298" s="52" t="str">
        <f t="shared" si="285"/>
        <v/>
      </c>
      <c r="M1298" s="53" t="str">
        <f t="shared" si="286"/>
        <v/>
      </c>
      <c r="N1298" s="53" t="str">
        <f t="shared" si="287"/>
        <v/>
      </c>
      <c r="O1298" s="53" t="str">
        <f t="shared" si="288"/>
        <v/>
      </c>
      <c r="P1298" s="53" t="str">
        <f t="shared" si="289"/>
        <v/>
      </c>
      <c r="Q1298" s="53" t="str">
        <f t="shared" si="290"/>
        <v/>
      </c>
      <c r="R1298" s="53" t="str">
        <f t="shared" si="291"/>
        <v/>
      </c>
      <c r="S1298" s="53" t="str">
        <f t="shared" si="292"/>
        <v/>
      </c>
      <c r="T1298" s="53" t="str">
        <f t="shared" si="293"/>
        <v/>
      </c>
    </row>
    <row r="1299" spans="1:20">
      <c r="A1299" s="47" t="str">
        <f>IF(archive!E1299="","",archive!E1299)</f>
        <v/>
      </c>
      <c r="B1299" s="48" t="str">
        <f t="shared" si="280"/>
        <v/>
      </c>
      <c r="C1299" s="49" t="str">
        <f>IF(archive!F1299="","",archive!F1299)</f>
        <v/>
      </c>
      <c r="D1299" s="50" t="str">
        <f t="shared" si="281"/>
        <v/>
      </c>
      <c r="E1299" s="50" t="str">
        <f t="shared" si="282"/>
        <v/>
      </c>
      <c r="F1299" s="47" t="str">
        <f>IF(COUNTA(archive!H1299:CI1299)=0,"",COUNTA(archive!H1299:CI1299))</f>
        <v/>
      </c>
      <c r="G1299" s="47" t="str">
        <f>IF(archive!G1299="","",archive!G1299)</f>
        <v/>
      </c>
      <c r="H1299" s="51" t="str">
        <f>IF(archive!CJ1299="","",archive!CJ1299)</f>
        <v/>
      </c>
      <c r="I1299" s="51" t="str">
        <f>IF(archive!CK1299="","",archive!CK1299)</f>
        <v/>
      </c>
      <c r="J1299" s="47" t="str">
        <f t="shared" si="283"/>
        <v/>
      </c>
      <c r="K1299" s="51" t="str">
        <f t="shared" si="284"/>
        <v/>
      </c>
      <c r="L1299" s="52" t="str">
        <f t="shared" si="285"/>
        <v/>
      </c>
      <c r="M1299" s="53" t="str">
        <f t="shared" si="286"/>
        <v/>
      </c>
      <c r="N1299" s="53" t="str">
        <f t="shared" si="287"/>
        <v/>
      </c>
      <c r="O1299" s="53" t="str">
        <f t="shared" si="288"/>
        <v/>
      </c>
      <c r="P1299" s="53" t="str">
        <f t="shared" si="289"/>
        <v/>
      </c>
      <c r="Q1299" s="53" t="str">
        <f t="shared" si="290"/>
        <v/>
      </c>
      <c r="R1299" s="53" t="str">
        <f t="shared" si="291"/>
        <v/>
      </c>
      <c r="S1299" s="53" t="str">
        <f t="shared" si="292"/>
        <v/>
      </c>
      <c r="T1299" s="53" t="str">
        <f t="shared" si="293"/>
        <v/>
      </c>
    </row>
    <row r="1300" spans="1:20">
      <c r="A1300" s="47" t="str">
        <f>IF(archive!E1300="","",archive!E1300)</f>
        <v/>
      </c>
      <c r="B1300" s="48" t="str">
        <f t="shared" si="280"/>
        <v/>
      </c>
      <c r="C1300" s="49" t="str">
        <f>IF(archive!F1300="","",archive!F1300)</f>
        <v/>
      </c>
      <c r="D1300" s="50" t="str">
        <f t="shared" si="281"/>
        <v/>
      </c>
      <c r="E1300" s="50" t="str">
        <f t="shared" si="282"/>
        <v/>
      </c>
      <c r="F1300" s="47" t="str">
        <f>IF(COUNTA(archive!H1300:CI1300)=0,"",COUNTA(archive!H1300:CI1300))</f>
        <v/>
      </c>
      <c r="G1300" s="47" t="str">
        <f>IF(archive!G1300="","",archive!G1300)</f>
        <v/>
      </c>
      <c r="H1300" s="51" t="str">
        <f>IF(archive!CJ1300="","",archive!CJ1300)</f>
        <v/>
      </c>
      <c r="I1300" s="51" t="str">
        <f>IF(archive!CK1300="","",archive!CK1300)</f>
        <v/>
      </c>
      <c r="J1300" s="47" t="str">
        <f t="shared" si="283"/>
        <v/>
      </c>
      <c r="K1300" s="51" t="str">
        <f t="shared" si="284"/>
        <v/>
      </c>
      <c r="L1300" s="52" t="str">
        <f t="shared" si="285"/>
        <v/>
      </c>
      <c r="M1300" s="53" t="str">
        <f t="shared" si="286"/>
        <v/>
      </c>
      <c r="N1300" s="53" t="str">
        <f t="shared" si="287"/>
        <v/>
      </c>
      <c r="O1300" s="53" t="str">
        <f t="shared" si="288"/>
        <v/>
      </c>
      <c r="P1300" s="53" t="str">
        <f t="shared" si="289"/>
        <v/>
      </c>
      <c r="Q1300" s="53" t="str">
        <f t="shared" si="290"/>
        <v/>
      </c>
      <c r="R1300" s="53" t="str">
        <f t="shared" si="291"/>
        <v/>
      </c>
      <c r="S1300" s="53" t="str">
        <f t="shared" si="292"/>
        <v/>
      </c>
      <c r="T1300" s="53" t="str">
        <f t="shared" si="293"/>
        <v/>
      </c>
    </row>
    <row r="1301" spans="1:20">
      <c r="A1301" s="47" t="str">
        <f>IF(archive!E1301="","",archive!E1301)</f>
        <v/>
      </c>
      <c r="B1301" s="48" t="str">
        <f t="shared" si="280"/>
        <v/>
      </c>
      <c r="C1301" s="49" t="str">
        <f>IF(archive!F1301="","",archive!F1301)</f>
        <v/>
      </c>
      <c r="D1301" s="50" t="str">
        <f t="shared" si="281"/>
        <v/>
      </c>
      <c r="E1301" s="50" t="str">
        <f t="shared" si="282"/>
        <v/>
      </c>
      <c r="F1301" s="47" t="str">
        <f>IF(COUNTA(archive!H1301:CI1301)=0,"",COUNTA(archive!H1301:CI1301))</f>
        <v/>
      </c>
      <c r="G1301" s="47" t="str">
        <f>IF(archive!G1301="","",archive!G1301)</f>
        <v/>
      </c>
      <c r="H1301" s="51" t="str">
        <f>IF(archive!CJ1301="","",archive!CJ1301)</f>
        <v/>
      </c>
      <c r="I1301" s="51" t="str">
        <f>IF(archive!CK1301="","",archive!CK1301)</f>
        <v/>
      </c>
      <c r="J1301" s="47" t="str">
        <f t="shared" si="283"/>
        <v/>
      </c>
      <c r="K1301" s="51" t="str">
        <f t="shared" si="284"/>
        <v/>
      </c>
      <c r="L1301" s="52" t="str">
        <f t="shared" si="285"/>
        <v/>
      </c>
      <c r="M1301" s="53" t="str">
        <f t="shared" si="286"/>
        <v/>
      </c>
      <c r="N1301" s="53" t="str">
        <f t="shared" si="287"/>
        <v/>
      </c>
      <c r="O1301" s="53" t="str">
        <f t="shared" si="288"/>
        <v/>
      </c>
      <c r="P1301" s="53" t="str">
        <f t="shared" si="289"/>
        <v/>
      </c>
      <c r="Q1301" s="53" t="str">
        <f t="shared" si="290"/>
        <v/>
      </c>
      <c r="R1301" s="53" t="str">
        <f t="shared" si="291"/>
        <v/>
      </c>
      <c r="S1301" s="53" t="str">
        <f t="shared" si="292"/>
        <v/>
      </c>
      <c r="T1301" s="53" t="str">
        <f t="shared" si="293"/>
        <v/>
      </c>
    </row>
    <row r="1302" spans="1:20">
      <c r="A1302" s="47" t="str">
        <f>IF(archive!E1302="","",archive!E1302)</f>
        <v/>
      </c>
      <c r="B1302" s="48" t="str">
        <f t="shared" si="280"/>
        <v/>
      </c>
      <c r="C1302" s="49" t="str">
        <f>IF(archive!F1302="","",archive!F1302)</f>
        <v/>
      </c>
      <c r="D1302" s="50" t="str">
        <f t="shared" si="281"/>
        <v/>
      </c>
      <c r="E1302" s="50" t="str">
        <f t="shared" si="282"/>
        <v/>
      </c>
      <c r="F1302" s="47" t="str">
        <f>IF(COUNTA(archive!H1302:CI1302)=0,"",COUNTA(archive!H1302:CI1302))</f>
        <v/>
      </c>
      <c r="G1302" s="47" t="str">
        <f>IF(archive!G1302="","",archive!G1302)</f>
        <v/>
      </c>
      <c r="H1302" s="51" t="str">
        <f>IF(archive!CJ1302="","",archive!CJ1302)</f>
        <v/>
      </c>
      <c r="I1302" s="51" t="str">
        <f>IF(archive!CK1302="","",archive!CK1302)</f>
        <v/>
      </c>
      <c r="J1302" s="47" t="str">
        <f t="shared" si="283"/>
        <v/>
      </c>
      <c r="K1302" s="51" t="str">
        <f t="shared" si="284"/>
        <v/>
      </c>
      <c r="L1302" s="52" t="str">
        <f t="shared" si="285"/>
        <v/>
      </c>
      <c r="M1302" s="53" t="str">
        <f t="shared" si="286"/>
        <v/>
      </c>
      <c r="N1302" s="53" t="str">
        <f t="shared" si="287"/>
        <v/>
      </c>
      <c r="O1302" s="53" t="str">
        <f t="shared" si="288"/>
        <v/>
      </c>
      <c r="P1302" s="53" t="str">
        <f t="shared" si="289"/>
        <v/>
      </c>
      <c r="Q1302" s="53" t="str">
        <f t="shared" si="290"/>
        <v/>
      </c>
      <c r="R1302" s="53" t="str">
        <f t="shared" si="291"/>
        <v/>
      </c>
      <c r="S1302" s="53" t="str">
        <f t="shared" si="292"/>
        <v/>
      </c>
      <c r="T1302" s="53" t="str">
        <f t="shared" si="293"/>
        <v/>
      </c>
    </row>
    <row r="1303" spans="1:20">
      <c r="A1303" s="47" t="str">
        <f>IF(archive!E1303="","",archive!E1303)</f>
        <v/>
      </c>
      <c r="B1303" s="48" t="str">
        <f t="shared" si="280"/>
        <v/>
      </c>
      <c r="C1303" s="49" t="str">
        <f>IF(archive!F1303="","",archive!F1303)</f>
        <v/>
      </c>
      <c r="D1303" s="50" t="str">
        <f t="shared" si="281"/>
        <v/>
      </c>
      <c r="E1303" s="50" t="str">
        <f t="shared" si="282"/>
        <v/>
      </c>
      <c r="F1303" s="47" t="str">
        <f>IF(COUNTA(archive!H1303:CI1303)=0,"",COUNTA(archive!H1303:CI1303))</f>
        <v/>
      </c>
      <c r="G1303" s="47" t="str">
        <f>IF(archive!G1303="","",archive!G1303)</f>
        <v/>
      </c>
      <c r="H1303" s="51" t="str">
        <f>IF(archive!CJ1303="","",archive!CJ1303)</f>
        <v/>
      </c>
      <c r="I1303" s="51" t="str">
        <f>IF(archive!CK1303="","",archive!CK1303)</f>
        <v/>
      </c>
      <c r="J1303" s="47" t="str">
        <f t="shared" si="283"/>
        <v/>
      </c>
      <c r="K1303" s="51" t="str">
        <f t="shared" si="284"/>
        <v/>
      </c>
      <c r="L1303" s="52" t="str">
        <f t="shared" si="285"/>
        <v/>
      </c>
      <c r="M1303" s="53" t="str">
        <f t="shared" si="286"/>
        <v/>
      </c>
      <c r="N1303" s="53" t="str">
        <f t="shared" si="287"/>
        <v/>
      </c>
      <c r="O1303" s="53" t="str">
        <f t="shared" si="288"/>
        <v/>
      </c>
      <c r="P1303" s="53" t="str">
        <f t="shared" si="289"/>
        <v/>
      </c>
      <c r="Q1303" s="53" t="str">
        <f t="shared" si="290"/>
        <v/>
      </c>
      <c r="R1303" s="53" t="str">
        <f t="shared" si="291"/>
        <v/>
      </c>
      <c r="S1303" s="53" t="str">
        <f t="shared" si="292"/>
        <v/>
      </c>
      <c r="T1303" s="53" t="str">
        <f t="shared" si="293"/>
        <v/>
      </c>
    </row>
    <row r="1304" spans="1:20">
      <c r="A1304" s="47" t="str">
        <f>IF(archive!E1304="","",archive!E1304)</f>
        <v/>
      </c>
      <c r="B1304" s="48" t="str">
        <f t="shared" si="280"/>
        <v/>
      </c>
      <c r="C1304" s="49" t="str">
        <f>IF(archive!F1304="","",archive!F1304)</f>
        <v/>
      </c>
      <c r="D1304" s="50" t="str">
        <f t="shared" si="281"/>
        <v/>
      </c>
      <c r="E1304" s="50" t="str">
        <f t="shared" si="282"/>
        <v/>
      </c>
      <c r="F1304" s="47" t="str">
        <f>IF(COUNTA(archive!H1304:CI1304)=0,"",COUNTA(archive!H1304:CI1304))</f>
        <v/>
      </c>
      <c r="G1304" s="47" t="str">
        <f>IF(archive!G1304="","",archive!G1304)</f>
        <v/>
      </c>
      <c r="H1304" s="51" t="str">
        <f>IF(archive!CJ1304="","",archive!CJ1304)</f>
        <v/>
      </c>
      <c r="I1304" s="51" t="str">
        <f>IF(archive!CK1304="","",archive!CK1304)</f>
        <v/>
      </c>
      <c r="J1304" s="47" t="str">
        <f t="shared" si="283"/>
        <v/>
      </c>
      <c r="K1304" s="51" t="str">
        <f t="shared" si="284"/>
        <v/>
      </c>
      <c r="L1304" s="52" t="str">
        <f t="shared" si="285"/>
        <v/>
      </c>
      <c r="M1304" s="53" t="str">
        <f t="shared" si="286"/>
        <v/>
      </c>
      <c r="N1304" s="53" t="str">
        <f t="shared" si="287"/>
        <v/>
      </c>
      <c r="O1304" s="53" t="str">
        <f t="shared" si="288"/>
        <v/>
      </c>
      <c r="P1304" s="53" t="str">
        <f t="shared" si="289"/>
        <v/>
      </c>
      <c r="Q1304" s="53" t="str">
        <f t="shared" si="290"/>
        <v/>
      </c>
      <c r="R1304" s="53" t="str">
        <f t="shared" si="291"/>
        <v/>
      </c>
      <c r="S1304" s="53" t="str">
        <f t="shared" si="292"/>
        <v/>
      </c>
      <c r="T1304" s="53" t="str">
        <f t="shared" si="293"/>
        <v/>
      </c>
    </row>
    <row r="1305" spans="1:20">
      <c r="A1305" s="47" t="str">
        <f>IF(archive!E1305="","",archive!E1305)</f>
        <v/>
      </c>
      <c r="B1305" s="48" t="str">
        <f t="shared" si="280"/>
        <v/>
      </c>
      <c r="C1305" s="49" t="str">
        <f>IF(archive!F1305="","",archive!F1305)</f>
        <v/>
      </c>
      <c r="D1305" s="50" t="str">
        <f t="shared" si="281"/>
        <v/>
      </c>
      <c r="E1305" s="50" t="str">
        <f t="shared" si="282"/>
        <v/>
      </c>
      <c r="F1305" s="47" t="str">
        <f>IF(COUNTA(archive!H1305:CI1305)=0,"",COUNTA(archive!H1305:CI1305))</f>
        <v/>
      </c>
      <c r="G1305" s="47" t="str">
        <f>IF(archive!G1305="","",archive!G1305)</f>
        <v/>
      </c>
      <c r="H1305" s="51" t="str">
        <f>IF(archive!CJ1305="","",archive!CJ1305)</f>
        <v/>
      </c>
      <c r="I1305" s="51" t="str">
        <f>IF(archive!CK1305="","",archive!CK1305)</f>
        <v/>
      </c>
      <c r="J1305" s="47" t="str">
        <f t="shared" si="283"/>
        <v/>
      </c>
      <c r="K1305" s="51" t="str">
        <f t="shared" si="284"/>
        <v/>
      </c>
      <c r="L1305" s="52" t="str">
        <f t="shared" si="285"/>
        <v/>
      </c>
      <c r="M1305" s="53" t="str">
        <f t="shared" si="286"/>
        <v/>
      </c>
      <c r="N1305" s="53" t="str">
        <f t="shared" si="287"/>
        <v/>
      </c>
      <c r="O1305" s="53" t="str">
        <f t="shared" si="288"/>
        <v/>
      </c>
      <c r="P1305" s="53" t="str">
        <f t="shared" si="289"/>
        <v/>
      </c>
      <c r="Q1305" s="53" t="str">
        <f t="shared" si="290"/>
        <v/>
      </c>
      <c r="R1305" s="53" t="str">
        <f t="shared" si="291"/>
        <v/>
      </c>
      <c r="S1305" s="53" t="str">
        <f t="shared" si="292"/>
        <v/>
      </c>
      <c r="T1305" s="53" t="str">
        <f t="shared" si="293"/>
        <v/>
      </c>
    </row>
    <row r="1306" spans="1:20">
      <c r="A1306" s="47" t="str">
        <f>IF(archive!E1306="","",archive!E1306)</f>
        <v/>
      </c>
      <c r="B1306" s="48" t="str">
        <f t="shared" si="280"/>
        <v/>
      </c>
      <c r="C1306" s="49" t="str">
        <f>IF(archive!F1306="","",archive!F1306)</f>
        <v/>
      </c>
      <c r="D1306" s="50" t="str">
        <f t="shared" si="281"/>
        <v/>
      </c>
      <c r="E1306" s="50" t="str">
        <f t="shared" si="282"/>
        <v/>
      </c>
      <c r="F1306" s="47" t="str">
        <f>IF(COUNTA(archive!H1306:CI1306)=0,"",COUNTA(archive!H1306:CI1306))</f>
        <v/>
      </c>
      <c r="G1306" s="47" t="str">
        <f>IF(archive!G1306="","",archive!G1306)</f>
        <v/>
      </c>
      <c r="H1306" s="51" t="str">
        <f>IF(archive!CJ1306="","",archive!CJ1306)</f>
        <v/>
      </c>
      <c r="I1306" s="51" t="str">
        <f>IF(archive!CK1306="","",archive!CK1306)</f>
        <v/>
      </c>
      <c r="J1306" s="47" t="str">
        <f t="shared" si="283"/>
        <v/>
      </c>
      <c r="K1306" s="51" t="str">
        <f t="shared" si="284"/>
        <v/>
      </c>
      <c r="L1306" s="52" t="str">
        <f t="shared" si="285"/>
        <v/>
      </c>
      <c r="M1306" s="53" t="str">
        <f t="shared" si="286"/>
        <v/>
      </c>
      <c r="N1306" s="53" t="str">
        <f t="shared" si="287"/>
        <v/>
      </c>
      <c r="O1306" s="53" t="str">
        <f t="shared" si="288"/>
        <v/>
      </c>
      <c r="P1306" s="53" t="str">
        <f t="shared" si="289"/>
        <v/>
      </c>
      <c r="Q1306" s="53" t="str">
        <f t="shared" si="290"/>
        <v/>
      </c>
      <c r="R1306" s="53" t="str">
        <f t="shared" si="291"/>
        <v/>
      </c>
      <c r="S1306" s="53" t="str">
        <f t="shared" si="292"/>
        <v/>
      </c>
      <c r="T1306" s="53" t="str">
        <f t="shared" si="293"/>
        <v/>
      </c>
    </row>
    <row r="1307" spans="1:20">
      <c r="A1307" s="47" t="str">
        <f>IF(archive!E1307="","",archive!E1307)</f>
        <v/>
      </c>
      <c r="B1307" s="48" t="str">
        <f t="shared" si="280"/>
        <v/>
      </c>
      <c r="C1307" s="49" t="str">
        <f>IF(archive!F1307="","",archive!F1307)</f>
        <v/>
      </c>
      <c r="D1307" s="50" t="str">
        <f t="shared" si="281"/>
        <v/>
      </c>
      <c r="E1307" s="50" t="str">
        <f t="shared" si="282"/>
        <v/>
      </c>
      <c r="F1307" s="47" t="str">
        <f>IF(COUNTA(archive!H1307:CI1307)=0,"",COUNTA(archive!H1307:CI1307))</f>
        <v/>
      </c>
      <c r="G1307" s="47" t="str">
        <f>IF(archive!G1307="","",archive!G1307)</f>
        <v/>
      </c>
      <c r="H1307" s="51" t="str">
        <f>IF(archive!CJ1307="","",archive!CJ1307)</f>
        <v/>
      </c>
      <c r="I1307" s="51" t="str">
        <f>IF(archive!CK1307="","",archive!CK1307)</f>
        <v/>
      </c>
      <c r="J1307" s="47" t="str">
        <f t="shared" si="283"/>
        <v/>
      </c>
      <c r="K1307" s="51" t="str">
        <f t="shared" si="284"/>
        <v/>
      </c>
      <c r="L1307" s="52" t="str">
        <f t="shared" si="285"/>
        <v/>
      </c>
      <c r="M1307" s="53" t="str">
        <f t="shared" si="286"/>
        <v/>
      </c>
      <c r="N1307" s="53" t="str">
        <f t="shared" si="287"/>
        <v/>
      </c>
      <c r="O1307" s="53" t="str">
        <f t="shared" si="288"/>
        <v/>
      </c>
      <c r="P1307" s="53" t="str">
        <f t="shared" si="289"/>
        <v/>
      </c>
      <c r="Q1307" s="53" t="str">
        <f t="shared" si="290"/>
        <v/>
      </c>
      <c r="R1307" s="53" t="str">
        <f t="shared" si="291"/>
        <v/>
      </c>
      <c r="S1307" s="53" t="str">
        <f t="shared" si="292"/>
        <v/>
      </c>
      <c r="T1307" s="53" t="str">
        <f t="shared" si="293"/>
        <v/>
      </c>
    </row>
    <row r="1308" spans="1:20">
      <c r="A1308" s="47" t="str">
        <f>IF(archive!E1308="","",archive!E1308)</f>
        <v/>
      </c>
      <c r="B1308" s="48" t="str">
        <f t="shared" si="280"/>
        <v/>
      </c>
      <c r="C1308" s="49" t="str">
        <f>IF(archive!F1308="","",archive!F1308)</f>
        <v/>
      </c>
      <c r="D1308" s="50" t="str">
        <f t="shared" si="281"/>
        <v/>
      </c>
      <c r="E1308" s="50" t="str">
        <f t="shared" si="282"/>
        <v/>
      </c>
      <c r="F1308" s="47" t="str">
        <f>IF(COUNTA(archive!H1308:CI1308)=0,"",COUNTA(archive!H1308:CI1308))</f>
        <v/>
      </c>
      <c r="G1308" s="47" t="str">
        <f>IF(archive!G1308="","",archive!G1308)</f>
        <v/>
      </c>
      <c r="H1308" s="51" t="str">
        <f>IF(archive!CJ1308="","",archive!CJ1308)</f>
        <v/>
      </c>
      <c r="I1308" s="51" t="str">
        <f>IF(archive!CK1308="","",archive!CK1308)</f>
        <v/>
      </c>
      <c r="J1308" s="47" t="str">
        <f t="shared" si="283"/>
        <v/>
      </c>
      <c r="K1308" s="51" t="str">
        <f t="shared" si="284"/>
        <v/>
      </c>
      <c r="L1308" s="52" t="str">
        <f t="shared" si="285"/>
        <v/>
      </c>
      <c r="M1308" s="53" t="str">
        <f t="shared" si="286"/>
        <v/>
      </c>
      <c r="N1308" s="53" t="str">
        <f t="shared" si="287"/>
        <v/>
      </c>
      <c r="O1308" s="53" t="str">
        <f t="shared" si="288"/>
        <v/>
      </c>
      <c r="P1308" s="53" t="str">
        <f t="shared" si="289"/>
        <v/>
      </c>
      <c r="Q1308" s="53" t="str">
        <f t="shared" si="290"/>
        <v/>
      </c>
      <c r="R1308" s="53" t="str">
        <f t="shared" si="291"/>
        <v/>
      </c>
      <c r="S1308" s="53" t="str">
        <f t="shared" si="292"/>
        <v/>
      </c>
      <c r="T1308" s="53" t="str">
        <f t="shared" si="293"/>
        <v/>
      </c>
    </row>
    <row r="1309" spans="1:20">
      <c r="A1309" s="47" t="str">
        <f>IF(archive!E1309="","",archive!E1309)</f>
        <v/>
      </c>
      <c r="B1309" s="48" t="str">
        <f t="shared" si="280"/>
        <v/>
      </c>
      <c r="C1309" s="49" t="str">
        <f>IF(archive!F1309="","",archive!F1309)</f>
        <v/>
      </c>
      <c r="D1309" s="50" t="str">
        <f t="shared" si="281"/>
        <v/>
      </c>
      <c r="E1309" s="50" t="str">
        <f t="shared" si="282"/>
        <v/>
      </c>
      <c r="F1309" s="47" t="str">
        <f>IF(COUNTA(archive!H1309:CI1309)=0,"",COUNTA(archive!H1309:CI1309))</f>
        <v/>
      </c>
      <c r="G1309" s="47" t="str">
        <f>IF(archive!G1309="","",archive!G1309)</f>
        <v/>
      </c>
      <c r="H1309" s="51" t="str">
        <f>IF(archive!CJ1309="","",archive!CJ1309)</f>
        <v/>
      </c>
      <c r="I1309" s="51" t="str">
        <f>IF(archive!CK1309="","",archive!CK1309)</f>
        <v/>
      </c>
      <c r="J1309" s="47" t="str">
        <f t="shared" si="283"/>
        <v/>
      </c>
      <c r="K1309" s="51" t="str">
        <f t="shared" si="284"/>
        <v/>
      </c>
      <c r="L1309" s="52" t="str">
        <f t="shared" si="285"/>
        <v/>
      </c>
      <c r="M1309" s="53" t="str">
        <f t="shared" si="286"/>
        <v/>
      </c>
      <c r="N1309" s="53" t="str">
        <f t="shared" si="287"/>
        <v/>
      </c>
      <c r="O1309" s="53" t="str">
        <f t="shared" si="288"/>
        <v/>
      </c>
      <c r="P1309" s="53" t="str">
        <f t="shared" si="289"/>
        <v/>
      </c>
      <c r="Q1309" s="53" t="str">
        <f t="shared" si="290"/>
        <v/>
      </c>
      <c r="R1309" s="53" t="str">
        <f t="shared" si="291"/>
        <v/>
      </c>
      <c r="S1309" s="53" t="str">
        <f t="shared" si="292"/>
        <v/>
      </c>
      <c r="T1309" s="53" t="str">
        <f t="shared" si="293"/>
        <v/>
      </c>
    </row>
    <row r="1310" spans="1:20">
      <c r="A1310" s="47" t="str">
        <f>IF(archive!E1310="","",archive!E1310)</f>
        <v/>
      </c>
      <c r="B1310" s="48" t="str">
        <f t="shared" si="280"/>
        <v/>
      </c>
      <c r="C1310" s="49" t="str">
        <f>IF(archive!F1310="","",archive!F1310)</f>
        <v/>
      </c>
      <c r="D1310" s="50" t="str">
        <f t="shared" si="281"/>
        <v/>
      </c>
      <c r="E1310" s="50" t="str">
        <f t="shared" si="282"/>
        <v/>
      </c>
      <c r="F1310" s="47" t="str">
        <f>IF(COUNTA(archive!H1310:CI1310)=0,"",COUNTA(archive!H1310:CI1310))</f>
        <v/>
      </c>
      <c r="G1310" s="47" t="str">
        <f>IF(archive!G1310="","",archive!G1310)</f>
        <v/>
      </c>
      <c r="H1310" s="51" t="str">
        <f>IF(archive!CJ1310="","",archive!CJ1310)</f>
        <v/>
      </c>
      <c r="I1310" s="51" t="str">
        <f>IF(archive!CK1310="","",archive!CK1310)</f>
        <v/>
      </c>
      <c r="J1310" s="47" t="str">
        <f t="shared" si="283"/>
        <v/>
      </c>
      <c r="K1310" s="51" t="str">
        <f t="shared" si="284"/>
        <v/>
      </c>
      <c r="L1310" s="52" t="str">
        <f t="shared" si="285"/>
        <v/>
      </c>
      <c r="M1310" s="53" t="str">
        <f t="shared" si="286"/>
        <v/>
      </c>
      <c r="N1310" s="53" t="str">
        <f t="shared" si="287"/>
        <v/>
      </c>
      <c r="O1310" s="53" t="str">
        <f t="shared" si="288"/>
        <v/>
      </c>
      <c r="P1310" s="53" t="str">
        <f t="shared" si="289"/>
        <v/>
      </c>
      <c r="Q1310" s="53" t="str">
        <f t="shared" si="290"/>
        <v/>
      </c>
      <c r="R1310" s="53" t="str">
        <f t="shared" si="291"/>
        <v/>
      </c>
      <c r="S1310" s="53" t="str">
        <f t="shared" si="292"/>
        <v/>
      </c>
      <c r="T1310" s="53" t="str">
        <f t="shared" si="293"/>
        <v/>
      </c>
    </row>
    <row r="1311" spans="1:20">
      <c r="A1311" s="47" t="str">
        <f>IF(archive!E1311="","",archive!E1311)</f>
        <v/>
      </c>
      <c r="B1311" s="48" t="str">
        <f t="shared" si="280"/>
        <v/>
      </c>
      <c r="C1311" s="49" t="str">
        <f>IF(archive!F1311="","",archive!F1311)</f>
        <v/>
      </c>
      <c r="D1311" s="50" t="str">
        <f t="shared" si="281"/>
        <v/>
      </c>
      <c r="E1311" s="50" t="str">
        <f t="shared" si="282"/>
        <v/>
      </c>
      <c r="F1311" s="47" t="str">
        <f>IF(COUNTA(archive!H1311:CI1311)=0,"",COUNTA(archive!H1311:CI1311))</f>
        <v/>
      </c>
      <c r="G1311" s="47" t="str">
        <f>IF(archive!G1311="","",archive!G1311)</f>
        <v/>
      </c>
      <c r="H1311" s="51" t="str">
        <f>IF(archive!CJ1311="","",archive!CJ1311)</f>
        <v/>
      </c>
      <c r="I1311" s="51" t="str">
        <f>IF(archive!CK1311="","",archive!CK1311)</f>
        <v/>
      </c>
      <c r="J1311" s="47" t="str">
        <f t="shared" si="283"/>
        <v/>
      </c>
      <c r="K1311" s="51" t="str">
        <f t="shared" si="284"/>
        <v/>
      </c>
      <c r="L1311" s="52" t="str">
        <f t="shared" si="285"/>
        <v/>
      </c>
      <c r="M1311" s="53" t="str">
        <f t="shared" si="286"/>
        <v/>
      </c>
      <c r="N1311" s="53" t="str">
        <f t="shared" si="287"/>
        <v/>
      </c>
      <c r="O1311" s="53" t="str">
        <f t="shared" si="288"/>
        <v/>
      </c>
      <c r="P1311" s="53" t="str">
        <f t="shared" si="289"/>
        <v/>
      </c>
      <c r="Q1311" s="53" t="str">
        <f t="shared" si="290"/>
        <v/>
      </c>
      <c r="R1311" s="53" t="str">
        <f t="shared" si="291"/>
        <v/>
      </c>
      <c r="S1311" s="53" t="str">
        <f t="shared" si="292"/>
        <v/>
      </c>
      <c r="T1311" s="53" t="str">
        <f t="shared" si="293"/>
        <v/>
      </c>
    </row>
    <row r="1312" spans="1:20">
      <c r="A1312" s="47" t="str">
        <f>IF(archive!E1312="","",archive!E1312)</f>
        <v/>
      </c>
      <c r="B1312" s="48" t="str">
        <f t="shared" si="280"/>
        <v/>
      </c>
      <c r="C1312" s="49" t="str">
        <f>IF(archive!F1312="","",archive!F1312)</f>
        <v/>
      </c>
      <c r="D1312" s="50" t="str">
        <f t="shared" si="281"/>
        <v/>
      </c>
      <c r="E1312" s="50" t="str">
        <f t="shared" si="282"/>
        <v/>
      </c>
      <c r="F1312" s="47" t="str">
        <f>IF(COUNTA(archive!H1312:CI1312)=0,"",COUNTA(archive!H1312:CI1312))</f>
        <v/>
      </c>
      <c r="G1312" s="47" t="str">
        <f>IF(archive!G1312="","",archive!G1312)</f>
        <v/>
      </c>
      <c r="H1312" s="51" t="str">
        <f>IF(archive!CJ1312="","",archive!CJ1312)</f>
        <v/>
      </c>
      <c r="I1312" s="51" t="str">
        <f>IF(archive!CK1312="","",archive!CK1312)</f>
        <v/>
      </c>
      <c r="J1312" s="47" t="str">
        <f t="shared" si="283"/>
        <v/>
      </c>
      <c r="K1312" s="51" t="str">
        <f t="shared" si="284"/>
        <v/>
      </c>
      <c r="L1312" s="52" t="str">
        <f t="shared" si="285"/>
        <v/>
      </c>
      <c r="M1312" s="53" t="str">
        <f t="shared" si="286"/>
        <v/>
      </c>
      <c r="N1312" s="53" t="str">
        <f t="shared" si="287"/>
        <v/>
      </c>
      <c r="O1312" s="53" t="str">
        <f t="shared" si="288"/>
        <v/>
      </c>
      <c r="P1312" s="53" t="str">
        <f t="shared" si="289"/>
        <v/>
      </c>
      <c r="Q1312" s="53" t="str">
        <f t="shared" si="290"/>
        <v/>
      </c>
      <c r="R1312" s="53" t="str">
        <f t="shared" si="291"/>
        <v/>
      </c>
      <c r="S1312" s="53" t="str">
        <f t="shared" si="292"/>
        <v/>
      </c>
      <c r="T1312" s="53" t="str">
        <f t="shared" si="293"/>
        <v/>
      </c>
    </row>
    <row r="1313" spans="1:20">
      <c r="A1313" s="47" t="str">
        <f>IF(archive!E1313="","",archive!E1313)</f>
        <v/>
      </c>
      <c r="B1313" s="48" t="str">
        <f t="shared" si="280"/>
        <v/>
      </c>
      <c r="C1313" s="49" t="str">
        <f>IF(archive!F1313="","",archive!F1313)</f>
        <v/>
      </c>
      <c r="D1313" s="50" t="str">
        <f t="shared" si="281"/>
        <v/>
      </c>
      <c r="E1313" s="50" t="str">
        <f t="shared" si="282"/>
        <v/>
      </c>
      <c r="F1313" s="47" t="str">
        <f>IF(COUNTA(archive!H1313:CI1313)=0,"",COUNTA(archive!H1313:CI1313))</f>
        <v/>
      </c>
      <c r="G1313" s="47" t="str">
        <f>IF(archive!G1313="","",archive!G1313)</f>
        <v/>
      </c>
      <c r="H1313" s="51" t="str">
        <f>IF(archive!CJ1313="","",archive!CJ1313)</f>
        <v/>
      </c>
      <c r="I1313" s="51" t="str">
        <f>IF(archive!CK1313="","",archive!CK1313)</f>
        <v/>
      </c>
      <c r="J1313" s="47" t="str">
        <f t="shared" si="283"/>
        <v/>
      </c>
      <c r="K1313" s="51" t="str">
        <f t="shared" si="284"/>
        <v/>
      </c>
      <c r="L1313" s="52" t="str">
        <f t="shared" si="285"/>
        <v/>
      </c>
      <c r="M1313" s="53" t="str">
        <f t="shared" si="286"/>
        <v/>
      </c>
      <c r="N1313" s="53" t="str">
        <f t="shared" si="287"/>
        <v/>
      </c>
      <c r="O1313" s="53" t="str">
        <f t="shared" si="288"/>
        <v/>
      </c>
      <c r="P1313" s="53" t="str">
        <f t="shared" si="289"/>
        <v/>
      </c>
      <c r="Q1313" s="53" t="str">
        <f t="shared" si="290"/>
        <v/>
      </c>
      <c r="R1313" s="53" t="str">
        <f t="shared" si="291"/>
        <v/>
      </c>
      <c r="S1313" s="53" t="str">
        <f t="shared" si="292"/>
        <v/>
      </c>
      <c r="T1313" s="53" t="str">
        <f t="shared" si="293"/>
        <v/>
      </c>
    </row>
    <row r="1314" spans="1:20">
      <c r="A1314" s="47" t="str">
        <f>IF(archive!E1314="","",archive!E1314)</f>
        <v/>
      </c>
      <c r="B1314" s="48" t="str">
        <f t="shared" si="280"/>
        <v/>
      </c>
      <c r="C1314" s="49" t="str">
        <f>IF(archive!F1314="","",archive!F1314)</f>
        <v/>
      </c>
      <c r="D1314" s="50" t="str">
        <f t="shared" si="281"/>
        <v/>
      </c>
      <c r="E1314" s="50" t="str">
        <f t="shared" si="282"/>
        <v/>
      </c>
      <c r="F1314" s="47" t="str">
        <f>IF(COUNTA(archive!H1314:CI1314)=0,"",COUNTA(archive!H1314:CI1314))</f>
        <v/>
      </c>
      <c r="G1314" s="47" t="str">
        <f>IF(archive!G1314="","",archive!G1314)</f>
        <v/>
      </c>
      <c r="H1314" s="51" t="str">
        <f>IF(archive!CJ1314="","",archive!CJ1314)</f>
        <v/>
      </c>
      <c r="I1314" s="51" t="str">
        <f>IF(archive!CK1314="","",archive!CK1314)</f>
        <v/>
      </c>
      <c r="J1314" s="47" t="str">
        <f t="shared" si="283"/>
        <v/>
      </c>
      <c r="K1314" s="51" t="str">
        <f t="shared" si="284"/>
        <v/>
      </c>
      <c r="L1314" s="52" t="str">
        <f t="shared" si="285"/>
        <v/>
      </c>
      <c r="M1314" s="53" t="str">
        <f t="shared" si="286"/>
        <v/>
      </c>
      <c r="N1314" s="53" t="str">
        <f t="shared" si="287"/>
        <v/>
      </c>
      <c r="O1314" s="53" t="str">
        <f t="shared" si="288"/>
        <v/>
      </c>
      <c r="P1314" s="53" t="str">
        <f t="shared" si="289"/>
        <v/>
      </c>
      <c r="Q1314" s="53" t="str">
        <f t="shared" si="290"/>
        <v/>
      </c>
      <c r="R1314" s="53" t="str">
        <f t="shared" si="291"/>
        <v/>
      </c>
      <c r="S1314" s="53" t="str">
        <f t="shared" si="292"/>
        <v/>
      </c>
      <c r="T1314" s="53" t="str">
        <f t="shared" si="293"/>
        <v/>
      </c>
    </row>
    <row r="1315" spans="1:20">
      <c r="A1315" s="47" t="str">
        <f>IF(archive!E1315="","",archive!E1315)</f>
        <v/>
      </c>
      <c r="B1315" s="48" t="str">
        <f t="shared" si="280"/>
        <v/>
      </c>
      <c r="C1315" s="49" t="str">
        <f>IF(archive!F1315="","",archive!F1315)</f>
        <v/>
      </c>
      <c r="D1315" s="50" t="str">
        <f t="shared" si="281"/>
        <v/>
      </c>
      <c r="E1315" s="50" t="str">
        <f t="shared" si="282"/>
        <v/>
      </c>
      <c r="F1315" s="47" t="str">
        <f>IF(COUNTA(archive!H1315:CI1315)=0,"",COUNTA(archive!H1315:CI1315))</f>
        <v/>
      </c>
      <c r="G1315" s="47" t="str">
        <f>IF(archive!G1315="","",archive!G1315)</f>
        <v/>
      </c>
      <c r="H1315" s="51" t="str">
        <f>IF(archive!CJ1315="","",archive!CJ1315)</f>
        <v/>
      </c>
      <c r="I1315" s="51" t="str">
        <f>IF(archive!CK1315="","",archive!CK1315)</f>
        <v/>
      </c>
      <c r="J1315" s="47" t="str">
        <f t="shared" si="283"/>
        <v/>
      </c>
      <c r="K1315" s="51" t="str">
        <f t="shared" si="284"/>
        <v/>
      </c>
      <c r="L1315" s="52" t="str">
        <f t="shared" si="285"/>
        <v/>
      </c>
      <c r="M1315" s="53" t="str">
        <f t="shared" si="286"/>
        <v/>
      </c>
      <c r="N1315" s="53" t="str">
        <f t="shared" si="287"/>
        <v/>
      </c>
      <c r="O1315" s="53" t="str">
        <f t="shared" si="288"/>
        <v/>
      </c>
      <c r="P1315" s="53" t="str">
        <f t="shared" si="289"/>
        <v/>
      </c>
      <c r="Q1315" s="53" t="str">
        <f t="shared" si="290"/>
        <v/>
      </c>
      <c r="R1315" s="53" t="str">
        <f t="shared" si="291"/>
        <v/>
      </c>
      <c r="S1315" s="53" t="str">
        <f t="shared" si="292"/>
        <v/>
      </c>
      <c r="T1315" s="53" t="str">
        <f t="shared" si="293"/>
        <v/>
      </c>
    </row>
    <row r="1316" spans="1:20">
      <c r="A1316" s="47" t="str">
        <f>IF(archive!E1316="","",archive!E1316)</f>
        <v/>
      </c>
      <c r="B1316" s="48" t="str">
        <f t="shared" si="280"/>
        <v/>
      </c>
      <c r="C1316" s="49" t="str">
        <f>IF(archive!F1316="","",archive!F1316)</f>
        <v/>
      </c>
      <c r="D1316" s="50" t="str">
        <f t="shared" si="281"/>
        <v/>
      </c>
      <c r="E1316" s="50" t="str">
        <f t="shared" si="282"/>
        <v/>
      </c>
      <c r="F1316" s="47" t="str">
        <f>IF(COUNTA(archive!H1316:CI1316)=0,"",COUNTA(archive!H1316:CI1316))</f>
        <v/>
      </c>
      <c r="G1316" s="47" t="str">
        <f>IF(archive!G1316="","",archive!G1316)</f>
        <v/>
      </c>
      <c r="H1316" s="51" t="str">
        <f>IF(archive!CJ1316="","",archive!CJ1316)</f>
        <v/>
      </c>
      <c r="I1316" s="51" t="str">
        <f>IF(archive!CK1316="","",archive!CK1316)</f>
        <v/>
      </c>
      <c r="J1316" s="47" t="str">
        <f t="shared" si="283"/>
        <v/>
      </c>
      <c r="K1316" s="51" t="str">
        <f t="shared" si="284"/>
        <v/>
      </c>
      <c r="L1316" s="52" t="str">
        <f t="shared" si="285"/>
        <v/>
      </c>
      <c r="M1316" s="53" t="str">
        <f t="shared" si="286"/>
        <v/>
      </c>
      <c r="N1316" s="53" t="str">
        <f t="shared" si="287"/>
        <v/>
      </c>
      <c r="O1316" s="53" t="str">
        <f t="shared" si="288"/>
        <v/>
      </c>
      <c r="P1316" s="53" t="str">
        <f t="shared" si="289"/>
        <v/>
      </c>
      <c r="Q1316" s="53" t="str">
        <f t="shared" si="290"/>
        <v/>
      </c>
      <c r="R1316" s="53" t="str">
        <f t="shared" si="291"/>
        <v/>
      </c>
      <c r="S1316" s="53" t="str">
        <f t="shared" si="292"/>
        <v/>
      </c>
      <c r="T1316" s="53" t="str">
        <f t="shared" si="293"/>
        <v/>
      </c>
    </row>
    <row r="1317" spans="1:20">
      <c r="A1317" s="47" t="str">
        <f>IF(archive!E1317="","",archive!E1317)</f>
        <v/>
      </c>
      <c r="B1317" s="48" t="str">
        <f t="shared" si="280"/>
        <v/>
      </c>
      <c r="C1317" s="49" t="str">
        <f>IF(archive!F1317="","",archive!F1317)</f>
        <v/>
      </c>
      <c r="D1317" s="50" t="str">
        <f t="shared" si="281"/>
        <v/>
      </c>
      <c r="E1317" s="50" t="str">
        <f t="shared" si="282"/>
        <v/>
      </c>
      <c r="F1317" s="47" t="str">
        <f>IF(COUNTA(archive!H1317:CI1317)=0,"",COUNTA(archive!H1317:CI1317))</f>
        <v/>
      </c>
      <c r="G1317" s="47" t="str">
        <f>IF(archive!G1317="","",archive!G1317)</f>
        <v/>
      </c>
      <c r="H1317" s="51" t="str">
        <f>IF(archive!CJ1317="","",archive!CJ1317)</f>
        <v/>
      </c>
      <c r="I1317" s="51" t="str">
        <f>IF(archive!CK1317="","",archive!CK1317)</f>
        <v/>
      </c>
      <c r="J1317" s="47" t="str">
        <f t="shared" si="283"/>
        <v/>
      </c>
      <c r="K1317" s="51" t="str">
        <f t="shared" si="284"/>
        <v/>
      </c>
      <c r="L1317" s="52" t="str">
        <f t="shared" si="285"/>
        <v/>
      </c>
      <c r="M1317" s="53" t="str">
        <f t="shared" si="286"/>
        <v/>
      </c>
      <c r="N1317" s="53" t="str">
        <f t="shared" si="287"/>
        <v/>
      </c>
      <c r="O1317" s="53" t="str">
        <f t="shared" si="288"/>
        <v/>
      </c>
      <c r="P1317" s="53" t="str">
        <f t="shared" si="289"/>
        <v/>
      </c>
      <c r="Q1317" s="53" t="str">
        <f t="shared" si="290"/>
        <v/>
      </c>
      <c r="R1317" s="53" t="str">
        <f t="shared" si="291"/>
        <v/>
      </c>
      <c r="S1317" s="53" t="str">
        <f t="shared" si="292"/>
        <v/>
      </c>
      <c r="T1317" s="53" t="str">
        <f t="shared" si="293"/>
        <v/>
      </c>
    </row>
    <row r="1318" spans="1:20">
      <c r="A1318" s="47" t="str">
        <f>IF(archive!E1318="","",archive!E1318)</f>
        <v/>
      </c>
      <c r="B1318" s="48" t="str">
        <f t="shared" si="280"/>
        <v/>
      </c>
      <c r="C1318" s="49" t="str">
        <f>IF(archive!F1318="","",archive!F1318)</f>
        <v/>
      </c>
      <c r="D1318" s="50" t="str">
        <f t="shared" si="281"/>
        <v/>
      </c>
      <c r="E1318" s="50" t="str">
        <f t="shared" si="282"/>
        <v/>
      </c>
      <c r="F1318" s="47" t="str">
        <f>IF(COUNTA(archive!H1318:CI1318)=0,"",COUNTA(archive!H1318:CI1318))</f>
        <v/>
      </c>
      <c r="G1318" s="47" t="str">
        <f>IF(archive!G1318="","",archive!G1318)</f>
        <v/>
      </c>
      <c r="H1318" s="51" t="str">
        <f>IF(archive!CJ1318="","",archive!CJ1318)</f>
        <v/>
      </c>
      <c r="I1318" s="51" t="str">
        <f>IF(archive!CK1318="","",archive!CK1318)</f>
        <v/>
      </c>
      <c r="J1318" s="47" t="str">
        <f t="shared" si="283"/>
        <v/>
      </c>
      <c r="K1318" s="51" t="str">
        <f t="shared" si="284"/>
        <v/>
      </c>
      <c r="L1318" s="52" t="str">
        <f t="shared" si="285"/>
        <v/>
      </c>
      <c r="M1318" s="53" t="str">
        <f t="shared" si="286"/>
        <v/>
      </c>
      <c r="N1318" s="53" t="str">
        <f t="shared" si="287"/>
        <v/>
      </c>
      <c r="O1318" s="53" t="str">
        <f t="shared" si="288"/>
        <v/>
      </c>
      <c r="P1318" s="53" t="str">
        <f t="shared" si="289"/>
        <v/>
      </c>
      <c r="Q1318" s="53" t="str">
        <f t="shared" si="290"/>
        <v/>
      </c>
      <c r="R1318" s="53" t="str">
        <f t="shared" si="291"/>
        <v/>
      </c>
      <c r="S1318" s="53" t="str">
        <f t="shared" si="292"/>
        <v/>
      </c>
      <c r="T1318" s="53" t="str">
        <f t="shared" si="293"/>
        <v/>
      </c>
    </row>
    <row r="1319" spans="1:20">
      <c r="A1319" s="47" t="str">
        <f>IF(archive!E1319="","",archive!E1319)</f>
        <v/>
      </c>
      <c r="B1319" s="48" t="str">
        <f t="shared" si="280"/>
        <v/>
      </c>
      <c r="C1319" s="49" t="str">
        <f>IF(archive!F1319="","",archive!F1319)</f>
        <v/>
      </c>
      <c r="D1319" s="50" t="str">
        <f t="shared" si="281"/>
        <v/>
      </c>
      <c r="E1319" s="50" t="str">
        <f t="shared" si="282"/>
        <v/>
      </c>
      <c r="F1319" s="47" t="str">
        <f>IF(COUNTA(archive!H1319:CI1319)=0,"",COUNTA(archive!H1319:CI1319))</f>
        <v/>
      </c>
      <c r="G1319" s="47" t="str">
        <f>IF(archive!G1319="","",archive!G1319)</f>
        <v/>
      </c>
      <c r="H1319" s="51" t="str">
        <f>IF(archive!CJ1319="","",archive!CJ1319)</f>
        <v/>
      </c>
      <c r="I1319" s="51" t="str">
        <f>IF(archive!CK1319="","",archive!CK1319)</f>
        <v/>
      </c>
      <c r="J1319" s="47" t="str">
        <f t="shared" si="283"/>
        <v/>
      </c>
      <c r="K1319" s="51" t="str">
        <f t="shared" si="284"/>
        <v/>
      </c>
      <c r="L1319" s="52" t="str">
        <f t="shared" si="285"/>
        <v/>
      </c>
      <c r="M1319" s="53" t="str">
        <f t="shared" si="286"/>
        <v/>
      </c>
      <c r="N1319" s="53" t="str">
        <f t="shared" si="287"/>
        <v/>
      </c>
      <c r="O1319" s="53" t="str">
        <f t="shared" si="288"/>
        <v/>
      </c>
      <c r="P1319" s="53" t="str">
        <f t="shared" si="289"/>
        <v/>
      </c>
      <c r="Q1319" s="53" t="str">
        <f t="shared" si="290"/>
        <v/>
      </c>
      <c r="R1319" s="53" t="str">
        <f t="shared" si="291"/>
        <v/>
      </c>
      <c r="S1319" s="53" t="str">
        <f t="shared" si="292"/>
        <v/>
      </c>
      <c r="T1319" s="53" t="str">
        <f t="shared" si="293"/>
        <v/>
      </c>
    </row>
    <row r="1320" spans="1:20">
      <c r="A1320" s="47" t="str">
        <f>IF(archive!E1320="","",archive!E1320)</f>
        <v/>
      </c>
      <c r="B1320" s="48" t="str">
        <f t="shared" si="280"/>
        <v/>
      </c>
      <c r="C1320" s="49" t="str">
        <f>IF(archive!F1320="","",archive!F1320)</f>
        <v/>
      </c>
      <c r="D1320" s="50" t="str">
        <f t="shared" si="281"/>
        <v/>
      </c>
      <c r="E1320" s="50" t="str">
        <f t="shared" si="282"/>
        <v/>
      </c>
      <c r="F1320" s="47" t="str">
        <f>IF(COUNTA(archive!H1320:CI1320)=0,"",COUNTA(archive!H1320:CI1320))</f>
        <v/>
      </c>
      <c r="G1320" s="47" t="str">
        <f>IF(archive!G1320="","",archive!G1320)</f>
        <v/>
      </c>
      <c r="H1320" s="51" t="str">
        <f>IF(archive!CJ1320="","",archive!CJ1320)</f>
        <v/>
      </c>
      <c r="I1320" s="51" t="str">
        <f>IF(archive!CK1320="","",archive!CK1320)</f>
        <v/>
      </c>
      <c r="J1320" s="47" t="str">
        <f t="shared" si="283"/>
        <v/>
      </c>
      <c r="K1320" s="51" t="str">
        <f t="shared" si="284"/>
        <v/>
      </c>
      <c r="L1320" s="52" t="str">
        <f t="shared" si="285"/>
        <v/>
      </c>
      <c r="M1320" s="53" t="str">
        <f t="shared" si="286"/>
        <v/>
      </c>
      <c r="N1320" s="53" t="str">
        <f t="shared" si="287"/>
        <v/>
      </c>
      <c r="O1320" s="53" t="str">
        <f t="shared" si="288"/>
        <v/>
      </c>
      <c r="P1320" s="53" t="str">
        <f t="shared" si="289"/>
        <v/>
      </c>
      <c r="Q1320" s="53" t="str">
        <f t="shared" si="290"/>
        <v/>
      </c>
      <c r="R1320" s="53" t="str">
        <f t="shared" si="291"/>
        <v/>
      </c>
      <c r="S1320" s="53" t="str">
        <f t="shared" si="292"/>
        <v/>
      </c>
      <c r="T1320" s="53" t="str">
        <f t="shared" si="293"/>
        <v/>
      </c>
    </row>
    <row r="1321" spans="1:20">
      <c r="A1321" s="47" t="str">
        <f>IF(archive!E1321="","",archive!E1321)</f>
        <v/>
      </c>
      <c r="B1321" s="48" t="str">
        <f t="shared" si="280"/>
        <v/>
      </c>
      <c r="C1321" s="49" t="str">
        <f>IF(archive!F1321="","",archive!F1321)</f>
        <v/>
      </c>
      <c r="D1321" s="50" t="str">
        <f t="shared" si="281"/>
        <v/>
      </c>
      <c r="E1321" s="50" t="str">
        <f t="shared" si="282"/>
        <v/>
      </c>
      <c r="F1321" s="47" t="str">
        <f>IF(COUNTA(archive!H1321:CI1321)=0,"",COUNTA(archive!H1321:CI1321))</f>
        <v/>
      </c>
      <c r="G1321" s="47" t="str">
        <f>IF(archive!G1321="","",archive!G1321)</f>
        <v/>
      </c>
      <c r="H1321" s="51" t="str">
        <f>IF(archive!CJ1321="","",archive!CJ1321)</f>
        <v/>
      </c>
      <c r="I1321" s="51" t="str">
        <f>IF(archive!CK1321="","",archive!CK1321)</f>
        <v/>
      </c>
      <c r="J1321" s="47" t="str">
        <f t="shared" si="283"/>
        <v/>
      </c>
      <c r="K1321" s="51" t="str">
        <f t="shared" si="284"/>
        <v/>
      </c>
      <c r="L1321" s="52" t="str">
        <f t="shared" si="285"/>
        <v/>
      </c>
      <c r="M1321" s="53" t="str">
        <f t="shared" si="286"/>
        <v/>
      </c>
      <c r="N1321" s="53" t="str">
        <f t="shared" si="287"/>
        <v/>
      </c>
      <c r="O1321" s="53" t="str">
        <f t="shared" si="288"/>
        <v/>
      </c>
      <c r="P1321" s="53" t="str">
        <f t="shared" si="289"/>
        <v/>
      </c>
      <c r="Q1321" s="53" t="str">
        <f t="shared" si="290"/>
        <v/>
      </c>
      <c r="R1321" s="53" t="str">
        <f t="shared" si="291"/>
        <v/>
      </c>
      <c r="S1321" s="53" t="str">
        <f t="shared" si="292"/>
        <v/>
      </c>
      <c r="T1321" s="53" t="str">
        <f t="shared" si="293"/>
        <v/>
      </c>
    </row>
    <row r="1322" spans="1:20">
      <c r="A1322" s="47" t="str">
        <f>IF(archive!E1322="","",archive!E1322)</f>
        <v/>
      </c>
      <c r="B1322" s="48" t="str">
        <f t="shared" si="280"/>
        <v/>
      </c>
      <c r="C1322" s="49" t="str">
        <f>IF(archive!F1322="","",archive!F1322)</f>
        <v/>
      </c>
      <c r="D1322" s="50" t="str">
        <f t="shared" si="281"/>
        <v/>
      </c>
      <c r="E1322" s="50" t="str">
        <f t="shared" si="282"/>
        <v/>
      </c>
      <c r="F1322" s="47" t="str">
        <f>IF(COUNTA(archive!H1322:CI1322)=0,"",COUNTA(archive!H1322:CI1322))</f>
        <v/>
      </c>
      <c r="G1322" s="47" t="str">
        <f>IF(archive!G1322="","",archive!G1322)</f>
        <v/>
      </c>
      <c r="H1322" s="51" t="str">
        <f>IF(archive!CJ1322="","",archive!CJ1322)</f>
        <v/>
      </c>
      <c r="I1322" s="51" t="str">
        <f>IF(archive!CK1322="","",archive!CK1322)</f>
        <v/>
      </c>
      <c r="J1322" s="47" t="str">
        <f t="shared" si="283"/>
        <v/>
      </c>
      <c r="K1322" s="51" t="str">
        <f t="shared" si="284"/>
        <v/>
      </c>
      <c r="L1322" s="52" t="str">
        <f t="shared" si="285"/>
        <v/>
      </c>
      <c r="M1322" s="53" t="str">
        <f t="shared" si="286"/>
        <v/>
      </c>
      <c r="N1322" s="53" t="str">
        <f t="shared" si="287"/>
        <v/>
      </c>
      <c r="O1322" s="53" t="str">
        <f t="shared" si="288"/>
        <v/>
      </c>
      <c r="P1322" s="53" t="str">
        <f t="shared" si="289"/>
        <v/>
      </c>
      <c r="Q1322" s="53" t="str">
        <f t="shared" si="290"/>
        <v/>
      </c>
      <c r="R1322" s="53" t="str">
        <f t="shared" si="291"/>
        <v/>
      </c>
      <c r="S1322" s="53" t="str">
        <f t="shared" si="292"/>
        <v/>
      </c>
      <c r="T1322" s="53" t="str">
        <f t="shared" si="293"/>
        <v/>
      </c>
    </row>
    <row r="1323" spans="1:20">
      <c r="A1323" s="47" t="str">
        <f>IF(archive!E1323="","",archive!E1323)</f>
        <v/>
      </c>
      <c r="B1323" s="48" t="str">
        <f t="shared" si="280"/>
        <v/>
      </c>
      <c r="C1323" s="49" t="str">
        <f>IF(archive!F1323="","",archive!F1323)</f>
        <v/>
      </c>
      <c r="D1323" s="50" t="str">
        <f t="shared" si="281"/>
        <v/>
      </c>
      <c r="E1323" s="50" t="str">
        <f t="shared" si="282"/>
        <v/>
      </c>
      <c r="F1323" s="47" t="str">
        <f>IF(COUNTA(archive!H1323:CI1323)=0,"",COUNTA(archive!H1323:CI1323))</f>
        <v/>
      </c>
      <c r="G1323" s="47" t="str">
        <f>IF(archive!G1323="","",archive!G1323)</f>
        <v/>
      </c>
      <c r="H1323" s="51" t="str">
        <f>IF(archive!CJ1323="","",archive!CJ1323)</f>
        <v/>
      </c>
      <c r="I1323" s="51" t="str">
        <f>IF(archive!CK1323="","",archive!CK1323)</f>
        <v/>
      </c>
      <c r="J1323" s="47" t="str">
        <f t="shared" si="283"/>
        <v/>
      </c>
      <c r="K1323" s="51" t="str">
        <f t="shared" si="284"/>
        <v/>
      </c>
      <c r="L1323" s="52" t="str">
        <f t="shared" si="285"/>
        <v/>
      </c>
      <c r="M1323" s="53" t="str">
        <f t="shared" si="286"/>
        <v/>
      </c>
      <c r="N1323" s="53" t="str">
        <f t="shared" si="287"/>
        <v/>
      </c>
      <c r="O1323" s="53" t="str">
        <f t="shared" si="288"/>
        <v/>
      </c>
      <c r="P1323" s="53" t="str">
        <f t="shared" si="289"/>
        <v/>
      </c>
      <c r="Q1323" s="53" t="str">
        <f t="shared" si="290"/>
        <v/>
      </c>
      <c r="R1323" s="53" t="str">
        <f t="shared" si="291"/>
        <v/>
      </c>
      <c r="S1323" s="53" t="str">
        <f t="shared" si="292"/>
        <v/>
      </c>
      <c r="T1323" s="53" t="str">
        <f t="shared" si="293"/>
        <v/>
      </c>
    </row>
    <row r="1324" spans="1:20">
      <c r="A1324" s="47" t="str">
        <f>IF(archive!E1324="","",archive!E1324)</f>
        <v/>
      </c>
      <c r="B1324" s="48" t="str">
        <f t="shared" si="280"/>
        <v/>
      </c>
      <c r="C1324" s="49" t="str">
        <f>IF(archive!F1324="","",archive!F1324)</f>
        <v/>
      </c>
      <c r="D1324" s="50" t="str">
        <f t="shared" si="281"/>
        <v/>
      </c>
      <c r="E1324" s="50" t="str">
        <f t="shared" si="282"/>
        <v/>
      </c>
      <c r="F1324" s="47" t="str">
        <f>IF(COUNTA(archive!H1324:CI1324)=0,"",COUNTA(archive!H1324:CI1324))</f>
        <v/>
      </c>
      <c r="G1324" s="47" t="str">
        <f>IF(archive!G1324="","",archive!G1324)</f>
        <v/>
      </c>
      <c r="H1324" s="51" t="str">
        <f>IF(archive!CJ1324="","",archive!CJ1324)</f>
        <v/>
      </c>
      <c r="I1324" s="51" t="str">
        <f>IF(archive!CK1324="","",archive!CK1324)</f>
        <v/>
      </c>
      <c r="J1324" s="47" t="str">
        <f t="shared" si="283"/>
        <v/>
      </c>
      <c r="K1324" s="51" t="str">
        <f t="shared" si="284"/>
        <v/>
      </c>
      <c r="L1324" s="52" t="str">
        <f t="shared" si="285"/>
        <v/>
      </c>
      <c r="M1324" s="53" t="str">
        <f t="shared" si="286"/>
        <v/>
      </c>
      <c r="N1324" s="53" t="str">
        <f t="shared" si="287"/>
        <v/>
      </c>
      <c r="O1324" s="53" t="str">
        <f t="shared" si="288"/>
        <v/>
      </c>
      <c r="P1324" s="53" t="str">
        <f t="shared" si="289"/>
        <v/>
      </c>
      <c r="Q1324" s="53" t="str">
        <f t="shared" si="290"/>
        <v/>
      </c>
      <c r="R1324" s="53" t="str">
        <f t="shared" si="291"/>
        <v/>
      </c>
      <c r="S1324" s="53" t="str">
        <f t="shared" si="292"/>
        <v/>
      </c>
      <c r="T1324" s="53" t="str">
        <f t="shared" si="293"/>
        <v/>
      </c>
    </row>
    <row r="1325" spans="1:20">
      <c r="A1325" s="47" t="str">
        <f>IF(archive!E1325="","",archive!E1325)</f>
        <v/>
      </c>
      <c r="B1325" s="48" t="str">
        <f t="shared" si="280"/>
        <v/>
      </c>
      <c r="C1325" s="49" t="str">
        <f>IF(archive!F1325="","",archive!F1325)</f>
        <v/>
      </c>
      <c r="D1325" s="50" t="str">
        <f t="shared" si="281"/>
        <v/>
      </c>
      <c r="E1325" s="50" t="str">
        <f t="shared" si="282"/>
        <v/>
      </c>
      <c r="F1325" s="47" t="str">
        <f>IF(COUNTA(archive!H1325:CI1325)=0,"",COUNTA(archive!H1325:CI1325))</f>
        <v/>
      </c>
      <c r="G1325" s="47" t="str">
        <f>IF(archive!G1325="","",archive!G1325)</f>
        <v/>
      </c>
      <c r="H1325" s="51" t="str">
        <f>IF(archive!CJ1325="","",archive!CJ1325)</f>
        <v/>
      </c>
      <c r="I1325" s="51" t="str">
        <f>IF(archive!CK1325="","",archive!CK1325)</f>
        <v/>
      </c>
      <c r="J1325" s="47" t="str">
        <f t="shared" si="283"/>
        <v/>
      </c>
      <c r="K1325" s="51" t="str">
        <f t="shared" si="284"/>
        <v/>
      </c>
      <c r="L1325" s="52" t="str">
        <f t="shared" si="285"/>
        <v/>
      </c>
      <c r="M1325" s="53" t="str">
        <f t="shared" si="286"/>
        <v/>
      </c>
      <c r="N1325" s="53" t="str">
        <f t="shared" si="287"/>
        <v/>
      </c>
      <c r="O1325" s="53" t="str">
        <f t="shared" si="288"/>
        <v/>
      </c>
      <c r="P1325" s="53" t="str">
        <f t="shared" si="289"/>
        <v/>
      </c>
      <c r="Q1325" s="53" t="str">
        <f t="shared" si="290"/>
        <v/>
      </c>
      <c r="R1325" s="53" t="str">
        <f t="shared" si="291"/>
        <v/>
      </c>
      <c r="S1325" s="53" t="str">
        <f t="shared" si="292"/>
        <v/>
      </c>
      <c r="T1325" s="53" t="str">
        <f t="shared" si="293"/>
        <v/>
      </c>
    </row>
    <row r="1326" spans="1:20">
      <c r="A1326" s="47" t="str">
        <f>IF(archive!E1326="","",archive!E1326)</f>
        <v/>
      </c>
      <c r="B1326" s="48" t="str">
        <f t="shared" si="280"/>
        <v/>
      </c>
      <c r="C1326" s="49" t="str">
        <f>IF(archive!F1326="","",archive!F1326)</f>
        <v/>
      </c>
      <c r="D1326" s="50" t="str">
        <f t="shared" si="281"/>
        <v/>
      </c>
      <c r="E1326" s="50" t="str">
        <f t="shared" si="282"/>
        <v/>
      </c>
      <c r="F1326" s="47" t="str">
        <f>IF(COUNTA(archive!H1326:CI1326)=0,"",COUNTA(archive!H1326:CI1326))</f>
        <v/>
      </c>
      <c r="G1326" s="47" t="str">
        <f>IF(archive!G1326="","",archive!G1326)</f>
        <v/>
      </c>
      <c r="H1326" s="51" t="str">
        <f>IF(archive!CJ1326="","",archive!CJ1326)</f>
        <v/>
      </c>
      <c r="I1326" s="51" t="str">
        <f>IF(archive!CK1326="","",archive!CK1326)</f>
        <v/>
      </c>
      <c r="J1326" s="47" t="str">
        <f t="shared" si="283"/>
        <v/>
      </c>
      <c r="K1326" s="51" t="str">
        <f t="shared" si="284"/>
        <v/>
      </c>
      <c r="L1326" s="52" t="str">
        <f t="shared" si="285"/>
        <v/>
      </c>
      <c r="M1326" s="53" t="str">
        <f t="shared" si="286"/>
        <v/>
      </c>
      <c r="N1326" s="53" t="str">
        <f t="shared" si="287"/>
        <v/>
      </c>
      <c r="O1326" s="53" t="str">
        <f t="shared" si="288"/>
        <v/>
      </c>
      <c r="P1326" s="53" t="str">
        <f t="shared" si="289"/>
        <v/>
      </c>
      <c r="Q1326" s="53" t="str">
        <f t="shared" si="290"/>
        <v/>
      </c>
      <c r="R1326" s="53" t="str">
        <f t="shared" si="291"/>
        <v/>
      </c>
      <c r="S1326" s="53" t="str">
        <f t="shared" si="292"/>
        <v/>
      </c>
      <c r="T1326" s="53" t="str">
        <f t="shared" si="293"/>
        <v/>
      </c>
    </row>
    <row r="1327" spans="1:20">
      <c r="A1327" s="47" t="str">
        <f>IF(archive!E1327="","",archive!E1327)</f>
        <v/>
      </c>
      <c r="B1327" s="48" t="str">
        <f t="shared" si="280"/>
        <v/>
      </c>
      <c r="C1327" s="49" t="str">
        <f>IF(archive!F1327="","",archive!F1327)</f>
        <v/>
      </c>
      <c r="D1327" s="50" t="str">
        <f t="shared" si="281"/>
        <v/>
      </c>
      <c r="E1327" s="50" t="str">
        <f t="shared" si="282"/>
        <v/>
      </c>
      <c r="F1327" s="47" t="str">
        <f>IF(COUNTA(archive!H1327:CI1327)=0,"",COUNTA(archive!H1327:CI1327))</f>
        <v/>
      </c>
      <c r="G1327" s="47" t="str">
        <f>IF(archive!G1327="","",archive!G1327)</f>
        <v/>
      </c>
      <c r="H1327" s="51" t="str">
        <f>IF(archive!CJ1327="","",archive!CJ1327)</f>
        <v/>
      </c>
      <c r="I1327" s="51" t="str">
        <f>IF(archive!CK1327="","",archive!CK1327)</f>
        <v/>
      </c>
      <c r="J1327" s="47" t="str">
        <f t="shared" si="283"/>
        <v/>
      </c>
      <c r="K1327" s="51" t="str">
        <f t="shared" si="284"/>
        <v/>
      </c>
      <c r="L1327" s="52" t="str">
        <f t="shared" si="285"/>
        <v/>
      </c>
      <c r="M1327" s="53" t="str">
        <f t="shared" si="286"/>
        <v/>
      </c>
      <c r="N1327" s="53" t="str">
        <f t="shared" si="287"/>
        <v/>
      </c>
      <c r="O1327" s="53" t="str">
        <f t="shared" si="288"/>
        <v/>
      </c>
      <c r="P1327" s="53" t="str">
        <f t="shared" si="289"/>
        <v/>
      </c>
      <c r="Q1327" s="53" t="str">
        <f t="shared" si="290"/>
        <v/>
      </c>
      <c r="R1327" s="53" t="str">
        <f t="shared" si="291"/>
        <v/>
      </c>
      <c r="S1327" s="53" t="str">
        <f t="shared" si="292"/>
        <v/>
      </c>
      <c r="T1327" s="53" t="str">
        <f t="shared" si="293"/>
        <v/>
      </c>
    </row>
    <row r="1328" spans="1:20">
      <c r="A1328" s="47" t="str">
        <f>IF(archive!E1328="","",archive!E1328)</f>
        <v/>
      </c>
      <c r="B1328" s="48" t="str">
        <f t="shared" si="280"/>
        <v/>
      </c>
      <c r="C1328" s="49" t="str">
        <f>IF(archive!F1328="","",archive!F1328)</f>
        <v/>
      </c>
      <c r="D1328" s="50" t="str">
        <f t="shared" si="281"/>
        <v/>
      </c>
      <c r="E1328" s="50" t="str">
        <f t="shared" si="282"/>
        <v/>
      </c>
      <c r="F1328" s="47" t="str">
        <f>IF(COUNTA(archive!H1328:CI1328)=0,"",COUNTA(archive!H1328:CI1328))</f>
        <v/>
      </c>
      <c r="G1328" s="47" t="str">
        <f>IF(archive!G1328="","",archive!G1328)</f>
        <v/>
      </c>
      <c r="H1328" s="51" t="str">
        <f>IF(archive!CJ1328="","",archive!CJ1328)</f>
        <v/>
      </c>
      <c r="I1328" s="51" t="str">
        <f>IF(archive!CK1328="","",archive!CK1328)</f>
        <v/>
      </c>
      <c r="J1328" s="47" t="str">
        <f t="shared" si="283"/>
        <v/>
      </c>
      <c r="K1328" s="51" t="str">
        <f t="shared" si="284"/>
        <v/>
      </c>
      <c r="L1328" s="52" t="str">
        <f t="shared" si="285"/>
        <v/>
      </c>
      <c r="M1328" s="53" t="str">
        <f t="shared" si="286"/>
        <v/>
      </c>
      <c r="N1328" s="53" t="str">
        <f t="shared" si="287"/>
        <v/>
      </c>
      <c r="O1328" s="53" t="str">
        <f t="shared" si="288"/>
        <v/>
      </c>
      <c r="P1328" s="53" t="str">
        <f t="shared" si="289"/>
        <v/>
      </c>
      <c r="Q1328" s="53" t="str">
        <f t="shared" si="290"/>
        <v/>
      </c>
      <c r="R1328" s="53" t="str">
        <f t="shared" si="291"/>
        <v/>
      </c>
      <c r="S1328" s="53" t="str">
        <f t="shared" si="292"/>
        <v/>
      </c>
      <c r="T1328" s="53" t="str">
        <f t="shared" si="293"/>
        <v/>
      </c>
    </row>
    <row r="1329" spans="1:20">
      <c r="A1329" s="47" t="str">
        <f>IF(archive!E1329="","",archive!E1329)</f>
        <v/>
      </c>
      <c r="B1329" s="48" t="str">
        <f t="shared" si="280"/>
        <v/>
      </c>
      <c r="C1329" s="49" t="str">
        <f>IF(archive!F1329="","",archive!F1329)</f>
        <v/>
      </c>
      <c r="D1329" s="50" t="str">
        <f t="shared" si="281"/>
        <v/>
      </c>
      <c r="E1329" s="50" t="str">
        <f t="shared" si="282"/>
        <v/>
      </c>
      <c r="F1329" s="47" t="str">
        <f>IF(COUNTA(archive!H1329:CI1329)=0,"",COUNTA(archive!H1329:CI1329))</f>
        <v/>
      </c>
      <c r="G1329" s="47" t="str">
        <f>IF(archive!G1329="","",archive!G1329)</f>
        <v/>
      </c>
      <c r="H1329" s="51" t="str">
        <f>IF(archive!CJ1329="","",archive!CJ1329)</f>
        <v/>
      </c>
      <c r="I1329" s="51" t="str">
        <f>IF(archive!CK1329="","",archive!CK1329)</f>
        <v/>
      </c>
      <c r="J1329" s="47" t="str">
        <f t="shared" si="283"/>
        <v/>
      </c>
      <c r="K1329" s="51" t="str">
        <f t="shared" si="284"/>
        <v/>
      </c>
      <c r="L1329" s="52" t="str">
        <f t="shared" si="285"/>
        <v/>
      </c>
      <c r="M1329" s="53" t="str">
        <f t="shared" si="286"/>
        <v/>
      </c>
      <c r="N1329" s="53" t="str">
        <f t="shared" si="287"/>
        <v/>
      </c>
      <c r="O1329" s="53" t="str">
        <f t="shared" si="288"/>
        <v/>
      </c>
      <c r="P1329" s="53" t="str">
        <f t="shared" si="289"/>
        <v/>
      </c>
      <c r="Q1329" s="53" t="str">
        <f t="shared" si="290"/>
        <v/>
      </c>
      <c r="R1329" s="53" t="str">
        <f t="shared" si="291"/>
        <v/>
      </c>
      <c r="S1329" s="53" t="str">
        <f t="shared" si="292"/>
        <v/>
      </c>
      <c r="T1329" s="53" t="str">
        <f t="shared" si="293"/>
        <v/>
      </c>
    </row>
    <row r="1330" spans="1:20">
      <c r="A1330" s="47" t="str">
        <f>IF(archive!E1330="","",archive!E1330)</f>
        <v/>
      </c>
      <c r="B1330" s="48" t="str">
        <f t="shared" si="280"/>
        <v/>
      </c>
      <c r="C1330" s="49" t="str">
        <f>IF(archive!F1330="","",archive!F1330)</f>
        <v/>
      </c>
      <c r="D1330" s="50" t="str">
        <f t="shared" si="281"/>
        <v/>
      </c>
      <c r="E1330" s="50" t="str">
        <f t="shared" si="282"/>
        <v/>
      </c>
      <c r="F1330" s="47" t="str">
        <f>IF(COUNTA(archive!H1330:CI1330)=0,"",COUNTA(archive!H1330:CI1330))</f>
        <v/>
      </c>
      <c r="G1330" s="47" t="str">
        <f>IF(archive!G1330="","",archive!G1330)</f>
        <v/>
      </c>
      <c r="H1330" s="51" t="str">
        <f>IF(archive!CJ1330="","",archive!CJ1330)</f>
        <v/>
      </c>
      <c r="I1330" s="51" t="str">
        <f>IF(archive!CK1330="","",archive!CK1330)</f>
        <v/>
      </c>
      <c r="J1330" s="47" t="str">
        <f t="shared" si="283"/>
        <v/>
      </c>
      <c r="K1330" s="51" t="str">
        <f t="shared" si="284"/>
        <v/>
      </c>
      <c r="L1330" s="52" t="str">
        <f t="shared" si="285"/>
        <v/>
      </c>
      <c r="M1330" s="53" t="str">
        <f t="shared" si="286"/>
        <v/>
      </c>
      <c r="N1330" s="53" t="str">
        <f t="shared" si="287"/>
        <v/>
      </c>
      <c r="O1330" s="53" t="str">
        <f t="shared" si="288"/>
        <v/>
      </c>
      <c r="P1330" s="53" t="str">
        <f t="shared" si="289"/>
        <v/>
      </c>
      <c r="Q1330" s="53" t="str">
        <f t="shared" si="290"/>
        <v/>
      </c>
      <c r="R1330" s="53" t="str">
        <f t="shared" si="291"/>
        <v/>
      </c>
      <c r="S1330" s="53" t="str">
        <f t="shared" si="292"/>
        <v/>
      </c>
      <c r="T1330" s="53" t="str">
        <f t="shared" si="293"/>
        <v/>
      </c>
    </row>
    <row r="1331" spans="1:20">
      <c r="A1331" s="47" t="str">
        <f>IF(archive!E1331="","",archive!E1331)</f>
        <v/>
      </c>
      <c r="B1331" s="48" t="str">
        <f t="shared" si="280"/>
        <v/>
      </c>
      <c r="C1331" s="49" t="str">
        <f>IF(archive!F1331="","",archive!F1331)</f>
        <v/>
      </c>
      <c r="D1331" s="50" t="str">
        <f t="shared" si="281"/>
        <v/>
      </c>
      <c r="E1331" s="50" t="str">
        <f t="shared" si="282"/>
        <v/>
      </c>
      <c r="F1331" s="47" t="str">
        <f>IF(COUNTA(archive!H1331:CI1331)=0,"",COUNTA(archive!H1331:CI1331))</f>
        <v/>
      </c>
      <c r="G1331" s="47" t="str">
        <f>IF(archive!G1331="","",archive!G1331)</f>
        <v/>
      </c>
      <c r="H1331" s="51" t="str">
        <f>IF(archive!CJ1331="","",archive!CJ1331)</f>
        <v/>
      </c>
      <c r="I1331" s="51" t="str">
        <f>IF(archive!CK1331="","",archive!CK1331)</f>
        <v/>
      </c>
      <c r="J1331" s="47" t="str">
        <f t="shared" si="283"/>
        <v/>
      </c>
      <c r="K1331" s="51" t="str">
        <f t="shared" si="284"/>
        <v/>
      </c>
      <c r="L1331" s="52" t="str">
        <f t="shared" si="285"/>
        <v/>
      </c>
      <c r="M1331" s="53" t="str">
        <f t="shared" si="286"/>
        <v/>
      </c>
      <c r="N1331" s="53" t="str">
        <f t="shared" si="287"/>
        <v/>
      </c>
      <c r="O1331" s="53" t="str">
        <f t="shared" si="288"/>
        <v/>
      </c>
      <c r="P1331" s="53" t="str">
        <f t="shared" si="289"/>
        <v/>
      </c>
      <c r="Q1331" s="53" t="str">
        <f t="shared" si="290"/>
        <v/>
      </c>
      <c r="R1331" s="53" t="str">
        <f t="shared" si="291"/>
        <v/>
      </c>
      <c r="S1331" s="53" t="str">
        <f t="shared" si="292"/>
        <v/>
      </c>
      <c r="T1331" s="53" t="str">
        <f t="shared" si="293"/>
        <v/>
      </c>
    </row>
    <row r="1332" spans="1:20">
      <c r="A1332" s="47" t="str">
        <f>IF(archive!E1332="","",archive!E1332)</f>
        <v/>
      </c>
      <c r="B1332" s="48" t="str">
        <f t="shared" si="280"/>
        <v/>
      </c>
      <c r="C1332" s="49" t="str">
        <f>IF(archive!F1332="","",archive!F1332)</f>
        <v/>
      </c>
      <c r="D1332" s="50" t="str">
        <f t="shared" si="281"/>
        <v/>
      </c>
      <c r="E1332" s="50" t="str">
        <f t="shared" si="282"/>
        <v/>
      </c>
      <c r="F1332" s="47" t="str">
        <f>IF(COUNTA(archive!H1332:CI1332)=0,"",COUNTA(archive!H1332:CI1332))</f>
        <v/>
      </c>
      <c r="G1332" s="47" t="str">
        <f>IF(archive!G1332="","",archive!G1332)</f>
        <v/>
      </c>
      <c r="H1332" s="51" t="str">
        <f>IF(archive!CJ1332="","",archive!CJ1332)</f>
        <v/>
      </c>
      <c r="I1332" s="51" t="str">
        <f>IF(archive!CK1332="","",archive!CK1332)</f>
        <v/>
      </c>
      <c r="J1332" s="47" t="str">
        <f t="shared" si="283"/>
        <v/>
      </c>
      <c r="K1332" s="51" t="str">
        <f t="shared" si="284"/>
        <v/>
      </c>
      <c r="L1332" s="52" t="str">
        <f t="shared" si="285"/>
        <v/>
      </c>
      <c r="M1332" s="53" t="str">
        <f t="shared" si="286"/>
        <v/>
      </c>
      <c r="N1332" s="53" t="str">
        <f t="shared" si="287"/>
        <v/>
      </c>
      <c r="O1332" s="53" t="str">
        <f t="shared" si="288"/>
        <v/>
      </c>
      <c r="P1332" s="53" t="str">
        <f t="shared" si="289"/>
        <v/>
      </c>
      <c r="Q1332" s="53" t="str">
        <f t="shared" si="290"/>
        <v/>
      </c>
      <c r="R1332" s="53" t="str">
        <f t="shared" si="291"/>
        <v/>
      </c>
      <c r="S1332" s="53" t="str">
        <f t="shared" si="292"/>
        <v/>
      </c>
      <c r="T1332" s="53" t="str">
        <f t="shared" si="293"/>
        <v/>
      </c>
    </row>
    <row r="1333" spans="1:20">
      <c r="A1333" s="47" t="str">
        <f>IF(archive!E1333="","",archive!E1333)</f>
        <v/>
      </c>
      <c r="B1333" s="48" t="str">
        <f t="shared" si="280"/>
        <v/>
      </c>
      <c r="C1333" s="49" t="str">
        <f>IF(archive!F1333="","",archive!F1333)</f>
        <v/>
      </c>
      <c r="D1333" s="50" t="str">
        <f t="shared" si="281"/>
        <v/>
      </c>
      <c r="E1333" s="50" t="str">
        <f t="shared" si="282"/>
        <v/>
      </c>
      <c r="F1333" s="47" t="str">
        <f>IF(COUNTA(archive!H1333:CI1333)=0,"",COUNTA(archive!H1333:CI1333))</f>
        <v/>
      </c>
      <c r="G1333" s="47" t="str">
        <f>IF(archive!G1333="","",archive!G1333)</f>
        <v/>
      </c>
      <c r="H1333" s="51" t="str">
        <f>IF(archive!CJ1333="","",archive!CJ1333)</f>
        <v/>
      </c>
      <c r="I1333" s="51" t="str">
        <f>IF(archive!CK1333="","",archive!CK1333)</f>
        <v/>
      </c>
      <c r="J1333" s="47" t="str">
        <f t="shared" si="283"/>
        <v/>
      </c>
      <c r="K1333" s="51" t="str">
        <f t="shared" si="284"/>
        <v/>
      </c>
      <c r="L1333" s="52" t="str">
        <f t="shared" si="285"/>
        <v/>
      </c>
      <c r="M1333" s="53" t="str">
        <f t="shared" si="286"/>
        <v/>
      </c>
      <c r="N1333" s="53" t="str">
        <f t="shared" si="287"/>
        <v/>
      </c>
      <c r="O1333" s="53" t="str">
        <f t="shared" si="288"/>
        <v/>
      </c>
      <c r="P1333" s="53" t="str">
        <f t="shared" si="289"/>
        <v/>
      </c>
      <c r="Q1333" s="53" t="str">
        <f t="shared" si="290"/>
        <v/>
      </c>
      <c r="R1333" s="53" t="str">
        <f t="shared" si="291"/>
        <v/>
      </c>
      <c r="S1333" s="53" t="str">
        <f t="shared" si="292"/>
        <v/>
      </c>
      <c r="T1333" s="53" t="str">
        <f t="shared" si="293"/>
        <v/>
      </c>
    </row>
    <row r="1334" spans="1:20">
      <c r="A1334" s="47" t="str">
        <f>IF(archive!E1334="","",archive!E1334)</f>
        <v/>
      </c>
      <c r="B1334" s="48" t="str">
        <f t="shared" si="280"/>
        <v/>
      </c>
      <c r="C1334" s="49" t="str">
        <f>IF(archive!F1334="","",archive!F1334)</f>
        <v/>
      </c>
      <c r="D1334" s="50" t="str">
        <f t="shared" si="281"/>
        <v/>
      </c>
      <c r="E1334" s="50" t="str">
        <f t="shared" si="282"/>
        <v/>
      </c>
      <c r="F1334" s="47" t="str">
        <f>IF(COUNTA(archive!H1334:CI1334)=0,"",COUNTA(archive!H1334:CI1334))</f>
        <v/>
      </c>
      <c r="G1334" s="47" t="str">
        <f>IF(archive!G1334="","",archive!G1334)</f>
        <v/>
      </c>
      <c r="H1334" s="51" t="str">
        <f>IF(archive!CJ1334="","",archive!CJ1334)</f>
        <v/>
      </c>
      <c r="I1334" s="51" t="str">
        <f>IF(archive!CK1334="","",archive!CK1334)</f>
        <v/>
      </c>
      <c r="J1334" s="47" t="str">
        <f t="shared" si="283"/>
        <v/>
      </c>
      <c r="K1334" s="51" t="str">
        <f t="shared" si="284"/>
        <v/>
      </c>
      <c r="L1334" s="52" t="str">
        <f t="shared" si="285"/>
        <v/>
      </c>
      <c r="M1334" s="53" t="str">
        <f t="shared" si="286"/>
        <v/>
      </c>
      <c r="N1334" s="53" t="str">
        <f t="shared" si="287"/>
        <v/>
      </c>
      <c r="O1334" s="53" t="str">
        <f t="shared" si="288"/>
        <v/>
      </c>
      <c r="P1334" s="53" t="str">
        <f t="shared" si="289"/>
        <v/>
      </c>
      <c r="Q1334" s="53" t="str">
        <f t="shared" si="290"/>
        <v/>
      </c>
      <c r="R1334" s="53" t="str">
        <f t="shared" si="291"/>
        <v/>
      </c>
      <c r="S1334" s="53" t="str">
        <f t="shared" si="292"/>
        <v/>
      </c>
      <c r="T1334" s="53" t="str">
        <f t="shared" si="293"/>
        <v/>
      </c>
    </row>
    <row r="1335" spans="1:20">
      <c r="A1335" s="47" t="str">
        <f>IF(archive!E1335="","",archive!E1335)</f>
        <v/>
      </c>
      <c r="B1335" s="48" t="str">
        <f t="shared" si="280"/>
        <v/>
      </c>
      <c r="C1335" s="49" t="str">
        <f>IF(archive!F1335="","",archive!F1335)</f>
        <v/>
      </c>
      <c r="D1335" s="50" t="str">
        <f t="shared" si="281"/>
        <v/>
      </c>
      <c r="E1335" s="50" t="str">
        <f t="shared" si="282"/>
        <v/>
      </c>
      <c r="F1335" s="47" t="str">
        <f>IF(COUNTA(archive!H1335:CI1335)=0,"",COUNTA(archive!H1335:CI1335))</f>
        <v/>
      </c>
      <c r="G1335" s="47" t="str">
        <f>IF(archive!G1335="","",archive!G1335)</f>
        <v/>
      </c>
      <c r="H1335" s="51" t="str">
        <f>IF(archive!CJ1335="","",archive!CJ1335)</f>
        <v/>
      </c>
      <c r="I1335" s="51" t="str">
        <f>IF(archive!CK1335="","",archive!CK1335)</f>
        <v/>
      </c>
      <c r="J1335" s="47" t="str">
        <f t="shared" si="283"/>
        <v/>
      </c>
      <c r="K1335" s="51" t="str">
        <f t="shared" si="284"/>
        <v/>
      </c>
      <c r="L1335" s="52" t="str">
        <f t="shared" si="285"/>
        <v/>
      </c>
      <c r="M1335" s="53" t="str">
        <f t="shared" si="286"/>
        <v/>
      </c>
      <c r="N1335" s="53" t="str">
        <f t="shared" si="287"/>
        <v/>
      </c>
      <c r="O1335" s="53" t="str">
        <f t="shared" si="288"/>
        <v/>
      </c>
      <c r="P1335" s="53" t="str">
        <f t="shared" si="289"/>
        <v/>
      </c>
      <c r="Q1335" s="53" t="str">
        <f t="shared" si="290"/>
        <v/>
      </c>
      <c r="R1335" s="53" t="str">
        <f t="shared" si="291"/>
        <v/>
      </c>
      <c r="S1335" s="53" t="str">
        <f t="shared" si="292"/>
        <v/>
      </c>
      <c r="T1335" s="53" t="str">
        <f t="shared" si="293"/>
        <v/>
      </c>
    </row>
    <row r="1336" spans="1:20">
      <c r="A1336" s="47" t="str">
        <f>IF(archive!E1336="","",archive!E1336)</f>
        <v/>
      </c>
      <c r="B1336" s="48" t="str">
        <f t="shared" si="280"/>
        <v/>
      </c>
      <c r="C1336" s="49" t="str">
        <f>IF(archive!F1336="","",archive!F1336)</f>
        <v/>
      </c>
      <c r="D1336" s="50" t="str">
        <f t="shared" si="281"/>
        <v/>
      </c>
      <c r="E1336" s="50" t="str">
        <f t="shared" si="282"/>
        <v/>
      </c>
      <c r="F1336" s="47" t="str">
        <f>IF(COUNTA(archive!H1336:CI1336)=0,"",COUNTA(archive!H1336:CI1336))</f>
        <v/>
      </c>
      <c r="G1336" s="47" t="str">
        <f>IF(archive!G1336="","",archive!G1336)</f>
        <v/>
      </c>
      <c r="H1336" s="51" t="str">
        <f>IF(archive!CJ1336="","",archive!CJ1336)</f>
        <v/>
      </c>
      <c r="I1336" s="51" t="str">
        <f>IF(archive!CK1336="","",archive!CK1336)</f>
        <v/>
      </c>
      <c r="J1336" s="47" t="str">
        <f t="shared" si="283"/>
        <v/>
      </c>
      <c r="K1336" s="51" t="str">
        <f t="shared" si="284"/>
        <v/>
      </c>
      <c r="L1336" s="52" t="str">
        <f t="shared" si="285"/>
        <v/>
      </c>
      <c r="M1336" s="53" t="str">
        <f t="shared" si="286"/>
        <v/>
      </c>
      <c r="N1336" s="53" t="str">
        <f t="shared" si="287"/>
        <v/>
      </c>
      <c r="O1336" s="53" t="str">
        <f t="shared" si="288"/>
        <v/>
      </c>
      <c r="P1336" s="53" t="str">
        <f t="shared" si="289"/>
        <v/>
      </c>
      <c r="Q1336" s="53" t="str">
        <f t="shared" si="290"/>
        <v/>
      </c>
      <c r="R1336" s="53" t="str">
        <f t="shared" si="291"/>
        <v/>
      </c>
      <c r="S1336" s="53" t="str">
        <f t="shared" si="292"/>
        <v/>
      </c>
      <c r="T1336" s="53" t="str">
        <f t="shared" si="293"/>
        <v/>
      </c>
    </row>
    <row r="1337" spans="1:20">
      <c r="A1337" s="47" t="str">
        <f>IF(archive!E1337="","",archive!E1337)</f>
        <v/>
      </c>
      <c r="B1337" s="48" t="str">
        <f t="shared" si="280"/>
        <v/>
      </c>
      <c r="C1337" s="49" t="str">
        <f>IF(archive!F1337="","",archive!F1337)</f>
        <v/>
      </c>
      <c r="D1337" s="50" t="str">
        <f t="shared" si="281"/>
        <v/>
      </c>
      <c r="E1337" s="50" t="str">
        <f t="shared" si="282"/>
        <v/>
      </c>
      <c r="F1337" s="47" t="str">
        <f>IF(COUNTA(archive!H1337:CI1337)=0,"",COUNTA(archive!H1337:CI1337))</f>
        <v/>
      </c>
      <c r="G1337" s="47" t="str">
        <f>IF(archive!G1337="","",archive!G1337)</f>
        <v/>
      </c>
      <c r="H1337" s="51" t="str">
        <f>IF(archive!CJ1337="","",archive!CJ1337)</f>
        <v/>
      </c>
      <c r="I1337" s="51" t="str">
        <f>IF(archive!CK1337="","",archive!CK1337)</f>
        <v/>
      </c>
      <c r="J1337" s="47" t="str">
        <f t="shared" si="283"/>
        <v/>
      </c>
      <c r="K1337" s="51" t="str">
        <f t="shared" si="284"/>
        <v/>
      </c>
      <c r="L1337" s="52" t="str">
        <f t="shared" si="285"/>
        <v/>
      </c>
      <c r="M1337" s="53" t="str">
        <f t="shared" si="286"/>
        <v/>
      </c>
      <c r="N1337" s="53" t="str">
        <f t="shared" si="287"/>
        <v/>
      </c>
      <c r="O1337" s="53" t="str">
        <f t="shared" si="288"/>
        <v/>
      </c>
      <c r="P1337" s="53" t="str">
        <f t="shared" si="289"/>
        <v/>
      </c>
      <c r="Q1337" s="53" t="str">
        <f t="shared" si="290"/>
        <v/>
      </c>
      <c r="R1337" s="53" t="str">
        <f t="shared" si="291"/>
        <v/>
      </c>
      <c r="S1337" s="53" t="str">
        <f t="shared" si="292"/>
        <v/>
      </c>
      <c r="T1337" s="53" t="str">
        <f t="shared" si="293"/>
        <v/>
      </c>
    </row>
    <row r="1338" spans="1:20">
      <c r="A1338" s="47" t="str">
        <f>IF(archive!E1338="","",archive!E1338)</f>
        <v/>
      </c>
      <c r="B1338" s="48" t="str">
        <f t="shared" si="280"/>
        <v/>
      </c>
      <c r="C1338" s="49" t="str">
        <f>IF(archive!F1338="","",archive!F1338)</f>
        <v/>
      </c>
      <c r="D1338" s="50" t="str">
        <f t="shared" si="281"/>
        <v/>
      </c>
      <c r="E1338" s="50" t="str">
        <f t="shared" si="282"/>
        <v/>
      </c>
      <c r="F1338" s="47" t="str">
        <f>IF(COUNTA(archive!H1338:CI1338)=0,"",COUNTA(archive!H1338:CI1338))</f>
        <v/>
      </c>
      <c r="G1338" s="47" t="str">
        <f>IF(archive!G1338="","",archive!G1338)</f>
        <v/>
      </c>
      <c r="H1338" s="51" t="str">
        <f>IF(archive!CJ1338="","",archive!CJ1338)</f>
        <v/>
      </c>
      <c r="I1338" s="51" t="str">
        <f>IF(archive!CK1338="","",archive!CK1338)</f>
        <v/>
      </c>
      <c r="J1338" s="47" t="str">
        <f t="shared" si="283"/>
        <v/>
      </c>
      <c r="K1338" s="51" t="str">
        <f t="shared" si="284"/>
        <v/>
      </c>
      <c r="L1338" s="52" t="str">
        <f t="shared" si="285"/>
        <v/>
      </c>
      <c r="M1338" s="53" t="str">
        <f t="shared" si="286"/>
        <v/>
      </c>
      <c r="N1338" s="53" t="str">
        <f t="shared" si="287"/>
        <v/>
      </c>
      <c r="O1338" s="53" t="str">
        <f t="shared" si="288"/>
        <v/>
      </c>
      <c r="P1338" s="53" t="str">
        <f t="shared" si="289"/>
        <v/>
      </c>
      <c r="Q1338" s="53" t="str">
        <f t="shared" si="290"/>
        <v/>
      </c>
      <c r="R1338" s="53" t="str">
        <f t="shared" si="291"/>
        <v/>
      </c>
      <c r="S1338" s="53" t="str">
        <f t="shared" si="292"/>
        <v/>
      </c>
      <c r="T1338" s="53" t="str">
        <f t="shared" si="293"/>
        <v/>
      </c>
    </row>
    <row r="1339" spans="1:20">
      <c r="A1339" s="47" t="str">
        <f>IF(archive!E1339="","",archive!E1339)</f>
        <v/>
      </c>
      <c r="B1339" s="48" t="str">
        <f t="shared" si="280"/>
        <v/>
      </c>
      <c r="C1339" s="49" t="str">
        <f>IF(archive!F1339="","",archive!F1339)</f>
        <v/>
      </c>
      <c r="D1339" s="50" t="str">
        <f t="shared" si="281"/>
        <v/>
      </c>
      <c r="E1339" s="50" t="str">
        <f t="shared" si="282"/>
        <v/>
      </c>
      <c r="F1339" s="47" t="str">
        <f>IF(COUNTA(archive!H1339:CI1339)=0,"",COUNTA(archive!H1339:CI1339))</f>
        <v/>
      </c>
      <c r="G1339" s="47" t="str">
        <f>IF(archive!G1339="","",archive!G1339)</f>
        <v/>
      </c>
      <c r="H1339" s="51" t="str">
        <f>IF(archive!CJ1339="","",archive!CJ1339)</f>
        <v/>
      </c>
      <c r="I1339" s="51" t="str">
        <f>IF(archive!CK1339="","",archive!CK1339)</f>
        <v/>
      </c>
      <c r="J1339" s="47" t="str">
        <f t="shared" si="283"/>
        <v/>
      </c>
      <c r="K1339" s="51" t="str">
        <f t="shared" si="284"/>
        <v/>
      </c>
      <c r="L1339" s="52" t="str">
        <f t="shared" si="285"/>
        <v/>
      </c>
      <c r="M1339" s="53" t="str">
        <f t="shared" si="286"/>
        <v/>
      </c>
      <c r="N1339" s="53" t="str">
        <f t="shared" si="287"/>
        <v/>
      </c>
      <c r="O1339" s="53" t="str">
        <f t="shared" si="288"/>
        <v/>
      </c>
      <c r="P1339" s="53" t="str">
        <f t="shared" si="289"/>
        <v/>
      </c>
      <c r="Q1339" s="53" t="str">
        <f t="shared" si="290"/>
        <v/>
      </c>
      <c r="R1339" s="53" t="str">
        <f t="shared" si="291"/>
        <v/>
      </c>
      <c r="S1339" s="53" t="str">
        <f t="shared" si="292"/>
        <v/>
      </c>
      <c r="T1339" s="53" t="str">
        <f t="shared" si="293"/>
        <v/>
      </c>
    </row>
    <row r="1340" spans="1:20">
      <c r="A1340" s="47" t="str">
        <f>IF(archive!E1340="","",archive!E1340)</f>
        <v/>
      </c>
      <c r="B1340" s="48" t="str">
        <f t="shared" si="280"/>
        <v/>
      </c>
      <c r="C1340" s="49" t="str">
        <f>IF(archive!F1340="","",archive!F1340)</f>
        <v/>
      </c>
      <c r="D1340" s="50" t="str">
        <f t="shared" si="281"/>
        <v/>
      </c>
      <c r="E1340" s="50" t="str">
        <f t="shared" si="282"/>
        <v/>
      </c>
      <c r="F1340" s="47" t="str">
        <f>IF(COUNTA(archive!H1340:CI1340)=0,"",COUNTA(archive!H1340:CI1340))</f>
        <v/>
      </c>
      <c r="G1340" s="47" t="str">
        <f>IF(archive!G1340="","",archive!G1340)</f>
        <v/>
      </c>
      <c r="H1340" s="51" t="str">
        <f>IF(archive!CJ1340="","",archive!CJ1340)</f>
        <v/>
      </c>
      <c r="I1340" s="51" t="str">
        <f>IF(archive!CK1340="","",archive!CK1340)</f>
        <v/>
      </c>
      <c r="J1340" s="47" t="str">
        <f t="shared" si="283"/>
        <v/>
      </c>
      <c r="K1340" s="51" t="str">
        <f t="shared" si="284"/>
        <v/>
      </c>
      <c r="L1340" s="52" t="str">
        <f t="shared" si="285"/>
        <v/>
      </c>
      <c r="M1340" s="53" t="str">
        <f t="shared" si="286"/>
        <v/>
      </c>
      <c r="N1340" s="53" t="str">
        <f t="shared" si="287"/>
        <v/>
      </c>
      <c r="O1340" s="53" t="str">
        <f t="shared" si="288"/>
        <v/>
      </c>
      <c r="P1340" s="53" t="str">
        <f t="shared" si="289"/>
        <v/>
      </c>
      <c r="Q1340" s="53" t="str">
        <f t="shared" si="290"/>
        <v/>
      </c>
      <c r="R1340" s="53" t="str">
        <f t="shared" si="291"/>
        <v/>
      </c>
      <c r="S1340" s="53" t="str">
        <f t="shared" si="292"/>
        <v/>
      </c>
      <c r="T1340" s="53" t="str">
        <f t="shared" si="293"/>
        <v/>
      </c>
    </row>
    <row r="1341" spans="1:20">
      <c r="A1341" s="47" t="str">
        <f>IF(archive!E1341="","",archive!E1341)</f>
        <v/>
      </c>
      <c r="B1341" s="48" t="str">
        <f t="shared" si="280"/>
        <v/>
      </c>
      <c r="C1341" s="49" t="str">
        <f>IF(archive!F1341="","",archive!F1341)</f>
        <v/>
      </c>
      <c r="D1341" s="50" t="str">
        <f t="shared" si="281"/>
        <v/>
      </c>
      <c r="E1341" s="50" t="str">
        <f t="shared" si="282"/>
        <v/>
      </c>
      <c r="F1341" s="47" t="str">
        <f>IF(COUNTA(archive!H1341:CI1341)=0,"",COUNTA(archive!H1341:CI1341))</f>
        <v/>
      </c>
      <c r="G1341" s="47" t="str">
        <f>IF(archive!G1341="","",archive!G1341)</f>
        <v/>
      </c>
      <c r="H1341" s="51" t="str">
        <f>IF(archive!CJ1341="","",archive!CJ1341)</f>
        <v/>
      </c>
      <c r="I1341" s="51" t="str">
        <f>IF(archive!CK1341="","",archive!CK1341)</f>
        <v/>
      </c>
      <c r="J1341" s="47" t="str">
        <f t="shared" si="283"/>
        <v/>
      </c>
      <c r="K1341" s="51" t="str">
        <f t="shared" si="284"/>
        <v/>
      </c>
      <c r="L1341" s="52" t="str">
        <f t="shared" si="285"/>
        <v/>
      </c>
      <c r="M1341" s="53" t="str">
        <f t="shared" si="286"/>
        <v/>
      </c>
      <c r="N1341" s="53" t="str">
        <f t="shared" si="287"/>
        <v/>
      </c>
      <c r="O1341" s="53" t="str">
        <f t="shared" si="288"/>
        <v/>
      </c>
      <c r="P1341" s="53" t="str">
        <f t="shared" si="289"/>
        <v/>
      </c>
      <c r="Q1341" s="53" t="str">
        <f t="shared" si="290"/>
        <v/>
      </c>
      <c r="R1341" s="53" t="str">
        <f t="shared" si="291"/>
        <v/>
      </c>
      <c r="S1341" s="53" t="str">
        <f t="shared" si="292"/>
        <v/>
      </c>
      <c r="T1341" s="53" t="str">
        <f t="shared" si="293"/>
        <v/>
      </c>
    </row>
    <row r="1342" spans="1:20">
      <c r="A1342" s="47" t="str">
        <f>IF(archive!E1342="","",archive!E1342)</f>
        <v/>
      </c>
      <c r="B1342" s="48" t="str">
        <f t="shared" si="280"/>
        <v/>
      </c>
      <c r="C1342" s="49" t="str">
        <f>IF(archive!F1342="","",archive!F1342)</f>
        <v/>
      </c>
      <c r="D1342" s="50" t="str">
        <f t="shared" si="281"/>
        <v/>
      </c>
      <c r="E1342" s="50" t="str">
        <f t="shared" si="282"/>
        <v/>
      </c>
      <c r="F1342" s="47" t="str">
        <f>IF(COUNTA(archive!H1342:CI1342)=0,"",COUNTA(archive!H1342:CI1342))</f>
        <v/>
      </c>
      <c r="G1342" s="47" t="str">
        <f>IF(archive!G1342="","",archive!G1342)</f>
        <v/>
      </c>
      <c r="H1342" s="51" t="str">
        <f>IF(archive!CJ1342="","",archive!CJ1342)</f>
        <v/>
      </c>
      <c r="I1342" s="51" t="str">
        <f>IF(archive!CK1342="","",archive!CK1342)</f>
        <v/>
      </c>
      <c r="J1342" s="47" t="str">
        <f t="shared" si="283"/>
        <v/>
      </c>
      <c r="K1342" s="51" t="str">
        <f t="shared" si="284"/>
        <v/>
      </c>
      <c r="L1342" s="52" t="str">
        <f t="shared" si="285"/>
        <v/>
      </c>
      <c r="M1342" s="53" t="str">
        <f t="shared" si="286"/>
        <v/>
      </c>
      <c r="N1342" s="53" t="str">
        <f t="shared" si="287"/>
        <v/>
      </c>
      <c r="O1342" s="53" t="str">
        <f t="shared" si="288"/>
        <v/>
      </c>
      <c r="P1342" s="53" t="str">
        <f t="shared" si="289"/>
        <v/>
      </c>
      <c r="Q1342" s="53" t="str">
        <f t="shared" si="290"/>
        <v/>
      </c>
      <c r="R1342" s="53" t="str">
        <f t="shared" si="291"/>
        <v/>
      </c>
      <c r="S1342" s="53" t="str">
        <f t="shared" si="292"/>
        <v/>
      </c>
      <c r="T1342" s="53" t="str">
        <f t="shared" si="293"/>
        <v/>
      </c>
    </row>
    <row r="1343" spans="1:20">
      <c r="A1343" s="47" t="str">
        <f>IF(archive!E1343="","",archive!E1343)</f>
        <v/>
      </c>
      <c r="B1343" s="48" t="str">
        <f t="shared" si="280"/>
        <v/>
      </c>
      <c r="C1343" s="49" t="str">
        <f>IF(archive!F1343="","",archive!F1343)</f>
        <v/>
      </c>
      <c r="D1343" s="50" t="str">
        <f t="shared" si="281"/>
        <v/>
      </c>
      <c r="E1343" s="50" t="str">
        <f t="shared" si="282"/>
        <v/>
      </c>
      <c r="F1343" s="47" t="str">
        <f>IF(COUNTA(archive!H1343:CI1343)=0,"",COUNTA(archive!H1343:CI1343))</f>
        <v/>
      </c>
      <c r="G1343" s="47" t="str">
        <f>IF(archive!G1343="","",archive!G1343)</f>
        <v/>
      </c>
      <c r="H1343" s="51" t="str">
        <f>IF(archive!CJ1343="","",archive!CJ1343)</f>
        <v/>
      </c>
      <c r="I1343" s="51" t="str">
        <f>IF(archive!CK1343="","",archive!CK1343)</f>
        <v/>
      </c>
      <c r="J1343" s="47" t="str">
        <f t="shared" si="283"/>
        <v/>
      </c>
      <c r="K1343" s="51" t="str">
        <f t="shared" si="284"/>
        <v/>
      </c>
      <c r="L1343" s="52" t="str">
        <f t="shared" si="285"/>
        <v/>
      </c>
      <c r="M1343" s="53" t="str">
        <f t="shared" si="286"/>
        <v/>
      </c>
      <c r="N1343" s="53" t="str">
        <f t="shared" si="287"/>
        <v/>
      </c>
      <c r="O1343" s="53" t="str">
        <f t="shared" si="288"/>
        <v/>
      </c>
      <c r="P1343" s="53" t="str">
        <f t="shared" si="289"/>
        <v/>
      </c>
      <c r="Q1343" s="53" t="str">
        <f t="shared" si="290"/>
        <v/>
      </c>
      <c r="R1343" s="53" t="str">
        <f t="shared" si="291"/>
        <v/>
      </c>
      <c r="S1343" s="53" t="str">
        <f t="shared" si="292"/>
        <v/>
      </c>
      <c r="T1343" s="53" t="str">
        <f t="shared" si="293"/>
        <v/>
      </c>
    </row>
    <row r="1344" spans="1:20">
      <c r="A1344" s="47" t="str">
        <f>IF(archive!E1344="","",archive!E1344)</f>
        <v/>
      </c>
      <c r="B1344" s="48" t="str">
        <f t="shared" si="280"/>
        <v/>
      </c>
      <c r="C1344" s="49" t="str">
        <f>IF(archive!F1344="","",archive!F1344)</f>
        <v/>
      </c>
      <c r="D1344" s="50" t="str">
        <f t="shared" si="281"/>
        <v/>
      </c>
      <c r="E1344" s="50" t="str">
        <f t="shared" si="282"/>
        <v/>
      </c>
      <c r="F1344" s="47" t="str">
        <f>IF(COUNTA(archive!H1344:CI1344)=0,"",COUNTA(archive!H1344:CI1344))</f>
        <v/>
      </c>
      <c r="G1344" s="47" t="str">
        <f>IF(archive!G1344="","",archive!G1344)</f>
        <v/>
      </c>
      <c r="H1344" s="51" t="str">
        <f>IF(archive!CJ1344="","",archive!CJ1344)</f>
        <v/>
      </c>
      <c r="I1344" s="51" t="str">
        <f>IF(archive!CK1344="","",archive!CK1344)</f>
        <v/>
      </c>
      <c r="J1344" s="47" t="str">
        <f t="shared" si="283"/>
        <v/>
      </c>
      <c r="K1344" s="51" t="str">
        <f t="shared" si="284"/>
        <v/>
      </c>
      <c r="L1344" s="52" t="str">
        <f t="shared" si="285"/>
        <v/>
      </c>
      <c r="M1344" s="53" t="str">
        <f t="shared" si="286"/>
        <v/>
      </c>
      <c r="N1344" s="53" t="str">
        <f t="shared" si="287"/>
        <v/>
      </c>
      <c r="O1344" s="53" t="str">
        <f t="shared" si="288"/>
        <v/>
      </c>
      <c r="P1344" s="53" t="str">
        <f t="shared" si="289"/>
        <v/>
      </c>
      <c r="Q1344" s="53" t="str">
        <f t="shared" si="290"/>
        <v/>
      </c>
      <c r="R1344" s="53" t="str">
        <f t="shared" si="291"/>
        <v/>
      </c>
      <c r="S1344" s="53" t="str">
        <f t="shared" si="292"/>
        <v/>
      </c>
      <c r="T1344" s="53" t="str">
        <f t="shared" si="293"/>
        <v/>
      </c>
    </row>
    <row r="1345" spans="1:20">
      <c r="A1345" s="47" t="str">
        <f>IF(archive!E1345="","",archive!E1345)</f>
        <v/>
      </c>
      <c r="B1345" s="48" t="str">
        <f t="shared" si="280"/>
        <v/>
      </c>
      <c r="C1345" s="49" t="str">
        <f>IF(archive!F1345="","",archive!F1345)</f>
        <v/>
      </c>
      <c r="D1345" s="50" t="str">
        <f t="shared" si="281"/>
        <v/>
      </c>
      <c r="E1345" s="50" t="str">
        <f t="shared" si="282"/>
        <v/>
      </c>
      <c r="F1345" s="47" t="str">
        <f>IF(COUNTA(archive!H1345:CI1345)=0,"",COUNTA(archive!H1345:CI1345))</f>
        <v/>
      </c>
      <c r="G1345" s="47" t="str">
        <f>IF(archive!G1345="","",archive!G1345)</f>
        <v/>
      </c>
      <c r="H1345" s="51" t="str">
        <f>IF(archive!CJ1345="","",archive!CJ1345)</f>
        <v/>
      </c>
      <c r="I1345" s="51" t="str">
        <f>IF(archive!CK1345="","",archive!CK1345)</f>
        <v/>
      </c>
      <c r="J1345" s="47" t="str">
        <f t="shared" si="283"/>
        <v/>
      </c>
      <c r="K1345" s="51" t="str">
        <f t="shared" si="284"/>
        <v/>
      </c>
      <c r="L1345" s="52" t="str">
        <f t="shared" si="285"/>
        <v/>
      </c>
      <c r="M1345" s="53" t="str">
        <f t="shared" si="286"/>
        <v/>
      </c>
      <c r="N1345" s="53" t="str">
        <f t="shared" si="287"/>
        <v/>
      </c>
      <c r="O1345" s="53" t="str">
        <f t="shared" si="288"/>
        <v/>
      </c>
      <c r="P1345" s="53" t="str">
        <f t="shared" si="289"/>
        <v/>
      </c>
      <c r="Q1345" s="53" t="str">
        <f t="shared" si="290"/>
        <v/>
      </c>
      <c r="R1345" s="53" t="str">
        <f t="shared" si="291"/>
        <v/>
      </c>
      <c r="S1345" s="53" t="str">
        <f t="shared" si="292"/>
        <v/>
      </c>
      <c r="T1345" s="53" t="str">
        <f t="shared" si="293"/>
        <v/>
      </c>
    </row>
    <row r="1346" spans="1:20">
      <c r="A1346" s="47" t="str">
        <f>IF(archive!E1346="","",archive!E1346)</f>
        <v/>
      </c>
      <c r="B1346" s="48" t="str">
        <f t="shared" si="280"/>
        <v/>
      </c>
      <c r="C1346" s="49" t="str">
        <f>IF(archive!F1346="","",archive!F1346)</f>
        <v/>
      </c>
      <c r="D1346" s="50" t="str">
        <f t="shared" si="281"/>
        <v/>
      </c>
      <c r="E1346" s="50" t="str">
        <f t="shared" si="282"/>
        <v/>
      </c>
      <c r="F1346" s="47" t="str">
        <f>IF(COUNTA(archive!H1346:CI1346)=0,"",COUNTA(archive!H1346:CI1346))</f>
        <v/>
      </c>
      <c r="G1346" s="47" t="str">
        <f>IF(archive!G1346="","",archive!G1346)</f>
        <v/>
      </c>
      <c r="H1346" s="51" t="str">
        <f>IF(archive!CJ1346="","",archive!CJ1346)</f>
        <v/>
      </c>
      <c r="I1346" s="51" t="str">
        <f>IF(archive!CK1346="","",archive!CK1346)</f>
        <v/>
      </c>
      <c r="J1346" s="47" t="str">
        <f t="shared" si="283"/>
        <v/>
      </c>
      <c r="K1346" s="51" t="str">
        <f t="shared" si="284"/>
        <v/>
      </c>
      <c r="L1346" s="52" t="str">
        <f t="shared" si="285"/>
        <v/>
      </c>
      <c r="M1346" s="53" t="str">
        <f t="shared" si="286"/>
        <v/>
      </c>
      <c r="N1346" s="53" t="str">
        <f t="shared" si="287"/>
        <v/>
      </c>
      <c r="O1346" s="53" t="str">
        <f t="shared" si="288"/>
        <v/>
      </c>
      <c r="P1346" s="53" t="str">
        <f t="shared" si="289"/>
        <v/>
      </c>
      <c r="Q1346" s="53" t="str">
        <f t="shared" si="290"/>
        <v/>
      </c>
      <c r="R1346" s="53" t="str">
        <f t="shared" si="291"/>
        <v/>
      </c>
      <c r="S1346" s="53" t="str">
        <f t="shared" si="292"/>
        <v/>
      </c>
      <c r="T1346" s="53" t="str">
        <f t="shared" si="293"/>
        <v/>
      </c>
    </row>
    <row r="1347" spans="1:20">
      <c r="A1347" s="47" t="str">
        <f>IF(archive!E1347="","",archive!E1347)</f>
        <v/>
      </c>
      <c r="B1347" s="48" t="str">
        <f t="shared" si="280"/>
        <v/>
      </c>
      <c r="C1347" s="49" t="str">
        <f>IF(archive!F1347="","",archive!F1347)</f>
        <v/>
      </c>
      <c r="D1347" s="50" t="str">
        <f t="shared" si="281"/>
        <v/>
      </c>
      <c r="E1347" s="50" t="str">
        <f t="shared" si="282"/>
        <v/>
      </c>
      <c r="F1347" s="47" t="str">
        <f>IF(COUNTA(archive!H1347:CI1347)=0,"",COUNTA(archive!H1347:CI1347))</f>
        <v/>
      </c>
      <c r="G1347" s="47" t="str">
        <f>IF(archive!G1347="","",archive!G1347)</f>
        <v/>
      </c>
      <c r="H1347" s="51" t="str">
        <f>IF(archive!CJ1347="","",archive!CJ1347)</f>
        <v/>
      </c>
      <c r="I1347" s="51" t="str">
        <f>IF(archive!CK1347="","",archive!CK1347)</f>
        <v/>
      </c>
      <c r="J1347" s="47" t="str">
        <f t="shared" si="283"/>
        <v/>
      </c>
      <c r="K1347" s="51" t="str">
        <f t="shared" si="284"/>
        <v/>
      </c>
      <c r="L1347" s="52" t="str">
        <f t="shared" si="285"/>
        <v/>
      </c>
      <c r="M1347" s="53" t="str">
        <f t="shared" si="286"/>
        <v/>
      </c>
      <c r="N1347" s="53" t="str">
        <f t="shared" si="287"/>
        <v/>
      </c>
      <c r="O1347" s="53" t="str">
        <f t="shared" si="288"/>
        <v/>
      </c>
      <c r="P1347" s="53" t="str">
        <f t="shared" si="289"/>
        <v/>
      </c>
      <c r="Q1347" s="53" t="str">
        <f t="shared" si="290"/>
        <v/>
      </c>
      <c r="R1347" s="53" t="str">
        <f t="shared" si="291"/>
        <v/>
      </c>
      <c r="S1347" s="53" t="str">
        <f t="shared" si="292"/>
        <v/>
      </c>
      <c r="T1347" s="53" t="str">
        <f t="shared" si="293"/>
        <v/>
      </c>
    </row>
    <row r="1348" spans="1:20">
      <c r="A1348" s="47" t="str">
        <f>IF(archive!E1348="","",archive!E1348)</f>
        <v/>
      </c>
      <c r="B1348" s="48" t="str">
        <f t="shared" ref="B1348:B1411" si="294">IF(C1348="","",VLOOKUP($C1348,Tare,2,0))</f>
        <v/>
      </c>
      <c r="C1348" s="49" t="str">
        <f>IF(archive!F1348="","",archive!F1348)</f>
        <v/>
      </c>
      <c r="D1348" s="50" t="str">
        <f t="shared" ref="D1348:D1411" si="295">IF(C1348="","",C1348+B1348)</f>
        <v/>
      </c>
      <c r="E1348" s="50" t="str">
        <f t="shared" ref="E1348:E1411" si="296">IF(C1348="","",(C1348*0.025)+D1348)</f>
        <v/>
      </c>
      <c r="F1348" s="47" t="str">
        <f>IF(COUNTA(archive!H1348:CI1348)=0,"",COUNTA(archive!H1348:CI1348))</f>
        <v/>
      </c>
      <c r="G1348" s="47" t="str">
        <f>IF(archive!G1348="","",archive!G1348)</f>
        <v/>
      </c>
      <c r="H1348" s="51" t="str">
        <f>IF(archive!CJ1348="","",archive!CJ1348)</f>
        <v/>
      </c>
      <c r="I1348" s="51" t="str">
        <f>IF(archive!CK1348="","",archive!CK1348)</f>
        <v/>
      </c>
      <c r="J1348" s="47" t="str">
        <f t="shared" ref="J1348:J1411" si="297">IF(F1348="","",VLOOKUP(F1348,Valeur_g,2,0))</f>
        <v/>
      </c>
      <c r="K1348" s="51" t="str">
        <f t="shared" ref="K1348:K1411" si="298">IF(C1348="","",D1348+(J1348*I1348))</f>
        <v/>
      </c>
      <c r="L1348" s="52" t="str">
        <f t="shared" ref="L1348:L1411" si="299">IF(C1348="","",IF(K1348&lt;H1348,"Conforme","Non conforme"))</f>
        <v/>
      </c>
      <c r="M1348" s="53" t="str">
        <f t="shared" ref="M1348:M1411" si="300">IF(C1348="","",1)</f>
        <v/>
      </c>
      <c r="N1348" s="53" t="str">
        <f t="shared" ref="N1348:N1411" si="301">IF(L1348="","",COUNTIF(L1348,"Non conforme"))</f>
        <v/>
      </c>
      <c r="O1348" s="53" t="str">
        <f t="shared" ref="O1348:O1411" si="302">IF($C1348="","",IF($C1348=0.25,$G1348,"-"))</f>
        <v/>
      </c>
      <c r="P1348" s="53" t="str">
        <f t="shared" ref="P1348:P1411" si="303">IF($C1348="","",IF($C1348=0.4,$G1348,"-"))</f>
        <v/>
      </c>
      <c r="Q1348" s="53" t="str">
        <f t="shared" ref="Q1348:Q1411" si="304">IF($C1348="","",IF($C1348=0.5,$G1348,"-"))</f>
        <v/>
      </c>
      <c r="R1348" s="53" t="str">
        <f t="shared" ref="R1348:R1411" si="305">IF($C1348="","",IF($C1348=0.6,$G1348,"-"))</f>
        <v/>
      </c>
      <c r="S1348" s="53" t="str">
        <f t="shared" ref="S1348:S1411" si="306">IF($C1348="","",IF($C1348=0.8,$G1348,"-"))</f>
        <v/>
      </c>
      <c r="T1348" s="53" t="str">
        <f t="shared" ref="T1348:T1411" si="307">IF($C1348="","",IF($C1348=1,$G1348,"-"))</f>
        <v/>
      </c>
    </row>
    <row r="1349" spans="1:20">
      <c r="A1349" s="47" t="str">
        <f>IF(archive!E1349="","",archive!E1349)</f>
        <v/>
      </c>
      <c r="B1349" s="48" t="str">
        <f t="shared" si="294"/>
        <v/>
      </c>
      <c r="C1349" s="49" t="str">
        <f>IF(archive!F1349="","",archive!F1349)</f>
        <v/>
      </c>
      <c r="D1349" s="50" t="str">
        <f t="shared" si="295"/>
        <v/>
      </c>
      <c r="E1349" s="50" t="str">
        <f t="shared" si="296"/>
        <v/>
      </c>
      <c r="F1349" s="47" t="str">
        <f>IF(COUNTA(archive!H1349:CI1349)=0,"",COUNTA(archive!H1349:CI1349))</f>
        <v/>
      </c>
      <c r="G1349" s="47" t="str">
        <f>IF(archive!G1349="","",archive!G1349)</f>
        <v/>
      </c>
      <c r="H1349" s="51" t="str">
        <f>IF(archive!CJ1349="","",archive!CJ1349)</f>
        <v/>
      </c>
      <c r="I1349" s="51" t="str">
        <f>IF(archive!CK1349="","",archive!CK1349)</f>
        <v/>
      </c>
      <c r="J1349" s="47" t="str">
        <f t="shared" si="297"/>
        <v/>
      </c>
      <c r="K1349" s="51" t="str">
        <f t="shared" si="298"/>
        <v/>
      </c>
      <c r="L1349" s="52" t="str">
        <f t="shared" si="299"/>
        <v/>
      </c>
      <c r="M1349" s="53" t="str">
        <f t="shared" si="300"/>
        <v/>
      </c>
      <c r="N1349" s="53" t="str">
        <f t="shared" si="301"/>
        <v/>
      </c>
      <c r="O1349" s="53" t="str">
        <f t="shared" si="302"/>
        <v/>
      </c>
      <c r="P1349" s="53" t="str">
        <f t="shared" si="303"/>
        <v/>
      </c>
      <c r="Q1349" s="53" t="str">
        <f t="shared" si="304"/>
        <v/>
      </c>
      <c r="R1349" s="53" t="str">
        <f t="shared" si="305"/>
        <v/>
      </c>
      <c r="S1349" s="53" t="str">
        <f t="shared" si="306"/>
        <v/>
      </c>
      <c r="T1349" s="53" t="str">
        <f t="shared" si="307"/>
        <v/>
      </c>
    </row>
    <row r="1350" spans="1:20">
      <c r="A1350" s="47" t="str">
        <f>IF(archive!E1350="","",archive!E1350)</f>
        <v/>
      </c>
      <c r="B1350" s="48" t="str">
        <f t="shared" si="294"/>
        <v/>
      </c>
      <c r="C1350" s="49" t="str">
        <f>IF(archive!F1350="","",archive!F1350)</f>
        <v/>
      </c>
      <c r="D1350" s="50" t="str">
        <f t="shared" si="295"/>
        <v/>
      </c>
      <c r="E1350" s="50" t="str">
        <f t="shared" si="296"/>
        <v/>
      </c>
      <c r="F1350" s="47" t="str">
        <f>IF(COUNTA(archive!H1350:CI1350)=0,"",COUNTA(archive!H1350:CI1350))</f>
        <v/>
      </c>
      <c r="G1350" s="47" t="str">
        <f>IF(archive!G1350="","",archive!G1350)</f>
        <v/>
      </c>
      <c r="H1350" s="51" t="str">
        <f>IF(archive!CJ1350="","",archive!CJ1350)</f>
        <v/>
      </c>
      <c r="I1350" s="51" t="str">
        <f>IF(archive!CK1350="","",archive!CK1350)</f>
        <v/>
      </c>
      <c r="J1350" s="47" t="str">
        <f t="shared" si="297"/>
        <v/>
      </c>
      <c r="K1350" s="51" t="str">
        <f t="shared" si="298"/>
        <v/>
      </c>
      <c r="L1350" s="52" t="str">
        <f t="shared" si="299"/>
        <v/>
      </c>
      <c r="M1350" s="53" t="str">
        <f t="shared" si="300"/>
        <v/>
      </c>
      <c r="N1350" s="53" t="str">
        <f t="shared" si="301"/>
        <v/>
      </c>
      <c r="O1350" s="53" t="str">
        <f t="shared" si="302"/>
        <v/>
      </c>
      <c r="P1350" s="53" t="str">
        <f t="shared" si="303"/>
        <v/>
      </c>
      <c r="Q1350" s="53" t="str">
        <f t="shared" si="304"/>
        <v/>
      </c>
      <c r="R1350" s="53" t="str">
        <f t="shared" si="305"/>
        <v/>
      </c>
      <c r="S1350" s="53" t="str">
        <f t="shared" si="306"/>
        <v/>
      </c>
      <c r="T1350" s="53" t="str">
        <f t="shared" si="307"/>
        <v/>
      </c>
    </row>
    <row r="1351" spans="1:20">
      <c r="A1351" s="47" t="str">
        <f>IF(archive!E1351="","",archive!E1351)</f>
        <v/>
      </c>
      <c r="B1351" s="48" t="str">
        <f t="shared" si="294"/>
        <v/>
      </c>
      <c r="C1351" s="49" t="str">
        <f>IF(archive!F1351="","",archive!F1351)</f>
        <v/>
      </c>
      <c r="D1351" s="50" t="str">
        <f t="shared" si="295"/>
        <v/>
      </c>
      <c r="E1351" s="50" t="str">
        <f t="shared" si="296"/>
        <v/>
      </c>
      <c r="F1351" s="47" t="str">
        <f>IF(COUNTA(archive!H1351:CI1351)=0,"",COUNTA(archive!H1351:CI1351))</f>
        <v/>
      </c>
      <c r="G1351" s="47" t="str">
        <f>IF(archive!G1351="","",archive!G1351)</f>
        <v/>
      </c>
      <c r="H1351" s="51" t="str">
        <f>IF(archive!CJ1351="","",archive!CJ1351)</f>
        <v/>
      </c>
      <c r="I1351" s="51" t="str">
        <f>IF(archive!CK1351="","",archive!CK1351)</f>
        <v/>
      </c>
      <c r="J1351" s="47" t="str">
        <f t="shared" si="297"/>
        <v/>
      </c>
      <c r="K1351" s="51" t="str">
        <f t="shared" si="298"/>
        <v/>
      </c>
      <c r="L1351" s="52" t="str">
        <f t="shared" si="299"/>
        <v/>
      </c>
      <c r="M1351" s="53" t="str">
        <f t="shared" si="300"/>
        <v/>
      </c>
      <c r="N1351" s="53" t="str">
        <f t="shared" si="301"/>
        <v/>
      </c>
      <c r="O1351" s="53" t="str">
        <f t="shared" si="302"/>
        <v/>
      </c>
      <c r="P1351" s="53" t="str">
        <f t="shared" si="303"/>
        <v/>
      </c>
      <c r="Q1351" s="53" t="str">
        <f t="shared" si="304"/>
        <v/>
      </c>
      <c r="R1351" s="53" t="str">
        <f t="shared" si="305"/>
        <v/>
      </c>
      <c r="S1351" s="53" t="str">
        <f t="shared" si="306"/>
        <v/>
      </c>
      <c r="T1351" s="53" t="str">
        <f t="shared" si="307"/>
        <v/>
      </c>
    </row>
    <row r="1352" spans="1:20">
      <c r="A1352" s="47" t="str">
        <f>IF(archive!E1352="","",archive!E1352)</f>
        <v/>
      </c>
      <c r="B1352" s="48" t="str">
        <f t="shared" si="294"/>
        <v/>
      </c>
      <c r="C1352" s="49" t="str">
        <f>IF(archive!F1352="","",archive!F1352)</f>
        <v/>
      </c>
      <c r="D1352" s="50" t="str">
        <f t="shared" si="295"/>
        <v/>
      </c>
      <c r="E1352" s="50" t="str">
        <f t="shared" si="296"/>
        <v/>
      </c>
      <c r="F1352" s="47" t="str">
        <f>IF(COUNTA(archive!H1352:CI1352)=0,"",COUNTA(archive!H1352:CI1352))</f>
        <v/>
      </c>
      <c r="G1352" s="47" t="str">
        <f>IF(archive!G1352="","",archive!G1352)</f>
        <v/>
      </c>
      <c r="H1352" s="51" t="str">
        <f>IF(archive!CJ1352="","",archive!CJ1352)</f>
        <v/>
      </c>
      <c r="I1352" s="51" t="str">
        <f>IF(archive!CK1352="","",archive!CK1352)</f>
        <v/>
      </c>
      <c r="J1352" s="47" t="str">
        <f t="shared" si="297"/>
        <v/>
      </c>
      <c r="K1352" s="51" t="str">
        <f t="shared" si="298"/>
        <v/>
      </c>
      <c r="L1352" s="52" t="str">
        <f t="shared" si="299"/>
        <v/>
      </c>
      <c r="M1352" s="53" t="str">
        <f t="shared" si="300"/>
        <v/>
      </c>
      <c r="N1352" s="53" t="str">
        <f t="shared" si="301"/>
        <v/>
      </c>
      <c r="O1352" s="53" t="str">
        <f t="shared" si="302"/>
        <v/>
      </c>
      <c r="P1352" s="53" t="str">
        <f t="shared" si="303"/>
        <v/>
      </c>
      <c r="Q1352" s="53" t="str">
        <f t="shared" si="304"/>
        <v/>
      </c>
      <c r="R1352" s="53" t="str">
        <f t="shared" si="305"/>
        <v/>
      </c>
      <c r="S1352" s="53" t="str">
        <f t="shared" si="306"/>
        <v/>
      </c>
      <c r="T1352" s="53" t="str">
        <f t="shared" si="307"/>
        <v/>
      </c>
    </row>
    <row r="1353" spans="1:20">
      <c r="A1353" s="47" t="str">
        <f>IF(archive!E1353="","",archive!E1353)</f>
        <v/>
      </c>
      <c r="B1353" s="48" t="str">
        <f t="shared" si="294"/>
        <v/>
      </c>
      <c r="C1353" s="49" t="str">
        <f>IF(archive!F1353="","",archive!F1353)</f>
        <v/>
      </c>
      <c r="D1353" s="50" t="str">
        <f t="shared" si="295"/>
        <v/>
      </c>
      <c r="E1353" s="50" t="str">
        <f t="shared" si="296"/>
        <v/>
      </c>
      <c r="F1353" s="47" t="str">
        <f>IF(COUNTA(archive!H1353:CI1353)=0,"",COUNTA(archive!H1353:CI1353))</f>
        <v/>
      </c>
      <c r="G1353" s="47" t="str">
        <f>IF(archive!G1353="","",archive!G1353)</f>
        <v/>
      </c>
      <c r="H1353" s="51" t="str">
        <f>IF(archive!CJ1353="","",archive!CJ1353)</f>
        <v/>
      </c>
      <c r="I1353" s="51" t="str">
        <f>IF(archive!CK1353="","",archive!CK1353)</f>
        <v/>
      </c>
      <c r="J1353" s="47" t="str">
        <f t="shared" si="297"/>
        <v/>
      </c>
      <c r="K1353" s="51" t="str">
        <f t="shared" si="298"/>
        <v/>
      </c>
      <c r="L1353" s="52" t="str">
        <f t="shared" si="299"/>
        <v/>
      </c>
      <c r="M1353" s="53" t="str">
        <f t="shared" si="300"/>
        <v/>
      </c>
      <c r="N1353" s="53" t="str">
        <f t="shared" si="301"/>
        <v/>
      </c>
      <c r="O1353" s="53" t="str">
        <f t="shared" si="302"/>
        <v/>
      </c>
      <c r="P1353" s="53" t="str">
        <f t="shared" si="303"/>
        <v/>
      </c>
      <c r="Q1353" s="53" t="str">
        <f t="shared" si="304"/>
        <v/>
      </c>
      <c r="R1353" s="53" t="str">
        <f t="shared" si="305"/>
        <v/>
      </c>
      <c r="S1353" s="53" t="str">
        <f t="shared" si="306"/>
        <v/>
      </c>
      <c r="T1353" s="53" t="str">
        <f t="shared" si="307"/>
        <v/>
      </c>
    </row>
    <row r="1354" spans="1:20">
      <c r="A1354" s="47" t="str">
        <f>IF(archive!E1354="","",archive!E1354)</f>
        <v/>
      </c>
      <c r="B1354" s="48" t="str">
        <f t="shared" si="294"/>
        <v/>
      </c>
      <c r="C1354" s="49" t="str">
        <f>IF(archive!F1354="","",archive!F1354)</f>
        <v/>
      </c>
      <c r="D1354" s="50" t="str">
        <f t="shared" si="295"/>
        <v/>
      </c>
      <c r="E1354" s="50" t="str">
        <f t="shared" si="296"/>
        <v/>
      </c>
      <c r="F1354" s="47" t="str">
        <f>IF(COUNTA(archive!H1354:CI1354)=0,"",COUNTA(archive!H1354:CI1354))</f>
        <v/>
      </c>
      <c r="G1354" s="47" t="str">
        <f>IF(archive!G1354="","",archive!G1354)</f>
        <v/>
      </c>
      <c r="H1354" s="51" t="str">
        <f>IF(archive!CJ1354="","",archive!CJ1354)</f>
        <v/>
      </c>
      <c r="I1354" s="51" t="str">
        <f>IF(archive!CK1354="","",archive!CK1354)</f>
        <v/>
      </c>
      <c r="J1354" s="47" t="str">
        <f t="shared" si="297"/>
        <v/>
      </c>
      <c r="K1354" s="51" t="str">
        <f t="shared" si="298"/>
        <v/>
      </c>
      <c r="L1354" s="52" t="str">
        <f t="shared" si="299"/>
        <v/>
      </c>
      <c r="M1354" s="53" t="str">
        <f t="shared" si="300"/>
        <v/>
      </c>
      <c r="N1354" s="53" t="str">
        <f t="shared" si="301"/>
        <v/>
      </c>
      <c r="O1354" s="53" t="str">
        <f t="shared" si="302"/>
        <v/>
      </c>
      <c r="P1354" s="53" t="str">
        <f t="shared" si="303"/>
        <v/>
      </c>
      <c r="Q1354" s="53" t="str">
        <f t="shared" si="304"/>
        <v/>
      </c>
      <c r="R1354" s="53" t="str">
        <f t="shared" si="305"/>
        <v/>
      </c>
      <c r="S1354" s="53" t="str">
        <f t="shared" si="306"/>
        <v/>
      </c>
      <c r="T1354" s="53" t="str">
        <f t="shared" si="307"/>
        <v/>
      </c>
    </row>
    <row r="1355" spans="1:20">
      <c r="A1355" s="47" t="str">
        <f>IF(archive!E1355="","",archive!E1355)</f>
        <v/>
      </c>
      <c r="B1355" s="48" t="str">
        <f t="shared" si="294"/>
        <v/>
      </c>
      <c r="C1355" s="49" t="str">
        <f>IF(archive!F1355="","",archive!F1355)</f>
        <v/>
      </c>
      <c r="D1355" s="50" t="str">
        <f t="shared" si="295"/>
        <v/>
      </c>
      <c r="E1355" s="50" t="str">
        <f t="shared" si="296"/>
        <v/>
      </c>
      <c r="F1355" s="47" t="str">
        <f>IF(COUNTA(archive!H1355:CI1355)=0,"",COUNTA(archive!H1355:CI1355))</f>
        <v/>
      </c>
      <c r="G1355" s="47" t="str">
        <f>IF(archive!G1355="","",archive!G1355)</f>
        <v/>
      </c>
      <c r="H1355" s="51" t="str">
        <f>IF(archive!CJ1355="","",archive!CJ1355)</f>
        <v/>
      </c>
      <c r="I1355" s="51" t="str">
        <f>IF(archive!CK1355="","",archive!CK1355)</f>
        <v/>
      </c>
      <c r="J1355" s="47" t="str">
        <f t="shared" si="297"/>
        <v/>
      </c>
      <c r="K1355" s="51" t="str">
        <f t="shared" si="298"/>
        <v/>
      </c>
      <c r="L1355" s="52" t="str">
        <f t="shared" si="299"/>
        <v/>
      </c>
      <c r="M1355" s="53" t="str">
        <f t="shared" si="300"/>
        <v/>
      </c>
      <c r="N1355" s="53" t="str">
        <f t="shared" si="301"/>
        <v/>
      </c>
      <c r="O1355" s="53" t="str">
        <f t="shared" si="302"/>
        <v/>
      </c>
      <c r="P1355" s="53" t="str">
        <f t="shared" si="303"/>
        <v/>
      </c>
      <c r="Q1355" s="53" t="str">
        <f t="shared" si="304"/>
        <v/>
      </c>
      <c r="R1355" s="53" t="str">
        <f t="shared" si="305"/>
        <v/>
      </c>
      <c r="S1355" s="53" t="str">
        <f t="shared" si="306"/>
        <v/>
      </c>
      <c r="T1355" s="53" t="str">
        <f t="shared" si="307"/>
        <v/>
      </c>
    </row>
    <row r="1356" spans="1:20">
      <c r="A1356" s="47" t="str">
        <f>IF(archive!E1356="","",archive!E1356)</f>
        <v/>
      </c>
      <c r="B1356" s="48" t="str">
        <f t="shared" si="294"/>
        <v/>
      </c>
      <c r="C1356" s="49" t="str">
        <f>IF(archive!F1356="","",archive!F1356)</f>
        <v/>
      </c>
      <c r="D1356" s="50" t="str">
        <f t="shared" si="295"/>
        <v/>
      </c>
      <c r="E1356" s="50" t="str">
        <f t="shared" si="296"/>
        <v/>
      </c>
      <c r="F1356" s="47" t="str">
        <f>IF(COUNTA(archive!H1356:CI1356)=0,"",COUNTA(archive!H1356:CI1356))</f>
        <v/>
      </c>
      <c r="G1356" s="47" t="str">
        <f>IF(archive!G1356="","",archive!G1356)</f>
        <v/>
      </c>
      <c r="H1356" s="51" t="str">
        <f>IF(archive!CJ1356="","",archive!CJ1356)</f>
        <v/>
      </c>
      <c r="I1356" s="51" t="str">
        <f>IF(archive!CK1356="","",archive!CK1356)</f>
        <v/>
      </c>
      <c r="J1356" s="47" t="str">
        <f t="shared" si="297"/>
        <v/>
      </c>
      <c r="K1356" s="51" t="str">
        <f t="shared" si="298"/>
        <v/>
      </c>
      <c r="L1356" s="52" t="str">
        <f t="shared" si="299"/>
        <v/>
      </c>
      <c r="M1356" s="53" t="str">
        <f t="shared" si="300"/>
        <v/>
      </c>
      <c r="N1356" s="53" t="str">
        <f t="shared" si="301"/>
        <v/>
      </c>
      <c r="O1356" s="53" t="str">
        <f t="shared" si="302"/>
        <v/>
      </c>
      <c r="P1356" s="53" t="str">
        <f t="shared" si="303"/>
        <v/>
      </c>
      <c r="Q1356" s="53" t="str">
        <f t="shared" si="304"/>
        <v/>
      </c>
      <c r="R1356" s="53" t="str">
        <f t="shared" si="305"/>
        <v/>
      </c>
      <c r="S1356" s="53" t="str">
        <f t="shared" si="306"/>
        <v/>
      </c>
      <c r="T1356" s="53" t="str">
        <f t="shared" si="307"/>
        <v/>
      </c>
    </row>
    <row r="1357" spans="1:20">
      <c r="A1357" s="47" t="str">
        <f>IF(archive!E1357="","",archive!E1357)</f>
        <v/>
      </c>
      <c r="B1357" s="48" t="str">
        <f t="shared" si="294"/>
        <v/>
      </c>
      <c r="C1357" s="49" t="str">
        <f>IF(archive!F1357="","",archive!F1357)</f>
        <v/>
      </c>
      <c r="D1357" s="50" t="str">
        <f t="shared" si="295"/>
        <v/>
      </c>
      <c r="E1357" s="50" t="str">
        <f t="shared" si="296"/>
        <v/>
      </c>
      <c r="F1357" s="47" t="str">
        <f>IF(COUNTA(archive!H1357:CI1357)=0,"",COUNTA(archive!H1357:CI1357))</f>
        <v/>
      </c>
      <c r="G1357" s="47" t="str">
        <f>IF(archive!G1357="","",archive!G1357)</f>
        <v/>
      </c>
      <c r="H1357" s="51" t="str">
        <f>IF(archive!CJ1357="","",archive!CJ1357)</f>
        <v/>
      </c>
      <c r="I1357" s="51" t="str">
        <f>IF(archive!CK1357="","",archive!CK1357)</f>
        <v/>
      </c>
      <c r="J1357" s="47" t="str">
        <f t="shared" si="297"/>
        <v/>
      </c>
      <c r="K1357" s="51" t="str">
        <f t="shared" si="298"/>
        <v/>
      </c>
      <c r="L1357" s="52" t="str">
        <f t="shared" si="299"/>
        <v/>
      </c>
      <c r="M1357" s="53" t="str">
        <f t="shared" si="300"/>
        <v/>
      </c>
      <c r="N1357" s="53" t="str">
        <f t="shared" si="301"/>
        <v/>
      </c>
      <c r="O1357" s="53" t="str">
        <f t="shared" si="302"/>
        <v/>
      </c>
      <c r="P1357" s="53" t="str">
        <f t="shared" si="303"/>
        <v/>
      </c>
      <c r="Q1357" s="53" t="str">
        <f t="shared" si="304"/>
        <v/>
      </c>
      <c r="R1357" s="53" t="str">
        <f t="shared" si="305"/>
        <v/>
      </c>
      <c r="S1357" s="53" t="str">
        <f t="shared" si="306"/>
        <v/>
      </c>
      <c r="T1357" s="53" t="str">
        <f t="shared" si="307"/>
        <v/>
      </c>
    </row>
    <row r="1358" spans="1:20">
      <c r="A1358" s="47" t="str">
        <f>IF(archive!E1358="","",archive!E1358)</f>
        <v/>
      </c>
      <c r="B1358" s="48" t="str">
        <f t="shared" si="294"/>
        <v/>
      </c>
      <c r="C1358" s="49" t="str">
        <f>IF(archive!F1358="","",archive!F1358)</f>
        <v/>
      </c>
      <c r="D1358" s="50" t="str">
        <f t="shared" si="295"/>
        <v/>
      </c>
      <c r="E1358" s="50" t="str">
        <f t="shared" si="296"/>
        <v/>
      </c>
      <c r="F1358" s="47" t="str">
        <f>IF(COUNTA(archive!H1358:CI1358)=0,"",COUNTA(archive!H1358:CI1358))</f>
        <v/>
      </c>
      <c r="G1358" s="47" t="str">
        <f>IF(archive!G1358="","",archive!G1358)</f>
        <v/>
      </c>
      <c r="H1358" s="51" t="str">
        <f>IF(archive!CJ1358="","",archive!CJ1358)</f>
        <v/>
      </c>
      <c r="I1358" s="51" t="str">
        <f>IF(archive!CK1358="","",archive!CK1358)</f>
        <v/>
      </c>
      <c r="J1358" s="47" t="str">
        <f t="shared" si="297"/>
        <v/>
      </c>
      <c r="K1358" s="51" t="str">
        <f t="shared" si="298"/>
        <v/>
      </c>
      <c r="L1358" s="52" t="str">
        <f t="shared" si="299"/>
        <v/>
      </c>
      <c r="M1358" s="53" t="str">
        <f t="shared" si="300"/>
        <v/>
      </c>
      <c r="N1358" s="53" t="str">
        <f t="shared" si="301"/>
        <v/>
      </c>
      <c r="O1358" s="53" t="str">
        <f t="shared" si="302"/>
        <v/>
      </c>
      <c r="P1358" s="53" t="str">
        <f t="shared" si="303"/>
        <v/>
      </c>
      <c r="Q1358" s="53" t="str">
        <f t="shared" si="304"/>
        <v/>
      </c>
      <c r="R1358" s="53" t="str">
        <f t="shared" si="305"/>
        <v/>
      </c>
      <c r="S1358" s="53" t="str">
        <f t="shared" si="306"/>
        <v/>
      </c>
      <c r="T1358" s="53" t="str">
        <f t="shared" si="307"/>
        <v/>
      </c>
    </row>
    <row r="1359" spans="1:20">
      <c r="A1359" s="47" t="str">
        <f>IF(archive!E1359="","",archive!E1359)</f>
        <v/>
      </c>
      <c r="B1359" s="48" t="str">
        <f t="shared" si="294"/>
        <v/>
      </c>
      <c r="C1359" s="49" t="str">
        <f>IF(archive!F1359="","",archive!F1359)</f>
        <v/>
      </c>
      <c r="D1359" s="50" t="str">
        <f t="shared" si="295"/>
        <v/>
      </c>
      <c r="E1359" s="50" t="str">
        <f t="shared" si="296"/>
        <v/>
      </c>
      <c r="F1359" s="47" t="str">
        <f>IF(COUNTA(archive!H1359:CI1359)=0,"",COUNTA(archive!H1359:CI1359))</f>
        <v/>
      </c>
      <c r="G1359" s="47" t="str">
        <f>IF(archive!G1359="","",archive!G1359)</f>
        <v/>
      </c>
      <c r="H1359" s="51" t="str">
        <f>IF(archive!CJ1359="","",archive!CJ1359)</f>
        <v/>
      </c>
      <c r="I1359" s="51" t="str">
        <f>IF(archive!CK1359="","",archive!CK1359)</f>
        <v/>
      </c>
      <c r="J1359" s="47" t="str">
        <f t="shared" si="297"/>
        <v/>
      </c>
      <c r="K1359" s="51" t="str">
        <f t="shared" si="298"/>
        <v/>
      </c>
      <c r="L1359" s="52" t="str">
        <f t="shared" si="299"/>
        <v/>
      </c>
      <c r="M1359" s="53" t="str">
        <f t="shared" si="300"/>
        <v/>
      </c>
      <c r="N1359" s="53" t="str">
        <f t="shared" si="301"/>
        <v/>
      </c>
      <c r="O1359" s="53" t="str">
        <f t="shared" si="302"/>
        <v/>
      </c>
      <c r="P1359" s="53" t="str">
        <f t="shared" si="303"/>
        <v/>
      </c>
      <c r="Q1359" s="53" t="str">
        <f t="shared" si="304"/>
        <v/>
      </c>
      <c r="R1359" s="53" t="str">
        <f t="shared" si="305"/>
        <v/>
      </c>
      <c r="S1359" s="53" t="str">
        <f t="shared" si="306"/>
        <v/>
      </c>
      <c r="T1359" s="53" t="str">
        <f t="shared" si="307"/>
        <v/>
      </c>
    </row>
    <row r="1360" spans="1:20">
      <c r="A1360" s="47" t="str">
        <f>IF(archive!E1360="","",archive!E1360)</f>
        <v/>
      </c>
      <c r="B1360" s="48" t="str">
        <f t="shared" si="294"/>
        <v/>
      </c>
      <c r="C1360" s="49" t="str">
        <f>IF(archive!F1360="","",archive!F1360)</f>
        <v/>
      </c>
      <c r="D1360" s="50" t="str">
        <f t="shared" si="295"/>
        <v/>
      </c>
      <c r="E1360" s="50" t="str">
        <f t="shared" si="296"/>
        <v/>
      </c>
      <c r="F1360" s="47" t="str">
        <f>IF(COUNTA(archive!H1360:CI1360)=0,"",COUNTA(archive!H1360:CI1360))</f>
        <v/>
      </c>
      <c r="G1360" s="47" t="str">
        <f>IF(archive!G1360="","",archive!G1360)</f>
        <v/>
      </c>
      <c r="H1360" s="51" t="str">
        <f>IF(archive!CJ1360="","",archive!CJ1360)</f>
        <v/>
      </c>
      <c r="I1360" s="51" t="str">
        <f>IF(archive!CK1360="","",archive!CK1360)</f>
        <v/>
      </c>
      <c r="J1360" s="47" t="str">
        <f t="shared" si="297"/>
        <v/>
      </c>
      <c r="K1360" s="51" t="str">
        <f t="shared" si="298"/>
        <v/>
      </c>
      <c r="L1360" s="52" t="str">
        <f t="shared" si="299"/>
        <v/>
      </c>
      <c r="M1360" s="53" t="str">
        <f t="shared" si="300"/>
        <v/>
      </c>
      <c r="N1360" s="53" t="str">
        <f t="shared" si="301"/>
        <v/>
      </c>
      <c r="O1360" s="53" t="str">
        <f t="shared" si="302"/>
        <v/>
      </c>
      <c r="P1360" s="53" t="str">
        <f t="shared" si="303"/>
        <v/>
      </c>
      <c r="Q1360" s="53" t="str">
        <f t="shared" si="304"/>
        <v/>
      </c>
      <c r="R1360" s="53" t="str">
        <f t="shared" si="305"/>
        <v/>
      </c>
      <c r="S1360" s="53" t="str">
        <f t="shared" si="306"/>
        <v/>
      </c>
      <c r="T1360" s="53" t="str">
        <f t="shared" si="307"/>
        <v/>
      </c>
    </row>
    <row r="1361" spans="1:20">
      <c r="A1361" s="47" t="str">
        <f>IF(archive!E1361="","",archive!E1361)</f>
        <v/>
      </c>
      <c r="B1361" s="48" t="str">
        <f t="shared" si="294"/>
        <v/>
      </c>
      <c r="C1361" s="49" t="str">
        <f>IF(archive!F1361="","",archive!F1361)</f>
        <v/>
      </c>
      <c r="D1361" s="50" t="str">
        <f t="shared" si="295"/>
        <v/>
      </c>
      <c r="E1361" s="50" t="str">
        <f t="shared" si="296"/>
        <v/>
      </c>
      <c r="F1361" s="47" t="str">
        <f>IF(COUNTA(archive!H1361:CI1361)=0,"",COUNTA(archive!H1361:CI1361))</f>
        <v/>
      </c>
      <c r="G1361" s="47" t="str">
        <f>IF(archive!G1361="","",archive!G1361)</f>
        <v/>
      </c>
      <c r="H1361" s="51" t="str">
        <f>IF(archive!CJ1361="","",archive!CJ1361)</f>
        <v/>
      </c>
      <c r="I1361" s="51" t="str">
        <f>IF(archive!CK1361="","",archive!CK1361)</f>
        <v/>
      </c>
      <c r="J1361" s="47" t="str">
        <f t="shared" si="297"/>
        <v/>
      </c>
      <c r="K1361" s="51" t="str">
        <f t="shared" si="298"/>
        <v/>
      </c>
      <c r="L1361" s="52" t="str">
        <f t="shared" si="299"/>
        <v/>
      </c>
      <c r="M1361" s="53" t="str">
        <f t="shared" si="300"/>
        <v/>
      </c>
      <c r="N1361" s="53" t="str">
        <f t="shared" si="301"/>
        <v/>
      </c>
      <c r="O1361" s="53" t="str">
        <f t="shared" si="302"/>
        <v/>
      </c>
      <c r="P1361" s="53" t="str">
        <f t="shared" si="303"/>
        <v/>
      </c>
      <c r="Q1361" s="53" t="str">
        <f t="shared" si="304"/>
        <v/>
      </c>
      <c r="R1361" s="53" t="str">
        <f t="shared" si="305"/>
        <v/>
      </c>
      <c r="S1361" s="53" t="str">
        <f t="shared" si="306"/>
        <v/>
      </c>
      <c r="T1361" s="53" t="str">
        <f t="shared" si="307"/>
        <v/>
      </c>
    </row>
    <row r="1362" spans="1:20">
      <c r="A1362" s="47" t="str">
        <f>IF(archive!E1362="","",archive!E1362)</f>
        <v/>
      </c>
      <c r="B1362" s="48" t="str">
        <f t="shared" si="294"/>
        <v/>
      </c>
      <c r="C1362" s="49" t="str">
        <f>IF(archive!F1362="","",archive!F1362)</f>
        <v/>
      </c>
      <c r="D1362" s="50" t="str">
        <f t="shared" si="295"/>
        <v/>
      </c>
      <c r="E1362" s="50" t="str">
        <f t="shared" si="296"/>
        <v/>
      </c>
      <c r="F1362" s="47" t="str">
        <f>IF(COUNTA(archive!H1362:CI1362)=0,"",COUNTA(archive!H1362:CI1362))</f>
        <v/>
      </c>
      <c r="G1362" s="47" t="str">
        <f>IF(archive!G1362="","",archive!G1362)</f>
        <v/>
      </c>
      <c r="H1362" s="51" t="str">
        <f>IF(archive!CJ1362="","",archive!CJ1362)</f>
        <v/>
      </c>
      <c r="I1362" s="51" t="str">
        <f>IF(archive!CK1362="","",archive!CK1362)</f>
        <v/>
      </c>
      <c r="J1362" s="47" t="str">
        <f t="shared" si="297"/>
        <v/>
      </c>
      <c r="K1362" s="51" t="str">
        <f t="shared" si="298"/>
        <v/>
      </c>
      <c r="L1362" s="52" t="str">
        <f t="shared" si="299"/>
        <v/>
      </c>
      <c r="M1362" s="53" t="str">
        <f t="shared" si="300"/>
        <v/>
      </c>
      <c r="N1362" s="53" t="str">
        <f t="shared" si="301"/>
        <v/>
      </c>
      <c r="O1362" s="53" t="str">
        <f t="shared" si="302"/>
        <v/>
      </c>
      <c r="P1362" s="53" t="str">
        <f t="shared" si="303"/>
        <v/>
      </c>
      <c r="Q1362" s="53" t="str">
        <f t="shared" si="304"/>
        <v/>
      </c>
      <c r="R1362" s="53" t="str">
        <f t="shared" si="305"/>
        <v/>
      </c>
      <c r="S1362" s="53" t="str">
        <f t="shared" si="306"/>
        <v/>
      </c>
      <c r="T1362" s="53" t="str">
        <f t="shared" si="307"/>
        <v/>
      </c>
    </row>
    <row r="1363" spans="1:20">
      <c r="A1363" s="47" t="str">
        <f>IF(archive!E1363="","",archive!E1363)</f>
        <v/>
      </c>
      <c r="B1363" s="48" t="str">
        <f t="shared" si="294"/>
        <v/>
      </c>
      <c r="C1363" s="49" t="str">
        <f>IF(archive!F1363="","",archive!F1363)</f>
        <v/>
      </c>
      <c r="D1363" s="50" t="str">
        <f t="shared" si="295"/>
        <v/>
      </c>
      <c r="E1363" s="50" t="str">
        <f t="shared" si="296"/>
        <v/>
      </c>
      <c r="F1363" s="47" t="str">
        <f>IF(COUNTA(archive!H1363:CI1363)=0,"",COUNTA(archive!H1363:CI1363))</f>
        <v/>
      </c>
      <c r="G1363" s="47" t="str">
        <f>IF(archive!G1363="","",archive!G1363)</f>
        <v/>
      </c>
      <c r="H1363" s="51" t="str">
        <f>IF(archive!CJ1363="","",archive!CJ1363)</f>
        <v/>
      </c>
      <c r="I1363" s="51" t="str">
        <f>IF(archive!CK1363="","",archive!CK1363)</f>
        <v/>
      </c>
      <c r="J1363" s="47" t="str">
        <f t="shared" si="297"/>
        <v/>
      </c>
      <c r="K1363" s="51" t="str">
        <f t="shared" si="298"/>
        <v/>
      </c>
      <c r="L1363" s="52" t="str">
        <f t="shared" si="299"/>
        <v/>
      </c>
      <c r="M1363" s="53" t="str">
        <f t="shared" si="300"/>
        <v/>
      </c>
      <c r="N1363" s="53" t="str">
        <f t="shared" si="301"/>
        <v/>
      </c>
      <c r="O1363" s="53" t="str">
        <f t="shared" si="302"/>
        <v/>
      </c>
      <c r="P1363" s="53" t="str">
        <f t="shared" si="303"/>
        <v/>
      </c>
      <c r="Q1363" s="53" t="str">
        <f t="shared" si="304"/>
        <v/>
      </c>
      <c r="R1363" s="53" t="str">
        <f t="shared" si="305"/>
        <v/>
      </c>
      <c r="S1363" s="53" t="str">
        <f t="shared" si="306"/>
        <v/>
      </c>
      <c r="T1363" s="53" t="str">
        <f t="shared" si="307"/>
        <v/>
      </c>
    </row>
    <row r="1364" spans="1:20">
      <c r="A1364" s="47" t="str">
        <f>IF(archive!E1364="","",archive!E1364)</f>
        <v/>
      </c>
      <c r="B1364" s="48" t="str">
        <f t="shared" si="294"/>
        <v/>
      </c>
      <c r="C1364" s="49" t="str">
        <f>IF(archive!F1364="","",archive!F1364)</f>
        <v/>
      </c>
      <c r="D1364" s="50" t="str">
        <f t="shared" si="295"/>
        <v/>
      </c>
      <c r="E1364" s="50" t="str">
        <f t="shared" si="296"/>
        <v/>
      </c>
      <c r="F1364" s="47" t="str">
        <f>IF(COUNTA(archive!H1364:CI1364)=0,"",COUNTA(archive!H1364:CI1364))</f>
        <v/>
      </c>
      <c r="G1364" s="47" t="str">
        <f>IF(archive!G1364="","",archive!G1364)</f>
        <v/>
      </c>
      <c r="H1364" s="51" t="str">
        <f>IF(archive!CJ1364="","",archive!CJ1364)</f>
        <v/>
      </c>
      <c r="I1364" s="51" t="str">
        <f>IF(archive!CK1364="","",archive!CK1364)</f>
        <v/>
      </c>
      <c r="J1364" s="47" t="str">
        <f t="shared" si="297"/>
        <v/>
      </c>
      <c r="K1364" s="51" t="str">
        <f t="shared" si="298"/>
        <v/>
      </c>
      <c r="L1364" s="52" t="str">
        <f t="shared" si="299"/>
        <v/>
      </c>
      <c r="M1364" s="53" t="str">
        <f t="shared" si="300"/>
        <v/>
      </c>
      <c r="N1364" s="53" t="str">
        <f t="shared" si="301"/>
        <v/>
      </c>
      <c r="O1364" s="53" t="str">
        <f t="shared" si="302"/>
        <v/>
      </c>
      <c r="P1364" s="53" t="str">
        <f t="shared" si="303"/>
        <v/>
      </c>
      <c r="Q1364" s="53" t="str">
        <f t="shared" si="304"/>
        <v/>
      </c>
      <c r="R1364" s="53" t="str">
        <f t="shared" si="305"/>
        <v/>
      </c>
      <c r="S1364" s="53" t="str">
        <f t="shared" si="306"/>
        <v/>
      </c>
      <c r="T1364" s="53" t="str">
        <f t="shared" si="307"/>
        <v/>
      </c>
    </row>
    <row r="1365" spans="1:20">
      <c r="A1365" s="47" t="str">
        <f>IF(archive!E1365="","",archive!E1365)</f>
        <v/>
      </c>
      <c r="B1365" s="48" t="str">
        <f t="shared" si="294"/>
        <v/>
      </c>
      <c r="C1365" s="49" t="str">
        <f>IF(archive!F1365="","",archive!F1365)</f>
        <v/>
      </c>
      <c r="D1365" s="50" t="str">
        <f t="shared" si="295"/>
        <v/>
      </c>
      <c r="E1365" s="50" t="str">
        <f t="shared" si="296"/>
        <v/>
      </c>
      <c r="F1365" s="47" t="str">
        <f>IF(COUNTA(archive!H1365:CI1365)=0,"",COUNTA(archive!H1365:CI1365))</f>
        <v/>
      </c>
      <c r="G1365" s="47" t="str">
        <f>IF(archive!G1365="","",archive!G1365)</f>
        <v/>
      </c>
      <c r="H1365" s="51" t="str">
        <f>IF(archive!CJ1365="","",archive!CJ1365)</f>
        <v/>
      </c>
      <c r="I1365" s="51" t="str">
        <f>IF(archive!CK1365="","",archive!CK1365)</f>
        <v/>
      </c>
      <c r="J1365" s="47" t="str">
        <f t="shared" si="297"/>
        <v/>
      </c>
      <c r="K1365" s="51" t="str">
        <f t="shared" si="298"/>
        <v/>
      </c>
      <c r="L1365" s="52" t="str">
        <f t="shared" si="299"/>
        <v/>
      </c>
      <c r="M1365" s="53" t="str">
        <f t="shared" si="300"/>
        <v/>
      </c>
      <c r="N1365" s="53" t="str">
        <f t="shared" si="301"/>
        <v/>
      </c>
      <c r="O1365" s="53" t="str">
        <f t="shared" si="302"/>
        <v/>
      </c>
      <c r="P1365" s="53" t="str">
        <f t="shared" si="303"/>
        <v/>
      </c>
      <c r="Q1365" s="53" t="str">
        <f t="shared" si="304"/>
        <v/>
      </c>
      <c r="R1365" s="53" t="str">
        <f t="shared" si="305"/>
        <v/>
      </c>
      <c r="S1365" s="53" t="str">
        <f t="shared" si="306"/>
        <v/>
      </c>
      <c r="T1365" s="53" t="str">
        <f t="shared" si="307"/>
        <v/>
      </c>
    </row>
    <row r="1366" spans="1:20">
      <c r="A1366" s="47" t="str">
        <f>IF(archive!E1366="","",archive!E1366)</f>
        <v/>
      </c>
      <c r="B1366" s="48" t="str">
        <f t="shared" si="294"/>
        <v/>
      </c>
      <c r="C1366" s="49" t="str">
        <f>IF(archive!F1366="","",archive!F1366)</f>
        <v/>
      </c>
      <c r="D1366" s="50" t="str">
        <f t="shared" si="295"/>
        <v/>
      </c>
      <c r="E1366" s="50" t="str">
        <f t="shared" si="296"/>
        <v/>
      </c>
      <c r="F1366" s="47" t="str">
        <f>IF(COUNTA(archive!H1366:CI1366)=0,"",COUNTA(archive!H1366:CI1366))</f>
        <v/>
      </c>
      <c r="G1366" s="47" t="str">
        <f>IF(archive!G1366="","",archive!G1366)</f>
        <v/>
      </c>
      <c r="H1366" s="51" t="str">
        <f>IF(archive!CJ1366="","",archive!CJ1366)</f>
        <v/>
      </c>
      <c r="I1366" s="51" t="str">
        <f>IF(archive!CK1366="","",archive!CK1366)</f>
        <v/>
      </c>
      <c r="J1366" s="47" t="str">
        <f t="shared" si="297"/>
        <v/>
      </c>
      <c r="K1366" s="51" t="str">
        <f t="shared" si="298"/>
        <v/>
      </c>
      <c r="L1366" s="52" t="str">
        <f t="shared" si="299"/>
        <v/>
      </c>
      <c r="M1366" s="53" t="str">
        <f t="shared" si="300"/>
        <v/>
      </c>
      <c r="N1366" s="53" t="str">
        <f t="shared" si="301"/>
        <v/>
      </c>
      <c r="O1366" s="53" t="str">
        <f t="shared" si="302"/>
        <v/>
      </c>
      <c r="P1366" s="53" t="str">
        <f t="shared" si="303"/>
        <v/>
      </c>
      <c r="Q1366" s="53" t="str">
        <f t="shared" si="304"/>
        <v/>
      </c>
      <c r="R1366" s="53" t="str">
        <f t="shared" si="305"/>
        <v/>
      </c>
      <c r="S1366" s="53" t="str">
        <f t="shared" si="306"/>
        <v/>
      </c>
      <c r="T1366" s="53" t="str">
        <f t="shared" si="307"/>
        <v/>
      </c>
    </row>
    <row r="1367" spans="1:20">
      <c r="A1367" s="47" t="str">
        <f>IF(archive!E1367="","",archive!E1367)</f>
        <v/>
      </c>
      <c r="B1367" s="48" t="str">
        <f t="shared" si="294"/>
        <v/>
      </c>
      <c r="C1367" s="49" t="str">
        <f>IF(archive!F1367="","",archive!F1367)</f>
        <v/>
      </c>
      <c r="D1367" s="50" t="str">
        <f t="shared" si="295"/>
        <v/>
      </c>
      <c r="E1367" s="50" t="str">
        <f t="shared" si="296"/>
        <v/>
      </c>
      <c r="F1367" s="47" t="str">
        <f>IF(COUNTA(archive!H1367:CI1367)=0,"",COUNTA(archive!H1367:CI1367))</f>
        <v/>
      </c>
      <c r="G1367" s="47" t="str">
        <f>IF(archive!G1367="","",archive!G1367)</f>
        <v/>
      </c>
      <c r="H1367" s="51" t="str">
        <f>IF(archive!CJ1367="","",archive!CJ1367)</f>
        <v/>
      </c>
      <c r="I1367" s="51" t="str">
        <f>IF(archive!CK1367="","",archive!CK1367)</f>
        <v/>
      </c>
      <c r="J1367" s="47" t="str">
        <f t="shared" si="297"/>
        <v/>
      </c>
      <c r="K1367" s="51" t="str">
        <f t="shared" si="298"/>
        <v/>
      </c>
      <c r="L1367" s="52" t="str">
        <f t="shared" si="299"/>
        <v/>
      </c>
      <c r="M1367" s="53" t="str">
        <f t="shared" si="300"/>
        <v/>
      </c>
      <c r="N1367" s="53" t="str">
        <f t="shared" si="301"/>
        <v/>
      </c>
      <c r="O1367" s="53" t="str">
        <f t="shared" si="302"/>
        <v/>
      </c>
      <c r="P1367" s="53" t="str">
        <f t="shared" si="303"/>
        <v/>
      </c>
      <c r="Q1367" s="53" t="str">
        <f t="shared" si="304"/>
        <v/>
      </c>
      <c r="R1367" s="53" t="str">
        <f t="shared" si="305"/>
        <v/>
      </c>
      <c r="S1367" s="53" t="str">
        <f t="shared" si="306"/>
        <v/>
      </c>
      <c r="T1367" s="53" t="str">
        <f t="shared" si="307"/>
        <v/>
      </c>
    </row>
    <row r="1368" spans="1:20">
      <c r="A1368" s="47" t="str">
        <f>IF(archive!E1368="","",archive!E1368)</f>
        <v/>
      </c>
      <c r="B1368" s="48" t="str">
        <f t="shared" si="294"/>
        <v/>
      </c>
      <c r="C1368" s="49" t="str">
        <f>IF(archive!F1368="","",archive!F1368)</f>
        <v/>
      </c>
      <c r="D1368" s="50" t="str">
        <f t="shared" si="295"/>
        <v/>
      </c>
      <c r="E1368" s="50" t="str">
        <f t="shared" si="296"/>
        <v/>
      </c>
      <c r="F1368" s="47" t="str">
        <f>IF(COUNTA(archive!H1368:CI1368)=0,"",COUNTA(archive!H1368:CI1368))</f>
        <v/>
      </c>
      <c r="G1368" s="47" t="str">
        <f>IF(archive!G1368="","",archive!G1368)</f>
        <v/>
      </c>
      <c r="H1368" s="51" t="str">
        <f>IF(archive!CJ1368="","",archive!CJ1368)</f>
        <v/>
      </c>
      <c r="I1368" s="51" t="str">
        <f>IF(archive!CK1368="","",archive!CK1368)</f>
        <v/>
      </c>
      <c r="J1368" s="47" t="str">
        <f t="shared" si="297"/>
        <v/>
      </c>
      <c r="K1368" s="51" t="str">
        <f t="shared" si="298"/>
        <v/>
      </c>
      <c r="L1368" s="52" t="str">
        <f t="shared" si="299"/>
        <v/>
      </c>
      <c r="M1368" s="53" t="str">
        <f t="shared" si="300"/>
        <v/>
      </c>
      <c r="N1368" s="53" t="str">
        <f t="shared" si="301"/>
        <v/>
      </c>
      <c r="O1368" s="53" t="str">
        <f t="shared" si="302"/>
        <v/>
      </c>
      <c r="P1368" s="53" t="str">
        <f t="shared" si="303"/>
        <v/>
      </c>
      <c r="Q1368" s="53" t="str">
        <f t="shared" si="304"/>
        <v/>
      </c>
      <c r="R1368" s="53" t="str">
        <f t="shared" si="305"/>
        <v/>
      </c>
      <c r="S1368" s="53" t="str">
        <f t="shared" si="306"/>
        <v/>
      </c>
      <c r="T1368" s="53" t="str">
        <f t="shared" si="307"/>
        <v/>
      </c>
    </row>
    <row r="1369" spans="1:20">
      <c r="A1369" s="47" t="str">
        <f>IF(archive!E1369="","",archive!E1369)</f>
        <v/>
      </c>
      <c r="B1369" s="48" t="str">
        <f t="shared" si="294"/>
        <v/>
      </c>
      <c r="C1369" s="49" t="str">
        <f>IF(archive!F1369="","",archive!F1369)</f>
        <v/>
      </c>
      <c r="D1369" s="50" t="str">
        <f t="shared" si="295"/>
        <v/>
      </c>
      <c r="E1369" s="50" t="str">
        <f t="shared" si="296"/>
        <v/>
      </c>
      <c r="F1369" s="47" t="str">
        <f>IF(COUNTA(archive!H1369:CI1369)=0,"",COUNTA(archive!H1369:CI1369))</f>
        <v/>
      </c>
      <c r="G1369" s="47" t="str">
        <f>IF(archive!G1369="","",archive!G1369)</f>
        <v/>
      </c>
      <c r="H1369" s="51" t="str">
        <f>IF(archive!CJ1369="","",archive!CJ1369)</f>
        <v/>
      </c>
      <c r="I1369" s="51" t="str">
        <f>IF(archive!CK1369="","",archive!CK1369)</f>
        <v/>
      </c>
      <c r="J1369" s="47" t="str">
        <f t="shared" si="297"/>
        <v/>
      </c>
      <c r="K1369" s="51" t="str">
        <f t="shared" si="298"/>
        <v/>
      </c>
      <c r="L1369" s="52" t="str">
        <f t="shared" si="299"/>
        <v/>
      </c>
      <c r="M1369" s="53" t="str">
        <f t="shared" si="300"/>
        <v/>
      </c>
      <c r="N1369" s="53" t="str">
        <f t="shared" si="301"/>
        <v/>
      </c>
      <c r="O1369" s="53" t="str">
        <f t="shared" si="302"/>
        <v/>
      </c>
      <c r="P1369" s="53" t="str">
        <f t="shared" si="303"/>
        <v/>
      </c>
      <c r="Q1369" s="53" t="str">
        <f t="shared" si="304"/>
        <v/>
      </c>
      <c r="R1369" s="53" t="str">
        <f t="shared" si="305"/>
        <v/>
      </c>
      <c r="S1369" s="53" t="str">
        <f t="shared" si="306"/>
        <v/>
      </c>
      <c r="T1369" s="53" t="str">
        <f t="shared" si="307"/>
        <v/>
      </c>
    </row>
    <row r="1370" spans="1:20">
      <c r="A1370" s="47" t="str">
        <f>IF(archive!E1370="","",archive!E1370)</f>
        <v/>
      </c>
      <c r="B1370" s="48" t="str">
        <f t="shared" si="294"/>
        <v/>
      </c>
      <c r="C1370" s="49" t="str">
        <f>IF(archive!F1370="","",archive!F1370)</f>
        <v/>
      </c>
      <c r="D1370" s="50" t="str">
        <f t="shared" si="295"/>
        <v/>
      </c>
      <c r="E1370" s="50" t="str">
        <f t="shared" si="296"/>
        <v/>
      </c>
      <c r="F1370" s="47" t="str">
        <f>IF(COUNTA(archive!H1370:CI1370)=0,"",COUNTA(archive!H1370:CI1370))</f>
        <v/>
      </c>
      <c r="G1370" s="47" t="str">
        <f>IF(archive!G1370="","",archive!G1370)</f>
        <v/>
      </c>
      <c r="H1370" s="51" t="str">
        <f>IF(archive!CJ1370="","",archive!CJ1370)</f>
        <v/>
      </c>
      <c r="I1370" s="51" t="str">
        <f>IF(archive!CK1370="","",archive!CK1370)</f>
        <v/>
      </c>
      <c r="J1370" s="47" t="str">
        <f t="shared" si="297"/>
        <v/>
      </c>
      <c r="K1370" s="51" t="str">
        <f t="shared" si="298"/>
        <v/>
      </c>
      <c r="L1370" s="52" t="str">
        <f t="shared" si="299"/>
        <v/>
      </c>
      <c r="M1370" s="53" t="str">
        <f t="shared" si="300"/>
        <v/>
      </c>
      <c r="N1370" s="53" t="str">
        <f t="shared" si="301"/>
        <v/>
      </c>
      <c r="O1370" s="53" t="str">
        <f t="shared" si="302"/>
        <v/>
      </c>
      <c r="P1370" s="53" t="str">
        <f t="shared" si="303"/>
        <v/>
      </c>
      <c r="Q1370" s="53" t="str">
        <f t="shared" si="304"/>
        <v/>
      </c>
      <c r="R1370" s="53" t="str">
        <f t="shared" si="305"/>
        <v/>
      </c>
      <c r="S1370" s="53" t="str">
        <f t="shared" si="306"/>
        <v/>
      </c>
      <c r="T1370" s="53" t="str">
        <f t="shared" si="307"/>
        <v/>
      </c>
    </row>
    <row r="1371" spans="1:20">
      <c r="A1371" s="47" t="str">
        <f>IF(archive!E1371="","",archive!E1371)</f>
        <v/>
      </c>
      <c r="B1371" s="48" t="str">
        <f t="shared" si="294"/>
        <v/>
      </c>
      <c r="C1371" s="49" t="str">
        <f>IF(archive!F1371="","",archive!F1371)</f>
        <v/>
      </c>
      <c r="D1371" s="50" t="str">
        <f t="shared" si="295"/>
        <v/>
      </c>
      <c r="E1371" s="50" t="str">
        <f t="shared" si="296"/>
        <v/>
      </c>
      <c r="F1371" s="47" t="str">
        <f>IF(COUNTA(archive!H1371:CI1371)=0,"",COUNTA(archive!H1371:CI1371))</f>
        <v/>
      </c>
      <c r="G1371" s="47" t="str">
        <f>IF(archive!G1371="","",archive!G1371)</f>
        <v/>
      </c>
      <c r="H1371" s="51" t="str">
        <f>IF(archive!CJ1371="","",archive!CJ1371)</f>
        <v/>
      </c>
      <c r="I1371" s="51" t="str">
        <f>IF(archive!CK1371="","",archive!CK1371)</f>
        <v/>
      </c>
      <c r="J1371" s="47" t="str">
        <f t="shared" si="297"/>
        <v/>
      </c>
      <c r="K1371" s="51" t="str">
        <f t="shared" si="298"/>
        <v/>
      </c>
      <c r="L1371" s="52" t="str">
        <f t="shared" si="299"/>
        <v/>
      </c>
      <c r="M1371" s="53" t="str">
        <f t="shared" si="300"/>
        <v/>
      </c>
      <c r="N1371" s="53" t="str">
        <f t="shared" si="301"/>
        <v/>
      </c>
      <c r="O1371" s="53" t="str">
        <f t="shared" si="302"/>
        <v/>
      </c>
      <c r="P1371" s="53" t="str">
        <f t="shared" si="303"/>
        <v/>
      </c>
      <c r="Q1371" s="53" t="str">
        <f t="shared" si="304"/>
        <v/>
      </c>
      <c r="R1371" s="53" t="str">
        <f t="shared" si="305"/>
        <v/>
      </c>
      <c r="S1371" s="53" t="str">
        <f t="shared" si="306"/>
        <v/>
      </c>
      <c r="T1371" s="53" t="str">
        <f t="shared" si="307"/>
        <v/>
      </c>
    </row>
    <row r="1372" spans="1:20">
      <c r="A1372" s="47" t="str">
        <f>IF(archive!E1372="","",archive!E1372)</f>
        <v/>
      </c>
      <c r="B1372" s="48" t="str">
        <f t="shared" si="294"/>
        <v/>
      </c>
      <c r="C1372" s="49" t="str">
        <f>IF(archive!F1372="","",archive!F1372)</f>
        <v/>
      </c>
      <c r="D1372" s="50" t="str">
        <f t="shared" si="295"/>
        <v/>
      </c>
      <c r="E1372" s="50" t="str">
        <f t="shared" si="296"/>
        <v/>
      </c>
      <c r="F1372" s="47" t="str">
        <f>IF(COUNTA(archive!H1372:CI1372)=0,"",COUNTA(archive!H1372:CI1372))</f>
        <v/>
      </c>
      <c r="G1372" s="47" t="str">
        <f>IF(archive!G1372="","",archive!G1372)</f>
        <v/>
      </c>
      <c r="H1372" s="51" t="str">
        <f>IF(archive!CJ1372="","",archive!CJ1372)</f>
        <v/>
      </c>
      <c r="I1372" s="51" t="str">
        <f>IF(archive!CK1372="","",archive!CK1372)</f>
        <v/>
      </c>
      <c r="J1372" s="47" t="str">
        <f t="shared" si="297"/>
        <v/>
      </c>
      <c r="K1372" s="51" t="str">
        <f t="shared" si="298"/>
        <v/>
      </c>
      <c r="L1372" s="52" t="str">
        <f t="shared" si="299"/>
        <v/>
      </c>
      <c r="M1372" s="53" t="str">
        <f t="shared" si="300"/>
        <v/>
      </c>
      <c r="N1372" s="53" t="str">
        <f t="shared" si="301"/>
        <v/>
      </c>
      <c r="O1372" s="53" t="str">
        <f t="shared" si="302"/>
        <v/>
      </c>
      <c r="P1372" s="53" t="str">
        <f t="shared" si="303"/>
        <v/>
      </c>
      <c r="Q1372" s="53" t="str">
        <f t="shared" si="304"/>
        <v/>
      </c>
      <c r="R1372" s="53" t="str">
        <f t="shared" si="305"/>
        <v/>
      </c>
      <c r="S1372" s="53" t="str">
        <f t="shared" si="306"/>
        <v/>
      </c>
      <c r="T1372" s="53" t="str">
        <f t="shared" si="307"/>
        <v/>
      </c>
    </row>
    <row r="1373" spans="1:20">
      <c r="A1373" s="47" t="str">
        <f>IF(archive!E1373="","",archive!E1373)</f>
        <v/>
      </c>
      <c r="B1373" s="48" t="str">
        <f t="shared" si="294"/>
        <v/>
      </c>
      <c r="C1373" s="49" t="str">
        <f>IF(archive!F1373="","",archive!F1373)</f>
        <v/>
      </c>
      <c r="D1373" s="50" t="str">
        <f t="shared" si="295"/>
        <v/>
      </c>
      <c r="E1373" s="50" t="str">
        <f t="shared" si="296"/>
        <v/>
      </c>
      <c r="F1373" s="47" t="str">
        <f>IF(COUNTA(archive!H1373:CI1373)=0,"",COUNTA(archive!H1373:CI1373))</f>
        <v/>
      </c>
      <c r="G1373" s="47" t="str">
        <f>IF(archive!G1373="","",archive!G1373)</f>
        <v/>
      </c>
      <c r="H1373" s="51" t="str">
        <f>IF(archive!CJ1373="","",archive!CJ1373)</f>
        <v/>
      </c>
      <c r="I1373" s="51" t="str">
        <f>IF(archive!CK1373="","",archive!CK1373)</f>
        <v/>
      </c>
      <c r="J1373" s="47" t="str">
        <f t="shared" si="297"/>
        <v/>
      </c>
      <c r="K1373" s="51" t="str">
        <f t="shared" si="298"/>
        <v/>
      </c>
      <c r="L1373" s="52" t="str">
        <f t="shared" si="299"/>
        <v/>
      </c>
      <c r="M1373" s="53" t="str">
        <f t="shared" si="300"/>
        <v/>
      </c>
      <c r="N1373" s="53" t="str">
        <f t="shared" si="301"/>
        <v/>
      </c>
      <c r="O1373" s="53" t="str">
        <f t="shared" si="302"/>
        <v/>
      </c>
      <c r="P1373" s="53" t="str">
        <f t="shared" si="303"/>
        <v/>
      </c>
      <c r="Q1373" s="53" t="str">
        <f t="shared" si="304"/>
        <v/>
      </c>
      <c r="R1373" s="53" t="str">
        <f t="shared" si="305"/>
        <v/>
      </c>
      <c r="S1373" s="53" t="str">
        <f t="shared" si="306"/>
        <v/>
      </c>
      <c r="T1373" s="53" t="str">
        <f t="shared" si="307"/>
        <v/>
      </c>
    </row>
    <row r="1374" spans="1:20">
      <c r="A1374" s="47" t="str">
        <f>IF(archive!E1374="","",archive!E1374)</f>
        <v/>
      </c>
      <c r="B1374" s="48" t="str">
        <f t="shared" si="294"/>
        <v/>
      </c>
      <c r="C1374" s="49" t="str">
        <f>IF(archive!F1374="","",archive!F1374)</f>
        <v/>
      </c>
      <c r="D1374" s="50" t="str">
        <f t="shared" si="295"/>
        <v/>
      </c>
      <c r="E1374" s="50" t="str">
        <f t="shared" si="296"/>
        <v/>
      </c>
      <c r="F1374" s="47" t="str">
        <f>IF(COUNTA(archive!H1374:CI1374)=0,"",COUNTA(archive!H1374:CI1374))</f>
        <v/>
      </c>
      <c r="G1374" s="47" t="str">
        <f>IF(archive!G1374="","",archive!G1374)</f>
        <v/>
      </c>
      <c r="H1374" s="51" t="str">
        <f>IF(archive!CJ1374="","",archive!CJ1374)</f>
        <v/>
      </c>
      <c r="I1374" s="51" t="str">
        <f>IF(archive!CK1374="","",archive!CK1374)</f>
        <v/>
      </c>
      <c r="J1374" s="47" t="str">
        <f t="shared" si="297"/>
        <v/>
      </c>
      <c r="K1374" s="51" t="str">
        <f t="shared" si="298"/>
        <v/>
      </c>
      <c r="L1374" s="52" t="str">
        <f t="shared" si="299"/>
        <v/>
      </c>
      <c r="M1374" s="53" t="str">
        <f t="shared" si="300"/>
        <v/>
      </c>
      <c r="N1374" s="53" t="str">
        <f t="shared" si="301"/>
        <v/>
      </c>
      <c r="O1374" s="53" t="str">
        <f t="shared" si="302"/>
        <v/>
      </c>
      <c r="P1374" s="53" t="str">
        <f t="shared" si="303"/>
        <v/>
      </c>
      <c r="Q1374" s="53" t="str">
        <f t="shared" si="304"/>
        <v/>
      </c>
      <c r="R1374" s="53" t="str">
        <f t="shared" si="305"/>
        <v/>
      </c>
      <c r="S1374" s="53" t="str">
        <f t="shared" si="306"/>
        <v/>
      </c>
      <c r="T1374" s="53" t="str">
        <f t="shared" si="307"/>
        <v/>
      </c>
    </row>
    <row r="1375" spans="1:20">
      <c r="A1375" s="47" t="str">
        <f>IF(archive!E1375="","",archive!E1375)</f>
        <v/>
      </c>
      <c r="B1375" s="48" t="str">
        <f t="shared" si="294"/>
        <v/>
      </c>
      <c r="C1375" s="49" t="str">
        <f>IF(archive!F1375="","",archive!F1375)</f>
        <v/>
      </c>
      <c r="D1375" s="50" t="str">
        <f t="shared" si="295"/>
        <v/>
      </c>
      <c r="E1375" s="50" t="str">
        <f t="shared" si="296"/>
        <v/>
      </c>
      <c r="F1375" s="47" t="str">
        <f>IF(COUNTA(archive!H1375:CI1375)=0,"",COUNTA(archive!H1375:CI1375))</f>
        <v/>
      </c>
      <c r="G1375" s="47" t="str">
        <f>IF(archive!G1375="","",archive!G1375)</f>
        <v/>
      </c>
      <c r="H1375" s="51" t="str">
        <f>IF(archive!CJ1375="","",archive!CJ1375)</f>
        <v/>
      </c>
      <c r="I1375" s="51" t="str">
        <f>IF(archive!CK1375="","",archive!CK1375)</f>
        <v/>
      </c>
      <c r="J1375" s="47" t="str">
        <f t="shared" si="297"/>
        <v/>
      </c>
      <c r="K1375" s="51" t="str">
        <f t="shared" si="298"/>
        <v/>
      </c>
      <c r="L1375" s="52" t="str">
        <f t="shared" si="299"/>
        <v/>
      </c>
      <c r="M1375" s="53" t="str">
        <f t="shared" si="300"/>
        <v/>
      </c>
      <c r="N1375" s="53" t="str">
        <f t="shared" si="301"/>
        <v/>
      </c>
      <c r="O1375" s="53" t="str">
        <f t="shared" si="302"/>
        <v/>
      </c>
      <c r="P1375" s="53" t="str">
        <f t="shared" si="303"/>
        <v/>
      </c>
      <c r="Q1375" s="53" t="str">
        <f t="shared" si="304"/>
        <v/>
      </c>
      <c r="R1375" s="53" t="str">
        <f t="shared" si="305"/>
        <v/>
      </c>
      <c r="S1375" s="53" t="str">
        <f t="shared" si="306"/>
        <v/>
      </c>
      <c r="T1375" s="53" t="str">
        <f t="shared" si="307"/>
        <v/>
      </c>
    </row>
    <row r="1376" spans="1:20">
      <c r="A1376" s="47" t="str">
        <f>IF(archive!E1376="","",archive!E1376)</f>
        <v/>
      </c>
      <c r="B1376" s="48" t="str">
        <f t="shared" si="294"/>
        <v/>
      </c>
      <c r="C1376" s="49" t="str">
        <f>IF(archive!F1376="","",archive!F1376)</f>
        <v/>
      </c>
      <c r="D1376" s="50" t="str">
        <f t="shared" si="295"/>
        <v/>
      </c>
      <c r="E1376" s="50" t="str">
        <f t="shared" si="296"/>
        <v/>
      </c>
      <c r="F1376" s="47" t="str">
        <f>IF(COUNTA(archive!H1376:CI1376)=0,"",COUNTA(archive!H1376:CI1376))</f>
        <v/>
      </c>
      <c r="G1376" s="47" t="str">
        <f>IF(archive!G1376="","",archive!G1376)</f>
        <v/>
      </c>
      <c r="H1376" s="51" t="str">
        <f>IF(archive!CJ1376="","",archive!CJ1376)</f>
        <v/>
      </c>
      <c r="I1376" s="51" t="str">
        <f>IF(archive!CK1376="","",archive!CK1376)</f>
        <v/>
      </c>
      <c r="J1376" s="47" t="str">
        <f t="shared" si="297"/>
        <v/>
      </c>
      <c r="K1376" s="51" t="str">
        <f t="shared" si="298"/>
        <v/>
      </c>
      <c r="L1376" s="52" t="str">
        <f t="shared" si="299"/>
        <v/>
      </c>
      <c r="M1376" s="53" t="str">
        <f t="shared" si="300"/>
        <v/>
      </c>
      <c r="N1376" s="53" t="str">
        <f t="shared" si="301"/>
        <v/>
      </c>
      <c r="O1376" s="53" t="str">
        <f t="shared" si="302"/>
        <v/>
      </c>
      <c r="P1376" s="53" t="str">
        <f t="shared" si="303"/>
        <v/>
      </c>
      <c r="Q1376" s="53" t="str">
        <f t="shared" si="304"/>
        <v/>
      </c>
      <c r="R1376" s="53" t="str">
        <f t="shared" si="305"/>
        <v/>
      </c>
      <c r="S1376" s="53" t="str">
        <f t="shared" si="306"/>
        <v/>
      </c>
      <c r="T1376" s="53" t="str">
        <f t="shared" si="307"/>
        <v/>
      </c>
    </row>
    <row r="1377" spans="1:20">
      <c r="A1377" s="47" t="str">
        <f>IF(archive!E1377="","",archive!E1377)</f>
        <v/>
      </c>
      <c r="B1377" s="48" t="str">
        <f t="shared" si="294"/>
        <v/>
      </c>
      <c r="C1377" s="49" t="str">
        <f>IF(archive!F1377="","",archive!F1377)</f>
        <v/>
      </c>
      <c r="D1377" s="50" t="str">
        <f t="shared" si="295"/>
        <v/>
      </c>
      <c r="E1377" s="50" t="str">
        <f t="shared" si="296"/>
        <v/>
      </c>
      <c r="F1377" s="47" t="str">
        <f>IF(COUNTA(archive!H1377:CI1377)=0,"",COUNTA(archive!H1377:CI1377))</f>
        <v/>
      </c>
      <c r="G1377" s="47" t="str">
        <f>IF(archive!G1377="","",archive!G1377)</f>
        <v/>
      </c>
      <c r="H1377" s="51" t="str">
        <f>IF(archive!CJ1377="","",archive!CJ1377)</f>
        <v/>
      </c>
      <c r="I1377" s="51" t="str">
        <f>IF(archive!CK1377="","",archive!CK1377)</f>
        <v/>
      </c>
      <c r="J1377" s="47" t="str">
        <f t="shared" si="297"/>
        <v/>
      </c>
      <c r="K1377" s="51" t="str">
        <f t="shared" si="298"/>
        <v/>
      </c>
      <c r="L1377" s="52" t="str">
        <f t="shared" si="299"/>
        <v/>
      </c>
      <c r="M1377" s="53" t="str">
        <f t="shared" si="300"/>
        <v/>
      </c>
      <c r="N1377" s="53" t="str">
        <f t="shared" si="301"/>
        <v/>
      </c>
      <c r="O1377" s="53" t="str">
        <f t="shared" si="302"/>
        <v/>
      </c>
      <c r="P1377" s="53" t="str">
        <f t="shared" si="303"/>
        <v/>
      </c>
      <c r="Q1377" s="53" t="str">
        <f t="shared" si="304"/>
        <v/>
      </c>
      <c r="R1377" s="53" t="str">
        <f t="shared" si="305"/>
        <v/>
      </c>
      <c r="S1377" s="53" t="str">
        <f t="shared" si="306"/>
        <v/>
      </c>
      <c r="T1377" s="53" t="str">
        <f t="shared" si="307"/>
        <v/>
      </c>
    </row>
    <row r="1378" spans="1:20">
      <c r="A1378" s="47" t="str">
        <f>IF(archive!E1378="","",archive!E1378)</f>
        <v/>
      </c>
      <c r="B1378" s="48" t="str">
        <f t="shared" si="294"/>
        <v/>
      </c>
      <c r="C1378" s="49" t="str">
        <f>IF(archive!F1378="","",archive!F1378)</f>
        <v/>
      </c>
      <c r="D1378" s="50" t="str">
        <f t="shared" si="295"/>
        <v/>
      </c>
      <c r="E1378" s="50" t="str">
        <f t="shared" si="296"/>
        <v/>
      </c>
      <c r="F1378" s="47" t="str">
        <f>IF(COUNTA(archive!H1378:CI1378)=0,"",COUNTA(archive!H1378:CI1378))</f>
        <v/>
      </c>
      <c r="G1378" s="47" t="str">
        <f>IF(archive!G1378="","",archive!G1378)</f>
        <v/>
      </c>
      <c r="H1378" s="51" t="str">
        <f>IF(archive!CJ1378="","",archive!CJ1378)</f>
        <v/>
      </c>
      <c r="I1378" s="51" t="str">
        <f>IF(archive!CK1378="","",archive!CK1378)</f>
        <v/>
      </c>
      <c r="J1378" s="47" t="str">
        <f t="shared" si="297"/>
        <v/>
      </c>
      <c r="K1378" s="51" t="str">
        <f t="shared" si="298"/>
        <v/>
      </c>
      <c r="L1378" s="52" t="str">
        <f t="shared" si="299"/>
        <v/>
      </c>
      <c r="M1378" s="53" t="str">
        <f t="shared" si="300"/>
        <v/>
      </c>
      <c r="N1378" s="53" t="str">
        <f t="shared" si="301"/>
        <v/>
      </c>
      <c r="O1378" s="53" t="str">
        <f t="shared" si="302"/>
        <v/>
      </c>
      <c r="P1378" s="53" t="str">
        <f t="shared" si="303"/>
        <v/>
      </c>
      <c r="Q1378" s="53" t="str">
        <f t="shared" si="304"/>
        <v/>
      </c>
      <c r="R1378" s="53" t="str">
        <f t="shared" si="305"/>
        <v/>
      </c>
      <c r="S1378" s="53" t="str">
        <f t="shared" si="306"/>
        <v/>
      </c>
      <c r="T1378" s="53" t="str">
        <f t="shared" si="307"/>
        <v/>
      </c>
    </row>
    <row r="1379" spans="1:20">
      <c r="A1379" s="47" t="str">
        <f>IF(archive!E1379="","",archive!E1379)</f>
        <v/>
      </c>
      <c r="B1379" s="48" t="str">
        <f t="shared" si="294"/>
        <v/>
      </c>
      <c r="C1379" s="49" t="str">
        <f>IF(archive!F1379="","",archive!F1379)</f>
        <v/>
      </c>
      <c r="D1379" s="50" t="str">
        <f t="shared" si="295"/>
        <v/>
      </c>
      <c r="E1379" s="50" t="str">
        <f t="shared" si="296"/>
        <v/>
      </c>
      <c r="F1379" s="47" t="str">
        <f>IF(COUNTA(archive!H1379:CI1379)=0,"",COUNTA(archive!H1379:CI1379))</f>
        <v/>
      </c>
      <c r="G1379" s="47" t="str">
        <f>IF(archive!G1379="","",archive!G1379)</f>
        <v/>
      </c>
      <c r="H1379" s="51" t="str">
        <f>IF(archive!CJ1379="","",archive!CJ1379)</f>
        <v/>
      </c>
      <c r="I1379" s="51" t="str">
        <f>IF(archive!CK1379="","",archive!CK1379)</f>
        <v/>
      </c>
      <c r="J1379" s="47" t="str">
        <f t="shared" si="297"/>
        <v/>
      </c>
      <c r="K1379" s="51" t="str">
        <f t="shared" si="298"/>
        <v/>
      </c>
      <c r="L1379" s="52" t="str">
        <f t="shared" si="299"/>
        <v/>
      </c>
      <c r="M1379" s="53" t="str">
        <f t="shared" si="300"/>
        <v/>
      </c>
      <c r="N1379" s="53" t="str">
        <f t="shared" si="301"/>
        <v/>
      </c>
      <c r="O1379" s="53" t="str">
        <f t="shared" si="302"/>
        <v/>
      </c>
      <c r="P1379" s="53" t="str">
        <f t="shared" si="303"/>
        <v/>
      </c>
      <c r="Q1379" s="53" t="str">
        <f t="shared" si="304"/>
        <v/>
      </c>
      <c r="R1379" s="53" t="str">
        <f t="shared" si="305"/>
        <v/>
      </c>
      <c r="S1379" s="53" t="str">
        <f t="shared" si="306"/>
        <v/>
      </c>
      <c r="T1379" s="53" t="str">
        <f t="shared" si="307"/>
        <v/>
      </c>
    </row>
    <row r="1380" spans="1:20">
      <c r="A1380" s="47" t="str">
        <f>IF(archive!E1380="","",archive!E1380)</f>
        <v/>
      </c>
      <c r="B1380" s="48" t="str">
        <f t="shared" si="294"/>
        <v/>
      </c>
      <c r="C1380" s="49" t="str">
        <f>IF(archive!F1380="","",archive!F1380)</f>
        <v/>
      </c>
      <c r="D1380" s="50" t="str">
        <f t="shared" si="295"/>
        <v/>
      </c>
      <c r="E1380" s="50" t="str">
        <f t="shared" si="296"/>
        <v/>
      </c>
      <c r="F1380" s="47" t="str">
        <f>IF(COUNTA(archive!H1380:CI1380)=0,"",COUNTA(archive!H1380:CI1380))</f>
        <v/>
      </c>
      <c r="G1380" s="47" t="str">
        <f>IF(archive!G1380="","",archive!G1380)</f>
        <v/>
      </c>
      <c r="H1380" s="51" t="str">
        <f>IF(archive!CJ1380="","",archive!CJ1380)</f>
        <v/>
      </c>
      <c r="I1380" s="51" t="str">
        <f>IF(archive!CK1380="","",archive!CK1380)</f>
        <v/>
      </c>
      <c r="J1380" s="47" t="str">
        <f t="shared" si="297"/>
        <v/>
      </c>
      <c r="K1380" s="51" t="str">
        <f t="shared" si="298"/>
        <v/>
      </c>
      <c r="L1380" s="52" t="str">
        <f t="shared" si="299"/>
        <v/>
      </c>
      <c r="M1380" s="53" t="str">
        <f t="shared" si="300"/>
        <v/>
      </c>
      <c r="N1380" s="53" t="str">
        <f t="shared" si="301"/>
        <v/>
      </c>
      <c r="O1380" s="53" t="str">
        <f t="shared" si="302"/>
        <v/>
      </c>
      <c r="P1380" s="53" t="str">
        <f t="shared" si="303"/>
        <v/>
      </c>
      <c r="Q1380" s="53" t="str">
        <f t="shared" si="304"/>
        <v/>
      </c>
      <c r="R1380" s="53" t="str">
        <f t="shared" si="305"/>
        <v/>
      </c>
      <c r="S1380" s="53" t="str">
        <f t="shared" si="306"/>
        <v/>
      </c>
      <c r="T1380" s="53" t="str">
        <f t="shared" si="307"/>
        <v/>
      </c>
    </row>
    <row r="1381" spans="1:20">
      <c r="A1381" s="47" t="str">
        <f>IF(archive!E1381="","",archive!E1381)</f>
        <v/>
      </c>
      <c r="B1381" s="48" t="str">
        <f t="shared" si="294"/>
        <v/>
      </c>
      <c r="C1381" s="49" t="str">
        <f>IF(archive!F1381="","",archive!F1381)</f>
        <v/>
      </c>
      <c r="D1381" s="50" t="str">
        <f t="shared" si="295"/>
        <v/>
      </c>
      <c r="E1381" s="50" t="str">
        <f t="shared" si="296"/>
        <v/>
      </c>
      <c r="F1381" s="47" t="str">
        <f>IF(COUNTA(archive!H1381:CI1381)=0,"",COUNTA(archive!H1381:CI1381))</f>
        <v/>
      </c>
      <c r="G1381" s="47" t="str">
        <f>IF(archive!G1381="","",archive!G1381)</f>
        <v/>
      </c>
      <c r="H1381" s="51" t="str">
        <f>IF(archive!CJ1381="","",archive!CJ1381)</f>
        <v/>
      </c>
      <c r="I1381" s="51" t="str">
        <f>IF(archive!CK1381="","",archive!CK1381)</f>
        <v/>
      </c>
      <c r="J1381" s="47" t="str">
        <f t="shared" si="297"/>
        <v/>
      </c>
      <c r="K1381" s="51" t="str">
        <f t="shared" si="298"/>
        <v/>
      </c>
      <c r="L1381" s="52" t="str">
        <f t="shared" si="299"/>
        <v/>
      </c>
      <c r="M1381" s="53" t="str">
        <f t="shared" si="300"/>
        <v/>
      </c>
      <c r="N1381" s="53" t="str">
        <f t="shared" si="301"/>
        <v/>
      </c>
      <c r="O1381" s="53" t="str">
        <f t="shared" si="302"/>
        <v/>
      </c>
      <c r="P1381" s="53" t="str">
        <f t="shared" si="303"/>
        <v/>
      </c>
      <c r="Q1381" s="53" t="str">
        <f t="shared" si="304"/>
        <v/>
      </c>
      <c r="R1381" s="53" t="str">
        <f t="shared" si="305"/>
        <v/>
      </c>
      <c r="S1381" s="53" t="str">
        <f t="shared" si="306"/>
        <v/>
      </c>
      <c r="T1381" s="53" t="str">
        <f t="shared" si="307"/>
        <v/>
      </c>
    </row>
    <row r="1382" spans="1:20">
      <c r="A1382" s="47" t="str">
        <f>IF(archive!E1382="","",archive!E1382)</f>
        <v/>
      </c>
      <c r="B1382" s="48" t="str">
        <f t="shared" si="294"/>
        <v/>
      </c>
      <c r="C1382" s="49" t="str">
        <f>IF(archive!F1382="","",archive!F1382)</f>
        <v/>
      </c>
      <c r="D1382" s="50" t="str">
        <f t="shared" si="295"/>
        <v/>
      </c>
      <c r="E1382" s="50" t="str">
        <f t="shared" si="296"/>
        <v/>
      </c>
      <c r="F1382" s="47" t="str">
        <f>IF(COUNTA(archive!H1382:CI1382)=0,"",COUNTA(archive!H1382:CI1382))</f>
        <v/>
      </c>
      <c r="G1382" s="47" t="str">
        <f>IF(archive!G1382="","",archive!G1382)</f>
        <v/>
      </c>
      <c r="H1382" s="51" t="str">
        <f>IF(archive!CJ1382="","",archive!CJ1382)</f>
        <v/>
      </c>
      <c r="I1382" s="51" t="str">
        <f>IF(archive!CK1382="","",archive!CK1382)</f>
        <v/>
      </c>
      <c r="J1382" s="47" t="str">
        <f t="shared" si="297"/>
        <v/>
      </c>
      <c r="K1382" s="51" t="str">
        <f t="shared" si="298"/>
        <v/>
      </c>
      <c r="L1382" s="52" t="str">
        <f t="shared" si="299"/>
        <v/>
      </c>
      <c r="M1382" s="53" t="str">
        <f t="shared" si="300"/>
        <v/>
      </c>
      <c r="N1382" s="53" t="str">
        <f t="shared" si="301"/>
        <v/>
      </c>
      <c r="O1382" s="53" t="str">
        <f t="shared" si="302"/>
        <v/>
      </c>
      <c r="P1382" s="53" t="str">
        <f t="shared" si="303"/>
        <v/>
      </c>
      <c r="Q1382" s="53" t="str">
        <f t="shared" si="304"/>
        <v/>
      </c>
      <c r="R1382" s="53" t="str">
        <f t="shared" si="305"/>
        <v/>
      </c>
      <c r="S1382" s="53" t="str">
        <f t="shared" si="306"/>
        <v/>
      </c>
      <c r="T1382" s="53" t="str">
        <f t="shared" si="307"/>
        <v/>
      </c>
    </row>
    <row r="1383" spans="1:20">
      <c r="A1383" s="47" t="str">
        <f>IF(archive!E1383="","",archive!E1383)</f>
        <v/>
      </c>
      <c r="B1383" s="48" t="str">
        <f t="shared" si="294"/>
        <v/>
      </c>
      <c r="C1383" s="49" t="str">
        <f>IF(archive!F1383="","",archive!F1383)</f>
        <v/>
      </c>
      <c r="D1383" s="50" t="str">
        <f t="shared" si="295"/>
        <v/>
      </c>
      <c r="E1383" s="50" t="str">
        <f t="shared" si="296"/>
        <v/>
      </c>
      <c r="F1383" s="47" t="str">
        <f>IF(COUNTA(archive!H1383:CI1383)=0,"",COUNTA(archive!H1383:CI1383))</f>
        <v/>
      </c>
      <c r="G1383" s="47" t="str">
        <f>IF(archive!G1383="","",archive!G1383)</f>
        <v/>
      </c>
      <c r="H1383" s="51" t="str">
        <f>IF(archive!CJ1383="","",archive!CJ1383)</f>
        <v/>
      </c>
      <c r="I1383" s="51" t="str">
        <f>IF(archive!CK1383="","",archive!CK1383)</f>
        <v/>
      </c>
      <c r="J1383" s="47" t="str">
        <f t="shared" si="297"/>
        <v/>
      </c>
      <c r="K1383" s="51" t="str">
        <f t="shared" si="298"/>
        <v/>
      </c>
      <c r="L1383" s="52" t="str">
        <f t="shared" si="299"/>
        <v/>
      </c>
      <c r="M1383" s="53" t="str">
        <f t="shared" si="300"/>
        <v/>
      </c>
      <c r="N1383" s="53" t="str">
        <f t="shared" si="301"/>
        <v/>
      </c>
      <c r="O1383" s="53" t="str">
        <f t="shared" si="302"/>
        <v/>
      </c>
      <c r="P1383" s="53" t="str">
        <f t="shared" si="303"/>
        <v/>
      </c>
      <c r="Q1383" s="53" t="str">
        <f t="shared" si="304"/>
        <v/>
      </c>
      <c r="R1383" s="53" t="str">
        <f t="shared" si="305"/>
        <v/>
      </c>
      <c r="S1383" s="53" t="str">
        <f t="shared" si="306"/>
        <v/>
      </c>
      <c r="T1383" s="53" t="str">
        <f t="shared" si="307"/>
        <v/>
      </c>
    </row>
    <row r="1384" spans="1:20">
      <c r="A1384" s="47" t="str">
        <f>IF(archive!E1384="","",archive!E1384)</f>
        <v/>
      </c>
      <c r="B1384" s="48" t="str">
        <f t="shared" si="294"/>
        <v/>
      </c>
      <c r="C1384" s="49" t="str">
        <f>IF(archive!F1384="","",archive!F1384)</f>
        <v/>
      </c>
      <c r="D1384" s="50" t="str">
        <f t="shared" si="295"/>
        <v/>
      </c>
      <c r="E1384" s="50" t="str">
        <f t="shared" si="296"/>
        <v/>
      </c>
      <c r="F1384" s="47" t="str">
        <f>IF(COUNTA(archive!H1384:CI1384)=0,"",COUNTA(archive!H1384:CI1384))</f>
        <v/>
      </c>
      <c r="G1384" s="47" t="str">
        <f>IF(archive!G1384="","",archive!G1384)</f>
        <v/>
      </c>
      <c r="H1384" s="51" t="str">
        <f>IF(archive!CJ1384="","",archive!CJ1384)</f>
        <v/>
      </c>
      <c r="I1384" s="51" t="str">
        <f>IF(archive!CK1384="","",archive!CK1384)</f>
        <v/>
      </c>
      <c r="J1384" s="47" t="str">
        <f t="shared" si="297"/>
        <v/>
      </c>
      <c r="K1384" s="51" t="str">
        <f t="shared" si="298"/>
        <v/>
      </c>
      <c r="L1384" s="52" t="str">
        <f t="shared" si="299"/>
        <v/>
      </c>
      <c r="M1384" s="53" t="str">
        <f t="shared" si="300"/>
        <v/>
      </c>
      <c r="N1384" s="53" t="str">
        <f t="shared" si="301"/>
        <v/>
      </c>
      <c r="O1384" s="53" t="str">
        <f t="shared" si="302"/>
        <v/>
      </c>
      <c r="P1384" s="53" t="str">
        <f t="shared" si="303"/>
        <v/>
      </c>
      <c r="Q1384" s="53" t="str">
        <f t="shared" si="304"/>
        <v/>
      </c>
      <c r="R1384" s="53" t="str">
        <f t="shared" si="305"/>
        <v/>
      </c>
      <c r="S1384" s="53" t="str">
        <f t="shared" si="306"/>
        <v/>
      </c>
      <c r="T1384" s="53" t="str">
        <f t="shared" si="307"/>
        <v/>
      </c>
    </row>
    <row r="1385" spans="1:20">
      <c r="A1385" s="47" t="str">
        <f>IF(archive!E1385="","",archive!E1385)</f>
        <v/>
      </c>
      <c r="B1385" s="48" t="str">
        <f t="shared" si="294"/>
        <v/>
      </c>
      <c r="C1385" s="49" t="str">
        <f>IF(archive!F1385="","",archive!F1385)</f>
        <v/>
      </c>
      <c r="D1385" s="50" t="str">
        <f t="shared" si="295"/>
        <v/>
      </c>
      <c r="E1385" s="50" t="str">
        <f t="shared" si="296"/>
        <v/>
      </c>
      <c r="F1385" s="47" t="str">
        <f>IF(COUNTA(archive!H1385:CI1385)=0,"",COUNTA(archive!H1385:CI1385))</f>
        <v/>
      </c>
      <c r="G1385" s="47" t="str">
        <f>IF(archive!G1385="","",archive!G1385)</f>
        <v/>
      </c>
      <c r="H1385" s="51" t="str">
        <f>IF(archive!CJ1385="","",archive!CJ1385)</f>
        <v/>
      </c>
      <c r="I1385" s="51" t="str">
        <f>IF(archive!CK1385="","",archive!CK1385)</f>
        <v/>
      </c>
      <c r="J1385" s="47" t="str">
        <f t="shared" si="297"/>
        <v/>
      </c>
      <c r="K1385" s="51" t="str">
        <f t="shared" si="298"/>
        <v/>
      </c>
      <c r="L1385" s="52" t="str">
        <f t="shared" si="299"/>
        <v/>
      </c>
      <c r="M1385" s="53" t="str">
        <f t="shared" si="300"/>
        <v/>
      </c>
      <c r="N1385" s="53" t="str">
        <f t="shared" si="301"/>
        <v/>
      </c>
      <c r="O1385" s="53" t="str">
        <f t="shared" si="302"/>
        <v/>
      </c>
      <c r="P1385" s="53" t="str">
        <f t="shared" si="303"/>
        <v/>
      </c>
      <c r="Q1385" s="53" t="str">
        <f t="shared" si="304"/>
        <v/>
      </c>
      <c r="R1385" s="53" t="str">
        <f t="shared" si="305"/>
        <v/>
      </c>
      <c r="S1385" s="53" t="str">
        <f t="shared" si="306"/>
        <v/>
      </c>
      <c r="T1385" s="53" t="str">
        <f t="shared" si="307"/>
        <v/>
      </c>
    </row>
    <row r="1386" spans="1:20">
      <c r="A1386" s="47" t="str">
        <f>IF(archive!E1386="","",archive!E1386)</f>
        <v/>
      </c>
      <c r="B1386" s="48" t="str">
        <f t="shared" si="294"/>
        <v/>
      </c>
      <c r="C1386" s="49" t="str">
        <f>IF(archive!F1386="","",archive!F1386)</f>
        <v/>
      </c>
      <c r="D1386" s="50" t="str">
        <f t="shared" si="295"/>
        <v/>
      </c>
      <c r="E1386" s="50" t="str">
        <f t="shared" si="296"/>
        <v/>
      </c>
      <c r="F1386" s="47" t="str">
        <f>IF(COUNTA(archive!H1386:CI1386)=0,"",COUNTA(archive!H1386:CI1386))</f>
        <v/>
      </c>
      <c r="G1386" s="47" t="str">
        <f>IF(archive!G1386="","",archive!G1386)</f>
        <v/>
      </c>
      <c r="H1386" s="51" t="str">
        <f>IF(archive!CJ1386="","",archive!CJ1386)</f>
        <v/>
      </c>
      <c r="I1386" s="51" t="str">
        <f>IF(archive!CK1386="","",archive!CK1386)</f>
        <v/>
      </c>
      <c r="J1386" s="47" t="str">
        <f t="shared" si="297"/>
        <v/>
      </c>
      <c r="K1386" s="51" t="str">
        <f t="shared" si="298"/>
        <v/>
      </c>
      <c r="L1386" s="52" t="str">
        <f t="shared" si="299"/>
        <v/>
      </c>
      <c r="M1386" s="53" t="str">
        <f t="shared" si="300"/>
        <v/>
      </c>
      <c r="N1386" s="53" t="str">
        <f t="shared" si="301"/>
        <v/>
      </c>
      <c r="O1386" s="53" t="str">
        <f t="shared" si="302"/>
        <v/>
      </c>
      <c r="P1386" s="53" t="str">
        <f t="shared" si="303"/>
        <v/>
      </c>
      <c r="Q1386" s="53" t="str">
        <f t="shared" si="304"/>
        <v/>
      </c>
      <c r="R1386" s="53" t="str">
        <f t="shared" si="305"/>
        <v/>
      </c>
      <c r="S1386" s="53" t="str">
        <f t="shared" si="306"/>
        <v/>
      </c>
      <c r="T1386" s="53" t="str">
        <f t="shared" si="307"/>
        <v/>
      </c>
    </row>
    <row r="1387" spans="1:20">
      <c r="A1387" s="47" t="str">
        <f>IF(archive!E1387="","",archive!E1387)</f>
        <v/>
      </c>
      <c r="B1387" s="48" t="str">
        <f t="shared" si="294"/>
        <v/>
      </c>
      <c r="C1387" s="49" t="str">
        <f>IF(archive!F1387="","",archive!F1387)</f>
        <v/>
      </c>
      <c r="D1387" s="50" t="str">
        <f t="shared" si="295"/>
        <v/>
      </c>
      <c r="E1387" s="50" t="str">
        <f t="shared" si="296"/>
        <v/>
      </c>
      <c r="F1387" s="47" t="str">
        <f>IF(COUNTA(archive!H1387:CI1387)=0,"",COUNTA(archive!H1387:CI1387))</f>
        <v/>
      </c>
      <c r="G1387" s="47" t="str">
        <f>IF(archive!G1387="","",archive!G1387)</f>
        <v/>
      </c>
      <c r="H1387" s="51" t="str">
        <f>IF(archive!CJ1387="","",archive!CJ1387)</f>
        <v/>
      </c>
      <c r="I1387" s="51" t="str">
        <f>IF(archive!CK1387="","",archive!CK1387)</f>
        <v/>
      </c>
      <c r="J1387" s="47" t="str">
        <f t="shared" si="297"/>
        <v/>
      </c>
      <c r="K1387" s="51" t="str">
        <f t="shared" si="298"/>
        <v/>
      </c>
      <c r="L1387" s="52" t="str">
        <f t="shared" si="299"/>
        <v/>
      </c>
      <c r="M1387" s="53" t="str">
        <f t="shared" si="300"/>
        <v/>
      </c>
      <c r="N1387" s="53" t="str">
        <f t="shared" si="301"/>
        <v/>
      </c>
      <c r="O1387" s="53" t="str">
        <f t="shared" si="302"/>
        <v/>
      </c>
      <c r="P1387" s="53" t="str">
        <f t="shared" si="303"/>
        <v/>
      </c>
      <c r="Q1387" s="53" t="str">
        <f t="shared" si="304"/>
        <v/>
      </c>
      <c r="R1387" s="53" t="str">
        <f t="shared" si="305"/>
        <v/>
      </c>
      <c r="S1387" s="53" t="str">
        <f t="shared" si="306"/>
        <v/>
      </c>
      <c r="T1387" s="53" t="str">
        <f t="shared" si="307"/>
        <v/>
      </c>
    </row>
    <row r="1388" spans="1:20">
      <c r="A1388" s="47" t="str">
        <f>IF(archive!E1388="","",archive!E1388)</f>
        <v/>
      </c>
      <c r="B1388" s="48" t="str">
        <f t="shared" si="294"/>
        <v/>
      </c>
      <c r="C1388" s="49" t="str">
        <f>IF(archive!F1388="","",archive!F1388)</f>
        <v/>
      </c>
      <c r="D1388" s="50" t="str">
        <f t="shared" si="295"/>
        <v/>
      </c>
      <c r="E1388" s="50" t="str">
        <f t="shared" si="296"/>
        <v/>
      </c>
      <c r="F1388" s="47" t="str">
        <f>IF(COUNTA(archive!H1388:CI1388)=0,"",COUNTA(archive!H1388:CI1388))</f>
        <v/>
      </c>
      <c r="G1388" s="47" t="str">
        <f>IF(archive!G1388="","",archive!G1388)</f>
        <v/>
      </c>
      <c r="H1388" s="51" t="str">
        <f>IF(archive!CJ1388="","",archive!CJ1388)</f>
        <v/>
      </c>
      <c r="I1388" s="51" t="str">
        <f>IF(archive!CK1388="","",archive!CK1388)</f>
        <v/>
      </c>
      <c r="J1388" s="47" t="str">
        <f t="shared" si="297"/>
        <v/>
      </c>
      <c r="K1388" s="51" t="str">
        <f t="shared" si="298"/>
        <v/>
      </c>
      <c r="L1388" s="52" t="str">
        <f t="shared" si="299"/>
        <v/>
      </c>
      <c r="M1388" s="53" t="str">
        <f t="shared" si="300"/>
        <v/>
      </c>
      <c r="N1388" s="53" t="str">
        <f t="shared" si="301"/>
        <v/>
      </c>
      <c r="O1388" s="53" t="str">
        <f t="shared" si="302"/>
        <v/>
      </c>
      <c r="P1388" s="53" t="str">
        <f t="shared" si="303"/>
        <v/>
      </c>
      <c r="Q1388" s="53" t="str">
        <f t="shared" si="304"/>
        <v/>
      </c>
      <c r="R1388" s="53" t="str">
        <f t="shared" si="305"/>
        <v/>
      </c>
      <c r="S1388" s="53" t="str">
        <f t="shared" si="306"/>
        <v/>
      </c>
      <c r="T1388" s="53" t="str">
        <f t="shared" si="307"/>
        <v/>
      </c>
    </row>
    <row r="1389" spans="1:20">
      <c r="A1389" s="47" t="str">
        <f>IF(archive!E1389="","",archive!E1389)</f>
        <v/>
      </c>
      <c r="B1389" s="48" t="str">
        <f t="shared" si="294"/>
        <v/>
      </c>
      <c r="C1389" s="49" t="str">
        <f>IF(archive!F1389="","",archive!F1389)</f>
        <v/>
      </c>
      <c r="D1389" s="50" t="str">
        <f t="shared" si="295"/>
        <v/>
      </c>
      <c r="E1389" s="50" t="str">
        <f t="shared" si="296"/>
        <v/>
      </c>
      <c r="F1389" s="47" t="str">
        <f>IF(COUNTA(archive!H1389:CI1389)=0,"",COUNTA(archive!H1389:CI1389))</f>
        <v/>
      </c>
      <c r="G1389" s="47" t="str">
        <f>IF(archive!G1389="","",archive!G1389)</f>
        <v/>
      </c>
      <c r="H1389" s="51" t="str">
        <f>IF(archive!CJ1389="","",archive!CJ1389)</f>
        <v/>
      </c>
      <c r="I1389" s="51" t="str">
        <f>IF(archive!CK1389="","",archive!CK1389)</f>
        <v/>
      </c>
      <c r="J1389" s="47" t="str">
        <f t="shared" si="297"/>
        <v/>
      </c>
      <c r="K1389" s="51" t="str">
        <f t="shared" si="298"/>
        <v/>
      </c>
      <c r="L1389" s="52" t="str">
        <f t="shared" si="299"/>
        <v/>
      </c>
      <c r="M1389" s="53" t="str">
        <f t="shared" si="300"/>
        <v/>
      </c>
      <c r="N1389" s="53" t="str">
        <f t="shared" si="301"/>
        <v/>
      </c>
      <c r="O1389" s="53" t="str">
        <f t="shared" si="302"/>
        <v/>
      </c>
      <c r="P1389" s="53" t="str">
        <f t="shared" si="303"/>
        <v/>
      </c>
      <c r="Q1389" s="53" t="str">
        <f t="shared" si="304"/>
        <v/>
      </c>
      <c r="R1389" s="53" t="str">
        <f t="shared" si="305"/>
        <v/>
      </c>
      <c r="S1389" s="53" t="str">
        <f t="shared" si="306"/>
        <v/>
      </c>
      <c r="T1389" s="53" t="str">
        <f t="shared" si="307"/>
        <v/>
      </c>
    </row>
    <row r="1390" spans="1:20">
      <c r="A1390" s="47" t="str">
        <f>IF(archive!E1390="","",archive!E1390)</f>
        <v/>
      </c>
      <c r="B1390" s="48" t="str">
        <f t="shared" si="294"/>
        <v/>
      </c>
      <c r="C1390" s="49" t="str">
        <f>IF(archive!F1390="","",archive!F1390)</f>
        <v/>
      </c>
      <c r="D1390" s="50" t="str">
        <f t="shared" si="295"/>
        <v/>
      </c>
      <c r="E1390" s="50" t="str">
        <f t="shared" si="296"/>
        <v/>
      </c>
      <c r="F1390" s="47" t="str">
        <f>IF(COUNTA(archive!H1390:CI1390)=0,"",COUNTA(archive!H1390:CI1390))</f>
        <v/>
      </c>
      <c r="G1390" s="47" t="str">
        <f>IF(archive!G1390="","",archive!G1390)</f>
        <v/>
      </c>
      <c r="H1390" s="51" t="str">
        <f>IF(archive!CJ1390="","",archive!CJ1390)</f>
        <v/>
      </c>
      <c r="I1390" s="51" t="str">
        <f>IF(archive!CK1390="","",archive!CK1390)</f>
        <v/>
      </c>
      <c r="J1390" s="47" t="str">
        <f t="shared" si="297"/>
        <v/>
      </c>
      <c r="K1390" s="51" t="str">
        <f t="shared" si="298"/>
        <v/>
      </c>
      <c r="L1390" s="52" t="str">
        <f t="shared" si="299"/>
        <v/>
      </c>
      <c r="M1390" s="53" t="str">
        <f t="shared" si="300"/>
        <v/>
      </c>
      <c r="N1390" s="53" t="str">
        <f t="shared" si="301"/>
        <v/>
      </c>
      <c r="O1390" s="53" t="str">
        <f t="shared" si="302"/>
        <v/>
      </c>
      <c r="P1390" s="53" t="str">
        <f t="shared" si="303"/>
        <v/>
      </c>
      <c r="Q1390" s="53" t="str">
        <f t="shared" si="304"/>
        <v/>
      </c>
      <c r="R1390" s="53" t="str">
        <f t="shared" si="305"/>
        <v/>
      </c>
      <c r="S1390" s="53" t="str">
        <f t="shared" si="306"/>
        <v/>
      </c>
      <c r="T1390" s="53" t="str">
        <f t="shared" si="307"/>
        <v/>
      </c>
    </row>
    <row r="1391" spans="1:20">
      <c r="A1391" s="47" t="str">
        <f>IF(archive!E1391="","",archive!E1391)</f>
        <v/>
      </c>
      <c r="B1391" s="48" t="str">
        <f t="shared" si="294"/>
        <v/>
      </c>
      <c r="C1391" s="49" t="str">
        <f>IF(archive!F1391="","",archive!F1391)</f>
        <v/>
      </c>
      <c r="D1391" s="50" t="str">
        <f t="shared" si="295"/>
        <v/>
      </c>
      <c r="E1391" s="50" t="str">
        <f t="shared" si="296"/>
        <v/>
      </c>
      <c r="F1391" s="47" t="str">
        <f>IF(COUNTA(archive!H1391:CI1391)=0,"",COUNTA(archive!H1391:CI1391))</f>
        <v/>
      </c>
      <c r="G1391" s="47" t="str">
        <f>IF(archive!G1391="","",archive!G1391)</f>
        <v/>
      </c>
      <c r="H1391" s="51" t="str">
        <f>IF(archive!CJ1391="","",archive!CJ1391)</f>
        <v/>
      </c>
      <c r="I1391" s="51" t="str">
        <f>IF(archive!CK1391="","",archive!CK1391)</f>
        <v/>
      </c>
      <c r="J1391" s="47" t="str">
        <f t="shared" si="297"/>
        <v/>
      </c>
      <c r="K1391" s="51" t="str">
        <f t="shared" si="298"/>
        <v/>
      </c>
      <c r="L1391" s="52" t="str">
        <f t="shared" si="299"/>
        <v/>
      </c>
      <c r="M1391" s="53" t="str">
        <f t="shared" si="300"/>
        <v/>
      </c>
      <c r="N1391" s="53" t="str">
        <f t="shared" si="301"/>
        <v/>
      </c>
      <c r="O1391" s="53" t="str">
        <f t="shared" si="302"/>
        <v/>
      </c>
      <c r="P1391" s="53" t="str">
        <f t="shared" si="303"/>
        <v/>
      </c>
      <c r="Q1391" s="53" t="str">
        <f t="shared" si="304"/>
        <v/>
      </c>
      <c r="R1391" s="53" t="str">
        <f t="shared" si="305"/>
        <v/>
      </c>
      <c r="S1391" s="53" t="str">
        <f t="shared" si="306"/>
        <v/>
      </c>
      <c r="T1391" s="53" t="str">
        <f t="shared" si="307"/>
        <v/>
      </c>
    </row>
    <row r="1392" spans="1:20">
      <c r="A1392" s="47" t="str">
        <f>IF(archive!E1392="","",archive!E1392)</f>
        <v/>
      </c>
      <c r="B1392" s="48" t="str">
        <f t="shared" si="294"/>
        <v/>
      </c>
      <c r="C1392" s="49" t="str">
        <f>IF(archive!F1392="","",archive!F1392)</f>
        <v/>
      </c>
      <c r="D1392" s="50" t="str">
        <f t="shared" si="295"/>
        <v/>
      </c>
      <c r="E1392" s="50" t="str">
        <f t="shared" si="296"/>
        <v/>
      </c>
      <c r="F1392" s="47" t="str">
        <f>IF(COUNTA(archive!H1392:CI1392)=0,"",COUNTA(archive!H1392:CI1392))</f>
        <v/>
      </c>
      <c r="G1392" s="47" t="str">
        <f>IF(archive!G1392="","",archive!G1392)</f>
        <v/>
      </c>
      <c r="H1392" s="51" t="str">
        <f>IF(archive!CJ1392="","",archive!CJ1392)</f>
        <v/>
      </c>
      <c r="I1392" s="51" t="str">
        <f>IF(archive!CK1392="","",archive!CK1392)</f>
        <v/>
      </c>
      <c r="J1392" s="47" t="str">
        <f t="shared" si="297"/>
        <v/>
      </c>
      <c r="K1392" s="51" t="str">
        <f t="shared" si="298"/>
        <v/>
      </c>
      <c r="L1392" s="52" t="str">
        <f t="shared" si="299"/>
        <v/>
      </c>
      <c r="M1392" s="53" t="str">
        <f t="shared" si="300"/>
        <v/>
      </c>
      <c r="N1392" s="53" t="str">
        <f t="shared" si="301"/>
        <v/>
      </c>
      <c r="O1392" s="53" t="str">
        <f t="shared" si="302"/>
        <v/>
      </c>
      <c r="P1392" s="53" t="str">
        <f t="shared" si="303"/>
        <v/>
      </c>
      <c r="Q1392" s="53" t="str">
        <f t="shared" si="304"/>
        <v/>
      </c>
      <c r="R1392" s="53" t="str">
        <f t="shared" si="305"/>
        <v/>
      </c>
      <c r="S1392" s="53" t="str">
        <f t="shared" si="306"/>
        <v/>
      </c>
      <c r="T1392" s="53" t="str">
        <f t="shared" si="307"/>
        <v/>
      </c>
    </row>
    <row r="1393" spans="1:20">
      <c r="A1393" s="47" t="str">
        <f>IF(archive!E1393="","",archive!E1393)</f>
        <v/>
      </c>
      <c r="B1393" s="48" t="str">
        <f t="shared" si="294"/>
        <v/>
      </c>
      <c r="C1393" s="49" t="str">
        <f>IF(archive!F1393="","",archive!F1393)</f>
        <v/>
      </c>
      <c r="D1393" s="50" t="str">
        <f t="shared" si="295"/>
        <v/>
      </c>
      <c r="E1393" s="50" t="str">
        <f t="shared" si="296"/>
        <v/>
      </c>
      <c r="F1393" s="47" t="str">
        <f>IF(COUNTA(archive!H1393:CI1393)=0,"",COUNTA(archive!H1393:CI1393))</f>
        <v/>
      </c>
      <c r="G1393" s="47" t="str">
        <f>IF(archive!G1393="","",archive!G1393)</f>
        <v/>
      </c>
      <c r="H1393" s="51" t="str">
        <f>IF(archive!CJ1393="","",archive!CJ1393)</f>
        <v/>
      </c>
      <c r="I1393" s="51" t="str">
        <f>IF(archive!CK1393="","",archive!CK1393)</f>
        <v/>
      </c>
      <c r="J1393" s="47" t="str">
        <f t="shared" si="297"/>
        <v/>
      </c>
      <c r="K1393" s="51" t="str">
        <f t="shared" si="298"/>
        <v/>
      </c>
      <c r="L1393" s="52" t="str">
        <f t="shared" si="299"/>
        <v/>
      </c>
      <c r="M1393" s="53" t="str">
        <f t="shared" si="300"/>
        <v/>
      </c>
      <c r="N1393" s="53" t="str">
        <f t="shared" si="301"/>
        <v/>
      </c>
      <c r="O1393" s="53" t="str">
        <f t="shared" si="302"/>
        <v/>
      </c>
      <c r="P1393" s="53" t="str">
        <f t="shared" si="303"/>
        <v/>
      </c>
      <c r="Q1393" s="53" t="str">
        <f t="shared" si="304"/>
        <v/>
      </c>
      <c r="R1393" s="53" t="str">
        <f t="shared" si="305"/>
        <v/>
      </c>
      <c r="S1393" s="53" t="str">
        <f t="shared" si="306"/>
        <v/>
      </c>
      <c r="T1393" s="53" t="str">
        <f t="shared" si="307"/>
        <v/>
      </c>
    </row>
    <row r="1394" spans="1:20">
      <c r="A1394" s="47" t="str">
        <f>IF(archive!E1394="","",archive!E1394)</f>
        <v/>
      </c>
      <c r="B1394" s="48" t="str">
        <f t="shared" si="294"/>
        <v/>
      </c>
      <c r="C1394" s="49" t="str">
        <f>IF(archive!F1394="","",archive!F1394)</f>
        <v/>
      </c>
      <c r="D1394" s="50" t="str">
        <f t="shared" si="295"/>
        <v/>
      </c>
      <c r="E1394" s="50" t="str">
        <f t="shared" si="296"/>
        <v/>
      </c>
      <c r="F1394" s="47" t="str">
        <f>IF(COUNTA(archive!H1394:CI1394)=0,"",COUNTA(archive!H1394:CI1394))</f>
        <v/>
      </c>
      <c r="G1394" s="47" t="str">
        <f>IF(archive!G1394="","",archive!G1394)</f>
        <v/>
      </c>
      <c r="H1394" s="51" t="str">
        <f>IF(archive!CJ1394="","",archive!CJ1394)</f>
        <v/>
      </c>
      <c r="I1394" s="51" t="str">
        <f>IF(archive!CK1394="","",archive!CK1394)</f>
        <v/>
      </c>
      <c r="J1394" s="47" t="str">
        <f t="shared" si="297"/>
        <v/>
      </c>
      <c r="K1394" s="51" t="str">
        <f t="shared" si="298"/>
        <v/>
      </c>
      <c r="L1394" s="52" t="str">
        <f t="shared" si="299"/>
        <v/>
      </c>
      <c r="M1394" s="53" t="str">
        <f t="shared" si="300"/>
        <v/>
      </c>
      <c r="N1394" s="53" t="str">
        <f t="shared" si="301"/>
        <v/>
      </c>
      <c r="O1394" s="53" t="str">
        <f t="shared" si="302"/>
        <v/>
      </c>
      <c r="P1394" s="53" t="str">
        <f t="shared" si="303"/>
        <v/>
      </c>
      <c r="Q1394" s="53" t="str">
        <f t="shared" si="304"/>
        <v/>
      </c>
      <c r="R1394" s="53" t="str">
        <f t="shared" si="305"/>
        <v/>
      </c>
      <c r="S1394" s="53" t="str">
        <f t="shared" si="306"/>
        <v/>
      </c>
      <c r="T1394" s="53" t="str">
        <f t="shared" si="307"/>
        <v/>
      </c>
    </row>
    <row r="1395" spans="1:20">
      <c r="A1395" s="47" t="str">
        <f>IF(archive!E1395="","",archive!E1395)</f>
        <v/>
      </c>
      <c r="B1395" s="48" t="str">
        <f t="shared" si="294"/>
        <v/>
      </c>
      <c r="C1395" s="49" t="str">
        <f>IF(archive!F1395="","",archive!F1395)</f>
        <v/>
      </c>
      <c r="D1395" s="50" t="str">
        <f t="shared" si="295"/>
        <v/>
      </c>
      <c r="E1395" s="50" t="str">
        <f t="shared" si="296"/>
        <v/>
      </c>
      <c r="F1395" s="47" t="str">
        <f>IF(COUNTA(archive!H1395:CI1395)=0,"",COUNTA(archive!H1395:CI1395))</f>
        <v/>
      </c>
      <c r="G1395" s="47" t="str">
        <f>IF(archive!G1395="","",archive!G1395)</f>
        <v/>
      </c>
      <c r="H1395" s="51" t="str">
        <f>IF(archive!CJ1395="","",archive!CJ1395)</f>
        <v/>
      </c>
      <c r="I1395" s="51" t="str">
        <f>IF(archive!CK1395="","",archive!CK1395)</f>
        <v/>
      </c>
      <c r="J1395" s="47" t="str">
        <f t="shared" si="297"/>
        <v/>
      </c>
      <c r="K1395" s="51" t="str">
        <f t="shared" si="298"/>
        <v/>
      </c>
      <c r="L1395" s="52" t="str">
        <f t="shared" si="299"/>
        <v/>
      </c>
      <c r="M1395" s="53" t="str">
        <f t="shared" si="300"/>
        <v/>
      </c>
      <c r="N1395" s="53" t="str">
        <f t="shared" si="301"/>
        <v/>
      </c>
      <c r="O1395" s="53" t="str">
        <f t="shared" si="302"/>
        <v/>
      </c>
      <c r="P1395" s="53" t="str">
        <f t="shared" si="303"/>
        <v/>
      </c>
      <c r="Q1395" s="53" t="str">
        <f t="shared" si="304"/>
        <v/>
      </c>
      <c r="R1395" s="53" t="str">
        <f t="shared" si="305"/>
        <v/>
      </c>
      <c r="S1395" s="53" t="str">
        <f t="shared" si="306"/>
        <v/>
      </c>
      <c r="T1395" s="53" t="str">
        <f t="shared" si="307"/>
        <v/>
      </c>
    </row>
    <row r="1396" spans="1:20">
      <c r="A1396" s="47" t="str">
        <f>IF(archive!E1396="","",archive!E1396)</f>
        <v/>
      </c>
      <c r="B1396" s="48" t="str">
        <f t="shared" si="294"/>
        <v/>
      </c>
      <c r="C1396" s="49" t="str">
        <f>IF(archive!F1396="","",archive!F1396)</f>
        <v/>
      </c>
      <c r="D1396" s="50" t="str">
        <f t="shared" si="295"/>
        <v/>
      </c>
      <c r="E1396" s="50" t="str">
        <f t="shared" si="296"/>
        <v/>
      </c>
      <c r="F1396" s="47" t="str">
        <f>IF(COUNTA(archive!H1396:CI1396)=0,"",COUNTA(archive!H1396:CI1396))</f>
        <v/>
      </c>
      <c r="G1396" s="47" t="str">
        <f>IF(archive!G1396="","",archive!G1396)</f>
        <v/>
      </c>
      <c r="H1396" s="51" t="str">
        <f>IF(archive!CJ1396="","",archive!CJ1396)</f>
        <v/>
      </c>
      <c r="I1396" s="51" t="str">
        <f>IF(archive!CK1396="","",archive!CK1396)</f>
        <v/>
      </c>
      <c r="J1396" s="47" t="str">
        <f t="shared" si="297"/>
        <v/>
      </c>
      <c r="K1396" s="51" t="str">
        <f t="shared" si="298"/>
        <v/>
      </c>
      <c r="L1396" s="52" t="str">
        <f t="shared" si="299"/>
        <v/>
      </c>
      <c r="M1396" s="53" t="str">
        <f t="shared" si="300"/>
        <v/>
      </c>
      <c r="N1396" s="53" t="str">
        <f t="shared" si="301"/>
        <v/>
      </c>
      <c r="O1396" s="53" t="str">
        <f t="shared" si="302"/>
        <v/>
      </c>
      <c r="P1396" s="53" t="str">
        <f t="shared" si="303"/>
        <v/>
      </c>
      <c r="Q1396" s="53" t="str">
        <f t="shared" si="304"/>
        <v/>
      </c>
      <c r="R1396" s="53" t="str">
        <f t="shared" si="305"/>
        <v/>
      </c>
      <c r="S1396" s="53" t="str">
        <f t="shared" si="306"/>
        <v/>
      </c>
      <c r="T1396" s="53" t="str">
        <f t="shared" si="307"/>
        <v/>
      </c>
    </row>
    <row r="1397" spans="1:20">
      <c r="A1397" s="47" t="str">
        <f>IF(archive!E1397="","",archive!E1397)</f>
        <v/>
      </c>
      <c r="B1397" s="48" t="str">
        <f t="shared" si="294"/>
        <v/>
      </c>
      <c r="C1397" s="49" t="str">
        <f>IF(archive!F1397="","",archive!F1397)</f>
        <v/>
      </c>
      <c r="D1397" s="50" t="str">
        <f t="shared" si="295"/>
        <v/>
      </c>
      <c r="E1397" s="50" t="str">
        <f t="shared" si="296"/>
        <v/>
      </c>
      <c r="F1397" s="47" t="str">
        <f>IF(COUNTA(archive!H1397:CI1397)=0,"",COUNTA(archive!H1397:CI1397))</f>
        <v/>
      </c>
      <c r="G1397" s="47" t="str">
        <f>IF(archive!G1397="","",archive!G1397)</f>
        <v/>
      </c>
      <c r="H1397" s="51" t="str">
        <f>IF(archive!CJ1397="","",archive!CJ1397)</f>
        <v/>
      </c>
      <c r="I1397" s="51" t="str">
        <f>IF(archive!CK1397="","",archive!CK1397)</f>
        <v/>
      </c>
      <c r="J1397" s="47" t="str">
        <f t="shared" si="297"/>
        <v/>
      </c>
      <c r="K1397" s="51" t="str">
        <f t="shared" si="298"/>
        <v/>
      </c>
      <c r="L1397" s="52" t="str">
        <f t="shared" si="299"/>
        <v/>
      </c>
      <c r="M1397" s="53" t="str">
        <f t="shared" si="300"/>
        <v/>
      </c>
      <c r="N1397" s="53" t="str">
        <f t="shared" si="301"/>
        <v/>
      </c>
      <c r="O1397" s="53" t="str">
        <f t="shared" si="302"/>
        <v/>
      </c>
      <c r="P1397" s="53" t="str">
        <f t="shared" si="303"/>
        <v/>
      </c>
      <c r="Q1397" s="53" t="str">
        <f t="shared" si="304"/>
        <v/>
      </c>
      <c r="R1397" s="53" t="str">
        <f t="shared" si="305"/>
        <v/>
      </c>
      <c r="S1397" s="53" t="str">
        <f t="shared" si="306"/>
        <v/>
      </c>
      <c r="T1397" s="53" t="str">
        <f t="shared" si="307"/>
        <v/>
      </c>
    </row>
    <row r="1398" spans="1:20">
      <c r="A1398" s="47" t="str">
        <f>IF(archive!E1398="","",archive!E1398)</f>
        <v/>
      </c>
      <c r="B1398" s="48" t="str">
        <f t="shared" si="294"/>
        <v/>
      </c>
      <c r="C1398" s="49" t="str">
        <f>IF(archive!F1398="","",archive!F1398)</f>
        <v/>
      </c>
      <c r="D1398" s="50" t="str">
        <f t="shared" si="295"/>
        <v/>
      </c>
      <c r="E1398" s="50" t="str">
        <f t="shared" si="296"/>
        <v/>
      </c>
      <c r="F1398" s="47" t="str">
        <f>IF(COUNTA(archive!H1398:CI1398)=0,"",COUNTA(archive!H1398:CI1398))</f>
        <v/>
      </c>
      <c r="G1398" s="47" t="str">
        <f>IF(archive!G1398="","",archive!G1398)</f>
        <v/>
      </c>
      <c r="H1398" s="51" t="str">
        <f>IF(archive!CJ1398="","",archive!CJ1398)</f>
        <v/>
      </c>
      <c r="I1398" s="51" t="str">
        <f>IF(archive!CK1398="","",archive!CK1398)</f>
        <v/>
      </c>
      <c r="J1398" s="47" t="str">
        <f t="shared" si="297"/>
        <v/>
      </c>
      <c r="K1398" s="51" t="str">
        <f t="shared" si="298"/>
        <v/>
      </c>
      <c r="L1398" s="52" t="str">
        <f t="shared" si="299"/>
        <v/>
      </c>
      <c r="M1398" s="53" t="str">
        <f t="shared" si="300"/>
        <v/>
      </c>
      <c r="N1398" s="53" t="str">
        <f t="shared" si="301"/>
        <v/>
      </c>
      <c r="O1398" s="53" t="str">
        <f t="shared" si="302"/>
        <v/>
      </c>
      <c r="P1398" s="53" t="str">
        <f t="shared" si="303"/>
        <v/>
      </c>
      <c r="Q1398" s="53" t="str">
        <f t="shared" si="304"/>
        <v/>
      </c>
      <c r="R1398" s="53" t="str">
        <f t="shared" si="305"/>
        <v/>
      </c>
      <c r="S1398" s="53" t="str">
        <f t="shared" si="306"/>
        <v/>
      </c>
      <c r="T1398" s="53" t="str">
        <f t="shared" si="307"/>
        <v/>
      </c>
    </row>
    <row r="1399" spans="1:20">
      <c r="A1399" s="47" t="str">
        <f>IF(archive!E1399="","",archive!E1399)</f>
        <v/>
      </c>
      <c r="B1399" s="48" t="str">
        <f t="shared" si="294"/>
        <v/>
      </c>
      <c r="C1399" s="49" t="str">
        <f>IF(archive!F1399="","",archive!F1399)</f>
        <v/>
      </c>
      <c r="D1399" s="50" t="str">
        <f t="shared" si="295"/>
        <v/>
      </c>
      <c r="E1399" s="50" t="str">
        <f t="shared" si="296"/>
        <v/>
      </c>
      <c r="F1399" s="47" t="str">
        <f>IF(COUNTA(archive!H1399:CI1399)=0,"",COUNTA(archive!H1399:CI1399))</f>
        <v/>
      </c>
      <c r="G1399" s="47" t="str">
        <f>IF(archive!G1399="","",archive!G1399)</f>
        <v/>
      </c>
      <c r="H1399" s="51" t="str">
        <f>IF(archive!CJ1399="","",archive!CJ1399)</f>
        <v/>
      </c>
      <c r="I1399" s="51" t="str">
        <f>IF(archive!CK1399="","",archive!CK1399)</f>
        <v/>
      </c>
      <c r="J1399" s="47" t="str">
        <f t="shared" si="297"/>
        <v/>
      </c>
      <c r="K1399" s="51" t="str">
        <f t="shared" si="298"/>
        <v/>
      </c>
      <c r="L1399" s="52" t="str">
        <f t="shared" si="299"/>
        <v/>
      </c>
      <c r="M1399" s="53" t="str">
        <f t="shared" si="300"/>
        <v/>
      </c>
      <c r="N1399" s="53" t="str">
        <f t="shared" si="301"/>
        <v/>
      </c>
      <c r="O1399" s="53" t="str">
        <f t="shared" si="302"/>
        <v/>
      </c>
      <c r="P1399" s="53" t="str">
        <f t="shared" si="303"/>
        <v/>
      </c>
      <c r="Q1399" s="53" t="str">
        <f t="shared" si="304"/>
        <v/>
      </c>
      <c r="R1399" s="53" t="str">
        <f t="shared" si="305"/>
        <v/>
      </c>
      <c r="S1399" s="53" t="str">
        <f t="shared" si="306"/>
        <v/>
      </c>
      <c r="T1399" s="53" t="str">
        <f t="shared" si="307"/>
        <v/>
      </c>
    </row>
    <row r="1400" spans="1:20">
      <c r="A1400" s="47" t="str">
        <f>IF(archive!E1400="","",archive!E1400)</f>
        <v/>
      </c>
      <c r="B1400" s="48" t="str">
        <f t="shared" si="294"/>
        <v/>
      </c>
      <c r="C1400" s="49" t="str">
        <f>IF(archive!F1400="","",archive!F1400)</f>
        <v/>
      </c>
      <c r="D1400" s="50" t="str">
        <f t="shared" si="295"/>
        <v/>
      </c>
      <c r="E1400" s="50" t="str">
        <f t="shared" si="296"/>
        <v/>
      </c>
      <c r="F1400" s="47" t="str">
        <f>IF(COUNTA(archive!H1400:CI1400)=0,"",COUNTA(archive!H1400:CI1400))</f>
        <v/>
      </c>
      <c r="G1400" s="47" t="str">
        <f>IF(archive!G1400="","",archive!G1400)</f>
        <v/>
      </c>
      <c r="H1400" s="51" t="str">
        <f>IF(archive!CJ1400="","",archive!CJ1400)</f>
        <v/>
      </c>
      <c r="I1400" s="51" t="str">
        <f>IF(archive!CK1400="","",archive!CK1400)</f>
        <v/>
      </c>
      <c r="J1400" s="47" t="str">
        <f t="shared" si="297"/>
        <v/>
      </c>
      <c r="K1400" s="51" t="str">
        <f t="shared" si="298"/>
        <v/>
      </c>
      <c r="L1400" s="52" t="str">
        <f t="shared" si="299"/>
        <v/>
      </c>
      <c r="M1400" s="53" t="str">
        <f t="shared" si="300"/>
        <v/>
      </c>
      <c r="N1400" s="53" t="str">
        <f t="shared" si="301"/>
        <v/>
      </c>
      <c r="O1400" s="53" t="str">
        <f t="shared" si="302"/>
        <v/>
      </c>
      <c r="P1400" s="53" t="str">
        <f t="shared" si="303"/>
        <v/>
      </c>
      <c r="Q1400" s="53" t="str">
        <f t="shared" si="304"/>
        <v/>
      </c>
      <c r="R1400" s="53" t="str">
        <f t="shared" si="305"/>
        <v/>
      </c>
      <c r="S1400" s="53" t="str">
        <f t="shared" si="306"/>
        <v/>
      </c>
      <c r="T1400" s="53" t="str">
        <f t="shared" si="307"/>
        <v/>
      </c>
    </row>
    <row r="1401" spans="1:20">
      <c r="A1401" s="47" t="str">
        <f>IF(archive!E1401="","",archive!E1401)</f>
        <v/>
      </c>
      <c r="B1401" s="48" t="str">
        <f t="shared" si="294"/>
        <v/>
      </c>
      <c r="C1401" s="49" t="str">
        <f>IF(archive!F1401="","",archive!F1401)</f>
        <v/>
      </c>
      <c r="D1401" s="50" t="str">
        <f t="shared" si="295"/>
        <v/>
      </c>
      <c r="E1401" s="50" t="str">
        <f t="shared" si="296"/>
        <v/>
      </c>
      <c r="F1401" s="47" t="str">
        <f>IF(COUNTA(archive!H1401:CI1401)=0,"",COUNTA(archive!H1401:CI1401))</f>
        <v/>
      </c>
      <c r="G1401" s="47" t="str">
        <f>IF(archive!G1401="","",archive!G1401)</f>
        <v/>
      </c>
      <c r="H1401" s="51" t="str">
        <f>IF(archive!CJ1401="","",archive!CJ1401)</f>
        <v/>
      </c>
      <c r="I1401" s="51" t="str">
        <f>IF(archive!CK1401="","",archive!CK1401)</f>
        <v/>
      </c>
      <c r="J1401" s="47" t="str">
        <f t="shared" si="297"/>
        <v/>
      </c>
      <c r="K1401" s="51" t="str">
        <f t="shared" si="298"/>
        <v/>
      </c>
      <c r="L1401" s="52" t="str">
        <f t="shared" si="299"/>
        <v/>
      </c>
      <c r="M1401" s="53" t="str">
        <f t="shared" si="300"/>
        <v/>
      </c>
      <c r="N1401" s="53" t="str">
        <f t="shared" si="301"/>
        <v/>
      </c>
      <c r="O1401" s="53" t="str">
        <f t="shared" si="302"/>
        <v/>
      </c>
      <c r="P1401" s="53" t="str">
        <f t="shared" si="303"/>
        <v/>
      </c>
      <c r="Q1401" s="53" t="str">
        <f t="shared" si="304"/>
        <v/>
      </c>
      <c r="R1401" s="53" t="str">
        <f t="shared" si="305"/>
        <v/>
      </c>
      <c r="S1401" s="53" t="str">
        <f t="shared" si="306"/>
        <v/>
      </c>
      <c r="T1401" s="53" t="str">
        <f t="shared" si="307"/>
        <v/>
      </c>
    </row>
    <row r="1402" spans="1:20">
      <c r="A1402" s="47" t="str">
        <f>IF(archive!E1402="","",archive!E1402)</f>
        <v/>
      </c>
      <c r="B1402" s="48" t="str">
        <f t="shared" si="294"/>
        <v/>
      </c>
      <c r="C1402" s="49" t="str">
        <f>IF(archive!F1402="","",archive!F1402)</f>
        <v/>
      </c>
      <c r="D1402" s="50" t="str">
        <f t="shared" si="295"/>
        <v/>
      </c>
      <c r="E1402" s="50" t="str">
        <f t="shared" si="296"/>
        <v/>
      </c>
      <c r="F1402" s="47" t="str">
        <f>IF(COUNTA(archive!H1402:CI1402)=0,"",COUNTA(archive!H1402:CI1402))</f>
        <v/>
      </c>
      <c r="G1402" s="47" t="str">
        <f>IF(archive!G1402="","",archive!G1402)</f>
        <v/>
      </c>
      <c r="H1402" s="51" t="str">
        <f>IF(archive!CJ1402="","",archive!CJ1402)</f>
        <v/>
      </c>
      <c r="I1402" s="51" t="str">
        <f>IF(archive!CK1402="","",archive!CK1402)</f>
        <v/>
      </c>
      <c r="J1402" s="47" t="str">
        <f t="shared" si="297"/>
        <v/>
      </c>
      <c r="K1402" s="51" t="str">
        <f t="shared" si="298"/>
        <v/>
      </c>
      <c r="L1402" s="52" t="str">
        <f t="shared" si="299"/>
        <v/>
      </c>
      <c r="M1402" s="53" t="str">
        <f t="shared" si="300"/>
        <v/>
      </c>
      <c r="N1402" s="53" t="str">
        <f t="shared" si="301"/>
        <v/>
      </c>
      <c r="O1402" s="53" t="str">
        <f t="shared" si="302"/>
        <v/>
      </c>
      <c r="P1402" s="53" t="str">
        <f t="shared" si="303"/>
        <v/>
      </c>
      <c r="Q1402" s="53" t="str">
        <f t="shared" si="304"/>
        <v/>
      </c>
      <c r="R1402" s="53" t="str">
        <f t="shared" si="305"/>
        <v/>
      </c>
      <c r="S1402" s="53" t="str">
        <f t="shared" si="306"/>
        <v/>
      </c>
      <c r="T1402" s="53" t="str">
        <f t="shared" si="307"/>
        <v/>
      </c>
    </row>
    <row r="1403" spans="1:20">
      <c r="A1403" s="47" t="str">
        <f>IF(archive!E1403="","",archive!E1403)</f>
        <v/>
      </c>
      <c r="B1403" s="48" t="str">
        <f t="shared" si="294"/>
        <v/>
      </c>
      <c r="C1403" s="49" t="str">
        <f>IF(archive!F1403="","",archive!F1403)</f>
        <v/>
      </c>
      <c r="D1403" s="50" t="str">
        <f t="shared" si="295"/>
        <v/>
      </c>
      <c r="E1403" s="50" t="str">
        <f t="shared" si="296"/>
        <v/>
      </c>
      <c r="F1403" s="47" t="str">
        <f>IF(COUNTA(archive!H1403:CI1403)=0,"",COUNTA(archive!H1403:CI1403))</f>
        <v/>
      </c>
      <c r="G1403" s="47" t="str">
        <f>IF(archive!G1403="","",archive!G1403)</f>
        <v/>
      </c>
      <c r="H1403" s="51" t="str">
        <f>IF(archive!CJ1403="","",archive!CJ1403)</f>
        <v/>
      </c>
      <c r="I1403" s="51" t="str">
        <f>IF(archive!CK1403="","",archive!CK1403)</f>
        <v/>
      </c>
      <c r="J1403" s="47" t="str">
        <f t="shared" si="297"/>
        <v/>
      </c>
      <c r="K1403" s="51" t="str">
        <f t="shared" si="298"/>
        <v/>
      </c>
      <c r="L1403" s="52" t="str">
        <f t="shared" si="299"/>
        <v/>
      </c>
      <c r="M1403" s="53" t="str">
        <f t="shared" si="300"/>
        <v/>
      </c>
      <c r="N1403" s="53" t="str">
        <f t="shared" si="301"/>
        <v/>
      </c>
      <c r="O1403" s="53" t="str">
        <f t="shared" si="302"/>
        <v/>
      </c>
      <c r="P1403" s="53" t="str">
        <f t="shared" si="303"/>
        <v/>
      </c>
      <c r="Q1403" s="53" t="str">
        <f t="shared" si="304"/>
        <v/>
      </c>
      <c r="R1403" s="53" t="str">
        <f t="shared" si="305"/>
        <v/>
      </c>
      <c r="S1403" s="53" t="str">
        <f t="shared" si="306"/>
        <v/>
      </c>
      <c r="T1403" s="53" t="str">
        <f t="shared" si="307"/>
        <v/>
      </c>
    </row>
    <row r="1404" spans="1:20">
      <c r="A1404" s="47" t="str">
        <f>IF(archive!E1404="","",archive!E1404)</f>
        <v/>
      </c>
      <c r="B1404" s="48" t="str">
        <f t="shared" si="294"/>
        <v/>
      </c>
      <c r="C1404" s="49" t="str">
        <f>IF(archive!F1404="","",archive!F1404)</f>
        <v/>
      </c>
      <c r="D1404" s="50" t="str">
        <f t="shared" si="295"/>
        <v/>
      </c>
      <c r="E1404" s="50" t="str">
        <f t="shared" si="296"/>
        <v/>
      </c>
      <c r="F1404" s="47" t="str">
        <f>IF(COUNTA(archive!H1404:CI1404)=0,"",COUNTA(archive!H1404:CI1404))</f>
        <v/>
      </c>
      <c r="G1404" s="47" t="str">
        <f>IF(archive!G1404="","",archive!G1404)</f>
        <v/>
      </c>
      <c r="H1404" s="51" t="str">
        <f>IF(archive!CJ1404="","",archive!CJ1404)</f>
        <v/>
      </c>
      <c r="I1404" s="51" t="str">
        <f>IF(archive!CK1404="","",archive!CK1404)</f>
        <v/>
      </c>
      <c r="J1404" s="47" t="str">
        <f t="shared" si="297"/>
        <v/>
      </c>
      <c r="K1404" s="51" t="str">
        <f t="shared" si="298"/>
        <v/>
      </c>
      <c r="L1404" s="52" t="str">
        <f t="shared" si="299"/>
        <v/>
      </c>
      <c r="M1404" s="53" t="str">
        <f t="shared" si="300"/>
        <v/>
      </c>
      <c r="N1404" s="53" t="str">
        <f t="shared" si="301"/>
        <v/>
      </c>
      <c r="O1404" s="53" t="str">
        <f t="shared" si="302"/>
        <v/>
      </c>
      <c r="P1404" s="53" t="str">
        <f t="shared" si="303"/>
        <v/>
      </c>
      <c r="Q1404" s="53" t="str">
        <f t="shared" si="304"/>
        <v/>
      </c>
      <c r="R1404" s="53" t="str">
        <f t="shared" si="305"/>
        <v/>
      </c>
      <c r="S1404" s="53" t="str">
        <f t="shared" si="306"/>
        <v/>
      </c>
      <c r="T1404" s="53" t="str">
        <f t="shared" si="307"/>
        <v/>
      </c>
    </row>
    <row r="1405" spans="1:20">
      <c r="A1405" s="47" t="str">
        <f>IF(archive!E1405="","",archive!E1405)</f>
        <v/>
      </c>
      <c r="B1405" s="48" t="str">
        <f t="shared" si="294"/>
        <v/>
      </c>
      <c r="C1405" s="49" t="str">
        <f>IF(archive!F1405="","",archive!F1405)</f>
        <v/>
      </c>
      <c r="D1405" s="50" t="str">
        <f t="shared" si="295"/>
        <v/>
      </c>
      <c r="E1405" s="50" t="str">
        <f t="shared" si="296"/>
        <v/>
      </c>
      <c r="F1405" s="47" t="str">
        <f>IF(COUNTA(archive!H1405:CI1405)=0,"",COUNTA(archive!H1405:CI1405))</f>
        <v/>
      </c>
      <c r="G1405" s="47" t="str">
        <f>IF(archive!G1405="","",archive!G1405)</f>
        <v/>
      </c>
      <c r="H1405" s="51" t="str">
        <f>IF(archive!CJ1405="","",archive!CJ1405)</f>
        <v/>
      </c>
      <c r="I1405" s="51" t="str">
        <f>IF(archive!CK1405="","",archive!CK1405)</f>
        <v/>
      </c>
      <c r="J1405" s="47" t="str">
        <f t="shared" si="297"/>
        <v/>
      </c>
      <c r="K1405" s="51" t="str">
        <f t="shared" si="298"/>
        <v/>
      </c>
      <c r="L1405" s="52" t="str">
        <f t="shared" si="299"/>
        <v/>
      </c>
      <c r="M1405" s="53" t="str">
        <f t="shared" si="300"/>
        <v/>
      </c>
      <c r="N1405" s="53" t="str">
        <f t="shared" si="301"/>
        <v/>
      </c>
      <c r="O1405" s="53" t="str">
        <f t="shared" si="302"/>
        <v/>
      </c>
      <c r="P1405" s="53" t="str">
        <f t="shared" si="303"/>
        <v/>
      </c>
      <c r="Q1405" s="53" t="str">
        <f t="shared" si="304"/>
        <v/>
      </c>
      <c r="R1405" s="53" t="str">
        <f t="shared" si="305"/>
        <v/>
      </c>
      <c r="S1405" s="53" t="str">
        <f t="shared" si="306"/>
        <v/>
      </c>
      <c r="T1405" s="53" t="str">
        <f t="shared" si="307"/>
        <v/>
      </c>
    </row>
    <row r="1406" spans="1:20">
      <c r="A1406" s="47" t="str">
        <f>IF(archive!E1406="","",archive!E1406)</f>
        <v/>
      </c>
      <c r="B1406" s="48" t="str">
        <f t="shared" si="294"/>
        <v/>
      </c>
      <c r="C1406" s="49" t="str">
        <f>IF(archive!F1406="","",archive!F1406)</f>
        <v/>
      </c>
      <c r="D1406" s="50" t="str">
        <f t="shared" si="295"/>
        <v/>
      </c>
      <c r="E1406" s="50" t="str">
        <f t="shared" si="296"/>
        <v/>
      </c>
      <c r="F1406" s="47" t="str">
        <f>IF(COUNTA(archive!H1406:CI1406)=0,"",COUNTA(archive!H1406:CI1406))</f>
        <v/>
      </c>
      <c r="G1406" s="47" t="str">
        <f>IF(archive!G1406="","",archive!G1406)</f>
        <v/>
      </c>
      <c r="H1406" s="51" t="str">
        <f>IF(archive!CJ1406="","",archive!CJ1406)</f>
        <v/>
      </c>
      <c r="I1406" s="51" t="str">
        <f>IF(archive!CK1406="","",archive!CK1406)</f>
        <v/>
      </c>
      <c r="J1406" s="47" t="str">
        <f t="shared" si="297"/>
        <v/>
      </c>
      <c r="K1406" s="51" t="str">
        <f t="shared" si="298"/>
        <v/>
      </c>
      <c r="L1406" s="52" t="str">
        <f t="shared" si="299"/>
        <v/>
      </c>
      <c r="M1406" s="53" t="str">
        <f t="shared" si="300"/>
        <v/>
      </c>
      <c r="N1406" s="53" t="str">
        <f t="shared" si="301"/>
        <v/>
      </c>
      <c r="O1406" s="53" t="str">
        <f t="shared" si="302"/>
        <v/>
      </c>
      <c r="P1406" s="53" t="str">
        <f t="shared" si="303"/>
        <v/>
      </c>
      <c r="Q1406" s="53" t="str">
        <f t="shared" si="304"/>
        <v/>
      </c>
      <c r="R1406" s="53" t="str">
        <f t="shared" si="305"/>
        <v/>
      </c>
      <c r="S1406" s="53" t="str">
        <f t="shared" si="306"/>
        <v/>
      </c>
      <c r="T1406" s="53" t="str">
        <f t="shared" si="307"/>
        <v/>
      </c>
    </row>
    <row r="1407" spans="1:20">
      <c r="A1407" s="47" t="str">
        <f>IF(archive!E1407="","",archive!E1407)</f>
        <v/>
      </c>
      <c r="B1407" s="48" t="str">
        <f t="shared" si="294"/>
        <v/>
      </c>
      <c r="C1407" s="49" t="str">
        <f>IF(archive!F1407="","",archive!F1407)</f>
        <v/>
      </c>
      <c r="D1407" s="50" t="str">
        <f t="shared" si="295"/>
        <v/>
      </c>
      <c r="E1407" s="50" t="str">
        <f t="shared" si="296"/>
        <v/>
      </c>
      <c r="F1407" s="47" t="str">
        <f>IF(COUNTA(archive!H1407:CI1407)=0,"",COUNTA(archive!H1407:CI1407))</f>
        <v/>
      </c>
      <c r="G1407" s="47" t="str">
        <f>IF(archive!G1407="","",archive!G1407)</f>
        <v/>
      </c>
      <c r="H1407" s="51" t="str">
        <f>IF(archive!CJ1407="","",archive!CJ1407)</f>
        <v/>
      </c>
      <c r="I1407" s="51" t="str">
        <f>IF(archive!CK1407="","",archive!CK1407)</f>
        <v/>
      </c>
      <c r="J1407" s="47" t="str">
        <f t="shared" si="297"/>
        <v/>
      </c>
      <c r="K1407" s="51" t="str">
        <f t="shared" si="298"/>
        <v/>
      </c>
      <c r="L1407" s="52" t="str">
        <f t="shared" si="299"/>
        <v/>
      </c>
      <c r="M1407" s="53" t="str">
        <f t="shared" si="300"/>
        <v/>
      </c>
      <c r="N1407" s="53" t="str">
        <f t="shared" si="301"/>
        <v/>
      </c>
      <c r="O1407" s="53" t="str">
        <f t="shared" si="302"/>
        <v/>
      </c>
      <c r="P1407" s="53" t="str">
        <f t="shared" si="303"/>
        <v/>
      </c>
      <c r="Q1407" s="53" t="str">
        <f t="shared" si="304"/>
        <v/>
      </c>
      <c r="R1407" s="53" t="str">
        <f t="shared" si="305"/>
        <v/>
      </c>
      <c r="S1407" s="53" t="str">
        <f t="shared" si="306"/>
        <v/>
      </c>
      <c r="T1407" s="53" t="str">
        <f t="shared" si="307"/>
        <v/>
      </c>
    </row>
    <row r="1408" spans="1:20">
      <c r="A1408" s="47" t="str">
        <f>IF(archive!E1408="","",archive!E1408)</f>
        <v/>
      </c>
      <c r="B1408" s="48" t="str">
        <f t="shared" si="294"/>
        <v/>
      </c>
      <c r="C1408" s="49" t="str">
        <f>IF(archive!F1408="","",archive!F1408)</f>
        <v/>
      </c>
      <c r="D1408" s="50" t="str">
        <f t="shared" si="295"/>
        <v/>
      </c>
      <c r="E1408" s="50" t="str">
        <f t="shared" si="296"/>
        <v/>
      </c>
      <c r="F1408" s="47" t="str">
        <f>IF(COUNTA(archive!H1408:CI1408)=0,"",COUNTA(archive!H1408:CI1408))</f>
        <v/>
      </c>
      <c r="G1408" s="47" t="str">
        <f>IF(archive!G1408="","",archive!G1408)</f>
        <v/>
      </c>
      <c r="H1408" s="51" t="str">
        <f>IF(archive!CJ1408="","",archive!CJ1408)</f>
        <v/>
      </c>
      <c r="I1408" s="51" t="str">
        <f>IF(archive!CK1408="","",archive!CK1408)</f>
        <v/>
      </c>
      <c r="J1408" s="47" t="str">
        <f t="shared" si="297"/>
        <v/>
      </c>
      <c r="K1408" s="51" t="str">
        <f t="shared" si="298"/>
        <v/>
      </c>
      <c r="L1408" s="52" t="str">
        <f t="shared" si="299"/>
        <v/>
      </c>
      <c r="M1408" s="53" t="str">
        <f t="shared" si="300"/>
        <v/>
      </c>
      <c r="N1408" s="53" t="str">
        <f t="shared" si="301"/>
        <v/>
      </c>
      <c r="O1408" s="53" t="str">
        <f t="shared" si="302"/>
        <v/>
      </c>
      <c r="P1408" s="53" t="str">
        <f t="shared" si="303"/>
        <v/>
      </c>
      <c r="Q1408" s="53" t="str">
        <f t="shared" si="304"/>
        <v/>
      </c>
      <c r="R1408" s="53" t="str">
        <f t="shared" si="305"/>
        <v/>
      </c>
      <c r="S1408" s="53" t="str">
        <f t="shared" si="306"/>
        <v/>
      </c>
      <c r="T1408" s="53" t="str">
        <f t="shared" si="307"/>
        <v/>
      </c>
    </row>
    <row r="1409" spans="1:20">
      <c r="A1409" s="47" t="str">
        <f>IF(archive!E1409="","",archive!E1409)</f>
        <v/>
      </c>
      <c r="B1409" s="48" t="str">
        <f t="shared" si="294"/>
        <v/>
      </c>
      <c r="C1409" s="49" t="str">
        <f>IF(archive!F1409="","",archive!F1409)</f>
        <v/>
      </c>
      <c r="D1409" s="50" t="str">
        <f t="shared" si="295"/>
        <v/>
      </c>
      <c r="E1409" s="50" t="str">
        <f t="shared" si="296"/>
        <v/>
      </c>
      <c r="F1409" s="47" t="str">
        <f>IF(COUNTA(archive!H1409:CI1409)=0,"",COUNTA(archive!H1409:CI1409))</f>
        <v/>
      </c>
      <c r="G1409" s="47" t="str">
        <f>IF(archive!G1409="","",archive!G1409)</f>
        <v/>
      </c>
      <c r="H1409" s="51" t="str">
        <f>IF(archive!CJ1409="","",archive!CJ1409)</f>
        <v/>
      </c>
      <c r="I1409" s="51" t="str">
        <f>IF(archive!CK1409="","",archive!CK1409)</f>
        <v/>
      </c>
      <c r="J1409" s="47" t="str">
        <f t="shared" si="297"/>
        <v/>
      </c>
      <c r="K1409" s="51" t="str">
        <f t="shared" si="298"/>
        <v/>
      </c>
      <c r="L1409" s="52" t="str">
        <f t="shared" si="299"/>
        <v/>
      </c>
      <c r="M1409" s="53" t="str">
        <f t="shared" si="300"/>
        <v/>
      </c>
      <c r="N1409" s="53" t="str">
        <f t="shared" si="301"/>
        <v/>
      </c>
      <c r="O1409" s="53" t="str">
        <f t="shared" si="302"/>
        <v/>
      </c>
      <c r="P1409" s="53" t="str">
        <f t="shared" si="303"/>
        <v/>
      </c>
      <c r="Q1409" s="53" t="str">
        <f t="shared" si="304"/>
        <v/>
      </c>
      <c r="R1409" s="53" t="str">
        <f t="shared" si="305"/>
        <v/>
      </c>
      <c r="S1409" s="53" t="str">
        <f t="shared" si="306"/>
        <v/>
      </c>
      <c r="T1409" s="53" t="str">
        <f t="shared" si="307"/>
        <v/>
      </c>
    </row>
    <row r="1410" spans="1:20">
      <c r="A1410" s="47" t="str">
        <f>IF(archive!E1410="","",archive!E1410)</f>
        <v/>
      </c>
      <c r="B1410" s="48" t="str">
        <f t="shared" si="294"/>
        <v/>
      </c>
      <c r="C1410" s="49" t="str">
        <f>IF(archive!F1410="","",archive!F1410)</f>
        <v/>
      </c>
      <c r="D1410" s="50" t="str">
        <f t="shared" si="295"/>
        <v/>
      </c>
      <c r="E1410" s="50" t="str">
        <f t="shared" si="296"/>
        <v/>
      </c>
      <c r="F1410" s="47" t="str">
        <f>IF(COUNTA(archive!H1410:CI1410)=0,"",COUNTA(archive!H1410:CI1410))</f>
        <v/>
      </c>
      <c r="G1410" s="47" t="str">
        <f>IF(archive!G1410="","",archive!G1410)</f>
        <v/>
      </c>
      <c r="H1410" s="51" t="str">
        <f>IF(archive!CJ1410="","",archive!CJ1410)</f>
        <v/>
      </c>
      <c r="I1410" s="51" t="str">
        <f>IF(archive!CK1410="","",archive!CK1410)</f>
        <v/>
      </c>
      <c r="J1410" s="47" t="str">
        <f t="shared" si="297"/>
        <v/>
      </c>
      <c r="K1410" s="51" t="str">
        <f t="shared" si="298"/>
        <v/>
      </c>
      <c r="L1410" s="52" t="str">
        <f t="shared" si="299"/>
        <v/>
      </c>
      <c r="M1410" s="53" t="str">
        <f t="shared" si="300"/>
        <v/>
      </c>
      <c r="N1410" s="53" t="str">
        <f t="shared" si="301"/>
        <v/>
      </c>
      <c r="O1410" s="53" t="str">
        <f t="shared" si="302"/>
        <v/>
      </c>
      <c r="P1410" s="53" t="str">
        <f t="shared" si="303"/>
        <v/>
      </c>
      <c r="Q1410" s="53" t="str">
        <f t="shared" si="304"/>
        <v/>
      </c>
      <c r="R1410" s="53" t="str">
        <f t="shared" si="305"/>
        <v/>
      </c>
      <c r="S1410" s="53" t="str">
        <f t="shared" si="306"/>
        <v/>
      </c>
      <c r="T1410" s="53" t="str">
        <f t="shared" si="307"/>
        <v/>
      </c>
    </row>
    <row r="1411" spans="1:20">
      <c r="A1411" s="47" t="str">
        <f>IF(archive!E1411="","",archive!E1411)</f>
        <v/>
      </c>
      <c r="B1411" s="48" t="str">
        <f t="shared" si="294"/>
        <v/>
      </c>
      <c r="C1411" s="49" t="str">
        <f>IF(archive!F1411="","",archive!F1411)</f>
        <v/>
      </c>
      <c r="D1411" s="50" t="str">
        <f t="shared" si="295"/>
        <v/>
      </c>
      <c r="E1411" s="50" t="str">
        <f t="shared" si="296"/>
        <v/>
      </c>
      <c r="F1411" s="47" t="str">
        <f>IF(COUNTA(archive!H1411:CI1411)=0,"",COUNTA(archive!H1411:CI1411))</f>
        <v/>
      </c>
      <c r="G1411" s="47" t="str">
        <f>IF(archive!G1411="","",archive!G1411)</f>
        <v/>
      </c>
      <c r="H1411" s="51" t="str">
        <f>IF(archive!CJ1411="","",archive!CJ1411)</f>
        <v/>
      </c>
      <c r="I1411" s="51" t="str">
        <f>IF(archive!CK1411="","",archive!CK1411)</f>
        <v/>
      </c>
      <c r="J1411" s="47" t="str">
        <f t="shared" si="297"/>
        <v/>
      </c>
      <c r="K1411" s="51" t="str">
        <f t="shared" si="298"/>
        <v/>
      </c>
      <c r="L1411" s="52" t="str">
        <f t="shared" si="299"/>
        <v/>
      </c>
      <c r="M1411" s="53" t="str">
        <f t="shared" si="300"/>
        <v/>
      </c>
      <c r="N1411" s="53" t="str">
        <f t="shared" si="301"/>
        <v/>
      </c>
      <c r="O1411" s="53" t="str">
        <f t="shared" si="302"/>
        <v/>
      </c>
      <c r="P1411" s="53" t="str">
        <f t="shared" si="303"/>
        <v/>
      </c>
      <c r="Q1411" s="53" t="str">
        <f t="shared" si="304"/>
        <v/>
      </c>
      <c r="R1411" s="53" t="str">
        <f t="shared" si="305"/>
        <v/>
      </c>
      <c r="S1411" s="53" t="str">
        <f t="shared" si="306"/>
        <v/>
      </c>
      <c r="T1411" s="53" t="str">
        <f t="shared" si="307"/>
        <v/>
      </c>
    </row>
    <row r="1412" spans="1:20">
      <c r="A1412" s="47" t="str">
        <f>IF(archive!E1412="","",archive!E1412)</f>
        <v/>
      </c>
      <c r="B1412" s="48" t="str">
        <f t="shared" ref="B1412:B1475" si="308">IF(C1412="","",VLOOKUP($C1412,Tare,2,0))</f>
        <v/>
      </c>
      <c r="C1412" s="49" t="str">
        <f>IF(archive!F1412="","",archive!F1412)</f>
        <v/>
      </c>
      <c r="D1412" s="50" t="str">
        <f t="shared" ref="D1412:D1475" si="309">IF(C1412="","",C1412+B1412)</f>
        <v/>
      </c>
      <c r="E1412" s="50" t="str">
        <f t="shared" ref="E1412:E1475" si="310">IF(C1412="","",(C1412*0.025)+D1412)</f>
        <v/>
      </c>
      <c r="F1412" s="47" t="str">
        <f>IF(COUNTA(archive!H1412:CI1412)=0,"",COUNTA(archive!H1412:CI1412))</f>
        <v/>
      </c>
      <c r="G1412" s="47" t="str">
        <f>IF(archive!G1412="","",archive!G1412)</f>
        <v/>
      </c>
      <c r="H1412" s="51" t="str">
        <f>IF(archive!CJ1412="","",archive!CJ1412)</f>
        <v/>
      </c>
      <c r="I1412" s="51" t="str">
        <f>IF(archive!CK1412="","",archive!CK1412)</f>
        <v/>
      </c>
      <c r="J1412" s="47" t="str">
        <f t="shared" ref="J1412:J1475" si="311">IF(F1412="","",VLOOKUP(F1412,Valeur_g,2,0))</f>
        <v/>
      </c>
      <c r="K1412" s="51" t="str">
        <f t="shared" ref="K1412:K1475" si="312">IF(C1412="","",D1412+(J1412*I1412))</f>
        <v/>
      </c>
      <c r="L1412" s="52" t="str">
        <f t="shared" ref="L1412:L1475" si="313">IF(C1412="","",IF(K1412&lt;H1412,"Conforme","Non conforme"))</f>
        <v/>
      </c>
      <c r="M1412" s="53" t="str">
        <f t="shared" ref="M1412:M1475" si="314">IF(C1412="","",1)</f>
        <v/>
      </c>
      <c r="N1412" s="53" t="str">
        <f t="shared" ref="N1412:N1475" si="315">IF(L1412="","",COUNTIF(L1412,"Non conforme"))</f>
        <v/>
      </c>
      <c r="O1412" s="53" t="str">
        <f t="shared" ref="O1412:O1475" si="316">IF($C1412="","",IF($C1412=0.25,$G1412,"-"))</f>
        <v/>
      </c>
      <c r="P1412" s="53" t="str">
        <f t="shared" ref="P1412:P1475" si="317">IF($C1412="","",IF($C1412=0.4,$G1412,"-"))</f>
        <v/>
      </c>
      <c r="Q1412" s="53" t="str">
        <f t="shared" ref="Q1412:Q1475" si="318">IF($C1412="","",IF($C1412=0.5,$G1412,"-"))</f>
        <v/>
      </c>
      <c r="R1412" s="53" t="str">
        <f t="shared" ref="R1412:R1475" si="319">IF($C1412="","",IF($C1412=0.6,$G1412,"-"))</f>
        <v/>
      </c>
      <c r="S1412" s="53" t="str">
        <f t="shared" ref="S1412:S1475" si="320">IF($C1412="","",IF($C1412=0.8,$G1412,"-"))</f>
        <v/>
      </c>
      <c r="T1412" s="53" t="str">
        <f t="shared" ref="T1412:T1475" si="321">IF($C1412="","",IF($C1412=1,$G1412,"-"))</f>
        <v/>
      </c>
    </row>
    <row r="1413" spans="1:20">
      <c r="A1413" s="47" t="str">
        <f>IF(archive!E1413="","",archive!E1413)</f>
        <v/>
      </c>
      <c r="B1413" s="48" t="str">
        <f t="shared" si="308"/>
        <v/>
      </c>
      <c r="C1413" s="49" t="str">
        <f>IF(archive!F1413="","",archive!F1413)</f>
        <v/>
      </c>
      <c r="D1413" s="50" t="str">
        <f t="shared" si="309"/>
        <v/>
      </c>
      <c r="E1413" s="50" t="str">
        <f t="shared" si="310"/>
        <v/>
      </c>
      <c r="F1413" s="47" t="str">
        <f>IF(COUNTA(archive!H1413:CI1413)=0,"",COUNTA(archive!H1413:CI1413))</f>
        <v/>
      </c>
      <c r="G1413" s="47" t="str">
        <f>IF(archive!G1413="","",archive!G1413)</f>
        <v/>
      </c>
      <c r="H1413" s="51" t="str">
        <f>IF(archive!CJ1413="","",archive!CJ1413)</f>
        <v/>
      </c>
      <c r="I1413" s="51" t="str">
        <f>IF(archive!CK1413="","",archive!CK1413)</f>
        <v/>
      </c>
      <c r="J1413" s="47" t="str">
        <f t="shared" si="311"/>
        <v/>
      </c>
      <c r="K1413" s="51" t="str">
        <f t="shared" si="312"/>
        <v/>
      </c>
      <c r="L1413" s="52" t="str">
        <f t="shared" si="313"/>
        <v/>
      </c>
      <c r="M1413" s="53" t="str">
        <f t="shared" si="314"/>
        <v/>
      </c>
      <c r="N1413" s="53" t="str">
        <f t="shared" si="315"/>
        <v/>
      </c>
      <c r="O1413" s="53" t="str">
        <f t="shared" si="316"/>
        <v/>
      </c>
      <c r="P1413" s="53" t="str">
        <f t="shared" si="317"/>
        <v/>
      </c>
      <c r="Q1413" s="53" t="str">
        <f t="shared" si="318"/>
        <v/>
      </c>
      <c r="R1413" s="53" t="str">
        <f t="shared" si="319"/>
        <v/>
      </c>
      <c r="S1413" s="53" t="str">
        <f t="shared" si="320"/>
        <v/>
      </c>
      <c r="T1413" s="53" t="str">
        <f t="shared" si="321"/>
        <v/>
      </c>
    </row>
    <row r="1414" spans="1:20">
      <c r="A1414" s="47" t="str">
        <f>IF(archive!E1414="","",archive!E1414)</f>
        <v/>
      </c>
      <c r="B1414" s="48" t="str">
        <f t="shared" si="308"/>
        <v/>
      </c>
      <c r="C1414" s="49" t="str">
        <f>IF(archive!F1414="","",archive!F1414)</f>
        <v/>
      </c>
      <c r="D1414" s="50" t="str">
        <f t="shared" si="309"/>
        <v/>
      </c>
      <c r="E1414" s="50" t="str">
        <f t="shared" si="310"/>
        <v/>
      </c>
      <c r="F1414" s="47" t="str">
        <f>IF(COUNTA(archive!H1414:CI1414)=0,"",COUNTA(archive!H1414:CI1414))</f>
        <v/>
      </c>
      <c r="G1414" s="47" t="str">
        <f>IF(archive!G1414="","",archive!G1414)</f>
        <v/>
      </c>
      <c r="H1414" s="51" t="str">
        <f>IF(archive!CJ1414="","",archive!CJ1414)</f>
        <v/>
      </c>
      <c r="I1414" s="51" t="str">
        <f>IF(archive!CK1414="","",archive!CK1414)</f>
        <v/>
      </c>
      <c r="J1414" s="47" t="str">
        <f t="shared" si="311"/>
        <v/>
      </c>
      <c r="K1414" s="51" t="str">
        <f t="shared" si="312"/>
        <v/>
      </c>
      <c r="L1414" s="52" t="str">
        <f t="shared" si="313"/>
        <v/>
      </c>
      <c r="M1414" s="53" t="str">
        <f t="shared" si="314"/>
        <v/>
      </c>
      <c r="N1414" s="53" t="str">
        <f t="shared" si="315"/>
        <v/>
      </c>
      <c r="O1414" s="53" t="str">
        <f t="shared" si="316"/>
        <v/>
      </c>
      <c r="P1414" s="53" t="str">
        <f t="shared" si="317"/>
        <v/>
      </c>
      <c r="Q1414" s="53" t="str">
        <f t="shared" si="318"/>
        <v/>
      </c>
      <c r="R1414" s="53" t="str">
        <f t="shared" si="319"/>
        <v/>
      </c>
      <c r="S1414" s="53" t="str">
        <f t="shared" si="320"/>
        <v/>
      </c>
      <c r="T1414" s="53" t="str">
        <f t="shared" si="321"/>
        <v/>
      </c>
    </row>
    <row r="1415" spans="1:20">
      <c r="A1415" s="47" t="str">
        <f>IF(archive!E1415="","",archive!E1415)</f>
        <v/>
      </c>
      <c r="B1415" s="48" t="str">
        <f t="shared" si="308"/>
        <v/>
      </c>
      <c r="C1415" s="49" t="str">
        <f>IF(archive!F1415="","",archive!F1415)</f>
        <v/>
      </c>
      <c r="D1415" s="50" t="str">
        <f t="shared" si="309"/>
        <v/>
      </c>
      <c r="E1415" s="50" t="str">
        <f t="shared" si="310"/>
        <v/>
      </c>
      <c r="F1415" s="47" t="str">
        <f>IF(COUNTA(archive!H1415:CI1415)=0,"",COUNTA(archive!H1415:CI1415))</f>
        <v/>
      </c>
      <c r="G1415" s="47" t="str">
        <f>IF(archive!G1415="","",archive!G1415)</f>
        <v/>
      </c>
      <c r="H1415" s="51" t="str">
        <f>IF(archive!CJ1415="","",archive!CJ1415)</f>
        <v/>
      </c>
      <c r="I1415" s="51" t="str">
        <f>IF(archive!CK1415="","",archive!CK1415)</f>
        <v/>
      </c>
      <c r="J1415" s="47" t="str">
        <f t="shared" si="311"/>
        <v/>
      </c>
      <c r="K1415" s="51" t="str">
        <f t="shared" si="312"/>
        <v/>
      </c>
      <c r="L1415" s="52" t="str">
        <f t="shared" si="313"/>
        <v/>
      </c>
      <c r="M1415" s="53" t="str">
        <f t="shared" si="314"/>
        <v/>
      </c>
      <c r="N1415" s="53" t="str">
        <f t="shared" si="315"/>
        <v/>
      </c>
      <c r="O1415" s="53" t="str">
        <f t="shared" si="316"/>
        <v/>
      </c>
      <c r="P1415" s="53" t="str">
        <f t="shared" si="317"/>
        <v/>
      </c>
      <c r="Q1415" s="53" t="str">
        <f t="shared" si="318"/>
        <v/>
      </c>
      <c r="R1415" s="53" t="str">
        <f t="shared" si="319"/>
        <v/>
      </c>
      <c r="S1415" s="53" t="str">
        <f t="shared" si="320"/>
        <v/>
      </c>
      <c r="T1415" s="53" t="str">
        <f t="shared" si="321"/>
        <v/>
      </c>
    </row>
    <row r="1416" spans="1:20">
      <c r="A1416" s="47" t="str">
        <f>IF(archive!E1416="","",archive!E1416)</f>
        <v/>
      </c>
      <c r="B1416" s="48" t="str">
        <f t="shared" si="308"/>
        <v/>
      </c>
      <c r="C1416" s="49" t="str">
        <f>IF(archive!F1416="","",archive!F1416)</f>
        <v/>
      </c>
      <c r="D1416" s="50" t="str">
        <f t="shared" si="309"/>
        <v/>
      </c>
      <c r="E1416" s="50" t="str">
        <f t="shared" si="310"/>
        <v/>
      </c>
      <c r="F1416" s="47" t="str">
        <f>IF(COUNTA(archive!H1416:CI1416)=0,"",COUNTA(archive!H1416:CI1416))</f>
        <v/>
      </c>
      <c r="G1416" s="47" t="str">
        <f>IF(archive!G1416="","",archive!G1416)</f>
        <v/>
      </c>
      <c r="H1416" s="51" t="str">
        <f>IF(archive!CJ1416="","",archive!CJ1416)</f>
        <v/>
      </c>
      <c r="I1416" s="51" t="str">
        <f>IF(archive!CK1416="","",archive!CK1416)</f>
        <v/>
      </c>
      <c r="J1416" s="47" t="str">
        <f t="shared" si="311"/>
        <v/>
      </c>
      <c r="K1416" s="51" t="str">
        <f t="shared" si="312"/>
        <v/>
      </c>
      <c r="L1416" s="52" t="str">
        <f t="shared" si="313"/>
        <v/>
      </c>
      <c r="M1416" s="53" t="str">
        <f t="shared" si="314"/>
        <v/>
      </c>
      <c r="N1416" s="53" t="str">
        <f t="shared" si="315"/>
        <v/>
      </c>
      <c r="O1416" s="53" t="str">
        <f t="shared" si="316"/>
        <v/>
      </c>
      <c r="P1416" s="53" t="str">
        <f t="shared" si="317"/>
        <v/>
      </c>
      <c r="Q1416" s="53" t="str">
        <f t="shared" si="318"/>
        <v/>
      </c>
      <c r="R1416" s="53" t="str">
        <f t="shared" si="319"/>
        <v/>
      </c>
      <c r="S1416" s="53" t="str">
        <f t="shared" si="320"/>
        <v/>
      </c>
      <c r="T1416" s="53" t="str">
        <f t="shared" si="321"/>
        <v/>
      </c>
    </row>
    <row r="1417" spans="1:20">
      <c r="A1417" s="47" t="str">
        <f>IF(archive!E1417="","",archive!E1417)</f>
        <v/>
      </c>
      <c r="B1417" s="48" t="str">
        <f t="shared" si="308"/>
        <v/>
      </c>
      <c r="C1417" s="49" t="str">
        <f>IF(archive!F1417="","",archive!F1417)</f>
        <v/>
      </c>
      <c r="D1417" s="50" t="str">
        <f t="shared" si="309"/>
        <v/>
      </c>
      <c r="E1417" s="50" t="str">
        <f t="shared" si="310"/>
        <v/>
      </c>
      <c r="F1417" s="47" t="str">
        <f>IF(COUNTA(archive!H1417:CI1417)=0,"",COUNTA(archive!H1417:CI1417))</f>
        <v/>
      </c>
      <c r="G1417" s="47" t="str">
        <f>IF(archive!G1417="","",archive!G1417)</f>
        <v/>
      </c>
      <c r="H1417" s="51" t="str">
        <f>IF(archive!CJ1417="","",archive!CJ1417)</f>
        <v/>
      </c>
      <c r="I1417" s="51" t="str">
        <f>IF(archive!CK1417="","",archive!CK1417)</f>
        <v/>
      </c>
      <c r="J1417" s="47" t="str">
        <f t="shared" si="311"/>
        <v/>
      </c>
      <c r="K1417" s="51" t="str">
        <f t="shared" si="312"/>
        <v/>
      </c>
      <c r="L1417" s="52" t="str">
        <f t="shared" si="313"/>
        <v/>
      </c>
      <c r="M1417" s="53" t="str">
        <f t="shared" si="314"/>
        <v/>
      </c>
      <c r="N1417" s="53" t="str">
        <f t="shared" si="315"/>
        <v/>
      </c>
      <c r="O1417" s="53" t="str">
        <f t="shared" si="316"/>
        <v/>
      </c>
      <c r="P1417" s="53" t="str">
        <f t="shared" si="317"/>
        <v/>
      </c>
      <c r="Q1417" s="53" t="str">
        <f t="shared" si="318"/>
        <v/>
      </c>
      <c r="R1417" s="53" t="str">
        <f t="shared" si="319"/>
        <v/>
      </c>
      <c r="S1417" s="53" t="str">
        <f t="shared" si="320"/>
        <v/>
      </c>
      <c r="T1417" s="53" t="str">
        <f t="shared" si="321"/>
        <v/>
      </c>
    </row>
    <row r="1418" spans="1:20">
      <c r="A1418" s="47" t="str">
        <f>IF(archive!E1418="","",archive!E1418)</f>
        <v/>
      </c>
      <c r="B1418" s="48" t="str">
        <f t="shared" si="308"/>
        <v/>
      </c>
      <c r="C1418" s="49" t="str">
        <f>IF(archive!F1418="","",archive!F1418)</f>
        <v/>
      </c>
      <c r="D1418" s="50" t="str">
        <f t="shared" si="309"/>
        <v/>
      </c>
      <c r="E1418" s="50" t="str">
        <f t="shared" si="310"/>
        <v/>
      </c>
      <c r="F1418" s="47" t="str">
        <f>IF(COUNTA(archive!H1418:CI1418)=0,"",COUNTA(archive!H1418:CI1418))</f>
        <v/>
      </c>
      <c r="G1418" s="47" t="str">
        <f>IF(archive!G1418="","",archive!G1418)</f>
        <v/>
      </c>
      <c r="H1418" s="51" t="str">
        <f>IF(archive!CJ1418="","",archive!CJ1418)</f>
        <v/>
      </c>
      <c r="I1418" s="51" t="str">
        <f>IF(archive!CK1418="","",archive!CK1418)</f>
        <v/>
      </c>
      <c r="J1418" s="47" t="str">
        <f t="shared" si="311"/>
        <v/>
      </c>
      <c r="K1418" s="51" t="str">
        <f t="shared" si="312"/>
        <v/>
      </c>
      <c r="L1418" s="52" t="str">
        <f t="shared" si="313"/>
        <v/>
      </c>
      <c r="M1418" s="53" t="str">
        <f t="shared" si="314"/>
        <v/>
      </c>
      <c r="N1418" s="53" t="str">
        <f t="shared" si="315"/>
        <v/>
      </c>
      <c r="O1418" s="53" t="str">
        <f t="shared" si="316"/>
        <v/>
      </c>
      <c r="P1418" s="53" t="str">
        <f t="shared" si="317"/>
        <v/>
      </c>
      <c r="Q1418" s="53" t="str">
        <f t="shared" si="318"/>
        <v/>
      </c>
      <c r="R1418" s="53" t="str">
        <f t="shared" si="319"/>
        <v/>
      </c>
      <c r="S1418" s="53" t="str">
        <f t="shared" si="320"/>
        <v/>
      </c>
      <c r="T1418" s="53" t="str">
        <f t="shared" si="321"/>
        <v/>
      </c>
    </row>
    <row r="1419" spans="1:20">
      <c r="A1419" s="47" t="str">
        <f>IF(archive!E1419="","",archive!E1419)</f>
        <v/>
      </c>
      <c r="B1419" s="48" t="str">
        <f t="shared" si="308"/>
        <v/>
      </c>
      <c r="C1419" s="49" t="str">
        <f>IF(archive!F1419="","",archive!F1419)</f>
        <v/>
      </c>
      <c r="D1419" s="50" t="str">
        <f t="shared" si="309"/>
        <v/>
      </c>
      <c r="E1419" s="50" t="str">
        <f t="shared" si="310"/>
        <v/>
      </c>
      <c r="F1419" s="47" t="str">
        <f>IF(COUNTA(archive!H1419:CI1419)=0,"",COUNTA(archive!H1419:CI1419))</f>
        <v/>
      </c>
      <c r="G1419" s="47" t="str">
        <f>IF(archive!G1419="","",archive!G1419)</f>
        <v/>
      </c>
      <c r="H1419" s="51" t="str">
        <f>IF(archive!CJ1419="","",archive!CJ1419)</f>
        <v/>
      </c>
      <c r="I1419" s="51" t="str">
        <f>IF(archive!CK1419="","",archive!CK1419)</f>
        <v/>
      </c>
      <c r="J1419" s="47" t="str">
        <f t="shared" si="311"/>
        <v/>
      </c>
      <c r="K1419" s="51" t="str">
        <f t="shared" si="312"/>
        <v/>
      </c>
      <c r="L1419" s="52" t="str">
        <f t="shared" si="313"/>
        <v/>
      </c>
      <c r="M1419" s="53" t="str">
        <f t="shared" si="314"/>
        <v/>
      </c>
      <c r="N1419" s="53" t="str">
        <f t="shared" si="315"/>
        <v/>
      </c>
      <c r="O1419" s="53" t="str">
        <f t="shared" si="316"/>
        <v/>
      </c>
      <c r="P1419" s="53" t="str">
        <f t="shared" si="317"/>
        <v/>
      </c>
      <c r="Q1419" s="53" t="str">
        <f t="shared" si="318"/>
        <v/>
      </c>
      <c r="R1419" s="53" t="str">
        <f t="shared" si="319"/>
        <v/>
      </c>
      <c r="S1419" s="53" t="str">
        <f t="shared" si="320"/>
        <v/>
      </c>
      <c r="T1419" s="53" t="str">
        <f t="shared" si="321"/>
        <v/>
      </c>
    </row>
    <row r="1420" spans="1:20">
      <c r="A1420" s="47" t="str">
        <f>IF(archive!E1420="","",archive!E1420)</f>
        <v/>
      </c>
      <c r="B1420" s="48" t="str">
        <f t="shared" si="308"/>
        <v/>
      </c>
      <c r="C1420" s="49" t="str">
        <f>IF(archive!F1420="","",archive!F1420)</f>
        <v/>
      </c>
      <c r="D1420" s="50" t="str">
        <f t="shared" si="309"/>
        <v/>
      </c>
      <c r="E1420" s="50" t="str">
        <f t="shared" si="310"/>
        <v/>
      </c>
      <c r="F1420" s="47" t="str">
        <f>IF(COUNTA(archive!H1420:CI1420)=0,"",COUNTA(archive!H1420:CI1420))</f>
        <v/>
      </c>
      <c r="G1420" s="47" t="str">
        <f>IF(archive!G1420="","",archive!G1420)</f>
        <v/>
      </c>
      <c r="H1420" s="51" t="str">
        <f>IF(archive!CJ1420="","",archive!CJ1420)</f>
        <v/>
      </c>
      <c r="I1420" s="51" t="str">
        <f>IF(archive!CK1420="","",archive!CK1420)</f>
        <v/>
      </c>
      <c r="J1420" s="47" t="str">
        <f t="shared" si="311"/>
        <v/>
      </c>
      <c r="K1420" s="51" t="str">
        <f t="shared" si="312"/>
        <v/>
      </c>
      <c r="L1420" s="52" t="str">
        <f t="shared" si="313"/>
        <v/>
      </c>
      <c r="M1420" s="53" t="str">
        <f t="shared" si="314"/>
        <v/>
      </c>
      <c r="N1420" s="53" t="str">
        <f t="shared" si="315"/>
        <v/>
      </c>
      <c r="O1420" s="53" t="str">
        <f t="shared" si="316"/>
        <v/>
      </c>
      <c r="P1420" s="53" t="str">
        <f t="shared" si="317"/>
        <v/>
      </c>
      <c r="Q1420" s="53" t="str">
        <f t="shared" si="318"/>
        <v/>
      </c>
      <c r="R1420" s="53" t="str">
        <f t="shared" si="319"/>
        <v/>
      </c>
      <c r="S1420" s="53" t="str">
        <f t="shared" si="320"/>
        <v/>
      </c>
      <c r="T1420" s="53" t="str">
        <f t="shared" si="321"/>
        <v/>
      </c>
    </row>
    <row r="1421" spans="1:20">
      <c r="A1421" s="47" t="str">
        <f>IF(archive!E1421="","",archive!E1421)</f>
        <v/>
      </c>
      <c r="B1421" s="48" t="str">
        <f t="shared" si="308"/>
        <v/>
      </c>
      <c r="C1421" s="49" t="str">
        <f>IF(archive!F1421="","",archive!F1421)</f>
        <v/>
      </c>
      <c r="D1421" s="50" t="str">
        <f t="shared" si="309"/>
        <v/>
      </c>
      <c r="E1421" s="50" t="str">
        <f t="shared" si="310"/>
        <v/>
      </c>
      <c r="F1421" s="47" t="str">
        <f>IF(COUNTA(archive!H1421:CI1421)=0,"",COUNTA(archive!H1421:CI1421))</f>
        <v/>
      </c>
      <c r="G1421" s="47" t="str">
        <f>IF(archive!G1421="","",archive!G1421)</f>
        <v/>
      </c>
      <c r="H1421" s="51" t="str">
        <f>IF(archive!CJ1421="","",archive!CJ1421)</f>
        <v/>
      </c>
      <c r="I1421" s="51" t="str">
        <f>IF(archive!CK1421="","",archive!CK1421)</f>
        <v/>
      </c>
      <c r="J1421" s="47" t="str">
        <f t="shared" si="311"/>
        <v/>
      </c>
      <c r="K1421" s="51" t="str">
        <f t="shared" si="312"/>
        <v/>
      </c>
      <c r="L1421" s="52" t="str">
        <f t="shared" si="313"/>
        <v/>
      </c>
      <c r="M1421" s="53" t="str">
        <f t="shared" si="314"/>
        <v/>
      </c>
      <c r="N1421" s="53" t="str">
        <f t="shared" si="315"/>
        <v/>
      </c>
      <c r="O1421" s="53" t="str">
        <f t="shared" si="316"/>
        <v/>
      </c>
      <c r="P1421" s="53" t="str">
        <f t="shared" si="317"/>
        <v/>
      </c>
      <c r="Q1421" s="53" t="str">
        <f t="shared" si="318"/>
        <v/>
      </c>
      <c r="R1421" s="53" t="str">
        <f t="shared" si="319"/>
        <v/>
      </c>
      <c r="S1421" s="53" t="str">
        <f t="shared" si="320"/>
        <v/>
      </c>
      <c r="T1421" s="53" t="str">
        <f t="shared" si="321"/>
        <v/>
      </c>
    </row>
    <row r="1422" spans="1:20">
      <c r="A1422" s="47" t="str">
        <f>IF(archive!E1422="","",archive!E1422)</f>
        <v/>
      </c>
      <c r="B1422" s="48" t="str">
        <f t="shared" si="308"/>
        <v/>
      </c>
      <c r="C1422" s="49" t="str">
        <f>IF(archive!F1422="","",archive!F1422)</f>
        <v/>
      </c>
      <c r="D1422" s="50" t="str">
        <f t="shared" si="309"/>
        <v/>
      </c>
      <c r="E1422" s="50" t="str">
        <f t="shared" si="310"/>
        <v/>
      </c>
      <c r="F1422" s="47" t="str">
        <f>IF(COUNTA(archive!H1422:CI1422)=0,"",COUNTA(archive!H1422:CI1422))</f>
        <v/>
      </c>
      <c r="G1422" s="47" t="str">
        <f>IF(archive!G1422="","",archive!G1422)</f>
        <v/>
      </c>
      <c r="H1422" s="51" t="str">
        <f>IF(archive!CJ1422="","",archive!CJ1422)</f>
        <v/>
      </c>
      <c r="I1422" s="51" t="str">
        <f>IF(archive!CK1422="","",archive!CK1422)</f>
        <v/>
      </c>
      <c r="J1422" s="47" t="str">
        <f t="shared" si="311"/>
        <v/>
      </c>
      <c r="K1422" s="51" t="str">
        <f t="shared" si="312"/>
        <v/>
      </c>
      <c r="L1422" s="52" t="str">
        <f t="shared" si="313"/>
        <v/>
      </c>
      <c r="M1422" s="53" t="str">
        <f t="shared" si="314"/>
        <v/>
      </c>
      <c r="N1422" s="53" t="str">
        <f t="shared" si="315"/>
        <v/>
      </c>
      <c r="O1422" s="53" t="str">
        <f t="shared" si="316"/>
        <v/>
      </c>
      <c r="P1422" s="53" t="str">
        <f t="shared" si="317"/>
        <v/>
      </c>
      <c r="Q1422" s="53" t="str">
        <f t="shared" si="318"/>
        <v/>
      </c>
      <c r="R1422" s="53" t="str">
        <f t="shared" si="319"/>
        <v/>
      </c>
      <c r="S1422" s="53" t="str">
        <f t="shared" si="320"/>
        <v/>
      </c>
      <c r="T1422" s="53" t="str">
        <f t="shared" si="321"/>
        <v/>
      </c>
    </row>
    <row r="1423" spans="1:20">
      <c r="A1423" s="47" t="str">
        <f>IF(archive!E1423="","",archive!E1423)</f>
        <v/>
      </c>
      <c r="B1423" s="48" t="str">
        <f t="shared" si="308"/>
        <v/>
      </c>
      <c r="C1423" s="49" t="str">
        <f>IF(archive!F1423="","",archive!F1423)</f>
        <v/>
      </c>
      <c r="D1423" s="50" t="str">
        <f t="shared" si="309"/>
        <v/>
      </c>
      <c r="E1423" s="50" t="str">
        <f t="shared" si="310"/>
        <v/>
      </c>
      <c r="F1423" s="47" t="str">
        <f>IF(COUNTA(archive!H1423:CI1423)=0,"",COUNTA(archive!H1423:CI1423))</f>
        <v/>
      </c>
      <c r="G1423" s="47" t="str">
        <f>IF(archive!G1423="","",archive!G1423)</f>
        <v/>
      </c>
      <c r="H1423" s="51" t="str">
        <f>IF(archive!CJ1423="","",archive!CJ1423)</f>
        <v/>
      </c>
      <c r="I1423" s="51" t="str">
        <f>IF(archive!CK1423="","",archive!CK1423)</f>
        <v/>
      </c>
      <c r="J1423" s="47" t="str">
        <f t="shared" si="311"/>
        <v/>
      </c>
      <c r="K1423" s="51" t="str">
        <f t="shared" si="312"/>
        <v/>
      </c>
      <c r="L1423" s="52" t="str">
        <f t="shared" si="313"/>
        <v/>
      </c>
      <c r="M1423" s="53" t="str">
        <f t="shared" si="314"/>
        <v/>
      </c>
      <c r="N1423" s="53" t="str">
        <f t="shared" si="315"/>
        <v/>
      </c>
      <c r="O1423" s="53" t="str">
        <f t="shared" si="316"/>
        <v/>
      </c>
      <c r="P1423" s="53" t="str">
        <f t="shared" si="317"/>
        <v/>
      </c>
      <c r="Q1423" s="53" t="str">
        <f t="shared" si="318"/>
        <v/>
      </c>
      <c r="R1423" s="53" t="str">
        <f t="shared" si="319"/>
        <v/>
      </c>
      <c r="S1423" s="53" t="str">
        <f t="shared" si="320"/>
        <v/>
      </c>
      <c r="T1423" s="53" t="str">
        <f t="shared" si="321"/>
        <v/>
      </c>
    </row>
    <row r="1424" spans="1:20">
      <c r="A1424" s="47" t="str">
        <f>IF(archive!E1424="","",archive!E1424)</f>
        <v/>
      </c>
      <c r="B1424" s="48" t="str">
        <f t="shared" si="308"/>
        <v/>
      </c>
      <c r="C1424" s="49" t="str">
        <f>IF(archive!F1424="","",archive!F1424)</f>
        <v/>
      </c>
      <c r="D1424" s="50" t="str">
        <f t="shared" si="309"/>
        <v/>
      </c>
      <c r="E1424" s="50" t="str">
        <f t="shared" si="310"/>
        <v/>
      </c>
      <c r="F1424" s="47" t="str">
        <f>IF(COUNTA(archive!H1424:CI1424)=0,"",COUNTA(archive!H1424:CI1424))</f>
        <v/>
      </c>
      <c r="G1424" s="47" t="str">
        <f>IF(archive!G1424="","",archive!G1424)</f>
        <v/>
      </c>
      <c r="H1424" s="51" t="str">
        <f>IF(archive!CJ1424="","",archive!CJ1424)</f>
        <v/>
      </c>
      <c r="I1424" s="51" t="str">
        <f>IF(archive!CK1424="","",archive!CK1424)</f>
        <v/>
      </c>
      <c r="J1424" s="47" t="str">
        <f t="shared" si="311"/>
        <v/>
      </c>
      <c r="K1424" s="51" t="str">
        <f t="shared" si="312"/>
        <v/>
      </c>
      <c r="L1424" s="52" t="str">
        <f t="shared" si="313"/>
        <v/>
      </c>
      <c r="M1424" s="53" t="str">
        <f t="shared" si="314"/>
        <v/>
      </c>
      <c r="N1424" s="53" t="str">
        <f t="shared" si="315"/>
        <v/>
      </c>
      <c r="O1424" s="53" t="str">
        <f t="shared" si="316"/>
        <v/>
      </c>
      <c r="P1424" s="53" t="str">
        <f t="shared" si="317"/>
        <v/>
      </c>
      <c r="Q1424" s="53" t="str">
        <f t="shared" si="318"/>
        <v/>
      </c>
      <c r="R1424" s="53" t="str">
        <f t="shared" si="319"/>
        <v/>
      </c>
      <c r="S1424" s="53" t="str">
        <f t="shared" si="320"/>
        <v/>
      </c>
      <c r="T1424" s="53" t="str">
        <f t="shared" si="321"/>
        <v/>
      </c>
    </row>
    <row r="1425" spans="1:20">
      <c r="A1425" s="47" t="str">
        <f>IF(archive!E1425="","",archive!E1425)</f>
        <v/>
      </c>
      <c r="B1425" s="48" t="str">
        <f t="shared" si="308"/>
        <v/>
      </c>
      <c r="C1425" s="49" t="str">
        <f>IF(archive!F1425="","",archive!F1425)</f>
        <v/>
      </c>
      <c r="D1425" s="50" t="str">
        <f t="shared" si="309"/>
        <v/>
      </c>
      <c r="E1425" s="50" t="str">
        <f t="shared" si="310"/>
        <v/>
      </c>
      <c r="F1425" s="47" t="str">
        <f>IF(COUNTA(archive!H1425:CI1425)=0,"",COUNTA(archive!H1425:CI1425))</f>
        <v/>
      </c>
      <c r="G1425" s="47" t="str">
        <f>IF(archive!G1425="","",archive!G1425)</f>
        <v/>
      </c>
      <c r="H1425" s="51" t="str">
        <f>IF(archive!CJ1425="","",archive!CJ1425)</f>
        <v/>
      </c>
      <c r="I1425" s="51" t="str">
        <f>IF(archive!CK1425="","",archive!CK1425)</f>
        <v/>
      </c>
      <c r="J1425" s="47" t="str">
        <f t="shared" si="311"/>
        <v/>
      </c>
      <c r="K1425" s="51" t="str">
        <f t="shared" si="312"/>
        <v/>
      </c>
      <c r="L1425" s="52" t="str">
        <f t="shared" si="313"/>
        <v/>
      </c>
      <c r="M1425" s="53" t="str">
        <f t="shared" si="314"/>
        <v/>
      </c>
      <c r="N1425" s="53" t="str">
        <f t="shared" si="315"/>
        <v/>
      </c>
      <c r="O1425" s="53" t="str">
        <f t="shared" si="316"/>
        <v/>
      </c>
      <c r="P1425" s="53" t="str">
        <f t="shared" si="317"/>
        <v/>
      </c>
      <c r="Q1425" s="53" t="str">
        <f t="shared" si="318"/>
        <v/>
      </c>
      <c r="R1425" s="53" t="str">
        <f t="shared" si="319"/>
        <v/>
      </c>
      <c r="S1425" s="53" t="str">
        <f t="shared" si="320"/>
        <v/>
      </c>
      <c r="T1425" s="53" t="str">
        <f t="shared" si="321"/>
        <v/>
      </c>
    </row>
    <row r="1426" spans="1:20">
      <c r="A1426" s="47" t="str">
        <f>IF(archive!E1426="","",archive!E1426)</f>
        <v/>
      </c>
      <c r="B1426" s="48" t="str">
        <f t="shared" si="308"/>
        <v/>
      </c>
      <c r="C1426" s="49" t="str">
        <f>IF(archive!F1426="","",archive!F1426)</f>
        <v/>
      </c>
      <c r="D1426" s="50" t="str">
        <f t="shared" si="309"/>
        <v/>
      </c>
      <c r="E1426" s="50" t="str">
        <f t="shared" si="310"/>
        <v/>
      </c>
      <c r="F1426" s="47" t="str">
        <f>IF(COUNTA(archive!H1426:CI1426)=0,"",COUNTA(archive!H1426:CI1426))</f>
        <v/>
      </c>
      <c r="G1426" s="47" t="str">
        <f>IF(archive!G1426="","",archive!G1426)</f>
        <v/>
      </c>
      <c r="H1426" s="51" t="str">
        <f>IF(archive!CJ1426="","",archive!CJ1426)</f>
        <v/>
      </c>
      <c r="I1426" s="51" t="str">
        <f>IF(archive!CK1426="","",archive!CK1426)</f>
        <v/>
      </c>
      <c r="J1426" s="47" t="str">
        <f t="shared" si="311"/>
        <v/>
      </c>
      <c r="K1426" s="51" t="str">
        <f t="shared" si="312"/>
        <v/>
      </c>
      <c r="L1426" s="52" t="str">
        <f t="shared" si="313"/>
        <v/>
      </c>
      <c r="M1426" s="53" t="str">
        <f t="shared" si="314"/>
        <v/>
      </c>
      <c r="N1426" s="53" t="str">
        <f t="shared" si="315"/>
        <v/>
      </c>
      <c r="O1426" s="53" t="str">
        <f t="shared" si="316"/>
        <v/>
      </c>
      <c r="P1426" s="53" t="str">
        <f t="shared" si="317"/>
        <v/>
      </c>
      <c r="Q1426" s="53" t="str">
        <f t="shared" si="318"/>
        <v/>
      </c>
      <c r="R1426" s="53" t="str">
        <f t="shared" si="319"/>
        <v/>
      </c>
      <c r="S1426" s="53" t="str">
        <f t="shared" si="320"/>
        <v/>
      </c>
      <c r="T1426" s="53" t="str">
        <f t="shared" si="321"/>
        <v/>
      </c>
    </row>
    <row r="1427" spans="1:20">
      <c r="A1427" s="47" t="str">
        <f>IF(archive!E1427="","",archive!E1427)</f>
        <v/>
      </c>
      <c r="B1427" s="48" t="str">
        <f t="shared" si="308"/>
        <v/>
      </c>
      <c r="C1427" s="49" t="str">
        <f>IF(archive!F1427="","",archive!F1427)</f>
        <v/>
      </c>
      <c r="D1427" s="50" t="str">
        <f t="shared" si="309"/>
        <v/>
      </c>
      <c r="E1427" s="50" t="str">
        <f t="shared" si="310"/>
        <v/>
      </c>
      <c r="F1427" s="47" t="str">
        <f>IF(COUNTA(archive!H1427:CI1427)=0,"",COUNTA(archive!H1427:CI1427))</f>
        <v/>
      </c>
      <c r="G1427" s="47" t="str">
        <f>IF(archive!G1427="","",archive!G1427)</f>
        <v/>
      </c>
      <c r="H1427" s="51" t="str">
        <f>IF(archive!CJ1427="","",archive!CJ1427)</f>
        <v/>
      </c>
      <c r="I1427" s="51" t="str">
        <f>IF(archive!CK1427="","",archive!CK1427)</f>
        <v/>
      </c>
      <c r="J1427" s="47" t="str">
        <f t="shared" si="311"/>
        <v/>
      </c>
      <c r="K1427" s="51" t="str">
        <f t="shared" si="312"/>
        <v/>
      </c>
      <c r="L1427" s="52" t="str">
        <f t="shared" si="313"/>
        <v/>
      </c>
      <c r="M1427" s="53" t="str">
        <f t="shared" si="314"/>
        <v/>
      </c>
      <c r="N1427" s="53" t="str">
        <f t="shared" si="315"/>
        <v/>
      </c>
      <c r="O1427" s="53" t="str">
        <f t="shared" si="316"/>
        <v/>
      </c>
      <c r="P1427" s="53" t="str">
        <f t="shared" si="317"/>
        <v/>
      </c>
      <c r="Q1427" s="53" t="str">
        <f t="shared" si="318"/>
        <v/>
      </c>
      <c r="R1427" s="53" t="str">
        <f t="shared" si="319"/>
        <v/>
      </c>
      <c r="S1427" s="53" t="str">
        <f t="shared" si="320"/>
        <v/>
      </c>
      <c r="T1427" s="53" t="str">
        <f t="shared" si="321"/>
        <v/>
      </c>
    </row>
    <row r="1428" spans="1:20">
      <c r="A1428" s="47" t="str">
        <f>IF(archive!E1428="","",archive!E1428)</f>
        <v/>
      </c>
      <c r="B1428" s="48" t="str">
        <f t="shared" si="308"/>
        <v/>
      </c>
      <c r="C1428" s="49" t="str">
        <f>IF(archive!F1428="","",archive!F1428)</f>
        <v/>
      </c>
      <c r="D1428" s="50" t="str">
        <f t="shared" si="309"/>
        <v/>
      </c>
      <c r="E1428" s="50" t="str">
        <f t="shared" si="310"/>
        <v/>
      </c>
      <c r="F1428" s="47" t="str">
        <f>IF(COUNTA(archive!H1428:CI1428)=0,"",COUNTA(archive!H1428:CI1428))</f>
        <v/>
      </c>
      <c r="G1428" s="47" t="str">
        <f>IF(archive!G1428="","",archive!G1428)</f>
        <v/>
      </c>
      <c r="H1428" s="51" t="str">
        <f>IF(archive!CJ1428="","",archive!CJ1428)</f>
        <v/>
      </c>
      <c r="I1428" s="51" t="str">
        <f>IF(archive!CK1428="","",archive!CK1428)</f>
        <v/>
      </c>
      <c r="J1428" s="47" t="str">
        <f t="shared" si="311"/>
        <v/>
      </c>
      <c r="K1428" s="51" t="str">
        <f t="shared" si="312"/>
        <v/>
      </c>
      <c r="L1428" s="52" t="str">
        <f t="shared" si="313"/>
        <v/>
      </c>
      <c r="M1428" s="53" t="str">
        <f t="shared" si="314"/>
        <v/>
      </c>
      <c r="N1428" s="53" t="str">
        <f t="shared" si="315"/>
        <v/>
      </c>
      <c r="O1428" s="53" t="str">
        <f t="shared" si="316"/>
        <v/>
      </c>
      <c r="P1428" s="53" t="str">
        <f t="shared" si="317"/>
        <v/>
      </c>
      <c r="Q1428" s="53" t="str">
        <f t="shared" si="318"/>
        <v/>
      </c>
      <c r="R1428" s="53" t="str">
        <f t="shared" si="319"/>
        <v/>
      </c>
      <c r="S1428" s="53" t="str">
        <f t="shared" si="320"/>
        <v/>
      </c>
      <c r="T1428" s="53" t="str">
        <f t="shared" si="321"/>
        <v/>
      </c>
    </row>
    <row r="1429" spans="1:20">
      <c r="A1429" s="47" t="str">
        <f>IF(archive!E1429="","",archive!E1429)</f>
        <v/>
      </c>
      <c r="B1429" s="48" t="str">
        <f t="shared" si="308"/>
        <v/>
      </c>
      <c r="C1429" s="49" t="str">
        <f>IF(archive!F1429="","",archive!F1429)</f>
        <v/>
      </c>
      <c r="D1429" s="50" t="str">
        <f t="shared" si="309"/>
        <v/>
      </c>
      <c r="E1429" s="50" t="str">
        <f t="shared" si="310"/>
        <v/>
      </c>
      <c r="F1429" s="47" t="str">
        <f>IF(COUNTA(archive!H1429:CI1429)=0,"",COUNTA(archive!H1429:CI1429))</f>
        <v/>
      </c>
      <c r="G1429" s="47" t="str">
        <f>IF(archive!G1429="","",archive!G1429)</f>
        <v/>
      </c>
      <c r="H1429" s="51" t="str">
        <f>IF(archive!CJ1429="","",archive!CJ1429)</f>
        <v/>
      </c>
      <c r="I1429" s="51" t="str">
        <f>IF(archive!CK1429="","",archive!CK1429)</f>
        <v/>
      </c>
      <c r="J1429" s="47" t="str">
        <f t="shared" si="311"/>
        <v/>
      </c>
      <c r="K1429" s="51" t="str">
        <f t="shared" si="312"/>
        <v/>
      </c>
      <c r="L1429" s="52" t="str">
        <f t="shared" si="313"/>
        <v/>
      </c>
      <c r="M1429" s="53" t="str">
        <f t="shared" si="314"/>
        <v/>
      </c>
      <c r="N1429" s="53" t="str">
        <f t="shared" si="315"/>
        <v/>
      </c>
      <c r="O1429" s="53" t="str">
        <f t="shared" si="316"/>
        <v/>
      </c>
      <c r="P1429" s="53" t="str">
        <f t="shared" si="317"/>
        <v/>
      </c>
      <c r="Q1429" s="53" t="str">
        <f t="shared" si="318"/>
        <v/>
      </c>
      <c r="R1429" s="53" t="str">
        <f t="shared" si="319"/>
        <v/>
      </c>
      <c r="S1429" s="53" t="str">
        <f t="shared" si="320"/>
        <v/>
      </c>
      <c r="T1429" s="53" t="str">
        <f t="shared" si="321"/>
        <v/>
      </c>
    </row>
    <row r="1430" spans="1:20">
      <c r="A1430" s="47" t="str">
        <f>IF(archive!E1430="","",archive!E1430)</f>
        <v/>
      </c>
      <c r="B1430" s="48" t="str">
        <f t="shared" si="308"/>
        <v/>
      </c>
      <c r="C1430" s="49" t="str">
        <f>IF(archive!F1430="","",archive!F1430)</f>
        <v/>
      </c>
      <c r="D1430" s="50" t="str">
        <f t="shared" si="309"/>
        <v/>
      </c>
      <c r="E1430" s="50" t="str">
        <f t="shared" si="310"/>
        <v/>
      </c>
      <c r="F1430" s="47" t="str">
        <f>IF(COUNTA(archive!H1430:CI1430)=0,"",COUNTA(archive!H1430:CI1430))</f>
        <v/>
      </c>
      <c r="G1430" s="47" t="str">
        <f>IF(archive!G1430="","",archive!G1430)</f>
        <v/>
      </c>
      <c r="H1430" s="51" t="str">
        <f>IF(archive!CJ1430="","",archive!CJ1430)</f>
        <v/>
      </c>
      <c r="I1430" s="51" t="str">
        <f>IF(archive!CK1430="","",archive!CK1430)</f>
        <v/>
      </c>
      <c r="J1430" s="47" t="str">
        <f t="shared" si="311"/>
        <v/>
      </c>
      <c r="K1430" s="51" t="str">
        <f t="shared" si="312"/>
        <v/>
      </c>
      <c r="L1430" s="52" t="str">
        <f t="shared" si="313"/>
        <v/>
      </c>
      <c r="M1430" s="53" t="str">
        <f t="shared" si="314"/>
        <v/>
      </c>
      <c r="N1430" s="53" t="str">
        <f t="shared" si="315"/>
        <v/>
      </c>
      <c r="O1430" s="53" t="str">
        <f t="shared" si="316"/>
        <v/>
      </c>
      <c r="P1430" s="53" t="str">
        <f t="shared" si="317"/>
        <v/>
      </c>
      <c r="Q1430" s="53" t="str">
        <f t="shared" si="318"/>
        <v/>
      </c>
      <c r="R1430" s="53" t="str">
        <f t="shared" si="319"/>
        <v/>
      </c>
      <c r="S1430" s="53" t="str">
        <f t="shared" si="320"/>
        <v/>
      </c>
      <c r="T1430" s="53" t="str">
        <f t="shared" si="321"/>
        <v/>
      </c>
    </row>
    <row r="1431" spans="1:20">
      <c r="A1431" s="47" t="str">
        <f>IF(archive!E1431="","",archive!E1431)</f>
        <v/>
      </c>
      <c r="B1431" s="48" t="str">
        <f t="shared" si="308"/>
        <v/>
      </c>
      <c r="C1431" s="49" t="str">
        <f>IF(archive!F1431="","",archive!F1431)</f>
        <v/>
      </c>
      <c r="D1431" s="50" t="str">
        <f t="shared" si="309"/>
        <v/>
      </c>
      <c r="E1431" s="50" t="str">
        <f t="shared" si="310"/>
        <v/>
      </c>
      <c r="F1431" s="47" t="str">
        <f>IF(COUNTA(archive!H1431:CI1431)=0,"",COUNTA(archive!H1431:CI1431))</f>
        <v/>
      </c>
      <c r="G1431" s="47" t="str">
        <f>IF(archive!G1431="","",archive!G1431)</f>
        <v/>
      </c>
      <c r="H1431" s="51" t="str">
        <f>IF(archive!CJ1431="","",archive!CJ1431)</f>
        <v/>
      </c>
      <c r="I1431" s="51" t="str">
        <f>IF(archive!CK1431="","",archive!CK1431)</f>
        <v/>
      </c>
      <c r="J1431" s="47" t="str">
        <f t="shared" si="311"/>
        <v/>
      </c>
      <c r="K1431" s="51" t="str">
        <f t="shared" si="312"/>
        <v/>
      </c>
      <c r="L1431" s="52" t="str">
        <f t="shared" si="313"/>
        <v/>
      </c>
      <c r="M1431" s="53" t="str">
        <f t="shared" si="314"/>
        <v/>
      </c>
      <c r="N1431" s="53" t="str">
        <f t="shared" si="315"/>
        <v/>
      </c>
      <c r="O1431" s="53" t="str">
        <f t="shared" si="316"/>
        <v/>
      </c>
      <c r="P1431" s="53" t="str">
        <f t="shared" si="317"/>
        <v/>
      </c>
      <c r="Q1431" s="53" t="str">
        <f t="shared" si="318"/>
        <v/>
      </c>
      <c r="R1431" s="53" t="str">
        <f t="shared" si="319"/>
        <v/>
      </c>
      <c r="S1431" s="53" t="str">
        <f t="shared" si="320"/>
        <v/>
      </c>
      <c r="T1431" s="53" t="str">
        <f t="shared" si="321"/>
        <v/>
      </c>
    </row>
    <row r="1432" spans="1:20">
      <c r="A1432" s="47" t="str">
        <f>IF(archive!E1432="","",archive!E1432)</f>
        <v/>
      </c>
      <c r="B1432" s="48" t="str">
        <f t="shared" si="308"/>
        <v/>
      </c>
      <c r="C1432" s="49" t="str">
        <f>IF(archive!F1432="","",archive!F1432)</f>
        <v/>
      </c>
      <c r="D1432" s="50" t="str">
        <f t="shared" si="309"/>
        <v/>
      </c>
      <c r="E1432" s="50" t="str">
        <f t="shared" si="310"/>
        <v/>
      </c>
      <c r="F1432" s="47" t="str">
        <f>IF(COUNTA(archive!H1432:CI1432)=0,"",COUNTA(archive!H1432:CI1432))</f>
        <v/>
      </c>
      <c r="G1432" s="47" t="str">
        <f>IF(archive!G1432="","",archive!G1432)</f>
        <v/>
      </c>
      <c r="H1432" s="51" t="str">
        <f>IF(archive!CJ1432="","",archive!CJ1432)</f>
        <v/>
      </c>
      <c r="I1432" s="51" t="str">
        <f>IF(archive!CK1432="","",archive!CK1432)</f>
        <v/>
      </c>
      <c r="J1432" s="47" t="str">
        <f t="shared" si="311"/>
        <v/>
      </c>
      <c r="K1432" s="51" t="str">
        <f t="shared" si="312"/>
        <v/>
      </c>
      <c r="L1432" s="52" t="str">
        <f t="shared" si="313"/>
        <v/>
      </c>
      <c r="M1432" s="53" t="str">
        <f t="shared" si="314"/>
        <v/>
      </c>
      <c r="N1432" s="53" t="str">
        <f t="shared" si="315"/>
        <v/>
      </c>
      <c r="O1432" s="53" t="str">
        <f t="shared" si="316"/>
        <v/>
      </c>
      <c r="P1432" s="53" t="str">
        <f t="shared" si="317"/>
        <v/>
      </c>
      <c r="Q1432" s="53" t="str">
        <f t="shared" si="318"/>
        <v/>
      </c>
      <c r="R1432" s="53" t="str">
        <f t="shared" si="319"/>
        <v/>
      </c>
      <c r="S1432" s="53" t="str">
        <f t="shared" si="320"/>
        <v/>
      </c>
      <c r="T1432" s="53" t="str">
        <f t="shared" si="321"/>
        <v/>
      </c>
    </row>
    <row r="1433" spans="1:20">
      <c r="A1433" s="47" t="str">
        <f>IF(archive!E1433="","",archive!E1433)</f>
        <v/>
      </c>
      <c r="B1433" s="48" t="str">
        <f t="shared" si="308"/>
        <v/>
      </c>
      <c r="C1433" s="49" t="str">
        <f>IF(archive!F1433="","",archive!F1433)</f>
        <v/>
      </c>
      <c r="D1433" s="50" t="str">
        <f t="shared" si="309"/>
        <v/>
      </c>
      <c r="E1433" s="50" t="str">
        <f t="shared" si="310"/>
        <v/>
      </c>
      <c r="F1433" s="47" t="str">
        <f>IF(COUNTA(archive!H1433:CI1433)=0,"",COUNTA(archive!H1433:CI1433))</f>
        <v/>
      </c>
      <c r="G1433" s="47" t="str">
        <f>IF(archive!G1433="","",archive!G1433)</f>
        <v/>
      </c>
      <c r="H1433" s="51" t="str">
        <f>IF(archive!CJ1433="","",archive!CJ1433)</f>
        <v/>
      </c>
      <c r="I1433" s="51" t="str">
        <f>IF(archive!CK1433="","",archive!CK1433)</f>
        <v/>
      </c>
      <c r="J1433" s="47" t="str">
        <f t="shared" si="311"/>
        <v/>
      </c>
      <c r="K1433" s="51" t="str">
        <f t="shared" si="312"/>
        <v/>
      </c>
      <c r="L1433" s="52" t="str">
        <f t="shared" si="313"/>
        <v/>
      </c>
      <c r="M1433" s="53" t="str">
        <f t="shared" si="314"/>
        <v/>
      </c>
      <c r="N1433" s="53" t="str">
        <f t="shared" si="315"/>
        <v/>
      </c>
      <c r="O1433" s="53" t="str">
        <f t="shared" si="316"/>
        <v/>
      </c>
      <c r="P1433" s="53" t="str">
        <f t="shared" si="317"/>
        <v/>
      </c>
      <c r="Q1433" s="53" t="str">
        <f t="shared" si="318"/>
        <v/>
      </c>
      <c r="R1433" s="53" t="str">
        <f t="shared" si="319"/>
        <v/>
      </c>
      <c r="S1433" s="53" t="str">
        <f t="shared" si="320"/>
        <v/>
      </c>
      <c r="T1433" s="53" t="str">
        <f t="shared" si="321"/>
        <v/>
      </c>
    </row>
    <row r="1434" spans="1:20">
      <c r="A1434" s="47" t="str">
        <f>IF(archive!E1434="","",archive!E1434)</f>
        <v/>
      </c>
      <c r="B1434" s="48" t="str">
        <f t="shared" si="308"/>
        <v/>
      </c>
      <c r="C1434" s="49" t="str">
        <f>IF(archive!F1434="","",archive!F1434)</f>
        <v/>
      </c>
      <c r="D1434" s="50" t="str">
        <f t="shared" si="309"/>
        <v/>
      </c>
      <c r="E1434" s="50" t="str">
        <f t="shared" si="310"/>
        <v/>
      </c>
      <c r="F1434" s="47" t="str">
        <f>IF(COUNTA(archive!H1434:CI1434)=0,"",COUNTA(archive!H1434:CI1434))</f>
        <v/>
      </c>
      <c r="G1434" s="47" t="str">
        <f>IF(archive!G1434="","",archive!G1434)</f>
        <v/>
      </c>
      <c r="H1434" s="51" t="str">
        <f>IF(archive!CJ1434="","",archive!CJ1434)</f>
        <v/>
      </c>
      <c r="I1434" s="51" t="str">
        <f>IF(archive!CK1434="","",archive!CK1434)</f>
        <v/>
      </c>
      <c r="J1434" s="47" t="str">
        <f t="shared" si="311"/>
        <v/>
      </c>
      <c r="K1434" s="51" t="str">
        <f t="shared" si="312"/>
        <v/>
      </c>
      <c r="L1434" s="52" t="str">
        <f t="shared" si="313"/>
        <v/>
      </c>
      <c r="M1434" s="53" t="str">
        <f t="shared" si="314"/>
        <v/>
      </c>
      <c r="N1434" s="53" t="str">
        <f t="shared" si="315"/>
        <v/>
      </c>
      <c r="O1434" s="53" t="str">
        <f t="shared" si="316"/>
        <v/>
      </c>
      <c r="P1434" s="53" t="str">
        <f t="shared" si="317"/>
        <v/>
      </c>
      <c r="Q1434" s="53" t="str">
        <f t="shared" si="318"/>
        <v/>
      </c>
      <c r="R1434" s="53" t="str">
        <f t="shared" si="319"/>
        <v/>
      </c>
      <c r="S1434" s="53" t="str">
        <f t="shared" si="320"/>
        <v/>
      </c>
      <c r="T1434" s="53" t="str">
        <f t="shared" si="321"/>
        <v/>
      </c>
    </row>
    <row r="1435" spans="1:20">
      <c r="A1435" s="47" t="str">
        <f>IF(archive!E1435="","",archive!E1435)</f>
        <v/>
      </c>
      <c r="B1435" s="48" t="str">
        <f t="shared" si="308"/>
        <v/>
      </c>
      <c r="C1435" s="49" t="str">
        <f>IF(archive!F1435="","",archive!F1435)</f>
        <v/>
      </c>
      <c r="D1435" s="50" t="str">
        <f t="shared" si="309"/>
        <v/>
      </c>
      <c r="E1435" s="50" t="str">
        <f t="shared" si="310"/>
        <v/>
      </c>
      <c r="F1435" s="47" t="str">
        <f>IF(COUNTA(archive!H1435:CI1435)=0,"",COUNTA(archive!H1435:CI1435))</f>
        <v/>
      </c>
      <c r="G1435" s="47" t="str">
        <f>IF(archive!G1435="","",archive!G1435)</f>
        <v/>
      </c>
      <c r="H1435" s="51" t="str">
        <f>IF(archive!CJ1435="","",archive!CJ1435)</f>
        <v/>
      </c>
      <c r="I1435" s="51" t="str">
        <f>IF(archive!CK1435="","",archive!CK1435)</f>
        <v/>
      </c>
      <c r="J1435" s="47" t="str">
        <f t="shared" si="311"/>
        <v/>
      </c>
      <c r="K1435" s="51" t="str">
        <f t="shared" si="312"/>
        <v/>
      </c>
      <c r="L1435" s="52" t="str">
        <f t="shared" si="313"/>
        <v/>
      </c>
      <c r="M1435" s="53" t="str">
        <f t="shared" si="314"/>
        <v/>
      </c>
      <c r="N1435" s="53" t="str">
        <f t="shared" si="315"/>
        <v/>
      </c>
      <c r="O1435" s="53" t="str">
        <f t="shared" si="316"/>
        <v/>
      </c>
      <c r="P1435" s="53" t="str">
        <f t="shared" si="317"/>
        <v/>
      </c>
      <c r="Q1435" s="53" t="str">
        <f t="shared" si="318"/>
        <v/>
      </c>
      <c r="R1435" s="53" t="str">
        <f t="shared" si="319"/>
        <v/>
      </c>
      <c r="S1435" s="53" t="str">
        <f t="shared" si="320"/>
        <v/>
      </c>
      <c r="T1435" s="53" t="str">
        <f t="shared" si="321"/>
        <v/>
      </c>
    </row>
    <row r="1436" spans="1:20">
      <c r="A1436" s="47" t="str">
        <f>IF(archive!E1436="","",archive!E1436)</f>
        <v/>
      </c>
      <c r="B1436" s="48" t="str">
        <f t="shared" si="308"/>
        <v/>
      </c>
      <c r="C1436" s="49" t="str">
        <f>IF(archive!F1436="","",archive!F1436)</f>
        <v/>
      </c>
      <c r="D1436" s="50" t="str">
        <f t="shared" si="309"/>
        <v/>
      </c>
      <c r="E1436" s="50" t="str">
        <f t="shared" si="310"/>
        <v/>
      </c>
      <c r="F1436" s="47" t="str">
        <f>IF(COUNTA(archive!H1436:CI1436)=0,"",COUNTA(archive!H1436:CI1436))</f>
        <v/>
      </c>
      <c r="G1436" s="47" t="str">
        <f>IF(archive!G1436="","",archive!G1436)</f>
        <v/>
      </c>
      <c r="H1436" s="51" t="str">
        <f>IF(archive!CJ1436="","",archive!CJ1436)</f>
        <v/>
      </c>
      <c r="I1436" s="51" t="str">
        <f>IF(archive!CK1436="","",archive!CK1436)</f>
        <v/>
      </c>
      <c r="J1436" s="47" t="str">
        <f t="shared" si="311"/>
        <v/>
      </c>
      <c r="K1436" s="51" t="str">
        <f t="shared" si="312"/>
        <v/>
      </c>
      <c r="L1436" s="52" t="str">
        <f t="shared" si="313"/>
        <v/>
      </c>
      <c r="M1436" s="53" t="str">
        <f t="shared" si="314"/>
        <v/>
      </c>
      <c r="N1436" s="53" t="str">
        <f t="shared" si="315"/>
        <v/>
      </c>
      <c r="O1436" s="53" t="str">
        <f t="shared" si="316"/>
        <v/>
      </c>
      <c r="P1436" s="53" t="str">
        <f t="shared" si="317"/>
        <v/>
      </c>
      <c r="Q1436" s="53" t="str">
        <f t="shared" si="318"/>
        <v/>
      </c>
      <c r="R1436" s="53" t="str">
        <f t="shared" si="319"/>
        <v/>
      </c>
      <c r="S1436" s="53" t="str">
        <f t="shared" si="320"/>
        <v/>
      </c>
      <c r="T1436" s="53" t="str">
        <f t="shared" si="321"/>
        <v/>
      </c>
    </row>
    <row r="1437" spans="1:20">
      <c r="A1437" s="47" t="str">
        <f>IF(archive!E1437="","",archive!E1437)</f>
        <v/>
      </c>
      <c r="B1437" s="48" t="str">
        <f t="shared" si="308"/>
        <v/>
      </c>
      <c r="C1437" s="49" t="str">
        <f>IF(archive!F1437="","",archive!F1437)</f>
        <v/>
      </c>
      <c r="D1437" s="50" t="str">
        <f t="shared" si="309"/>
        <v/>
      </c>
      <c r="E1437" s="50" t="str">
        <f t="shared" si="310"/>
        <v/>
      </c>
      <c r="F1437" s="47" t="str">
        <f>IF(COUNTA(archive!H1437:CI1437)=0,"",COUNTA(archive!H1437:CI1437))</f>
        <v/>
      </c>
      <c r="G1437" s="47" t="str">
        <f>IF(archive!G1437="","",archive!G1437)</f>
        <v/>
      </c>
      <c r="H1437" s="51" t="str">
        <f>IF(archive!CJ1437="","",archive!CJ1437)</f>
        <v/>
      </c>
      <c r="I1437" s="51" t="str">
        <f>IF(archive!CK1437="","",archive!CK1437)</f>
        <v/>
      </c>
      <c r="J1437" s="47" t="str">
        <f t="shared" si="311"/>
        <v/>
      </c>
      <c r="K1437" s="51" t="str">
        <f t="shared" si="312"/>
        <v/>
      </c>
      <c r="L1437" s="52" t="str">
        <f t="shared" si="313"/>
        <v/>
      </c>
      <c r="M1437" s="53" t="str">
        <f t="shared" si="314"/>
        <v/>
      </c>
      <c r="N1437" s="53" t="str">
        <f t="shared" si="315"/>
        <v/>
      </c>
      <c r="O1437" s="53" t="str">
        <f t="shared" si="316"/>
        <v/>
      </c>
      <c r="P1437" s="53" t="str">
        <f t="shared" si="317"/>
        <v/>
      </c>
      <c r="Q1437" s="53" t="str">
        <f t="shared" si="318"/>
        <v/>
      </c>
      <c r="R1437" s="53" t="str">
        <f t="shared" si="319"/>
        <v/>
      </c>
      <c r="S1437" s="53" t="str">
        <f t="shared" si="320"/>
        <v/>
      </c>
      <c r="T1437" s="53" t="str">
        <f t="shared" si="321"/>
        <v/>
      </c>
    </row>
    <row r="1438" spans="1:20">
      <c r="A1438" s="47" t="str">
        <f>IF(archive!E1438="","",archive!E1438)</f>
        <v/>
      </c>
      <c r="B1438" s="48" t="str">
        <f t="shared" si="308"/>
        <v/>
      </c>
      <c r="C1438" s="49" t="str">
        <f>IF(archive!F1438="","",archive!F1438)</f>
        <v/>
      </c>
      <c r="D1438" s="50" t="str">
        <f t="shared" si="309"/>
        <v/>
      </c>
      <c r="E1438" s="50" t="str">
        <f t="shared" si="310"/>
        <v/>
      </c>
      <c r="F1438" s="47" t="str">
        <f>IF(COUNTA(archive!H1438:CI1438)=0,"",COUNTA(archive!H1438:CI1438))</f>
        <v/>
      </c>
      <c r="G1438" s="47" t="str">
        <f>IF(archive!G1438="","",archive!G1438)</f>
        <v/>
      </c>
      <c r="H1438" s="51" t="str">
        <f>IF(archive!CJ1438="","",archive!CJ1438)</f>
        <v/>
      </c>
      <c r="I1438" s="51" t="str">
        <f>IF(archive!CK1438="","",archive!CK1438)</f>
        <v/>
      </c>
      <c r="J1438" s="47" t="str">
        <f t="shared" si="311"/>
        <v/>
      </c>
      <c r="K1438" s="51" t="str">
        <f t="shared" si="312"/>
        <v/>
      </c>
      <c r="L1438" s="52" t="str">
        <f t="shared" si="313"/>
        <v/>
      </c>
      <c r="M1438" s="53" t="str">
        <f t="shared" si="314"/>
        <v/>
      </c>
      <c r="N1438" s="53" t="str">
        <f t="shared" si="315"/>
        <v/>
      </c>
      <c r="O1438" s="53" t="str">
        <f t="shared" si="316"/>
        <v/>
      </c>
      <c r="P1438" s="53" t="str">
        <f t="shared" si="317"/>
        <v/>
      </c>
      <c r="Q1438" s="53" t="str">
        <f t="shared" si="318"/>
        <v/>
      </c>
      <c r="R1438" s="53" t="str">
        <f t="shared" si="319"/>
        <v/>
      </c>
      <c r="S1438" s="53" t="str">
        <f t="shared" si="320"/>
        <v/>
      </c>
      <c r="T1438" s="53" t="str">
        <f t="shared" si="321"/>
        <v/>
      </c>
    </row>
    <row r="1439" spans="1:20">
      <c r="A1439" s="47" t="str">
        <f>IF(archive!E1439="","",archive!E1439)</f>
        <v/>
      </c>
      <c r="B1439" s="48" t="str">
        <f t="shared" si="308"/>
        <v/>
      </c>
      <c r="C1439" s="49" t="str">
        <f>IF(archive!F1439="","",archive!F1439)</f>
        <v/>
      </c>
      <c r="D1439" s="50" t="str">
        <f t="shared" si="309"/>
        <v/>
      </c>
      <c r="E1439" s="50" t="str">
        <f t="shared" si="310"/>
        <v/>
      </c>
      <c r="F1439" s="47" t="str">
        <f>IF(COUNTA(archive!H1439:CI1439)=0,"",COUNTA(archive!H1439:CI1439))</f>
        <v/>
      </c>
      <c r="G1439" s="47" t="str">
        <f>IF(archive!G1439="","",archive!G1439)</f>
        <v/>
      </c>
      <c r="H1439" s="51" t="str">
        <f>IF(archive!CJ1439="","",archive!CJ1439)</f>
        <v/>
      </c>
      <c r="I1439" s="51" t="str">
        <f>IF(archive!CK1439="","",archive!CK1439)</f>
        <v/>
      </c>
      <c r="J1439" s="47" t="str">
        <f t="shared" si="311"/>
        <v/>
      </c>
      <c r="K1439" s="51" t="str">
        <f t="shared" si="312"/>
        <v/>
      </c>
      <c r="L1439" s="52" t="str">
        <f t="shared" si="313"/>
        <v/>
      </c>
      <c r="M1439" s="53" t="str">
        <f t="shared" si="314"/>
        <v/>
      </c>
      <c r="N1439" s="53" t="str">
        <f t="shared" si="315"/>
        <v/>
      </c>
      <c r="O1439" s="53" t="str">
        <f t="shared" si="316"/>
        <v/>
      </c>
      <c r="P1439" s="53" t="str">
        <f t="shared" si="317"/>
        <v/>
      </c>
      <c r="Q1439" s="53" t="str">
        <f t="shared" si="318"/>
        <v/>
      </c>
      <c r="R1439" s="53" t="str">
        <f t="shared" si="319"/>
        <v/>
      </c>
      <c r="S1439" s="53" t="str">
        <f t="shared" si="320"/>
        <v/>
      </c>
      <c r="T1439" s="53" t="str">
        <f t="shared" si="321"/>
        <v/>
      </c>
    </row>
    <row r="1440" spans="1:20">
      <c r="A1440" s="47" t="str">
        <f>IF(archive!E1440="","",archive!E1440)</f>
        <v/>
      </c>
      <c r="B1440" s="48" t="str">
        <f t="shared" si="308"/>
        <v/>
      </c>
      <c r="C1440" s="49" t="str">
        <f>IF(archive!F1440="","",archive!F1440)</f>
        <v/>
      </c>
      <c r="D1440" s="50" t="str">
        <f t="shared" si="309"/>
        <v/>
      </c>
      <c r="E1440" s="50" t="str">
        <f t="shared" si="310"/>
        <v/>
      </c>
      <c r="F1440" s="47" t="str">
        <f>IF(COUNTA(archive!H1440:CI1440)=0,"",COUNTA(archive!H1440:CI1440))</f>
        <v/>
      </c>
      <c r="G1440" s="47" t="str">
        <f>IF(archive!G1440="","",archive!G1440)</f>
        <v/>
      </c>
      <c r="H1440" s="51" t="str">
        <f>IF(archive!CJ1440="","",archive!CJ1440)</f>
        <v/>
      </c>
      <c r="I1440" s="51" t="str">
        <f>IF(archive!CK1440="","",archive!CK1440)</f>
        <v/>
      </c>
      <c r="J1440" s="47" t="str">
        <f t="shared" si="311"/>
        <v/>
      </c>
      <c r="K1440" s="51" t="str">
        <f t="shared" si="312"/>
        <v/>
      </c>
      <c r="L1440" s="52" t="str">
        <f t="shared" si="313"/>
        <v/>
      </c>
      <c r="M1440" s="53" t="str">
        <f t="shared" si="314"/>
        <v/>
      </c>
      <c r="N1440" s="53" t="str">
        <f t="shared" si="315"/>
        <v/>
      </c>
      <c r="O1440" s="53" t="str">
        <f t="shared" si="316"/>
        <v/>
      </c>
      <c r="P1440" s="53" t="str">
        <f t="shared" si="317"/>
        <v/>
      </c>
      <c r="Q1440" s="53" t="str">
        <f t="shared" si="318"/>
        <v/>
      </c>
      <c r="R1440" s="53" t="str">
        <f t="shared" si="319"/>
        <v/>
      </c>
      <c r="S1440" s="53" t="str">
        <f t="shared" si="320"/>
        <v/>
      </c>
      <c r="T1440" s="53" t="str">
        <f t="shared" si="321"/>
        <v/>
      </c>
    </row>
    <row r="1441" spans="1:20">
      <c r="A1441" s="47" t="str">
        <f>IF(archive!E1441="","",archive!E1441)</f>
        <v/>
      </c>
      <c r="B1441" s="48" t="str">
        <f t="shared" si="308"/>
        <v/>
      </c>
      <c r="C1441" s="49" t="str">
        <f>IF(archive!F1441="","",archive!F1441)</f>
        <v/>
      </c>
      <c r="D1441" s="50" t="str">
        <f t="shared" si="309"/>
        <v/>
      </c>
      <c r="E1441" s="50" t="str">
        <f t="shared" si="310"/>
        <v/>
      </c>
      <c r="F1441" s="47" t="str">
        <f>IF(COUNTA(archive!H1441:CI1441)=0,"",COUNTA(archive!H1441:CI1441))</f>
        <v/>
      </c>
      <c r="G1441" s="47" t="str">
        <f>IF(archive!G1441="","",archive!G1441)</f>
        <v/>
      </c>
      <c r="H1441" s="51" t="str">
        <f>IF(archive!CJ1441="","",archive!CJ1441)</f>
        <v/>
      </c>
      <c r="I1441" s="51" t="str">
        <f>IF(archive!CK1441="","",archive!CK1441)</f>
        <v/>
      </c>
      <c r="J1441" s="47" t="str">
        <f t="shared" si="311"/>
        <v/>
      </c>
      <c r="K1441" s="51" t="str">
        <f t="shared" si="312"/>
        <v/>
      </c>
      <c r="L1441" s="52" t="str">
        <f t="shared" si="313"/>
        <v/>
      </c>
      <c r="M1441" s="53" t="str">
        <f t="shared" si="314"/>
        <v/>
      </c>
      <c r="N1441" s="53" t="str">
        <f t="shared" si="315"/>
        <v/>
      </c>
      <c r="O1441" s="53" t="str">
        <f t="shared" si="316"/>
        <v/>
      </c>
      <c r="P1441" s="53" t="str">
        <f t="shared" si="317"/>
        <v/>
      </c>
      <c r="Q1441" s="53" t="str">
        <f t="shared" si="318"/>
        <v/>
      </c>
      <c r="R1441" s="53" t="str">
        <f t="shared" si="319"/>
        <v/>
      </c>
      <c r="S1441" s="53" t="str">
        <f t="shared" si="320"/>
        <v/>
      </c>
      <c r="T1441" s="53" t="str">
        <f t="shared" si="321"/>
        <v/>
      </c>
    </row>
    <row r="1442" spans="1:20">
      <c r="A1442" s="47" t="str">
        <f>IF(archive!E1442="","",archive!E1442)</f>
        <v/>
      </c>
      <c r="B1442" s="48" t="str">
        <f t="shared" si="308"/>
        <v/>
      </c>
      <c r="C1442" s="49" t="str">
        <f>IF(archive!F1442="","",archive!F1442)</f>
        <v/>
      </c>
      <c r="D1442" s="50" t="str">
        <f t="shared" si="309"/>
        <v/>
      </c>
      <c r="E1442" s="50" t="str">
        <f t="shared" si="310"/>
        <v/>
      </c>
      <c r="F1442" s="47" t="str">
        <f>IF(COUNTA(archive!H1442:CI1442)=0,"",COUNTA(archive!H1442:CI1442))</f>
        <v/>
      </c>
      <c r="G1442" s="47" t="str">
        <f>IF(archive!G1442="","",archive!G1442)</f>
        <v/>
      </c>
      <c r="H1442" s="51" t="str">
        <f>IF(archive!CJ1442="","",archive!CJ1442)</f>
        <v/>
      </c>
      <c r="I1442" s="51" t="str">
        <f>IF(archive!CK1442="","",archive!CK1442)</f>
        <v/>
      </c>
      <c r="J1442" s="47" t="str">
        <f t="shared" si="311"/>
        <v/>
      </c>
      <c r="K1442" s="51" t="str">
        <f t="shared" si="312"/>
        <v/>
      </c>
      <c r="L1442" s="52" t="str">
        <f t="shared" si="313"/>
        <v/>
      </c>
      <c r="M1442" s="53" t="str">
        <f t="shared" si="314"/>
        <v/>
      </c>
      <c r="N1442" s="53" t="str">
        <f t="shared" si="315"/>
        <v/>
      </c>
      <c r="O1442" s="53" t="str">
        <f t="shared" si="316"/>
        <v/>
      </c>
      <c r="P1442" s="53" t="str">
        <f t="shared" si="317"/>
        <v/>
      </c>
      <c r="Q1442" s="53" t="str">
        <f t="shared" si="318"/>
        <v/>
      </c>
      <c r="R1442" s="53" t="str">
        <f t="shared" si="319"/>
        <v/>
      </c>
      <c r="S1442" s="53" t="str">
        <f t="shared" si="320"/>
        <v/>
      </c>
      <c r="T1442" s="53" t="str">
        <f t="shared" si="321"/>
        <v/>
      </c>
    </row>
    <row r="1443" spans="1:20">
      <c r="A1443" s="47" t="str">
        <f>IF(archive!E1443="","",archive!E1443)</f>
        <v/>
      </c>
      <c r="B1443" s="48" t="str">
        <f t="shared" si="308"/>
        <v/>
      </c>
      <c r="C1443" s="49" t="str">
        <f>IF(archive!F1443="","",archive!F1443)</f>
        <v/>
      </c>
      <c r="D1443" s="50" t="str">
        <f t="shared" si="309"/>
        <v/>
      </c>
      <c r="E1443" s="50" t="str">
        <f t="shared" si="310"/>
        <v/>
      </c>
      <c r="F1443" s="47" t="str">
        <f>IF(COUNTA(archive!H1443:CI1443)=0,"",COUNTA(archive!H1443:CI1443))</f>
        <v/>
      </c>
      <c r="G1443" s="47" t="str">
        <f>IF(archive!G1443="","",archive!G1443)</f>
        <v/>
      </c>
      <c r="H1443" s="51" t="str">
        <f>IF(archive!CJ1443="","",archive!CJ1443)</f>
        <v/>
      </c>
      <c r="I1443" s="51" t="str">
        <f>IF(archive!CK1443="","",archive!CK1443)</f>
        <v/>
      </c>
      <c r="J1443" s="47" t="str">
        <f t="shared" si="311"/>
        <v/>
      </c>
      <c r="K1443" s="51" t="str">
        <f t="shared" si="312"/>
        <v/>
      </c>
      <c r="L1443" s="52" t="str">
        <f t="shared" si="313"/>
        <v/>
      </c>
      <c r="M1443" s="53" t="str">
        <f t="shared" si="314"/>
        <v/>
      </c>
      <c r="N1443" s="53" t="str">
        <f t="shared" si="315"/>
        <v/>
      </c>
      <c r="O1443" s="53" t="str">
        <f t="shared" si="316"/>
        <v/>
      </c>
      <c r="P1443" s="53" t="str">
        <f t="shared" si="317"/>
        <v/>
      </c>
      <c r="Q1443" s="53" t="str">
        <f t="shared" si="318"/>
        <v/>
      </c>
      <c r="R1443" s="53" t="str">
        <f t="shared" si="319"/>
        <v/>
      </c>
      <c r="S1443" s="53" t="str">
        <f t="shared" si="320"/>
        <v/>
      </c>
      <c r="T1443" s="53" t="str">
        <f t="shared" si="321"/>
        <v/>
      </c>
    </row>
    <row r="1444" spans="1:20">
      <c r="A1444" s="47" t="str">
        <f>IF(archive!E1444="","",archive!E1444)</f>
        <v/>
      </c>
      <c r="B1444" s="48" t="str">
        <f t="shared" si="308"/>
        <v/>
      </c>
      <c r="C1444" s="49" t="str">
        <f>IF(archive!F1444="","",archive!F1444)</f>
        <v/>
      </c>
      <c r="D1444" s="50" t="str">
        <f t="shared" si="309"/>
        <v/>
      </c>
      <c r="E1444" s="50" t="str">
        <f t="shared" si="310"/>
        <v/>
      </c>
      <c r="F1444" s="47" t="str">
        <f>IF(COUNTA(archive!H1444:CI1444)=0,"",COUNTA(archive!H1444:CI1444))</f>
        <v/>
      </c>
      <c r="G1444" s="47" t="str">
        <f>IF(archive!G1444="","",archive!G1444)</f>
        <v/>
      </c>
      <c r="H1444" s="51" t="str">
        <f>IF(archive!CJ1444="","",archive!CJ1444)</f>
        <v/>
      </c>
      <c r="I1444" s="51" t="str">
        <f>IF(archive!CK1444="","",archive!CK1444)</f>
        <v/>
      </c>
      <c r="J1444" s="47" t="str">
        <f t="shared" si="311"/>
        <v/>
      </c>
      <c r="K1444" s="51" t="str">
        <f t="shared" si="312"/>
        <v/>
      </c>
      <c r="L1444" s="52" t="str">
        <f t="shared" si="313"/>
        <v/>
      </c>
      <c r="M1444" s="53" t="str">
        <f t="shared" si="314"/>
        <v/>
      </c>
      <c r="N1444" s="53" t="str">
        <f t="shared" si="315"/>
        <v/>
      </c>
      <c r="O1444" s="53" t="str">
        <f t="shared" si="316"/>
        <v/>
      </c>
      <c r="P1444" s="53" t="str">
        <f t="shared" si="317"/>
        <v/>
      </c>
      <c r="Q1444" s="53" t="str">
        <f t="shared" si="318"/>
        <v/>
      </c>
      <c r="R1444" s="53" t="str">
        <f t="shared" si="319"/>
        <v/>
      </c>
      <c r="S1444" s="53" t="str">
        <f t="shared" si="320"/>
        <v/>
      </c>
      <c r="T1444" s="53" t="str">
        <f t="shared" si="321"/>
        <v/>
      </c>
    </row>
    <row r="1445" spans="1:20">
      <c r="A1445" s="47" t="str">
        <f>IF(archive!E1445="","",archive!E1445)</f>
        <v/>
      </c>
      <c r="B1445" s="48" t="str">
        <f t="shared" si="308"/>
        <v/>
      </c>
      <c r="C1445" s="49" t="str">
        <f>IF(archive!F1445="","",archive!F1445)</f>
        <v/>
      </c>
      <c r="D1445" s="50" t="str">
        <f t="shared" si="309"/>
        <v/>
      </c>
      <c r="E1445" s="50" t="str">
        <f t="shared" si="310"/>
        <v/>
      </c>
      <c r="F1445" s="47" t="str">
        <f>IF(COUNTA(archive!H1445:CI1445)=0,"",COUNTA(archive!H1445:CI1445))</f>
        <v/>
      </c>
      <c r="G1445" s="47" t="str">
        <f>IF(archive!G1445="","",archive!G1445)</f>
        <v/>
      </c>
      <c r="H1445" s="51" t="str">
        <f>IF(archive!CJ1445="","",archive!CJ1445)</f>
        <v/>
      </c>
      <c r="I1445" s="51" t="str">
        <f>IF(archive!CK1445="","",archive!CK1445)</f>
        <v/>
      </c>
      <c r="J1445" s="47" t="str">
        <f t="shared" si="311"/>
        <v/>
      </c>
      <c r="K1445" s="51" t="str">
        <f t="shared" si="312"/>
        <v/>
      </c>
      <c r="L1445" s="52" t="str">
        <f t="shared" si="313"/>
        <v/>
      </c>
      <c r="M1445" s="53" t="str">
        <f t="shared" si="314"/>
        <v/>
      </c>
      <c r="N1445" s="53" t="str">
        <f t="shared" si="315"/>
        <v/>
      </c>
      <c r="O1445" s="53" t="str">
        <f t="shared" si="316"/>
        <v/>
      </c>
      <c r="P1445" s="53" t="str">
        <f t="shared" si="317"/>
        <v/>
      </c>
      <c r="Q1445" s="53" t="str">
        <f t="shared" si="318"/>
        <v/>
      </c>
      <c r="R1445" s="53" t="str">
        <f t="shared" si="319"/>
        <v/>
      </c>
      <c r="S1445" s="53" t="str">
        <f t="shared" si="320"/>
        <v/>
      </c>
      <c r="T1445" s="53" t="str">
        <f t="shared" si="321"/>
        <v/>
      </c>
    </row>
    <row r="1446" spans="1:20">
      <c r="A1446" s="47" t="str">
        <f>IF(archive!E1446="","",archive!E1446)</f>
        <v/>
      </c>
      <c r="B1446" s="48" t="str">
        <f t="shared" si="308"/>
        <v/>
      </c>
      <c r="C1446" s="49" t="str">
        <f>IF(archive!F1446="","",archive!F1446)</f>
        <v/>
      </c>
      <c r="D1446" s="50" t="str">
        <f t="shared" si="309"/>
        <v/>
      </c>
      <c r="E1446" s="50" t="str">
        <f t="shared" si="310"/>
        <v/>
      </c>
      <c r="F1446" s="47" t="str">
        <f>IF(COUNTA(archive!H1446:CI1446)=0,"",COUNTA(archive!H1446:CI1446))</f>
        <v/>
      </c>
      <c r="G1446" s="47" t="str">
        <f>IF(archive!G1446="","",archive!G1446)</f>
        <v/>
      </c>
      <c r="H1446" s="51" t="str">
        <f>IF(archive!CJ1446="","",archive!CJ1446)</f>
        <v/>
      </c>
      <c r="I1446" s="51" t="str">
        <f>IF(archive!CK1446="","",archive!CK1446)</f>
        <v/>
      </c>
      <c r="J1446" s="47" t="str">
        <f t="shared" si="311"/>
        <v/>
      </c>
      <c r="K1446" s="51" t="str">
        <f t="shared" si="312"/>
        <v/>
      </c>
      <c r="L1446" s="52" t="str">
        <f t="shared" si="313"/>
        <v/>
      </c>
      <c r="M1446" s="53" t="str">
        <f t="shared" si="314"/>
        <v/>
      </c>
      <c r="N1446" s="53" t="str">
        <f t="shared" si="315"/>
        <v/>
      </c>
      <c r="O1446" s="53" t="str">
        <f t="shared" si="316"/>
        <v/>
      </c>
      <c r="P1446" s="53" t="str">
        <f t="shared" si="317"/>
        <v/>
      </c>
      <c r="Q1446" s="53" t="str">
        <f t="shared" si="318"/>
        <v/>
      </c>
      <c r="R1446" s="53" t="str">
        <f t="shared" si="319"/>
        <v/>
      </c>
      <c r="S1446" s="53" t="str">
        <f t="shared" si="320"/>
        <v/>
      </c>
      <c r="T1446" s="53" t="str">
        <f t="shared" si="321"/>
        <v/>
      </c>
    </row>
    <row r="1447" spans="1:20">
      <c r="A1447" s="47" t="str">
        <f>IF(archive!E1447="","",archive!E1447)</f>
        <v/>
      </c>
      <c r="B1447" s="48" t="str">
        <f t="shared" si="308"/>
        <v/>
      </c>
      <c r="C1447" s="49" t="str">
        <f>IF(archive!F1447="","",archive!F1447)</f>
        <v/>
      </c>
      <c r="D1447" s="50" t="str">
        <f t="shared" si="309"/>
        <v/>
      </c>
      <c r="E1447" s="50" t="str">
        <f t="shared" si="310"/>
        <v/>
      </c>
      <c r="F1447" s="47" t="str">
        <f>IF(COUNTA(archive!H1447:CI1447)=0,"",COUNTA(archive!H1447:CI1447))</f>
        <v/>
      </c>
      <c r="G1447" s="47" t="str">
        <f>IF(archive!G1447="","",archive!G1447)</f>
        <v/>
      </c>
      <c r="H1447" s="51" t="str">
        <f>IF(archive!CJ1447="","",archive!CJ1447)</f>
        <v/>
      </c>
      <c r="I1447" s="51" t="str">
        <f>IF(archive!CK1447="","",archive!CK1447)</f>
        <v/>
      </c>
      <c r="J1447" s="47" t="str">
        <f t="shared" si="311"/>
        <v/>
      </c>
      <c r="K1447" s="51" t="str">
        <f t="shared" si="312"/>
        <v/>
      </c>
      <c r="L1447" s="52" t="str">
        <f t="shared" si="313"/>
        <v/>
      </c>
      <c r="M1447" s="53" t="str">
        <f t="shared" si="314"/>
        <v/>
      </c>
      <c r="N1447" s="53" t="str">
        <f t="shared" si="315"/>
        <v/>
      </c>
      <c r="O1447" s="53" t="str">
        <f t="shared" si="316"/>
        <v/>
      </c>
      <c r="P1447" s="53" t="str">
        <f t="shared" si="317"/>
        <v/>
      </c>
      <c r="Q1447" s="53" t="str">
        <f t="shared" si="318"/>
        <v/>
      </c>
      <c r="R1447" s="53" t="str">
        <f t="shared" si="319"/>
        <v/>
      </c>
      <c r="S1447" s="53" t="str">
        <f t="shared" si="320"/>
        <v/>
      </c>
      <c r="T1447" s="53" t="str">
        <f t="shared" si="321"/>
        <v/>
      </c>
    </row>
    <row r="1448" spans="1:20">
      <c r="A1448" s="47" t="str">
        <f>IF(archive!E1448="","",archive!E1448)</f>
        <v/>
      </c>
      <c r="B1448" s="48" t="str">
        <f t="shared" si="308"/>
        <v/>
      </c>
      <c r="C1448" s="49" t="str">
        <f>IF(archive!F1448="","",archive!F1448)</f>
        <v/>
      </c>
      <c r="D1448" s="50" t="str">
        <f t="shared" si="309"/>
        <v/>
      </c>
      <c r="E1448" s="50" t="str">
        <f t="shared" si="310"/>
        <v/>
      </c>
      <c r="F1448" s="47" t="str">
        <f>IF(COUNTA(archive!H1448:CI1448)=0,"",COUNTA(archive!H1448:CI1448))</f>
        <v/>
      </c>
      <c r="G1448" s="47" t="str">
        <f>IF(archive!G1448="","",archive!G1448)</f>
        <v/>
      </c>
      <c r="H1448" s="51" t="str">
        <f>IF(archive!CJ1448="","",archive!CJ1448)</f>
        <v/>
      </c>
      <c r="I1448" s="51" t="str">
        <f>IF(archive!CK1448="","",archive!CK1448)</f>
        <v/>
      </c>
      <c r="J1448" s="47" t="str">
        <f t="shared" si="311"/>
        <v/>
      </c>
      <c r="K1448" s="51" t="str">
        <f t="shared" si="312"/>
        <v/>
      </c>
      <c r="L1448" s="52" t="str">
        <f t="shared" si="313"/>
        <v/>
      </c>
      <c r="M1448" s="53" t="str">
        <f t="shared" si="314"/>
        <v/>
      </c>
      <c r="N1448" s="53" t="str">
        <f t="shared" si="315"/>
        <v/>
      </c>
      <c r="O1448" s="53" t="str">
        <f t="shared" si="316"/>
        <v/>
      </c>
      <c r="P1448" s="53" t="str">
        <f t="shared" si="317"/>
        <v/>
      </c>
      <c r="Q1448" s="53" t="str">
        <f t="shared" si="318"/>
        <v/>
      </c>
      <c r="R1448" s="53" t="str">
        <f t="shared" si="319"/>
        <v/>
      </c>
      <c r="S1448" s="53" t="str">
        <f t="shared" si="320"/>
        <v/>
      </c>
      <c r="T1448" s="53" t="str">
        <f t="shared" si="321"/>
        <v/>
      </c>
    </row>
    <row r="1449" spans="1:20">
      <c r="A1449" s="47" t="str">
        <f>IF(archive!E1449="","",archive!E1449)</f>
        <v/>
      </c>
      <c r="B1449" s="48" t="str">
        <f t="shared" si="308"/>
        <v/>
      </c>
      <c r="C1449" s="49" t="str">
        <f>IF(archive!F1449="","",archive!F1449)</f>
        <v/>
      </c>
      <c r="D1449" s="50" t="str">
        <f t="shared" si="309"/>
        <v/>
      </c>
      <c r="E1449" s="50" t="str">
        <f t="shared" si="310"/>
        <v/>
      </c>
      <c r="F1449" s="47" t="str">
        <f>IF(COUNTA(archive!H1449:CI1449)=0,"",COUNTA(archive!H1449:CI1449))</f>
        <v/>
      </c>
      <c r="G1449" s="47" t="str">
        <f>IF(archive!G1449="","",archive!G1449)</f>
        <v/>
      </c>
      <c r="H1449" s="51" t="str">
        <f>IF(archive!CJ1449="","",archive!CJ1449)</f>
        <v/>
      </c>
      <c r="I1449" s="51" t="str">
        <f>IF(archive!CK1449="","",archive!CK1449)</f>
        <v/>
      </c>
      <c r="J1449" s="47" t="str">
        <f t="shared" si="311"/>
        <v/>
      </c>
      <c r="K1449" s="51" t="str">
        <f t="shared" si="312"/>
        <v/>
      </c>
      <c r="L1449" s="52" t="str">
        <f t="shared" si="313"/>
        <v/>
      </c>
      <c r="M1449" s="53" t="str">
        <f t="shared" si="314"/>
        <v/>
      </c>
      <c r="N1449" s="53" t="str">
        <f t="shared" si="315"/>
        <v/>
      </c>
      <c r="O1449" s="53" t="str">
        <f t="shared" si="316"/>
        <v/>
      </c>
      <c r="P1449" s="53" t="str">
        <f t="shared" si="317"/>
        <v/>
      </c>
      <c r="Q1449" s="53" t="str">
        <f t="shared" si="318"/>
        <v/>
      </c>
      <c r="R1449" s="53" t="str">
        <f t="shared" si="319"/>
        <v/>
      </c>
      <c r="S1449" s="53" t="str">
        <f t="shared" si="320"/>
        <v/>
      </c>
      <c r="T1449" s="53" t="str">
        <f t="shared" si="321"/>
        <v/>
      </c>
    </row>
    <row r="1450" spans="1:20">
      <c r="A1450" s="47" t="str">
        <f>IF(archive!E1450="","",archive!E1450)</f>
        <v/>
      </c>
      <c r="B1450" s="48" t="str">
        <f t="shared" si="308"/>
        <v/>
      </c>
      <c r="C1450" s="49" t="str">
        <f>IF(archive!F1450="","",archive!F1450)</f>
        <v/>
      </c>
      <c r="D1450" s="50" t="str">
        <f t="shared" si="309"/>
        <v/>
      </c>
      <c r="E1450" s="50" t="str">
        <f t="shared" si="310"/>
        <v/>
      </c>
      <c r="F1450" s="47" t="str">
        <f>IF(COUNTA(archive!H1450:CI1450)=0,"",COUNTA(archive!H1450:CI1450))</f>
        <v/>
      </c>
      <c r="G1450" s="47" t="str">
        <f>IF(archive!G1450="","",archive!G1450)</f>
        <v/>
      </c>
      <c r="H1450" s="51" t="str">
        <f>IF(archive!CJ1450="","",archive!CJ1450)</f>
        <v/>
      </c>
      <c r="I1450" s="51" t="str">
        <f>IF(archive!CK1450="","",archive!CK1450)</f>
        <v/>
      </c>
      <c r="J1450" s="47" t="str">
        <f t="shared" si="311"/>
        <v/>
      </c>
      <c r="K1450" s="51" t="str">
        <f t="shared" si="312"/>
        <v/>
      </c>
      <c r="L1450" s="52" t="str">
        <f t="shared" si="313"/>
        <v/>
      </c>
      <c r="M1450" s="53" t="str">
        <f t="shared" si="314"/>
        <v/>
      </c>
      <c r="N1450" s="53" t="str">
        <f t="shared" si="315"/>
        <v/>
      </c>
      <c r="O1450" s="53" t="str">
        <f t="shared" si="316"/>
        <v/>
      </c>
      <c r="P1450" s="53" t="str">
        <f t="shared" si="317"/>
        <v/>
      </c>
      <c r="Q1450" s="53" t="str">
        <f t="shared" si="318"/>
        <v/>
      </c>
      <c r="R1450" s="53" t="str">
        <f t="shared" si="319"/>
        <v/>
      </c>
      <c r="S1450" s="53" t="str">
        <f t="shared" si="320"/>
        <v/>
      </c>
      <c r="T1450" s="53" t="str">
        <f t="shared" si="321"/>
        <v/>
      </c>
    </row>
    <row r="1451" spans="1:20">
      <c r="A1451" s="47" t="str">
        <f>IF(archive!E1451="","",archive!E1451)</f>
        <v/>
      </c>
      <c r="B1451" s="48" t="str">
        <f t="shared" si="308"/>
        <v/>
      </c>
      <c r="C1451" s="49" t="str">
        <f>IF(archive!F1451="","",archive!F1451)</f>
        <v/>
      </c>
      <c r="D1451" s="50" t="str">
        <f t="shared" si="309"/>
        <v/>
      </c>
      <c r="E1451" s="50" t="str">
        <f t="shared" si="310"/>
        <v/>
      </c>
      <c r="F1451" s="47" t="str">
        <f>IF(COUNTA(archive!H1451:CI1451)=0,"",COUNTA(archive!H1451:CI1451))</f>
        <v/>
      </c>
      <c r="G1451" s="47" t="str">
        <f>IF(archive!G1451="","",archive!G1451)</f>
        <v/>
      </c>
      <c r="H1451" s="51" t="str">
        <f>IF(archive!CJ1451="","",archive!CJ1451)</f>
        <v/>
      </c>
      <c r="I1451" s="51" t="str">
        <f>IF(archive!CK1451="","",archive!CK1451)</f>
        <v/>
      </c>
      <c r="J1451" s="47" t="str">
        <f t="shared" si="311"/>
        <v/>
      </c>
      <c r="K1451" s="51" t="str">
        <f t="shared" si="312"/>
        <v/>
      </c>
      <c r="L1451" s="52" t="str">
        <f t="shared" si="313"/>
        <v/>
      </c>
      <c r="M1451" s="53" t="str">
        <f t="shared" si="314"/>
        <v/>
      </c>
      <c r="N1451" s="53" t="str">
        <f t="shared" si="315"/>
        <v/>
      </c>
      <c r="O1451" s="53" t="str">
        <f t="shared" si="316"/>
        <v/>
      </c>
      <c r="P1451" s="53" t="str">
        <f t="shared" si="317"/>
        <v/>
      </c>
      <c r="Q1451" s="53" t="str">
        <f t="shared" si="318"/>
        <v/>
      </c>
      <c r="R1451" s="53" t="str">
        <f t="shared" si="319"/>
        <v/>
      </c>
      <c r="S1451" s="53" t="str">
        <f t="shared" si="320"/>
        <v/>
      </c>
      <c r="T1451" s="53" t="str">
        <f t="shared" si="321"/>
        <v/>
      </c>
    </row>
    <row r="1452" spans="1:20">
      <c r="A1452" s="47" t="str">
        <f>IF(archive!E1452="","",archive!E1452)</f>
        <v/>
      </c>
      <c r="B1452" s="48" t="str">
        <f t="shared" si="308"/>
        <v/>
      </c>
      <c r="C1452" s="49" t="str">
        <f>IF(archive!F1452="","",archive!F1452)</f>
        <v/>
      </c>
      <c r="D1452" s="50" t="str">
        <f t="shared" si="309"/>
        <v/>
      </c>
      <c r="E1452" s="50" t="str">
        <f t="shared" si="310"/>
        <v/>
      </c>
      <c r="F1452" s="47" t="str">
        <f>IF(COUNTA(archive!H1452:CI1452)=0,"",COUNTA(archive!H1452:CI1452))</f>
        <v/>
      </c>
      <c r="G1452" s="47" t="str">
        <f>IF(archive!G1452="","",archive!G1452)</f>
        <v/>
      </c>
      <c r="H1452" s="51" t="str">
        <f>IF(archive!CJ1452="","",archive!CJ1452)</f>
        <v/>
      </c>
      <c r="I1452" s="51" t="str">
        <f>IF(archive!CK1452="","",archive!CK1452)</f>
        <v/>
      </c>
      <c r="J1452" s="47" t="str">
        <f t="shared" si="311"/>
        <v/>
      </c>
      <c r="K1452" s="51" t="str">
        <f t="shared" si="312"/>
        <v/>
      </c>
      <c r="L1452" s="52" t="str">
        <f t="shared" si="313"/>
        <v/>
      </c>
      <c r="M1452" s="53" t="str">
        <f t="shared" si="314"/>
        <v/>
      </c>
      <c r="N1452" s="53" t="str">
        <f t="shared" si="315"/>
        <v/>
      </c>
      <c r="O1452" s="53" t="str">
        <f t="shared" si="316"/>
        <v/>
      </c>
      <c r="P1452" s="53" t="str">
        <f t="shared" si="317"/>
        <v/>
      </c>
      <c r="Q1452" s="53" t="str">
        <f t="shared" si="318"/>
        <v/>
      </c>
      <c r="R1452" s="53" t="str">
        <f t="shared" si="319"/>
        <v/>
      </c>
      <c r="S1452" s="53" t="str">
        <f t="shared" si="320"/>
        <v/>
      </c>
      <c r="T1452" s="53" t="str">
        <f t="shared" si="321"/>
        <v/>
      </c>
    </row>
    <row r="1453" spans="1:20">
      <c r="A1453" s="47" t="str">
        <f>IF(archive!E1453="","",archive!E1453)</f>
        <v/>
      </c>
      <c r="B1453" s="48" t="str">
        <f t="shared" si="308"/>
        <v/>
      </c>
      <c r="C1453" s="49" t="str">
        <f>IF(archive!F1453="","",archive!F1453)</f>
        <v/>
      </c>
      <c r="D1453" s="50" t="str">
        <f t="shared" si="309"/>
        <v/>
      </c>
      <c r="E1453" s="50" t="str">
        <f t="shared" si="310"/>
        <v/>
      </c>
      <c r="F1453" s="47" t="str">
        <f>IF(COUNTA(archive!H1453:CI1453)=0,"",COUNTA(archive!H1453:CI1453))</f>
        <v/>
      </c>
      <c r="G1453" s="47" t="str">
        <f>IF(archive!G1453="","",archive!G1453)</f>
        <v/>
      </c>
      <c r="H1453" s="51" t="str">
        <f>IF(archive!CJ1453="","",archive!CJ1453)</f>
        <v/>
      </c>
      <c r="I1453" s="51" t="str">
        <f>IF(archive!CK1453="","",archive!CK1453)</f>
        <v/>
      </c>
      <c r="J1453" s="47" t="str">
        <f t="shared" si="311"/>
        <v/>
      </c>
      <c r="K1453" s="51" t="str">
        <f t="shared" si="312"/>
        <v/>
      </c>
      <c r="L1453" s="52" t="str">
        <f t="shared" si="313"/>
        <v/>
      </c>
      <c r="M1453" s="53" t="str">
        <f t="shared" si="314"/>
        <v/>
      </c>
      <c r="N1453" s="53" t="str">
        <f t="shared" si="315"/>
        <v/>
      </c>
      <c r="O1453" s="53" t="str">
        <f t="shared" si="316"/>
        <v/>
      </c>
      <c r="P1453" s="53" t="str">
        <f t="shared" si="317"/>
        <v/>
      </c>
      <c r="Q1453" s="53" t="str">
        <f t="shared" si="318"/>
        <v/>
      </c>
      <c r="R1453" s="53" t="str">
        <f t="shared" si="319"/>
        <v/>
      </c>
      <c r="S1453" s="53" t="str">
        <f t="shared" si="320"/>
        <v/>
      </c>
      <c r="T1453" s="53" t="str">
        <f t="shared" si="321"/>
        <v/>
      </c>
    </row>
    <row r="1454" spans="1:20">
      <c r="A1454" s="47" t="str">
        <f>IF(archive!E1454="","",archive!E1454)</f>
        <v/>
      </c>
      <c r="B1454" s="48" t="str">
        <f t="shared" si="308"/>
        <v/>
      </c>
      <c r="C1454" s="49" t="str">
        <f>IF(archive!F1454="","",archive!F1454)</f>
        <v/>
      </c>
      <c r="D1454" s="50" t="str">
        <f t="shared" si="309"/>
        <v/>
      </c>
      <c r="E1454" s="50" t="str">
        <f t="shared" si="310"/>
        <v/>
      </c>
      <c r="F1454" s="47" t="str">
        <f>IF(COUNTA(archive!H1454:CI1454)=0,"",COUNTA(archive!H1454:CI1454))</f>
        <v/>
      </c>
      <c r="G1454" s="47" t="str">
        <f>IF(archive!G1454="","",archive!G1454)</f>
        <v/>
      </c>
      <c r="H1454" s="51" t="str">
        <f>IF(archive!CJ1454="","",archive!CJ1454)</f>
        <v/>
      </c>
      <c r="I1454" s="51" t="str">
        <f>IF(archive!CK1454="","",archive!CK1454)</f>
        <v/>
      </c>
      <c r="J1454" s="47" t="str">
        <f t="shared" si="311"/>
        <v/>
      </c>
      <c r="K1454" s="51" t="str">
        <f t="shared" si="312"/>
        <v/>
      </c>
      <c r="L1454" s="52" t="str">
        <f t="shared" si="313"/>
        <v/>
      </c>
      <c r="M1454" s="53" t="str">
        <f t="shared" si="314"/>
        <v/>
      </c>
      <c r="N1454" s="53" t="str">
        <f t="shared" si="315"/>
        <v/>
      </c>
      <c r="O1454" s="53" t="str">
        <f t="shared" si="316"/>
        <v/>
      </c>
      <c r="P1454" s="53" t="str">
        <f t="shared" si="317"/>
        <v/>
      </c>
      <c r="Q1454" s="53" t="str">
        <f t="shared" si="318"/>
        <v/>
      </c>
      <c r="R1454" s="53" t="str">
        <f t="shared" si="319"/>
        <v/>
      </c>
      <c r="S1454" s="53" t="str">
        <f t="shared" si="320"/>
        <v/>
      </c>
      <c r="T1454" s="53" t="str">
        <f t="shared" si="321"/>
        <v/>
      </c>
    </row>
    <row r="1455" spans="1:20">
      <c r="A1455" s="47" t="str">
        <f>IF(archive!E1455="","",archive!E1455)</f>
        <v/>
      </c>
      <c r="B1455" s="48" t="str">
        <f t="shared" si="308"/>
        <v/>
      </c>
      <c r="C1455" s="49" t="str">
        <f>IF(archive!F1455="","",archive!F1455)</f>
        <v/>
      </c>
      <c r="D1455" s="50" t="str">
        <f t="shared" si="309"/>
        <v/>
      </c>
      <c r="E1455" s="50" t="str">
        <f t="shared" si="310"/>
        <v/>
      </c>
      <c r="F1455" s="47" t="str">
        <f>IF(COUNTA(archive!H1455:CI1455)=0,"",COUNTA(archive!H1455:CI1455))</f>
        <v/>
      </c>
      <c r="G1455" s="47" t="str">
        <f>IF(archive!G1455="","",archive!G1455)</f>
        <v/>
      </c>
      <c r="H1455" s="51" t="str">
        <f>IF(archive!CJ1455="","",archive!CJ1455)</f>
        <v/>
      </c>
      <c r="I1455" s="51" t="str">
        <f>IF(archive!CK1455="","",archive!CK1455)</f>
        <v/>
      </c>
      <c r="J1455" s="47" t="str">
        <f t="shared" si="311"/>
        <v/>
      </c>
      <c r="K1455" s="51" t="str">
        <f t="shared" si="312"/>
        <v/>
      </c>
      <c r="L1455" s="52" t="str">
        <f t="shared" si="313"/>
        <v/>
      </c>
      <c r="M1455" s="53" t="str">
        <f t="shared" si="314"/>
        <v/>
      </c>
      <c r="N1455" s="53" t="str">
        <f t="shared" si="315"/>
        <v/>
      </c>
      <c r="O1455" s="53" t="str">
        <f t="shared" si="316"/>
        <v/>
      </c>
      <c r="P1455" s="53" t="str">
        <f t="shared" si="317"/>
        <v/>
      </c>
      <c r="Q1455" s="53" t="str">
        <f t="shared" si="318"/>
        <v/>
      </c>
      <c r="R1455" s="53" t="str">
        <f t="shared" si="319"/>
        <v/>
      </c>
      <c r="S1455" s="53" t="str">
        <f t="shared" si="320"/>
        <v/>
      </c>
      <c r="T1455" s="53" t="str">
        <f t="shared" si="321"/>
        <v/>
      </c>
    </row>
    <row r="1456" spans="1:20">
      <c r="A1456" s="47" t="str">
        <f>IF(archive!E1456="","",archive!E1456)</f>
        <v/>
      </c>
      <c r="B1456" s="48" t="str">
        <f t="shared" si="308"/>
        <v/>
      </c>
      <c r="C1456" s="49" t="str">
        <f>IF(archive!F1456="","",archive!F1456)</f>
        <v/>
      </c>
      <c r="D1456" s="50" t="str">
        <f t="shared" si="309"/>
        <v/>
      </c>
      <c r="E1456" s="50" t="str">
        <f t="shared" si="310"/>
        <v/>
      </c>
      <c r="F1456" s="47" t="str">
        <f>IF(COUNTA(archive!H1456:CI1456)=0,"",COUNTA(archive!H1456:CI1456))</f>
        <v/>
      </c>
      <c r="G1456" s="47" t="str">
        <f>IF(archive!G1456="","",archive!G1456)</f>
        <v/>
      </c>
      <c r="H1456" s="51" t="str">
        <f>IF(archive!CJ1456="","",archive!CJ1456)</f>
        <v/>
      </c>
      <c r="I1456" s="51" t="str">
        <f>IF(archive!CK1456="","",archive!CK1456)</f>
        <v/>
      </c>
      <c r="J1456" s="47" t="str">
        <f t="shared" si="311"/>
        <v/>
      </c>
      <c r="K1456" s="51" t="str">
        <f t="shared" si="312"/>
        <v/>
      </c>
      <c r="L1456" s="52" t="str">
        <f t="shared" si="313"/>
        <v/>
      </c>
      <c r="M1456" s="53" t="str">
        <f t="shared" si="314"/>
        <v/>
      </c>
      <c r="N1456" s="53" t="str">
        <f t="shared" si="315"/>
        <v/>
      </c>
      <c r="O1456" s="53" t="str">
        <f t="shared" si="316"/>
        <v/>
      </c>
      <c r="P1456" s="53" t="str">
        <f t="shared" si="317"/>
        <v/>
      </c>
      <c r="Q1456" s="53" t="str">
        <f t="shared" si="318"/>
        <v/>
      </c>
      <c r="R1456" s="53" t="str">
        <f t="shared" si="319"/>
        <v/>
      </c>
      <c r="S1456" s="53" t="str">
        <f t="shared" si="320"/>
        <v/>
      </c>
      <c r="T1456" s="53" t="str">
        <f t="shared" si="321"/>
        <v/>
      </c>
    </row>
    <row r="1457" spans="1:20">
      <c r="A1457" s="47" t="str">
        <f>IF(archive!E1457="","",archive!E1457)</f>
        <v/>
      </c>
      <c r="B1457" s="48" t="str">
        <f t="shared" si="308"/>
        <v/>
      </c>
      <c r="C1457" s="49" t="str">
        <f>IF(archive!F1457="","",archive!F1457)</f>
        <v/>
      </c>
      <c r="D1457" s="50" t="str">
        <f t="shared" si="309"/>
        <v/>
      </c>
      <c r="E1457" s="50" t="str">
        <f t="shared" si="310"/>
        <v/>
      </c>
      <c r="F1457" s="47" t="str">
        <f>IF(COUNTA(archive!H1457:CI1457)=0,"",COUNTA(archive!H1457:CI1457))</f>
        <v/>
      </c>
      <c r="G1457" s="47" t="str">
        <f>IF(archive!G1457="","",archive!G1457)</f>
        <v/>
      </c>
      <c r="H1457" s="51" t="str">
        <f>IF(archive!CJ1457="","",archive!CJ1457)</f>
        <v/>
      </c>
      <c r="I1457" s="51" t="str">
        <f>IF(archive!CK1457="","",archive!CK1457)</f>
        <v/>
      </c>
      <c r="J1457" s="47" t="str">
        <f t="shared" si="311"/>
        <v/>
      </c>
      <c r="K1457" s="51" t="str">
        <f t="shared" si="312"/>
        <v/>
      </c>
      <c r="L1457" s="52" t="str">
        <f t="shared" si="313"/>
        <v/>
      </c>
      <c r="M1457" s="53" t="str">
        <f t="shared" si="314"/>
        <v/>
      </c>
      <c r="N1457" s="53" t="str">
        <f t="shared" si="315"/>
        <v/>
      </c>
      <c r="O1457" s="53" t="str">
        <f t="shared" si="316"/>
        <v/>
      </c>
      <c r="P1457" s="53" t="str">
        <f t="shared" si="317"/>
        <v/>
      </c>
      <c r="Q1457" s="53" t="str">
        <f t="shared" si="318"/>
        <v/>
      </c>
      <c r="R1457" s="53" t="str">
        <f t="shared" si="319"/>
        <v/>
      </c>
      <c r="S1457" s="53" t="str">
        <f t="shared" si="320"/>
        <v/>
      </c>
      <c r="T1457" s="53" t="str">
        <f t="shared" si="321"/>
        <v/>
      </c>
    </row>
    <row r="1458" spans="1:20">
      <c r="A1458" s="47" t="str">
        <f>IF(archive!E1458="","",archive!E1458)</f>
        <v/>
      </c>
      <c r="B1458" s="48" t="str">
        <f t="shared" si="308"/>
        <v/>
      </c>
      <c r="C1458" s="49" t="str">
        <f>IF(archive!F1458="","",archive!F1458)</f>
        <v/>
      </c>
      <c r="D1458" s="50" t="str">
        <f t="shared" si="309"/>
        <v/>
      </c>
      <c r="E1458" s="50" t="str">
        <f t="shared" si="310"/>
        <v/>
      </c>
      <c r="F1458" s="47" t="str">
        <f>IF(COUNTA(archive!H1458:CI1458)=0,"",COUNTA(archive!H1458:CI1458))</f>
        <v/>
      </c>
      <c r="G1458" s="47" t="str">
        <f>IF(archive!G1458="","",archive!G1458)</f>
        <v/>
      </c>
      <c r="H1458" s="51" t="str">
        <f>IF(archive!CJ1458="","",archive!CJ1458)</f>
        <v/>
      </c>
      <c r="I1458" s="51" t="str">
        <f>IF(archive!CK1458="","",archive!CK1458)</f>
        <v/>
      </c>
      <c r="J1458" s="47" t="str">
        <f t="shared" si="311"/>
        <v/>
      </c>
      <c r="K1458" s="51" t="str">
        <f t="shared" si="312"/>
        <v/>
      </c>
      <c r="L1458" s="52" t="str">
        <f t="shared" si="313"/>
        <v/>
      </c>
      <c r="M1458" s="53" t="str">
        <f t="shared" si="314"/>
        <v/>
      </c>
      <c r="N1458" s="53" t="str">
        <f t="shared" si="315"/>
        <v/>
      </c>
      <c r="O1458" s="53" t="str">
        <f t="shared" si="316"/>
        <v/>
      </c>
      <c r="P1458" s="53" t="str">
        <f t="shared" si="317"/>
        <v/>
      </c>
      <c r="Q1458" s="53" t="str">
        <f t="shared" si="318"/>
        <v/>
      </c>
      <c r="R1458" s="53" t="str">
        <f t="shared" si="319"/>
        <v/>
      </c>
      <c r="S1458" s="53" t="str">
        <f t="shared" si="320"/>
        <v/>
      </c>
      <c r="T1458" s="53" t="str">
        <f t="shared" si="321"/>
        <v/>
      </c>
    </row>
    <row r="1459" spans="1:20">
      <c r="A1459" s="47" t="str">
        <f>IF(archive!E1459="","",archive!E1459)</f>
        <v/>
      </c>
      <c r="B1459" s="48" t="str">
        <f t="shared" si="308"/>
        <v/>
      </c>
      <c r="C1459" s="49" t="str">
        <f>IF(archive!F1459="","",archive!F1459)</f>
        <v/>
      </c>
      <c r="D1459" s="50" t="str">
        <f t="shared" si="309"/>
        <v/>
      </c>
      <c r="E1459" s="50" t="str">
        <f t="shared" si="310"/>
        <v/>
      </c>
      <c r="F1459" s="47" t="str">
        <f>IF(COUNTA(archive!H1459:CI1459)=0,"",COUNTA(archive!H1459:CI1459))</f>
        <v/>
      </c>
      <c r="G1459" s="47" t="str">
        <f>IF(archive!G1459="","",archive!G1459)</f>
        <v/>
      </c>
      <c r="H1459" s="51" t="str">
        <f>IF(archive!CJ1459="","",archive!CJ1459)</f>
        <v/>
      </c>
      <c r="I1459" s="51" t="str">
        <f>IF(archive!CK1459="","",archive!CK1459)</f>
        <v/>
      </c>
      <c r="J1459" s="47" t="str">
        <f t="shared" si="311"/>
        <v/>
      </c>
      <c r="K1459" s="51" t="str">
        <f t="shared" si="312"/>
        <v/>
      </c>
      <c r="L1459" s="52" t="str">
        <f t="shared" si="313"/>
        <v/>
      </c>
      <c r="M1459" s="53" t="str">
        <f t="shared" si="314"/>
        <v/>
      </c>
      <c r="N1459" s="53" t="str">
        <f t="shared" si="315"/>
        <v/>
      </c>
      <c r="O1459" s="53" t="str">
        <f t="shared" si="316"/>
        <v/>
      </c>
      <c r="P1459" s="53" t="str">
        <f t="shared" si="317"/>
        <v/>
      </c>
      <c r="Q1459" s="53" t="str">
        <f t="shared" si="318"/>
        <v/>
      </c>
      <c r="R1459" s="53" t="str">
        <f t="shared" si="319"/>
        <v/>
      </c>
      <c r="S1459" s="53" t="str">
        <f t="shared" si="320"/>
        <v/>
      </c>
      <c r="T1459" s="53" t="str">
        <f t="shared" si="321"/>
        <v/>
      </c>
    </row>
    <row r="1460" spans="1:20">
      <c r="A1460" s="47" t="str">
        <f>IF(archive!E1460="","",archive!E1460)</f>
        <v/>
      </c>
      <c r="B1460" s="48" t="str">
        <f t="shared" si="308"/>
        <v/>
      </c>
      <c r="C1460" s="49" t="str">
        <f>IF(archive!F1460="","",archive!F1460)</f>
        <v/>
      </c>
      <c r="D1460" s="50" t="str">
        <f t="shared" si="309"/>
        <v/>
      </c>
      <c r="E1460" s="50" t="str">
        <f t="shared" si="310"/>
        <v/>
      </c>
      <c r="F1460" s="47" t="str">
        <f>IF(COUNTA(archive!H1460:CI1460)=0,"",COUNTA(archive!H1460:CI1460))</f>
        <v/>
      </c>
      <c r="G1460" s="47" t="str">
        <f>IF(archive!G1460="","",archive!G1460)</f>
        <v/>
      </c>
      <c r="H1460" s="51" t="str">
        <f>IF(archive!CJ1460="","",archive!CJ1460)</f>
        <v/>
      </c>
      <c r="I1460" s="51" t="str">
        <f>IF(archive!CK1460="","",archive!CK1460)</f>
        <v/>
      </c>
      <c r="J1460" s="47" t="str">
        <f t="shared" si="311"/>
        <v/>
      </c>
      <c r="K1460" s="51" t="str">
        <f t="shared" si="312"/>
        <v/>
      </c>
      <c r="L1460" s="52" t="str">
        <f t="shared" si="313"/>
        <v/>
      </c>
      <c r="M1460" s="53" t="str">
        <f t="shared" si="314"/>
        <v/>
      </c>
      <c r="N1460" s="53" t="str">
        <f t="shared" si="315"/>
        <v/>
      </c>
      <c r="O1460" s="53" t="str">
        <f t="shared" si="316"/>
        <v/>
      </c>
      <c r="P1460" s="53" t="str">
        <f t="shared" si="317"/>
        <v/>
      </c>
      <c r="Q1460" s="53" t="str">
        <f t="shared" si="318"/>
        <v/>
      </c>
      <c r="R1460" s="53" t="str">
        <f t="shared" si="319"/>
        <v/>
      </c>
      <c r="S1460" s="53" t="str">
        <f t="shared" si="320"/>
        <v/>
      </c>
      <c r="T1460" s="53" t="str">
        <f t="shared" si="321"/>
        <v/>
      </c>
    </row>
    <row r="1461" spans="1:20">
      <c r="A1461" s="47" t="str">
        <f>IF(archive!E1461="","",archive!E1461)</f>
        <v/>
      </c>
      <c r="B1461" s="48" t="str">
        <f t="shared" si="308"/>
        <v/>
      </c>
      <c r="C1461" s="49" t="str">
        <f>IF(archive!F1461="","",archive!F1461)</f>
        <v/>
      </c>
      <c r="D1461" s="50" t="str">
        <f t="shared" si="309"/>
        <v/>
      </c>
      <c r="E1461" s="50" t="str">
        <f t="shared" si="310"/>
        <v/>
      </c>
      <c r="F1461" s="47" t="str">
        <f>IF(COUNTA(archive!H1461:CI1461)=0,"",COUNTA(archive!H1461:CI1461))</f>
        <v/>
      </c>
      <c r="G1461" s="47" t="str">
        <f>IF(archive!G1461="","",archive!G1461)</f>
        <v/>
      </c>
      <c r="H1461" s="51" t="str">
        <f>IF(archive!CJ1461="","",archive!CJ1461)</f>
        <v/>
      </c>
      <c r="I1461" s="51" t="str">
        <f>IF(archive!CK1461="","",archive!CK1461)</f>
        <v/>
      </c>
      <c r="J1461" s="47" t="str">
        <f t="shared" si="311"/>
        <v/>
      </c>
      <c r="K1461" s="51" t="str">
        <f t="shared" si="312"/>
        <v/>
      </c>
      <c r="L1461" s="52" t="str">
        <f t="shared" si="313"/>
        <v/>
      </c>
      <c r="M1461" s="53" t="str">
        <f t="shared" si="314"/>
        <v/>
      </c>
      <c r="N1461" s="53" t="str">
        <f t="shared" si="315"/>
        <v/>
      </c>
      <c r="O1461" s="53" t="str">
        <f t="shared" si="316"/>
        <v/>
      </c>
      <c r="P1461" s="53" t="str">
        <f t="shared" si="317"/>
        <v/>
      </c>
      <c r="Q1461" s="53" t="str">
        <f t="shared" si="318"/>
        <v/>
      </c>
      <c r="R1461" s="53" t="str">
        <f t="shared" si="319"/>
        <v/>
      </c>
      <c r="S1461" s="53" t="str">
        <f t="shared" si="320"/>
        <v/>
      </c>
      <c r="T1461" s="53" t="str">
        <f t="shared" si="321"/>
        <v/>
      </c>
    </row>
    <row r="1462" spans="1:20">
      <c r="A1462" s="47" t="str">
        <f>IF(archive!E1462="","",archive!E1462)</f>
        <v/>
      </c>
      <c r="B1462" s="48" t="str">
        <f t="shared" si="308"/>
        <v/>
      </c>
      <c r="C1462" s="49" t="str">
        <f>IF(archive!F1462="","",archive!F1462)</f>
        <v/>
      </c>
      <c r="D1462" s="50" t="str">
        <f t="shared" si="309"/>
        <v/>
      </c>
      <c r="E1462" s="50" t="str">
        <f t="shared" si="310"/>
        <v/>
      </c>
      <c r="F1462" s="47" t="str">
        <f>IF(COUNTA(archive!H1462:CI1462)=0,"",COUNTA(archive!H1462:CI1462))</f>
        <v/>
      </c>
      <c r="G1462" s="47" t="str">
        <f>IF(archive!G1462="","",archive!G1462)</f>
        <v/>
      </c>
      <c r="H1462" s="51" t="str">
        <f>IF(archive!CJ1462="","",archive!CJ1462)</f>
        <v/>
      </c>
      <c r="I1462" s="51" t="str">
        <f>IF(archive!CK1462="","",archive!CK1462)</f>
        <v/>
      </c>
      <c r="J1462" s="47" t="str">
        <f t="shared" si="311"/>
        <v/>
      </c>
      <c r="K1462" s="51" t="str">
        <f t="shared" si="312"/>
        <v/>
      </c>
      <c r="L1462" s="52" t="str">
        <f t="shared" si="313"/>
        <v/>
      </c>
      <c r="M1462" s="53" t="str">
        <f t="shared" si="314"/>
        <v/>
      </c>
      <c r="N1462" s="53" t="str">
        <f t="shared" si="315"/>
        <v/>
      </c>
      <c r="O1462" s="53" t="str">
        <f t="shared" si="316"/>
        <v/>
      </c>
      <c r="P1462" s="53" t="str">
        <f t="shared" si="317"/>
        <v/>
      </c>
      <c r="Q1462" s="53" t="str">
        <f t="shared" si="318"/>
        <v/>
      </c>
      <c r="R1462" s="53" t="str">
        <f t="shared" si="319"/>
        <v/>
      </c>
      <c r="S1462" s="53" t="str">
        <f t="shared" si="320"/>
        <v/>
      </c>
      <c r="T1462" s="53" t="str">
        <f t="shared" si="321"/>
        <v/>
      </c>
    </row>
    <row r="1463" spans="1:20">
      <c r="A1463" s="47" t="str">
        <f>IF(archive!E1463="","",archive!E1463)</f>
        <v/>
      </c>
      <c r="B1463" s="48" t="str">
        <f t="shared" si="308"/>
        <v/>
      </c>
      <c r="C1463" s="49" t="str">
        <f>IF(archive!F1463="","",archive!F1463)</f>
        <v/>
      </c>
      <c r="D1463" s="50" t="str">
        <f t="shared" si="309"/>
        <v/>
      </c>
      <c r="E1463" s="50" t="str">
        <f t="shared" si="310"/>
        <v/>
      </c>
      <c r="F1463" s="47" t="str">
        <f>IF(COUNTA(archive!H1463:CI1463)=0,"",COUNTA(archive!H1463:CI1463))</f>
        <v/>
      </c>
      <c r="G1463" s="47" t="str">
        <f>IF(archive!G1463="","",archive!G1463)</f>
        <v/>
      </c>
      <c r="H1463" s="51" t="str">
        <f>IF(archive!CJ1463="","",archive!CJ1463)</f>
        <v/>
      </c>
      <c r="I1463" s="51" t="str">
        <f>IF(archive!CK1463="","",archive!CK1463)</f>
        <v/>
      </c>
      <c r="J1463" s="47" t="str">
        <f t="shared" si="311"/>
        <v/>
      </c>
      <c r="K1463" s="51" t="str">
        <f t="shared" si="312"/>
        <v/>
      </c>
      <c r="L1463" s="52" t="str">
        <f t="shared" si="313"/>
        <v/>
      </c>
      <c r="M1463" s="53" t="str">
        <f t="shared" si="314"/>
        <v/>
      </c>
      <c r="N1463" s="53" t="str">
        <f t="shared" si="315"/>
        <v/>
      </c>
      <c r="O1463" s="53" t="str">
        <f t="shared" si="316"/>
        <v/>
      </c>
      <c r="P1463" s="53" t="str">
        <f t="shared" si="317"/>
        <v/>
      </c>
      <c r="Q1463" s="53" t="str">
        <f t="shared" si="318"/>
        <v/>
      </c>
      <c r="R1463" s="53" t="str">
        <f t="shared" si="319"/>
        <v/>
      </c>
      <c r="S1463" s="53" t="str">
        <f t="shared" si="320"/>
        <v/>
      </c>
      <c r="T1463" s="53" t="str">
        <f t="shared" si="321"/>
        <v/>
      </c>
    </row>
    <row r="1464" spans="1:20">
      <c r="A1464" s="47" t="str">
        <f>IF(archive!E1464="","",archive!E1464)</f>
        <v/>
      </c>
      <c r="B1464" s="48" t="str">
        <f t="shared" si="308"/>
        <v/>
      </c>
      <c r="C1464" s="49" t="str">
        <f>IF(archive!F1464="","",archive!F1464)</f>
        <v/>
      </c>
      <c r="D1464" s="50" t="str">
        <f t="shared" si="309"/>
        <v/>
      </c>
      <c r="E1464" s="50" t="str">
        <f t="shared" si="310"/>
        <v/>
      </c>
      <c r="F1464" s="47" t="str">
        <f>IF(COUNTA(archive!H1464:CI1464)=0,"",COUNTA(archive!H1464:CI1464))</f>
        <v/>
      </c>
      <c r="G1464" s="47" t="str">
        <f>IF(archive!G1464="","",archive!G1464)</f>
        <v/>
      </c>
      <c r="H1464" s="51" t="str">
        <f>IF(archive!CJ1464="","",archive!CJ1464)</f>
        <v/>
      </c>
      <c r="I1464" s="51" t="str">
        <f>IF(archive!CK1464="","",archive!CK1464)</f>
        <v/>
      </c>
      <c r="J1464" s="47" t="str">
        <f t="shared" si="311"/>
        <v/>
      </c>
      <c r="K1464" s="51" t="str">
        <f t="shared" si="312"/>
        <v/>
      </c>
      <c r="L1464" s="52" t="str">
        <f t="shared" si="313"/>
        <v/>
      </c>
      <c r="M1464" s="53" t="str">
        <f t="shared" si="314"/>
        <v/>
      </c>
      <c r="N1464" s="53" t="str">
        <f t="shared" si="315"/>
        <v/>
      </c>
      <c r="O1464" s="53" t="str">
        <f t="shared" si="316"/>
        <v/>
      </c>
      <c r="P1464" s="53" t="str">
        <f t="shared" si="317"/>
        <v/>
      </c>
      <c r="Q1464" s="53" t="str">
        <f t="shared" si="318"/>
        <v/>
      </c>
      <c r="R1464" s="53" t="str">
        <f t="shared" si="319"/>
        <v/>
      </c>
      <c r="S1464" s="53" t="str">
        <f t="shared" si="320"/>
        <v/>
      </c>
      <c r="T1464" s="53" t="str">
        <f t="shared" si="321"/>
        <v/>
      </c>
    </row>
    <row r="1465" spans="1:20">
      <c r="A1465" s="47" t="str">
        <f>IF(archive!E1465="","",archive!E1465)</f>
        <v/>
      </c>
      <c r="B1465" s="48" t="str">
        <f t="shared" si="308"/>
        <v/>
      </c>
      <c r="C1465" s="49" t="str">
        <f>IF(archive!F1465="","",archive!F1465)</f>
        <v/>
      </c>
      <c r="D1465" s="50" t="str">
        <f t="shared" si="309"/>
        <v/>
      </c>
      <c r="E1465" s="50" t="str">
        <f t="shared" si="310"/>
        <v/>
      </c>
      <c r="F1465" s="47" t="str">
        <f>IF(COUNTA(archive!H1465:CI1465)=0,"",COUNTA(archive!H1465:CI1465))</f>
        <v/>
      </c>
      <c r="G1465" s="47" t="str">
        <f>IF(archive!G1465="","",archive!G1465)</f>
        <v/>
      </c>
      <c r="H1465" s="51" t="str">
        <f>IF(archive!CJ1465="","",archive!CJ1465)</f>
        <v/>
      </c>
      <c r="I1465" s="51" t="str">
        <f>IF(archive!CK1465="","",archive!CK1465)</f>
        <v/>
      </c>
      <c r="J1465" s="47" t="str">
        <f t="shared" si="311"/>
        <v/>
      </c>
      <c r="K1465" s="51" t="str">
        <f t="shared" si="312"/>
        <v/>
      </c>
      <c r="L1465" s="52" t="str">
        <f t="shared" si="313"/>
        <v/>
      </c>
      <c r="M1465" s="53" t="str">
        <f t="shared" si="314"/>
        <v/>
      </c>
      <c r="N1465" s="53" t="str">
        <f t="shared" si="315"/>
        <v/>
      </c>
      <c r="O1465" s="53" t="str">
        <f t="shared" si="316"/>
        <v/>
      </c>
      <c r="P1465" s="53" t="str">
        <f t="shared" si="317"/>
        <v/>
      </c>
      <c r="Q1465" s="53" t="str">
        <f t="shared" si="318"/>
        <v/>
      </c>
      <c r="R1465" s="53" t="str">
        <f t="shared" si="319"/>
        <v/>
      </c>
      <c r="S1465" s="53" t="str">
        <f t="shared" si="320"/>
        <v/>
      </c>
      <c r="T1465" s="53" t="str">
        <f t="shared" si="321"/>
        <v/>
      </c>
    </row>
    <row r="1466" spans="1:20">
      <c r="A1466" s="47" t="str">
        <f>IF(archive!E1466="","",archive!E1466)</f>
        <v/>
      </c>
      <c r="B1466" s="48" t="str">
        <f t="shared" si="308"/>
        <v/>
      </c>
      <c r="C1466" s="49" t="str">
        <f>IF(archive!F1466="","",archive!F1466)</f>
        <v/>
      </c>
      <c r="D1466" s="50" t="str">
        <f t="shared" si="309"/>
        <v/>
      </c>
      <c r="E1466" s="50" t="str">
        <f t="shared" si="310"/>
        <v/>
      </c>
      <c r="F1466" s="47" t="str">
        <f>IF(COUNTA(archive!H1466:CI1466)=0,"",COUNTA(archive!H1466:CI1466))</f>
        <v/>
      </c>
      <c r="G1466" s="47" t="str">
        <f>IF(archive!G1466="","",archive!G1466)</f>
        <v/>
      </c>
      <c r="H1466" s="51" t="str">
        <f>IF(archive!CJ1466="","",archive!CJ1466)</f>
        <v/>
      </c>
      <c r="I1466" s="51" t="str">
        <f>IF(archive!CK1466="","",archive!CK1466)</f>
        <v/>
      </c>
      <c r="J1466" s="47" t="str">
        <f t="shared" si="311"/>
        <v/>
      </c>
      <c r="K1466" s="51" t="str">
        <f t="shared" si="312"/>
        <v/>
      </c>
      <c r="L1466" s="52" t="str">
        <f t="shared" si="313"/>
        <v/>
      </c>
      <c r="M1466" s="53" t="str">
        <f t="shared" si="314"/>
        <v/>
      </c>
      <c r="N1466" s="53" t="str">
        <f t="shared" si="315"/>
        <v/>
      </c>
      <c r="O1466" s="53" t="str">
        <f t="shared" si="316"/>
        <v/>
      </c>
      <c r="P1466" s="53" t="str">
        <f t="shared" si="317"/>
        <v/>
      </c>
      <c r="Q1466" s="53" t="str">
        <f t="shared" si="318"/>
        <v/>
      </c>
      <c r="R1466" s="53" t="str">
        <f t="shared" si="319"/>
        <v/>
      </c>
      <c r="S1466" s="53" t="str">
        <f t="shared" si="320"/>
        <v/>
      </c>
      <c r="T1466" s="53" t="str">
        <f t="shared" si="321"/>
        <v/>
      </c>
    </row>
    <row r="1467" spans="1:20">
      <c r="A1467" s="47" t="str">
        <f>IF(archive!E1467="","",archive!E1467)</f>
        <v/>
      </c>
      <c r="B1467" s="48" t="str">
        <f t="shared" si="308"/>
        <v/>
      </c>
      <c r="C1467" s="49" t="str">
        <f>IF(archive!F1467="","",archive!F1467)</f>
        <v/>
      </c>
      <c r="D1467" s="50" t="str">
        <f t="shared" si="309"/>
        <v/>
      </c>
      <c r="E1467" s="50" t="str">
        <f t="shared" si="310"/>
        <v/>
      </c>
      <c r="F1467" s="47" t="str">
        <f>IF(COUNTA(archive!H1467:CI1467)=0,"",COUNTA(archive!H1467:CI1467))</f>
        <v/>
      </c>
      <c r="G1467" s="47" t="str">
        <f>IF(archive!G1467="","",archive!G1467)</f>
        <v/>
      </c>
      <c r="H1467" s="51" t="str">
        <f>IF(archive!CJ1467="","",archive!CJ1467)</f>
        <v/>
      </c>
      <c r="I1467" s="51" t="str">
        <f>IF(archive!CK1467="","",archive!CK1467)</f>
        <v/>
      </c>
      <c r="J1467" s="47" t="str">
        <f t="shared" si="311"/>
        <v/>
      </c>
      <c r="K1467" s="51" t="str">
        <f t="shared" si="312"/>
        <v/>
      </c>
      <c r="L1467" s="52" t="str">
        <f t="shared" si="313"/>
        <v/>
      </c>
      <c r="M1467" s="53" t="str">
        <f t="shared" si="314"/>
        <v/>
      </c>
      <c r="N1467" s="53" t="str">
        <f t="shared" si="315"/>
        <v/>
      </c>
      <c r="O1467" s="53" t="str">
        <f t="shared" si="316"/>
        <v/>
      </c>
      <c r="P1467" s="53" t="str">
        <f t="shared" si="317"/>
        <v/>
      </c>
      <c r="Q1467" s="53" t="str">
        <f t="shared" si="318"/>
        <v/>
      </c>
      <c r="R1467" s="53" t="str">
        <f t="shared" si="319"/>
        <v/>
      </c>
      <c r="S1467" s="53" t="str">
        <f t="shared" si="320"/>
        <v/>
      </c>
      <c r="T1467" s="53" t="str">
        <f t="shared" si="321"/>
        <v/>
      </c>
    </row>
    <row r="1468" spans="1:20">
      <c r="A1468" s="47" t="str">
        <f>IF(archive!E1468="","",archive!E1468)</f>
        <v/>
      </c>
      <c r="B1468" s="48" t="str">
        <f t="shared" si="308"/>
        <v/>
      </c>
      <c r="C1468" s="49" t="str">
        <f>IF(archive!F1468="","",archive!F1468)</f>
        <v/>
      </c>
      <c r="D1468" s="50" t="str">
        <f t="shared" si="309"/>
        <v/>
      </c>
      <c r="E1468" s="50" t="str">
        <f t="shared" si="310"/>
        <v/>
      </c>
      <c r="F1468" s="47" t="str">
        <f>IF(COUNTA(archive!H1468:CI1468)=0,"",COUNTA(archive!H1468:CI1468))</f>
        <v/>
      </c>
      <c r="G1468" s="47" t="str">
        <f>IF(archive!G1468="","",archive!G1468)</f>
        <v/>
      </c>
      <c r="H1468" s="51" t="str">
        <f>IF(archive!CJ1468="","",archive!CJ1468)</f>
        <v/>
      </c>
      <c r="I1468" s="51" t="str">
        <f>IF(archive!CK1468="","",archive!CK1468)</f>
        <v/>
      </c>
      <c r="J1468" s="47" t="str">
        <f t="shared" si="311"/>
        <v/>
      </c>
      <c r="K1468" s="51" t="str">
        <f t="shared" si="312"/>
        <v/>
      </c>
      <c r="L1468" s="52" t="str">
        <f t="shared" si="313"/>
        <v/>
      </c>
      <c r="M1468" s="53" t="str">
        <f t="shared" si="314"/>
        <v/>
      </c>
      <c r="N1468" s="53" t="str">
        <f t="shared" si="315"/>
        <v/>
      </c>
      <c r="O1468" s="53" t="str">
        <f t="shared" si="316"/>
        <v/>
      </c>
      <c r="P1468" s="53" t="str">
        <f t="shared" si="317"/>
        <v/>
      </c>
      <c r="Q1468" s="53" t="str">
        <f t="shared" si="318"/>
        <v/>
      </c>
      <c r="R1468" s="53" t="str">
        <f t="shared" si="319"/>
        <v/>
      </c>
      <c r="S1468" s="53" t="str">
        <f t="shared" si="320"/>
        <v/>
      </c>
      <c r="T1468" s="53" t="str">
        <f t="shared" si="321"/>
        <v/>
      </c>
    </row>
    <row r="1469" spans="1:20">
      <c r="A1469" s="47" t="str">
        <f>IF(archive!E1469="","",archive!E1469)</f>
        <v/>
      </c>
      <c r="B1469" s="48" t="str">
        <f t="shared" si="308"/>
        <v/>
      </c>
      <c r="C1469" s="49" t="str">
        <f>IF(archive!F1469="","",archive!F1469)</f>
        <v/>
      </c>
      <c r="D1469" s="50" t="str">
        <f t="shared" si="309"/>
        <v/>
      </c>
      <c r="E1469" s="50" t="str">
        <f t="shared" si="310"/>
        <v/>
      </c>
      <c r="F1469" s="47" t="str">
        <f>IF(COUNTA(archive!H1469:CI1469)=0,"",COUNTA(archive!H1469:CI1469))</f>
        <v/>
      </c>
      <c r="G1469" s="47" t="str">
        <f>IF(archive!G1469="","",archive!G1469)</f>
        <v/>
      </c>
      <c r="H1469" s="51" t="str">
        <f>IF(archive!CJ1469="","",archive!CJ1469)</f>
        <v/>
      </c>
      <c r="I1469" s="51" t="str">
        <f>IF(archive!CK1469="","",archive!CK1469)</f>
        <v/>
      </c>
      <c r="J1469" s="47" t="str">
        <f t="shared" si="311"/>
        <v/>
      </c>
      <c r="K1469" s="51" t="str">
        <f t="shared" si="312"/>
        <v/>
      </c>
      <c r="L1469" s="52" t="str">
        <f t="shared" si="313"/>
        <v/>
      </c>
      <c r="M1469" s="53" t="str">
        <f t="shared" si="314"/>
        <v/>
      </c>
      <c r="N1469" s="53" t="str">
        <f t="shared" si="315"/>
        <v/>
      </c>
      <c r="O1469" s="53" t="str">
        <f t="shared" si="316"/>
        <v/>
      </c>
      <c r="P1469" s="53" t="str">
        <f t="shared" si="317"/>
        <v/>
      </c>
      <c r="Q1469" s="53" t="str">
        <f t="shared" si="318"/>
        <v/>
      </c>
      <c r="R1469" s="53" t="str">
        <f t="shared" si="319"/>
        <v/>
      </c>
      <c r="S1469" s="53" t="str">
        <f t="shared" si="320"/>
        <v/>
      </c>
      <c r="T1469" s="53" t="str">
        <f t="shared" si="321"/>
        <v/>
      </c>
    </row>
    <row r="1470" spans="1:20">
      <c r="A1470" s="47" t="str">
        <f>IF(archive!E1470="","",archive!E1470)</f>
        <v/>
      </c>
      <c r="B1470" s="48" t="str">
        <f t="shared" si="308"/>
        <v/>
      </c>
      <c r="C1470" s="49" t="str">
        <f>IF(archive!F1470="","",archive!F1470)</f>
        <v/>
      </c>
      <c r="D1470" s="50" t="str">
        <f t="shared" si="309"/>
        <v/>
      </c>
      <c r="E1470" s="50" t="str">
        <f t="shared" si="310"/>
        <v/>
      </c>
      <c r="F1470" s="47" t="str">
        <f>IF(COUNTA(archive!H1470:CI1470)=0,"",COUNTA(archive!H1470:CI1470))</f>
        <v/>
      </c>
      <c r="G1470" s="47" t="str">
        <f>IF(archive!G1470="","",archive!G1470)</f>
        <v/>
      </c>
      <c r="H1470" s="51" t="str">
        <f>IF(archive!CJ1470="","",archive!CJ1470)</f>
        <v/>
      </c>
      <c r="I1470" s="51" t="str">
        <f>IF(archive!CK1470="","",archive!CK1470)</f>
        <v/>
      </c>
      <c r="J1470" s="47" t="str">
        <f t="shared" si="311"/>
        <v/>
      </c>
      <c r="K1470" s="51" t="str">
        <f t="shared" si="312"/>
        <v/>
      </c>
      <c r="L1470" s="52" t="str">
        <f t="shared" si="313"/>
        <v/>
      </c>
      <c r="M1470" s="53" t="str">
        <f t="shared" si="314"/>
        <v/>
      </c>
      <c r="N1470" s="53" t="str">
        <f t="shared" si="315"/>
        <v/>
      </c>
      <c r="O1470" s="53" t="str">
        <f t="shared" si="316"/>
        <v/>
      </c>
      <c r="P1470" s="53" t="str">
        <f t="shared" si="317"/>
        <v/>
      </c>
      <c r="Q1470" s="53" t="str">
        <f t="shared" si="318"/>
        <v/>
      </c>
      <c r="R1470" s="53" t="str">
        <f t="shared" si="319"/>
        <v/>
      </c>
      <c r="S1470" s="53" t="str">
        <f t="shared" si="320"/>
        <v/>
      </c>
      <c r="T1470" s="53" t="str">
        <f t="shared" si="321"/>
        <v/>
      </c>
    </row>
    <row r="1471" spans="1:20">
      <c r="A1471" s="47" t="str">
        <f>IF(archive!E1471="","",archive!E1471)</f>
        <v/>
      </c>
      <c r="B1471" s="48" t="str">
        <f t="shared" si="308"/>
        <v/>
      </c>
      <c r="C1471" s="49" t="str">
        <f>IF(archive!F1471="","",archive!F1471)</f>
        <v/>
      </c>
      <c r="D1471" s="50" t="str">
        <f t="shared" si="309"/>
        <v/>
      </c>
      <c r="E1471" s="50" t="str">
        <f t="shared" si="310"/>
        <v/>
      </c>
      <c r="F1471" s="47" t="str">
        <f>IF(COUNTA(archive!H1471:CI1471)=0,"",COUNTA(archive!H1471:CI1471))</f>
        <v/>
      </c>
      <c r="G1471" s="47" t="str">
        <f>IF(archive!G1471="","",archive!G1471)</f>
        <v/>
      </c>
      <c r="H1471" s="51" t="str">
        <f>IF(archive!CJ1471="","",archive!CJ1471)</f>
        <v/>
      </c>
      <c r="I1471" s="51" t="str">
        <f>IF(archive!CK1471="","",archive!CK1471)</f>
        <v/>
      </c>
      <c r="J1471" s="47" t="str">
        <f t="shared" si="311"/>
        <v/>
      </c>
      <c r="K1471" s="51" t="str">
        <f t="shared" si="312"/>
        <v/>
      </c>
      <c r="L1471" s="52" t="str">
        <f t="shared" si="313"/>
        <v/>
      </c>
      <c r="M1471" s="53" t="str">
        <f t="shared" si="314"/>
        <v/>
      </c>
      <c r="N1471" s="53" t="str">
        <f t="shared" si="315"/>
        <v/>
      </c>
      <c r="O1471" s="53" t="str">
        <f t="shared" si="316"/>
        <v/>
      </c>
      <c r="P1471" s="53" t="str">
        <f t="shared" si="317"/>
        <v/>
      </c>
      <c r="Q1471" s="53" t="str">
        <f t="shared" si="318"/>
        <v/>
      </c>
      <c r="R1471" s="53" t="str">
        <f t="shared" si="319"/>
        <v/>
      </c>
      <c r="S1471" s="53" t="str">
        <f t="shared" si="320"/>
        <v/>
      </c>
      <c r="T1471" s="53" t="str">
        <f t="shared" si="321"/>
        <v/>
      </c>
    </row>
    <row r="1472" spans="1:20">
      <c r="A1472" s="47" t="str">
        <f>IF(archive!E1472="","",archive!E1472)</f>
        <v/>
      </c>
      <c r="B1472" s="48" t="str">
        <f t="shared" si="308"/>
        <v/>
      </c>
      <c r="C1472" s="49" t="str">
        <f>IF(archive!F1472="","",archive!F1472)</f>
        <v/>
      </c>
      <c r="D1472" s="50" t="str">
        <f t="shared" si="309"/>
        <v/>
      </c>
      <c r="E1472" s="50" t="str">
        <f t="shared" si="310"/>
        <v/>
      </c>
      <c r="F1472" s="47" t="str">
        <f>IF(COUNTA(archive!H1472:CI1472)=0,"",COUNTA(archive!H1472:CI1472))</f>
        <v/>
      </c>
      <c r="G1472" s="47" t="str">
        <f>IF(archive!G1472="","",archive!G1472)</f>
        <v/>
      </c>
      <c r="H1472" s="51" t="str">
        <f>IF(archive!CJ1472="","",archive!CJ1472)</f>
        <v/>
      </c>
      <c r="I1472" s="51" t="str">
        <f>IF(archive!CK1472="","",archive!CK1472)</f>
        <v/>
      </c>
      <c r="J1472" s="47" t="str">
        <f t="shared" si="311"/>
        <v/>
      </c>
      <c r="K1472" s="51" t="str">
        <f t="shared" si="312"/>
        <v/>
      </c>
      <c r="L1472" s="52" t="str">
        <f t="shared" si="313"/>
        <v/>
      </c>
      <c r="M1472" s="53" t="str">
        <f t="shared" si="314"/>
        <v/>
      </c>
      <c r="N1472" s="53" t="str">
        <f t="shared" si="315"/>
        <v/>
      </c>
      <c r="O1472" s="53" t="str">
        <f t="shared" si="316"/>
        <v/>
      </c>
      <c r="P1472" s="53" t="str">
        <f t="shared" si="317"/>
        <v/>
      </c>
      <c r="Q1472" s="53" t="str">
        <f t="shared" si="318"/>
        <v/>
      </c>
      <c r="R1472" s="53" t="str">
        <f t="shared" si="319"/>
        <v/>
      </c>
      <c r="S1472" s="53" t="str">
        <f t="shared" si="320"/>
        <v/>
      </c>
      <c r="T1472" s="53" t="str">
        <f t="shared" si="321"/>
        <v/>
      </c>
    </row>
    <row r="1473" spans="1:20">
      <c r="A1473" s="47" t="str">
        <f>IF(archive!E1473="","",archive!E1473)</f>
        <v/>
      </c>
      <c r="B1473" s="48" t="str">
        <f t="shared" si="308"/>
        <v/>
      </c>
      <c r="C1473" s="49" t="str">
        <f>IF(archive!F1473="","",archive!F1473)</f>
        <v/>
      </c>
      <c r="D1473" s="50" t="str">
        <f t="shared" si="309"/>
        <v/>
      </c>
      <c r="E1473" s="50" t="str">
        <f t="shared" si="310"/>
        <v/>
      </c>
      <c r="F1473" s="47" t="str">
        <f>IF(COUNTA(archive!H1473:CI1473)=0,"",COUNTA(archive!H1473:CI1473))</f>
        <v/>
      </c>
      <c r="G1473" s="47" t="str">
        <f>IF(archive!G1473="","",archive!G1473)</f>
        <v/>
      </c>
      <c r="H1473" s="51" t="str">
        <f>IF(archive!CJ1473="","",archive!CJ1473)</f>
        <v/>
      </c>
      <c r="I1473" s="51" t="str">
        <f>IF(archive!CK1473="","",archive!CK1473)</f>
        <v/>
      </c>
      <c r="J1473" s="47" t="str">
        <f t="shared" si="311"/>
        <v/>
      </c>
      <c r="K1473" s="51" t="str">
        <f t="shared" si="312"/>
        <v/>
      </c>
      <c r="L1473" s="52" t="str">
        <f t="shared" si="313"/>
        <v/>
      </c>
      <c r="M1473" s="53" t="str">
        <f t="shared" si="314"/>
        <v/>
      </c>
      <c r="N1473" s="53" t="str">
        <f t="shared" si="315"/>
        <v/>
      </c>
      <c r="O1473" s="53" t="str">
        <f t="shared" si="316"/>
        <v/>
      </c>
      <c r="P1473" s="53" t="str">
        <f t="shared" si="317"/>
        <v/>
      </c>
      <c r="Q1473" s="53" t="str">
        <f t="shared" si="318"/>
        <v/>
      </c>
      <c r="R1473" s="53" t="str">
        <f t="shared" si="319"/>
        <v/>
      </c>
      <c r="S1473" s="53" t="str">
        <f t="shared" si="320"/>
        <v/>
      </c>
      <c r="T1473" s="53" t="str">
        <f t="shared" si="321"/>
        <v/>
      </c>
    </row>
    <row r="1474" spans="1:20">
      <c r="A1474" s="47" t="str">
        <f>IF(archive!E1474="","",archive!E1474)</f>
        <v/>
      </c>
      <c r="B1474" s="48" t="str">
        <f t="shared" si="308"/>
        <v/>
      </c>
      <c r="C1474" s="49" t="str">
        <f>IF(archive!F1474="","",archive!F1474)</f>
        <v/>
      </c>
      <c r="D1474" s="50" t="str">
        <f t="shared" si="309"/>
        <v/>
      </c>
      <c r="E1474" s="50" t="str">
        <f t="shared" si="310"/>
        <v/>
      </c>
      <c r="F1474" s="47" t="str">
        <f>IF(COUNTA(archive!H1474:CI1474)=0,"",COUNTA(archive!H1474:CI1474))</f>
        <v/>
      </c>
      <c r="G1474" s="47" t="str">
        <f>IF(archive!G1474="","",archive!G1474)</f>
        <v/>
      </c>
      <c r="H1474" s="51" t="str">
        <f>IF(archive!CJ1474="","",archive!CJ1474)</f>
        <v/>
      </c>
      <c r="I1474" s="51" t="str">
        <f>IF(archive!CK1474="","",archive!CK1474)</f>
        <v/>
      </c>
      <c r="J1474" s="47" t="str">
        <f t="shared" si="311"/>
        <v/>
      </c>
      <c r="K1474" s="51" t="str">
        <f t="shared" si="312"/>
        <v/>
      </c>
      <c r="L1474" s="52" t="str">
        <f t="shared" si="313"/>
        <v/>
      </c>
      <c r="M1474" s="53" t="str">
        <f t="shared" si="314"/>
        <v/>
      </c>
      <c r="N1474" s="53" t="str">
        <f t="shared" si="315"/>
        <v/>
      </c>
      <c r="O1474" s="53" t="str">
        <f t="shared" si="316"/>
        <v/>
      </c>
      <c r="P1474" s="53" t="str">
        <f t="shared" si="317"/>
        <v/>
      </c>
      <c r="Q1474" s="53" t="str">
        <f t="shared" si="318"/>
        <v/>
      </c>
      <c r="R1474" s="53" t="str">
        <f t="shared" si="319"/>
        <v/>
      </c>
      <c r="S1474" s="53" t="str">
        <f t="shared" si="320"/>
        <v/>
      </c>
      <c r="T1474" s="53" t="str">
        <f t="shared" si="321"/>
        <v/>
      </c>
    </row>
    <row r="1475" spans="1:20">
      <c r="A1475" s="47" t="str">
        <f>IF(archive!E1475="","",archive!E1475)</f>
        <v/>
      </c>
      <c r="B1475" s="48" t="str">
        <f t="shared" si="308"/>
        <v/>
      </c>
      <c r="C1475" s="49" t="str">
        <f>IF(archive!F1475="","",archive!F1475)</f>
        <v/>
      </c>
      <c r="D1475" s="50" t="str">
        <f t="shared" si="309"/>
        <v/>
      </c>
      <c r="E1475" s="50" t="str">
        <f t="shared" si="310"/>
        <v/>
      </c>
      <c r="F1475" s="47" t="str">
        <f>IF(COUNTA(archive!H1475:CI1475)=0,"",COUNTA(archive!H1475:CI1475))</f>
        <v/>
      </c>
      <c r="G1475" s="47" t="str">
        <f>IF(archive!G1475="","",archive!G1475)</f>
        <v/>
      </c>
      <c r="H1475" s="51" t="str">
        <f>IF(archive!CJ1475="","",archive!CJ1475)</f>
        <v/>
      </c>
      <c r="I1475" s="51" t="str">
        <f>IF(archive!CK1475="","",archive!CK1475)</f>
        <v/>
      </c>
      <c r="J1475" s="47" t="str">
        <f t="shared" si="311"/>
        <v/>
      </c>
      <c r="K1475" s="51" t="str">
        <f t="shared" si="312"/>
        <v/>
      </c>
      <c r="L1475" s="52" t="str">
        <f t="shared" si="313"/>
        <v/>
      </c>
      <c r="M1475" s="53" t="str">
        <f t="shared" si="314"/>
        <v/>
      </c>
      <c r="N1475" s="53" t="str">
        <f t="shared" si="315"/>
        <v/>
      </c>
      <c r="O1475" s="53" t="str">
        <f t="shared" si="316"/>
        <v/>
      </c>
      <c r="P1475" s="53" t="str">
        <f t="shared" si="317"/>
        <v/>
      </c>
      <c r="Q1475" s="53" t="str">
        <f t="shared" si="318"/>
        <v/>
      </c>
      <c r="R1475" s="53" t="str">
        <f t="shared" si="319"/>
        <v/>
      </c>
      <c r="S1475" s="53" t="str">
        <f t="shared" si="320"/>
        <v/>
      </c>
      <c r="T1475" s="53" t="str">
        <f t="shared" si="321"/>
        <v/>
      </c>
    </row>
    <row r="1476" spans="1:20">
      <c r="A1476" s="47" t="str">
        <f>IF(archive!E1476="","",archive!E1476)</f>
        <v/>
      </c>
      <c r="B1476" s="48" t="str">
        <f t="shared" ref="B1476:B1539" si="322">IF(C1476="","",VLOOKUP($C1476,Tare,2,0))</f>
        <v/>
      </c>
      <c r="C1476" s="49" t="str">
        <f>IF(archive!F1476="","",archive!F1476)</f>
        <v/>
      </c>
      <c r="D1476" s="50" t="str">
        <f t="shared" ref="D1476:D1539" si="323">IF(C1476="","",C1476+B1476)</f>
        <v/>
      </c>
      <c r="E1476" s="50" t="str">
        <f t="shared" ref="E1476:E1539" si="324">IF(C1476="","",(C1476*0.025)+D1476)</f>
        <v/>
      </c>
      <c r="F1476" s="47" t="str">
        <f>IF(COUNTA(archive!H1476:CI1476)=0,"",COUNTA(archive!H1476:CI1476))</f>
        <v/>
      </c>
      <c r="G1476" s="47" t="str">
        <f>IF(archive!G1476="","",archive!G1476)</f>
        <v/>
      </c>
      <c r="H1476" s="51" t="str">
        <f>IF(archive!CJ1476="","",archive!CJ1476)</f>
        <v/>
      </c>
      <c r="I1476" s="51" t="str">
        <f>IF(archive!CK1476="","",archive!CK1476)</f>
        <v/>
      </c>
      <c r="J1476" s="47" t="str">
        <f t="shared" ref="J1476:J1539" si="325">IF(F1476="","",VLOOKUP(F1476,Valeur_g,2,0))</f>
        <v/>
      </c>
      <c r="K1476" s="51" t="str">
        <f t="shared" ref="K1476:K1539" si="326">IF(C1476="","",D1476+(J1476*I1476))</f>
        <v/>
      </c>
      <c r="L1476" s="52" t="str">
        <f t="shared" ref="L1476:L1539" si="327">IF(C1476="","",IF(K1476&lt;H1476,"Conforme","Non conforme"))</f>
        <v/>
      </c>
      <c r="M1476" s="53" t="str">
        <f t="shared" ref="M1476:M1539" si="328">IF(C1476="","",1)</f>
        <v/>
      </c>
      <c r="N1476" s="53" t="str">
        <f t="shared" ref="N1476:N1539" si="329">IF(L1476="","",COUNTIF(L1476,"Non conforme"))</f>
        <v/>
      </c>
      <c r="O1476" s="53" t="str">
        <f t="shared" ref="O1476:O1539" si="330">IF($C1476="","",IF($C1476=0.25,$G1476,"-"))</f>
        <v/>
      </c>
      <c r="P1476" s="53" t="str">
        <f t="shared" ref="P1476:P1539" si="331">IF($C1476="","",IF($C1476=0.4,$G1476,"-"))</f>
        <v/>
      </c>
      <c r="Q1476" s="53" t="str">
        <f t="shared" ref="Q1476:Q1539" si="332">IF($C1476="","",IF($C1476=0.5,$G1476,"-"))</f>
        <v/>
      </c>
      <c r="R1476" s="53" t="str">
        <f t="shared" ref="R1476:R1539" si="333">IF($C1476="","",IF($C1476=0.6,$G1476,"-"))</f>
        <v/>
      </c>
      <c r="S1476" s="53" t="str">
        <f t="shared" ref="S1476:S1539" si="334">IF($C1476="","",IF($C1476=0.8,$G1476,"-"))</f>
        <v/>
      </c>
      <c r="T1476" s="53" t="str">
        <f t="shared" ref="T1476:T1539" si="335">IF($C1476="","",IF($C1476=1,$G1476,"-"))</f>
        <v/>
      </c>
    </row>
    <row r="1477" spans="1:20">
      <c r="A1477" s="47" t="str">
        <f>IF(archive!E1477="","",archive!E1477)</f>
        <v/>
      </c>
      <c r="B1477" s="48" t="str">
        <f t="shared" si="322"/>
        <v/>
      </c>
      <c r="C1477" s="49" t="str">
        <f>IF(archive!F1477="","",archive!F1477)</f>
        <v/>
      </c>
      <c r="D1477" s="50" t="str">
        <f t="shared" si="323"/>
        <v/>
      </c>
      <c r="E1477" s="50" t="str">
        <f t="shared" si="324"/>
        <v/>
      </c>
      <c r="F1477" s="47" t="str">
        <f>IF(COUNTA(archive!H1477:CI1477)=0,"",COUNTA(archive!H1477:CI1477))</f>
        <v/>
      </c>
      <c r="G1477" s="47" t="str">
        <f>IF(archive!G1477="","",archive!G1477)</f>
        <v/>
      </c>
      <c r="H1477" s="51" t="str">
        <f>IF(archive!CJ1477="","",archive!CJ1477)</f>
        <v/>
      </c>
      <c r="I1477" s="51" t="str">
        <f>IF(archive!CK1477="","",archive!CK1477)</f>
        <v/>
      </c>
      <c r="J1477" s="47" t="str">
        <f t="shared" si="325"/>
        <v/>
      </c>
      <c r="K1477" s="51" t="str">
        <f t="shared" si="326"/>
        <v/>
      </c>
      <c r="L1477" s="52" t="str">
        <f t="shared" si="327"/>
        <v/>
      </c>
      <c r="M1477" s="53" t="str">
        <f t="shared" si="328"/>
        <v/>
      </c>
      <c r="N1477" s="53" t="str">
        <f t="shared" si="329"/>
        <v/>
      </c>
      <c r="O1477" s="53" t="str">
        <f t="shared" si="330"/>
        <v/>
      </c>
      <c r="P1477" s="53" t="str">
        <f t="shared" si="331"/>
        <v/>
      </c>
      <c r="Q1477" s="53" t="str">
        <f t="shared" si="332"/>
        <v/>
      </c>
      <c r="R1477" s="53" t="str">
        <f t="shared" si="333"/>
        <v/>
      </c>
      <c r="S1477" s="53" t="str">
        <f t="shared" si="334"/>
        <v/>
      </c>
      <c r="T1477" s="53" t="str">
        <f t="shared" si="335"/>
        <v/>
      </c>
    </row>
    <row r="1478" spans="1:20">
      <c r="A1478" s="47" t="str">
        <f>IF(archive!E1478="","",archive!E1478)</f>
        <v/>
      </c>
      <c r="B1478" s="48" t="str">
        <f t="shared" si="322"/>
        <v/>
      </c>
      <c r="C1478" s="49" t="str">
        <f>IF(archive!F1478="","",archive!F1478)</f>
        <v/>
      </c>
      <c r="D1478" s="50" t="str">
        <f t="shared" si="323"/>
        <v/>
      </c>
      <c r="E1478" s="50" t="str">
        <f t="shared" si="324"/>
        <v/>
      </c>
      <c r="F1478" s="47" t="str">
        <f>IF(COUNTA(archive!H1478:CI1478)=0,"",COUNTA(archive!H1478:CI1478))</f>
        <v/>
      </c>
      <c r="G1478" s="47" t="str">
        <f>IF(archive!G1478="","",archive!G1478)</f>
        <v/>
      </c>
      <c r="H1478" s="51" t="str">
        <f>IF(archive!CJ1478="","",archive!CJ1478)</f>
        <v/>
      </c>
      <c r="I1478" s="51" t="str">
        <f>IF(archive!CK1478="","",archive!CK1478)</f>
        <v/>
      </c>
      <c r="J1478" s="47" t="str">
        <f t="shared" si="325"/>
        <v/>
      </c>
      <c r="K1478" s="51" t="str">
        <f t="shared" si="326"/>
        <v/>
      </c>
      <c r="L1478" s="52" t="str">
        <f t="shared" si="327"/>
        <v/>
      </c>
      <c r="M1478" s="53" t="str">
        <f t="shared" si="328"/>
        <v/>
      </c>
      <c r="N1478" s="53" t="str">
        <f t="shared" si="329"/>
        <v/>
      </c>
      <c r="O1478" s="53" t="str">
        <f t="shared" si="330"/>
        <v/>
      </c>
      <c r="P1478" s="53" t="str">
        <f t="shared" si="331"/>
        <v/>
      </c>
      <c r="Q1478" s="53" t="str">
        <f t="shared" si="332"/>
        <v/>
      </c>
      <c r="R1478" s="53" t="str">
        <f t="shared" si="333"/>
        <v/>
      </c>
      <c r="S1478" s="53" t="str">
        <f t="shared" si="334"/>
        <v/>
      </c>
      <c r="T1478" s="53" t="str">
        <f t="shared" si="335"/>
        <v/>
      </c>
    </row>
    <row r="1479" spans="1:20">
      <c r="A1479" s="47" t="str">
        <f>IF(archive!E1479="","",archive!E1479)</f>
        <v/>
      </c>
      <c r="B1479" s="48" t="str">
        <f t="shared" si="322"/>
        <v/>
      </c>
      <c r="C1479" s="49" t="str">
        <f>IF(archive!F1479="","",archive!F1479)</f>
        <v/>
      </c>
      <c r="D1479" s="50" t="str">
        <f t="shared" si="323"/>
        <v/>
      </c>
      <c r="E1479" s="50" t="str">
        <f t="shared" si="324"/>
        <v/>
      </c>
      <c r="F1479" s="47" t="str">
        <f>IF(COUNTA(archive!H1479:CI1479)=0,"",COUNTA(archive!H1479:CI1479))</f>
        <v/>
      </c>
      <c r="G1479" s="47" t="str">
        <f>IF(archive!G1479="","",archive!G1479)</f>
        <v/>
      </c>
      <c r="H1479" s="51" t="str">
        <f>IF(archive!CJ1479="","",archive!CJ1479)</f>
        <v/>
      </c>
      <c r="I1479" s="51" t="str">
        <f>IF(archive!CK1479="","",archive!CK1479)</f>
        <v/>
      </c>
      <c r="J1479" s="47" t="str">
        <f t="shared" si="325"/>
        <v/>
      </c>
      <c r="K1479" s="51" t="str">
        <f t="shared" si="326"/>
        <v/>
      </c>
      <c r="L1479" s="52" t="str">
        <f t="shared" si="327"/>
        <v/>
      </c>
      <c r="M1479" s="53" t="str">
        <f t="shared" si="328"/>
        <v/>
      </c>
      <c r="N1479" s="53" t="str">
        <f t="shared" si="329"/>
        <v/>
      </c>
      <c r="O1479" s="53" t="str">
        <f t="shared" si="330"/>
        <v/>
      </c>
      <c r="P1479" s="53" t="str">
        <f t="shared" si="331"/>
        <v/>
      </c>
      <c r="Q1479" s="53" t="str">
        <f t="shared" si="332"/>
        <v/>
      </c>
      <c r="R1479" s="53" t="str">
        <f t="shared" si="333"/>
        <v/>
      </c>
      <c r="S1479" s="53" t="str">
        <f t="shared" si="334"/>
        <v/>
      </c>
      <c r="T1479" s="53" t="str">
        <f t="shared" si="335"/>
        <v/>
      </c>
    </row>
    <row r="1480" spans="1:20">
      <c r="A1480" s="47" t="str">
        <f>IF(archive!E1480="","",archive!E1480)</f>
        <v/>
      </c>
      <c r="B1480" s="48" t="str">
        <f t="shared" si="322"/>
        <v/>
      </c>
      <c r="C1480" s="49" t="str">
        <f>IF(archive!F1480="","",archive!F1480)</f>
        <v/>
      </c>
      <c r="D1480" s="50" t="str">
        <f t="shared" si="323"/>
        <v/>
      </c>
      <c r="E1480" s="50" t="str">
        <f t="shared" si="324"/>
        <v/>
      </c>
      <c r="F1480" s="47" t="str">
        <f>IF(COUNTA(archive!H1480:CI1480)=0,"",COUNTA(archive!H1480:CI1480))</f>
        <v/>
      </c>
      <c r="G1480" s="47" t="str">
        <f>IF(archive!G1480="","",archive!G1480)</f>
        <v/>
      </c>
      <c r="H1480" s="51" t="str">
        <f>IF(archive!CJ1480="","",archive!CJ1480)</f>
        <v/>
      </c>
      <c r="I1480" s="51" t="str">
        <f>IF(archive!CK1480="","",archive!CK1480)</f>
        <v/>
      </c>
      <c r="J1480" s="47" t="str">
        <f t="shared" si="325"/>
        <v/>
      </c>
      <c r="K1480" s="51" t="str">
        <f t="shared" si="326"/>
        <v/>
      </c>
      <c r="L1480" s="52" t="str">
        <f t="shared" si="327"/>
        <v/>
      </c>
      <c r="M1480" s="53" t="str">
        <f t="shared" si="328"/>
        <v/>
      </c>
      <c r="N1480" s="53" t="str">
        <f t="shared" si="329"/>
        <v/>
      </c>
      <c r="O1480" s="53" t="str">
        <f t="shared" si="330"/>
        <v/>
      </c>
      <c r="P1480" s="53" t="str">
        <f t="shared" si="331"/>
        <v/>
      </c>
      <c r="Q1480" s="53" t="str">
        <f t="shared" si="332"/>
        <v/>
      </c>
      <c r="R1480" s="53" t="str">
        <f t="shared" si="333"/>
        <v/>
      </c>
      <c r="S1480" s="53" t="str">
        <f t="shared" si="334"/>
        <v/>
      </c>
      <c r="T1480" s="53" t="str">
        <f t="shared" si="335"/>
        <v/>
      </c>
    </row>
    <row r="1481" spans="1:20">
      <c r="A1481" s="47" t="str">
        <f>IF(archive!E1481="","",archive!E1481)</f>
        <v/>
      </c>
      <c r="B1481" s="48" t="str">
        <f t="shared" si="322"/>
        <v/>
      </c>
      <c r="C1481" s="49" t="str">
        <f>IF(archive!F1481="","",archive!F1481)</f>
        <v/>
      </c>
      <c r="D1481" s="50" t="str">
        <f t="shared" si="323"/>
        <v/>
      </c>
      <c r="E1481" s="50" t="str">
        <f t="shared" si="324"/>
        <v/>
      </c>
      <c r="F1481" s="47" t="str">
        <f>IF(COUNTA(archive!H1481:CI1481)=0,"",COUNTA(archive!H1481:CI1481))</f>
        <v/>
      </c>
      <c r="G1481" s="47" t="str">
        <f>IF(archive!G1481="","",archive!G1481)</f>
        <v/>
      </c>
      <c r="H1481" s="51" t="str">
        <f>IF(archive!CJ1481="","",archive!CJ1481)</f>
        <v/>
      </c>
      <c r="I1481" s="51" t="str">
        <f>IF(archive!CK1481="","",archive!CK1481)</f>
        <v/>
      </c>
      <c r="J1481" s="47" t="str">
        <f t="shared" si="325"/>
        <v/>
      </c>
      <c r="K1481" s="51" t="str">
        <f t="shared" si="326"/>
        <v/>
      </c>
      <c r="L1481" s="52" t="str">
        <f t="shared" si="327"/>
        <v/>
      </c>
      <c r="M1481" s="53" t="str">
        <f t="shared" si="328"/>
        <v/>
      </c>
      <c r="N1481" s="53" t="str">
        <f t="shared" si="329"/>
        <v/>
      </c>
      <c r="O1481" s="53" t="str">
        <f t="shared" si="330"/>
        <v/>
      </c>
      <c r="P1481" s="53" t="str">
        <f t="shared" si="331"/>
        <v/>
      </c>
      <c r="Q1481" s="53" t="str">
        <f t="shared" si="332"/>
        <v/>
      </c>
      <c r="R1481" s="53" t="str">
        <f t="shared" si="333"/>
        <v/>
      </c>
      <c r="S1481" s="53" t="str">
        <f t="shared" si="334"/>
        <v/>
      </c>
      <c r="T1481" s="53" t="str">
        <f t="shared" si="335"/>
        <v/>
      </c>
    </row>
    <row r="1482" spans="1:20">
      <c r="A1482" s="47" t="str">
        <f>IF(archive!E1482="","",archive!E1482)</f>
        <v/>
      </c>
      <c r="B1482" s="48" t="str">
        <f t="shared" si="322"/>
        <v/>
      </c>
      <c r="C1482" s="49" t="str">
        <f>IF(archive!F1482="","",archive!F1482)</f>
        <v/>
      </c>
      <c r="D1482" s="50" t="str">
        <f t="shared" si="323"/>
        <v/>
      </c>
      <c r="E1482" s="50" t="str">
        <f t="shared" si="324"/>
        <v/>
      </c>
      <c r="F1482" s="47" t="str">
        <f>IF(COUNTA(archive!H1482:CI1482)=0,"",COUNTA(archive!H1482:CI1482))</f>
        <v/>
      </c>
      <c r="G1482" s="47" t="str">
        <f>IF(archive!G1482="","",archive!G1482)</f>
        <v/>
      </c>
      <c r="H1482" s="51" t="str">
        <f>IF(archive!CJ1482="","",archive!CJ1482)</f>
        <v/>
      </c>
      <c r="I1482" s="51" t="str">
        <f>IF(archive!CK1482="","",archive!CK1482)</f>
        <v/>
      </c>
      <c r="J1482" s="47" t="str">
        <f t="shared" si="325"/>
        <v/>
      </c>
      <c r="K1482" s="51" t="str">
        <f t="shared" si="326"/>
        <v/>
      </c>
      <c r="L1482" s="52" t="str">
        <f t="shared" si="327"/>
        <v/>
      </c>
      <c r="M1482" s="53" t="str">
        <f t="shared" si="328"/>
        <v/>
      </c>
      <c r="N1482" s="53" t="str">
        <f t="shared" si="329"/>
        <v/>
      </c>
      <c r="O1482" s="53" t="str">
        <f t="shared" si="330"/>
        <v/>
      </c>
      <c r="P1482" s="53" t="str">
        <f t="shared" si="331"/>
        <v/>
      </c>
      <c r="Q1482" s="53" t="str">
        <f t="shared" si="332"/>
        <v/>
      </c>
      <c r="R1482" s="53" t="str">
        <f t="shared" si="333"/>
        <v/>
      </c>
      <c r="S1482" s="53" t="str">
        <f t="shared" si="334"/>
        <v/>
      </c>
      <c r="T1482" s="53" t="str">
        <f t="shared" si="335"/>
        <v/>
      </c>
    </row>
    <row r="1483" spans="1:20">
      <c r="A1483" s="47" t="str">
        <f>IF(archive!E1483="","",archive!E1483)</f>
        <v/>
      </c>
      <c r="B1483" s="48" t="str">
        <f t="shared" si="322"/>
        <v/>
      </c>
      <c r="C1483" s="49" t="str">
        <f>IF(archive!F1483="","",archive!F1483)</f>
        <v/>
      </c>
      <c r="D1483" s="50" t="str">
        <f t="shared" si="323"/>
        <v/>
      </c>
      <c r="E1483" s="50" t="str">
        <f t="shared" si="324"/>
        <v/>
      </c>
      <c r="F1483" s="47" t="str">
        <f>IF(COUNTA(archive!H1483:CI1483)=0,"",COUNTA(archive!H1483:CI1483))</f>
        <v/>
      </c>
      <c r="G1483" s="47" t="str">
        <f>IF(archive!G1483="","",archive!G1483)</f>
        <v/>
      </c>
      <c r="H1483" s="51" t="str">
        <f>IF(archive!CJ1483="","",archive!CJ1483)</f>
        <v/>
      </c>
      <c r="I1483" s="51" t="str">
        <f>IF(archive!CK1483="","",archive!CK1483)</f>
        <v/>
      </c>
      <c r="J1483" s="47" t="str">
        <f t="shared" si="325"/>
        <v/>
      </c>
      <c r="K1483" s="51" t="str">
        <f t="shared" si="326"/>
        <v/>
      </c>
      <c r="L1483" s="52" t="str">
        <f t="shared" si="327"/>
        <v/>
      </c>
      <c r="M1483" s="53" t="str">
        <f t="shared" si="328"/>
        <v/>
      </c>
      <c r="N1483" s="53" t="str">
        <f t="shared" si="329"/>
        <v/>
      </c>
      <c r="O1483" s="53" t="str">
        <f t="shared" si="330"/>
        <v/>
      </c>
      <c r="P1483" s="53" t="str">
        <f t="shared" si="331"/>
        <v/>
      </c>
      <c r="Q1483" s="53" t="str">
        <f t="shared" si="332"/>
        <v/>
      </c>
      <c r="R1483" s="53" t="str">
        <f t="shared" si="333"/>
        <v/>
      </c>
      <c r="S1483" s="53" t="str">
        <f t="shared" si="334"/>
        <v/>
      </c>
      <c r="T1483" s="53" t="str">
        <f t="shared" si="335"/>
        <v/>
      </c>
    </row>
    <row r="1484" spans="1:20">
      <c r="A1484" s="47" t="str">
        <f>IF(archive!E1484="","",archive!E1484)</f>
        <v/>
      </c>
      <c r="B1484" s="48" t="str">
        <f t="shared" si="322"/>
        <v/>
      </c>
      <c r="C1484" s="49" t="str">
        <f>IF(archive!F1484="","",archive!F1484)</f>
        <v/>
      </c>
      <c r="D1484" s="50" t="str">
        <f t="shared" si="323"/>
        <v/>
      </c>
      <c r="E1484" s="50" t="str">
        <f t="shared" si="324"/>
        <v/>
      </c>
      <c r="F1484" s="47" t="str">
        <f>IF(COUNTA(archive!H1484:CI1484)=0,"",COUNTA(archive!H1484:CI1484))</f>
        <v/>
      </c>
      <c r="G1484" s="47" t="str">
        <f>IF(archive!G1484="","",archive!G1484)</f>
        <v/>
      </c>
      <c r="H1484" s="51" t="str">
        <f>IF(archive!CJ1484="","",archive!CJ1484)</f>
        <v/>
      </c>
      <c r="I1484" s="51" t="str">
        <f>IF(archive!CK1484="","",archive!CK1484)</f>
        <v/>
      </c>
      <c r="J1484" s="47" t="str">
        <f t="shared" si="325"/>
        <v/>
      </c>
      <c r="K1484" s="51" t="str">
        <f t="shared" si="326"/>
        <v/>
      </c>
      <c r="L1484" s="52" t="str">
        <f t="shared" si="327"/>
        <v/>
      </c>
      <c r="M1484" s="53" t="str">
        <f t="shared" si="328"/>
        <v/>
      </c>
      <c r="N1484" s="53" t="str">
        <f t="shared" si="329"/>
        <v/>
      </c>
      <c r="O1484" s="53" t="str">
        <f t="shared" si="330"/>
        <v/>
      </c>
      <c r="P1484" s="53" t="str">
        <f t="shared" si="331"/>
        <v/>
      </c>
      <c r="Q1484" s="53" t="str">
        <f t="shared" si="332"/>
        <v/>
      </c>
      <c r="R1484" s="53" t="str">
        <f t="shared" si="333"/>
        <v/>
      </c>
      <c r="S1484" s="53" t="str">
        <f t="shared" si="334"/>
        <v/>
      </c>
      <c r="T1484" s="53" t="str">
        <f t="shared" si="335"/>
        <v/>
      </c>
    </row>
    <row r="1485" spans="1:20">
      <c r="A1485" s="47" t="str">
        <f>IF(archive!E1485="","",archive!E1485)</f>
        <v/>
      </c>
      <c r="B1485" s="48" t="str">
        <f t="shared" si="322"/>
        <v/>
      </c>
      <c r="C1485" s="49" t="str">
        <f>IF(archive!F1485="","",archive!F1485)</f>
        <v/>
      </c>
      <c r="D1485" s="50" t="str">
        <f t="shared" si="323"/>
        <v/>
      </c>
      <c r="E1485" s="50" t="str">
        <f t="shared" si="324"/>
        <v/>
      </c>
      <c r="F1485" s="47" t="str">
        <f>IF(COUNTA(archive!H1485:CI1485)=0,"",COUNTA(archive!H1485:CI1485))</f>
        <v/>
      </c>
      <c r="G1485" s="47" t="str">
        <f>IF(archive!G1485="","",archive!G1485)</f>
        <v/>
      </c>
      <c r="H1485" s="51" t="str">
        <f>IF(archive!CJ1485="","",archive!CJ1485)</f>
        <v/>
      </c>
      <c r="I1485" s="51" t="str">
        <f>IF(archive!CK1485="","",archive!CK1485)</f>
        <v/>
      </c>
      <c r="J1485" s="47" t="str">
        <f t="shared" si="325"/>
        <v/>
      </c>
      <c r="K1485" s="51" t="str">
        <f t="shared" si="326"/>
        <v/>
      </c>
      <c r="L1485" s="52" t="str">
        <f t="shared" si="327"/>
        <v/>
      </c>
      <c r="M1485" s="53" t="str">
        <f t="shared" si="328"/>
        <v/>
      </c>
      <c r="N1485" s="53" t="str">
        <f t="shared" si="329"/>
        <v/>
      </c>
      <c r="O1485" s="53" t="str">
        <f t="shared" si="330"/>
        <v/>
      </c>
      <c r="P1485" s="53" t="str">
        <f t="shared" si="331"/>
        <v/>
      </c>
      <c r="Q1485" s="53" t="str">
        <f t="shared" si="332"/>
        <v/>
      </c>
      <c r="R1485" s="53" t="str">
        <f t="shared" si="333"/>
        <v/>
      </c>
      <c r="S1485" s="53" t="str">
        <f t="shared" si="334"/>
        <v/>
      </c>
      <c r="T1485" s="53" t="str">
        <f t="shared" si="335"/>
        <v/>
      </c>
    </row>
    <row r="1486" spans="1:20">
      <c r="A1486" s="47" t="str">
        <f>IF(archive!E1486="","",archive!E1486)</f>
        <v/>
      </c>
      <c r="B1486" s="48" t="str">
        <f t="shared" si="322"/>
        <v/>
      </c>
      <c r="C1486" s="49" t="str">
        <f>IF(archive!F1486="","",archive!F1486)</f>
        <v/>
      </c>
      <c r="D1486" s="50" t="str">
        <f t="shared" si="323"/>
        <v/>
      </c>
      <c r="E1486" s="50" t="str">
        <f t="shared" si="324"/>
        <v/>
      </c>
      <c r="F1486" s="47" t="str">
        <f>IF(COUNTA(archive!H1486:CI1486)=0,"",COUNTA(archive!H1486:CI1486))</f>
        <v/>
      </c>
      <c r="G1486" s="47" t="str">
        <f>IF(archive!G1486="","",archive!G1486)</f>
        <v/>
      </c>
      <c r="H1486" s="51" t="str">
        <f>IF(archive!CJ1486="","",archive!CJ1486)</f>
        <v/>
      </c>
      <c r="I1486" s="51" t="str">
        <f>IF(archive!CK1486="","",archive!CK1486)</f>
        <v/>
      </c>
      <c r="J1486" s="47" t="str">
        <f t="shared" si="325"/>
        <v/>
      </c>
      <c r="K1486" s="51" t="str">
        <f t="shared" si="326"/>
        <v/>
      </c>
      <c r="L1486" s="52" t="str">
        <f t="shared" si="327"/>
        <v/>
      </c>
      <c r="M1486" s="53" t="str">
        <f t="shared" si="328"/>
        <v/>
      </c>
      <c r="N1486" s="53" t="str">
        <f t="shared" si="329"/>
        <v/>
      </c>
      <c r="O1486" s="53" t="str">
        <f t="shared" si="330"/>
        <v/>
      </c>
      <c r="P1486" s="53" t="str">
        <f t="shared" si="331"/>
        <v/>
      </c>
      <c r="Q1486" s="53" t="str">
        <f t="shared" si="332"/>
        <v/>
      </c>
      <c r="R1486" s="53" t="str">
        <f t="shared" si="333"/>
        <v/>
      </c>
      <c r="S1486" s="53" t="str">
        <f t="shared" si="334"/>
        <v/>
      </c>
      <c r="T1486" s="53" t="str">
        <f t="shared" si="335"/>
        <v/>
      </c>
    </row>
    <row r="1487" spans="1:20">
      <c r="A1487" s="47" t="str">
        <f>IF(archive!E1487="","",archive!E1487)</f>
        <v/>
      </c>
      <c r="B1487" s="48" t="str">
        <f t="shared" si="322"/>
        <v/>
      </c>
      <c r="C1487" s="49" t="str">
        <f>IF(archive!F1487="","",archive!F1487)</f>
        <v/>
      </c>
      <c r="D1487" s="50" t="str">
        <f t="shared" si="323"/>
        <v/>
      </c>
      <c r="E1487" s="50" t="str">
        <f t="shared" si="324"/>
        <v/>
      </c>
      <c r="F1487" s="47" t="str">
        <f>IF(COUNTA(archive!H1487:CI1487)=0,"",COUNTA(archive!H1487:CI1487))</f>
        <v/>
      </c>
      <c r="G1487" s="47" t="str">
        <f>IF(archive!G1487="","",archive!G1487)</f>
        <v/>
      </c>
      <c r="H1487" s="51" t="str">
        <f>IF(archive!CJ1487="","",archive!CJ1487)</f>
        <v/>
      </c>
      <c r="I1487" s="51" t="str">
        <f>IF(archive!CK1487="","",archive!CK1487)</f>
        <v/>
      </c>
      <c r="J1487" s="47" t="str">
        <f t="shared" si="325"/>
        <v/>
      </c>
      <c r="K1487" s="51" t="str">
        <f t="shared" si="326"/>
        <v/>
      </c>
      <c r="L1487" s="52" t="str">
        <f t="shared" si="327"/>
        <v/>
      </c>
      <c r="M1487" s="53" t="str">
        <f t="shared" si="328"/>
        <v/>
      </c>
      <c r="N1487" s="53" t="str">
        <f t="shared" si="329"/>
        <v/>
      </c>
      <c r="O1487" s="53" t="str">
        <f t="shared" si="330"/>
        <v/>
      </c>
      <c r="P1487" s="53" t="str">
        <f t="shared" si="331"/>
        <v/>
      </c>
      <c r="Q1487" s="53" t="str">
        <f t="shared" si="332"/>
        <v/>
      </c>
      <c r="R1487" s="53" t="str">
        <f t="shared" si="333"/>
        <v/>
      </c>
      <c r="S1487" s="53" t="str">
        <f t="shared" si="334"/>
        <v/>
      </c>
      <c r="T1487" s="53" t="str">
        <f t="shared" si="335"/>
        <v/>
      </c>
    </row>
    <row r="1488" spans="1:20">
      <c r="A1488" s="47" t="str">
        <f>IF(archive!E1488="","",archive!E1488)</f>
        <v/>
      </c>
      <c r="B1488" s="48" t="str">
        <f t="shared" si="322"/>
        <v/>
      </c>
      <c r="C1488" s="49" t="str">
        <f>IF(archive!F1488="","",archive!F1488)</f>
        <v/>
      </c>
      <c r="D1488" s="50" t="str">
        <f t="shared" si="323"/>
        <v/>
      </c>
      <c r="E1488" s="50" t="str">
        <f t="shared" si="324"/>
        <v/>
      </c>
      <c r="F1488" s="47" t="str">
        <f>IF(COUNTA(archive!H1488:CI1488)=0,"",COUNTA(archive!H1488:CI1488))</f>
        <v/>
      </c>
      <c r="G1488" s="47" t="str">
        <f>IF(archive!G1488="","",archive!G1488)</f>
        <v/>
      </c>
      <c r="H1488" s="51" t="str">
        <f>IF(archive!CJ1488="","",archive!CJ1488)</f>
        <v/>
      </c>
      <c r="I1488" s="51" t="str">
        <f>IF(archive!CK1488="","",archive!CK1488)</f>
        <v/>
      </c>
      <c r="J1488" s="47" t="str">
        <f t="shared" si="325"/>
        <v/>
      </c>
      <c r="K1488" s="51" t="str">
        <f t="shared" si="326"/>
        <v/>
      </c>
      <c r="L1488" s="52" t="str">
        <f t="shared" si="327"/>
        <v/>
      </c>
      <c r="M1488" s="53" t="str">
        <f t="shared" si="328"/>
        <v/>
      </c>
      <c r="N1488" s="53" t="str">
        <f t="shared" si="329"/>
        <v/>
      </c>
      <c r="O1488" s="53" t="str">
        <f t="shared" si="330"/>
        <v/>
      </c>
      <c r="P1488" s="53" t="str">
        <f t="shared" si="331"/>
        <v/>
      </c>
      <c r="Q1488" s="53" t="str">
        <f t="shared" si="332"/>
        <v/>
      </c>
      <c r="R1488" s="53" t="str">
        <f t="shared" si="333"/>
        <v/>
      </c>
      <c r="S1488" s="53" t="str">
        <f t="shared" si="334"/>
        <v/>
      </c>
      <c r="T1488" s="53" t="str">
        <f t="shared" si="335"/>
        <v/>
      </c>
    </row>
    <row r="1489" spans="1:20">
      <c r="A1489" s="47" t="str">
        <f>IF(archive!E1489="","",archive!E1489)</f>
        <v/>
      </c>
      <c r="B1489" s="48" t="str">
        <f t="shared" si="322"/>
        <v/>
      </c>
      <c r="C1489" s="49" t="str">
        <f>IF(archive!F1489="","",archive!F1489)</f>
        <v/>
      </c>
      <c r="D1489" s="50" t="str">
        <f t="shared" si="323"/>
        <v/>
      </c>
      <c r="E1489" s="50" t="str">
        <f t="shared" si="324"/>
        <v/>
      </c>
      <c r="F1489" s="47" t="str">
        <f>IF(COUNTA(archive!H1489:CI1489)=0,"",COUNTA(archive!H1489:CI1489))</f>
        <v/>
      </c>
      <c r="G1489" s="47" t="str">
        <f>IF(archive!G1489="","",archive!G1489)</f>
        <v/>
      </c>
      <c r="H1489" s="51" t="str">
        <f>IF(archive!CJ1489="","",archive!CJ1489)</f>
        <v/>
      </c>
      <c r="I1489" s="51" t="str">
        <f>IF(archive!CK1489="","",archive!CK1489)</f>
        <v/>
      </c>
      <c r="J1489" s="47" t="str">
        <f t="shared" si="325"/>
        <v/>
      </c>
      <c r="K1489" s="51" t="str">
        <f t="shared" si="326"/>
        <v/>
      </c>
      <c r="L1489" s="52" t="str">
        <f t="shared" si="327"/>
        <v/>
      </c>
      <c r="M1489" s="53" t="str">
        <f t="shared" si="328"/>
        <v/>
      </c>
      <c r="N1489" s="53" t="str">
        <f t="shared" si="329"/>
        <v/>
      </c>
      <c r="O1489" s="53" t="str">
        <f t="shared" si="330"/>
        <v/>
      </c>
      <c r="P1489" s="53" t="str">
        <f t="shared" si="331"/>
        <v/>
      </c>
      <c r="Q1489" s="53" t="str">
        <f t="shared" si="332"/>
        <v/>
      </c>
      <c r="R1489" s="53" t="str">
        <f t="shared" si="333"/>
        <v/>
      </c>
      <c r="S1489" s="53" t="str">
        <f t="shared" si="334"/>
        <v/>
      </c>
      <c r="T1489" s="53" t="str">
        <f t="shared" si="335"/>
        <v/>
      </c>
    </row>
    <row r="1490" spans="1:20">
      <c r="A1490" s="47" t="str">
        <f>IF(archive!E1490="","",archive!E1490)</f>
        <v/>
      </c>
      <c r="B1490" s="48" t="str">
        <f t="shared" si="322"/>
        <v/>
      </c>
      <c r="C1490" s="49" t="str">
        <f>IF(archive!F1490="","",archive!F1490)</f>
        <v/>
      </c>
      <c r="D1490" s="50" t="str">
        <f t="shared" si="323"/>
        <v/>
      </c>
      <c r="E1490" s="50" t="str">
        <f t="shared" si="324"/>
        <v/>
      </c>
      <c r="F1490" s="47" t="str">
        <f>IF(COUNTA(archive!H1490:CI1490)=0,"",COUNTA(archive!H1490:CI1490))</f>
        <v/>
      </c>
      <c r="G1490" s="47" t="str">
        <f>IF(archive!G1490="","",archive!G1490)</f>
        <v/>
      </c>
      <c r="H1490" s="51" t="str">
        <f>IF(archive!CJ1490="","",archive!CJ1490)</f>
        <v/>
      </c>
      <c r="I1490" s="51" t="str">
        <f>IF(archive!CK1490="","",archive!CK1490)</f>
        <v/>
      </c>
      <c r="J1490" s="47" t="str">
        <f t="shared" si="325"/>
        <v/>
      </c>
      <c r="K1490" s="51" t="str">
        <f t="shared" si="326"/>
        <v/>
      </c>
      <c r="L1490" s="52" t="str">
        <f t="shared" si="327"/>
        <v/>
      </c>
      <c r="M1490" s="53" t="str">
        <f t="shared" si="328"/>
        <v/>
      </c>
      <c r="N1490" s="53" t="str">
        <f t="shared" si="329"/>
        <v/>
      </c>
      <c r="O1490" s="53" t="str">
        <f t="shared" si="330"/>
        <v/>
      </c>
      <c r="P1490" s="53" t="str">
        <f t="shared" si="331"/>
        <v/>
      </c>
      <c r="Q1490" s="53" t="str">
        <f t="shared" si="332"/>
        <v/>
      </c>
      <c r="R1490" s="53" t="str">
        <f t="shared" si="333"/>
        <v/>
      </c>
      <c r="S1490" s="53" t="str">
        <f t="shared" si="334"/>
        <v/>
      </c>
      <c r="T1490" s="53" t="str">
        <f t="shared" si="335"/>
        <v/>
      </c>
    </row>
    <row r="1491" spans="1:20">
      <c r="A1491" s="47" t="str">
        <f>IF(archive!E1491="","",archive!E1491)</f>
        <v/>
      </c>
      <c r="B1491" s="48" t="str">
        <f t="shared" si="322"/>
        <v/>
      </c>
      <c r="C1491" s="49" t="str">
        <f>IF(archive!F1491="","",archive!F1491)</f>
        <v/>
      </c>
      <c r="D1491" s="50" t="str">
        <f t="shared" si="323"/>
        <v/>
      </c>
      <c r="E1491" s="50" t="str">
        <f t="shared" si="324"/>
        <v/>
      </c>
      <c r="F1491" s="47" t="str">
        <f>IF(COUNTA(archive!H1491:CI1491)=0,"",COUNTA(archive!H1491:CI1491))</f>
        <v/>
      </c>
      <c r="G1491" s="47" t="str">
        <f>IF(archive!G1491="","",archive!G1491)</f>
        <v/>
      </c>
      <c r="H1491" s="51" t="str">
        <f>IF(archive!CJ1491="","",archive!CJ1491)</f>
        <v/>
      </c>
      <c r="I1491" s="51" t="str">
        <f>IF(archive!CK1491="","",archive!CK1491)</f>
        <v/>
      </c>
      <c r="J1491" s="47" t="str">
        <f t="shared" si="325"/>
        <v/>
      </c>
      <c r="K1491" s="51" t="str">
        <f t="shared" si="326"/>
        <v/>
      </c>
      <c r="L1491" s="52" t="str">
        <f t="shared" si="327"/>
        <v/>
      </c>
      <c r="M1491" s="53" t="str">
        <f t="shared" si="328"/>
        <v/>
      </c>
      <c r="N1491" s="53" t="str">
        <f t="shared" si="329"/>
        <v/>
      </c>
      <c r="O1491" s="53" t="str">
        <f t="shared" si="330"/>
        <v/>
      </c>
      <c r="P1491" s="53" t="str">
        <f t="shared" si="331"/>
        <v/>
      </c>
      <c r="Q1491" s="53" t="str">
        <f t="shared" si="332"/>
        <v/>
      </c>
      <c r="R1491" s="53" t="str">
        <f t="shared" si="333"/>
        <v/>
      </c>
      <c r="S1491" s="53" t="str">
        <f t="shared" si="334"/>
        <v/>
      </c>
      <c r="T1491" s="53" t="str">
        <f t="shared" si="335"/>
        <v/>
      </c>
    </row>
    <row r="1492" spans="1:20">
      <c r="A1492" s="47" t="str">
        <f>IF(archive!E1492="","",archive!E1492)</f>
        <v/>
      </c>
      <c r="B1492" s="48" t="str">
        <f t="shared" si="322"/>
        <v/>
      </c>
      <c r="C1492" s="49" t="str">
        <f>IF(archive!F1492="","",archive!F1492)</f>
        <v/>
      </c>
      <c r="D1492" s="50" t="str">
        <f t="shared" si="323"/>
        <v/>
      </c>
      <c r="E1492" s="50" t="str">
        <f t="shared" si="324"/>
        <v/>
      </c>
      <c r="F1492" s="47" t="str">
        <f>IF(COUNTA(archive!H1492:CI1492)=0,"",COUNTA(archive!H1492:CI1492))</f>
        <v/>
      </c>
      <c r="G1492" s="47" t="str">
        <f>IF(archive!G1492="","",archive!G1492)</f>
        <v/>
      </c>
      <c r="H1492" s="51" t="str">
        <f>IF(archive!CJ1492="","",archive!CJ1492)</f>
        <v/>
      </c>
      <c r="I1492" s="51" t="str">
        <f>IF(archive!CK1492="","",archive!CK1492)</f>
        <v/>
      </c>
      <c r="J1492" s="47" t="str">
        <f t="shared" si="325"/>
        <v/>
      </c>
      <c r="K1492" s="51" t="str">
        <f t="shared" si="326"/>
        <v/>
      </c>
      <c r="L1492" s="52" t="str">
        <f t="shared" si="327"/>
        <v/>
      </c>
      <c r="M1492" s="53" t="str">
        <f t="shared" si="328"/>
        <v/>
      </c>
      <c r="N1492" s="53" t="str">
        <f t="shared" si="329"/>
        <v/>
      </c>
      <c r="O1492" s="53" t="str">
        <f t="shared" si="330"/>
        <v/>
      </c>
      <c r="P1492" s="53" t="str">
        <f t="shared" si="331"/>
        <v/>
      </c>
      <c r="Q1492" s="53" t="str">
        <f t="shared" si="332"/>
        <v/>
      </c>
      <c r="R1492" s="53" t="str">
        <f t="shared" si="333"/>
        <v/>
      </c>
      <c r="S1492" s="53" t="str">
        <f t="shared" si="334"/>
        <v/>
      </c>
      <c r="T1492" s="53" t="str">
        <f t="shared" si="335"/>
        <v/>
      </c>
    </row>
    <row r="1493" spans="1:20">
      <c r="A1493" s="47" t="str">
        <f>IF(archive!E1493="","",archive!E1493)</f>
        <v/>
      </c>
      <c r="B1493" s="48" t="str">
        <f t="shared" si="322"/>
        <v/>
      </c>
      <c r="C1493" s="49" t="str">
        <f>IF(archive!F1493="","",archive!F1493)</f>
        <v/>
      </c>
      <c r="D1493" s="50" t="str">
        <f t="shared" si="323"/>
        <v/>
      </c>
      <c r="E1493" s="50" t="str">
        <f t="shared" si="324"/>
        <v/>
      </c>
      <c r="F1493" s="47" t="str">
        <f>IF(COUNTA(archive!H1493:CI1493)=0,"",COUNTA(archive!H1493:CI1493))</f>
        <v/>
      </c>
      <c r="G1493" s="47" t="str">
        <f>IF(archive!G1493="","",archive!G1493)</f>
        <v/>
      </c>
      <c r="H1493" s="51" t="str">
        <f>IF(archive!CJ1493="","",archive!CJ1493)</f>
        <v/>
      </c>
      <c r="I1493" s="51" t="str">
        <f>IF(archive!CK1493="","",archive!CK1493)</f>
        <v/>
      </c>
      <c r="J1493" s="47" t="str">
        <f t="shared" si="325"/>
        <v/>
      </c>
      <c r="K1493" s="51" t="str">
        <f t="shared" si="326"/>
        <v/>
      </c>
      <c r="L1493" s="52" t="str">
        <f t="shared" si="327"/>
        <v/>
      </c>
      <c r="M1493" s="53" t="str">
        <f t="shared" si="328"/>
        <v/>
      </c>
      <c r="N1493" s="53" t="str">
        <f t="shared" si="329"/>
        <v/>
      </c>
      <c r="O1493" s="53" t="str">
        <f t="shared" si="330"/>
        <v/>
      </c>
      <c r="P1493" s="53" t="str">
        <f t="shared" si="331"/>
        <v/>
      </c>
      <c r="Q1493" s="53" t="str">
        <f t="shared" si="332"/>
        <v/>
      </c>
      <c r="R1493" s="53" t="str">
        <f t="shared" si="333"/>
        <v/>
      </c>
      <c r="S1493" s="53" t="str">
        <f t="shared" si="334"/>
        <v/>
      </c>
      <c r="T1493" s="53" t="str">
        <f t="shared" si="335"/>
        <v/>
      </c>
    </row>
    <row r="1494" spans="1:20">
      <c r="A1494" s="47" t="str">
        <f>IF(archive!E1494="","",archive!E1494)</f>
        <v/>
      </c>
      <c r="B1494" s="48" t="str">
        <f t="shared" si="322"/>
        <v/>
      </c>
      <c r="C1494" s="49" t="str">
        <f>IF(archive!F1494="","",archive!F1494)</f>
        <v/>
      </c>
      <c r="D1494" s="50" t="str">
        <f t="shared" si="323"/>
        <v/>
      </c>
      <c r="E1494" s="50" t="str">
        <f t="shared" si="324"/>
        <v/>
      </c>
      <c r="F1494" s="47" t="str">
        <f>IF(COUNTA(archive!H1494:CI1494)=0,"",COUNTA(archive!H1494:CI1494))</f>
        <v/>
      </c>
      <c r="G1494" s="47" t="str">
        <f>IF(archive!G1494="","",archive!G1494)</f>
        <v/>
      </c>
      <c r="H1494" s="51" t="str">
        <f>IF(archive!CJ1494="","",archive!CJ1494)</f>
        <v/>
      </c>
      <c r="I1494" s="51" t="str">
        <f>IF(archive!CK1494="","",archive!CK1494)</f>
        <v/>
      </c>
      <c r="J1494" s="47" t="str">
        <f t="shared" si="325"/>
        <v/>
      </c>
      <c r="K1494" s="51" t="str">
        <f t="shared" si="326"/>
        <v/>
      </c>
      <c r="L1494" s="52" t="str">
        <f t="shared" si="327"/>
        <v/>
      </c>
      <c r="M1494" s="53" t="str">
        <f t="shared" si="328"/>
        <v/>
      </c>
      <c r="N1494" s="53" t="str">
        <f t="shared" si="329"/>
        <v/>
      </c>
      <c r="O1494" s="53" t="str">
        <f t="shared" si="330"/>
        <v/>
      </c>
      <c r="P1494" s="53" t="str">
        <f t="shared" si="331"/>
        <v/>
      </c>
      <c r="Q1494" s="53" t="str">
        <f t="shared" si="332"/>
        <v/>
      </c>
      <c r="R1494" s="53" t="str">
        <f t="shared" si="333"/>
        <v/>
      </c>
      <c r="S1494" s="53" t="str">
        <f t="shared" si="334"/>
        <v/>
      </c>
      <c r="T1494" s="53" t="str">
        <f t="shared" si="335"/>
        <v/>
      </c>
    </row>
    <row r="1495" spans="1:20">
      <c r="A1495" s="47" t="str">
        <f>IF(archive!E1495="","",archive!E1495)</f>
        <v/>
      </c>
      <c r="B1495" s="48" t="str">
        <f t="shared" si="322"/>
        <v/>
      </c>
      <c r="C1495" s="49" t="str">
        <f>IF(archive!F1495="","",archive!F1495)</f>
        <v/>
      </c>
      <c r="D1495" s="50" t="str">
        <f t="shared" si="323"/>
        <v/>
      </c>
      <c r="E1495" s="50" t="str">
        <f t="shared" si="324"/>
        <v/>
      </c>
      <c r="F1495" s="47" t="str">
        <f>IF(COUNTA(archive!H1495:CI1495)=0,"",COUNTA(archive!H1495:CI1495))</f>
        <v/>
      </c>
      <c r="G1495" s="47" t="str">
        <f>IF(archive!G1495="","",archive!G1495)</f>
        <v/>
      </c>
      <c r="H1495" s="51" t="str">
        <f>IF(archive!CJ1495="","",archive!CJ1495)</f>
        <v/>
      </c>
      <c r="I1495" s="51" t="str">
        <f>IF(archive!CK1495="","",archive!CK1495)</f>
        <v/>
      </c>
      <c r="J1495" s="47" t="str">
        <f t="shared" si="325"/>
        <v/>
      </c>
      <c r="K1495" s="51" t="str">
        <f t="shared" si="326"/>
        <v/>
      </c>
      <c r="L1495" s="52" t="str">
        <f t="shared" si="327"/>
        <v/>
      </c>
      <c r="M1495" s="53" t="str">
        <f t="shared" si="328"/>
        <v/>
      </c>
      <c r="N1495" s="53" t="str">
        <f t="shared" si="329"/>
        <v/>
      </c>
      <c r="O1495" s="53" t="str">
        <f t="shared" si="330"/>
        <v/>
      </c>
      <c r="P1495" s="53" t="str">
        <f t="shared" si="331"/>
        <v/>
      </c>
      <c r="Q1495" s="53" t="str">
        <f t="shared" si="332"/>
        <v/>
      </c>
      <c r="R1495" s="53" t="str">
        <f t="shared" si="333"/>
        <v/>
      </c>
      <c r="S1495" s="53" t="str">
        <f t="shared" si="334"/>
        <v/>
      </c>
      <c r="T1495" s="53" t="str">
        <f t="shared" si="335"/>
        <v/>
      </c>
    </row>
    <row r="1496" spans="1:20">
      <c r="A1496" s="47" t="str">
        <f>IF(archive!E1496="","",archive!E1496)</f>
        <v/>
      </c>
      <c r="B1496" s="48" t="str">
        <f t="shared" si="322"/>
        <v/>
      </c>
      <c r="C1496" s="49" t="str">
        <f>IF(archive!F1496="","",archive!F1496)</f>
        <v/>
      </c>
      <c r="D1496" s="50" t="str">
        <f t="shared" si="323"/>
        <v/>
      </c>
      <c r="E1496" s="50" t="str">
        <f t="shared" si="324"/>
        <v/>
      </c>
      <c r="F1496" s="47" t="str">
        <f>IF(COUNTA(archive!H1496:CI1496)=0,"",COUNTA(archive!H1496:CI1496))</f>
        <v/>
      </c>
      <c r="G1496" s="47" t="str">
        <f>IF(archive!G1496="","",archive!G1496)</f>
        <v/>
      </c>
      <c r="H1496" s="51" t="str">
        <f>IF(archive!CJ1496="","",archive!CJ1496)</f>
        <v/>
      </c>
      <c r="I1496" s="51" t="str">
        <f>IF(archive!CK1496="","",archive!CK1496)</f>
        <v/>
      </c>
      <c r="J1496" s="47" t="str">
        <f t="shared" si="325"/>
        <v/>
      </c>
      <c r="K1496" s="51" t="str">
        <f t="shared" si="326"/>
        <v/>
      </c>
      <c r="L1496" s="52" t="str">
        <f t="shared" si="327"/>
        <v/>
      </c>
      <c r="M1496" s="53" t="str">
        <f t="shared" si="328"/>
        <v/>
      </c>
      <c r="N1496" s="53" t="str">
        <f t="shared" si="329"/>
        <v/>
      </c>
      <c r="O1496" s="53" t="str">
        <f t="shared" si="330"/>
        <v/>
      </c>
      <c r="P1496" s="53" t="str">
        <f t="shared" si="331"/>
        <v/>
      </c>
      <c r="Q1496" s="53" t="str">
        <f t="shared" si="332"/>
        <v/>
      </c>
      <c r="R1496" s="53" t="str">
        <f t="shared" si="333"/>
        <v/>
      </c>
      <c r="S1496" s="53" t="str">
        <f t="shared" si="334"/>
        <v/>
      </c>
      <c r="T1496" s="53" t="str">
        <f t="shared" si="335"/>
        <v/>
      </c>
    </row>
    <row r="1497" spans="1:20">
      <c r="A1497" s="47" t="str">
        <f>IF(archive!E1497="","",archive!E1497)</f>
        <v/>
      </c>
      <c r="B1497" s="48" t="str">
        <f t="shared" si="322"/>
        <v/>
      </c>
      <c r="C1497" s="49" t="str">
        <f>IF(archive!F1497="","",archive!F1497)</f>
        <v/>
      </c>
      <c r="D1497" s="50" t="str">
        <f t="shared" si="323"/>
        <v/>
      </c>
      <c r="E1497" s="50" t="str">
        <f t="shared" si="324"/>
        <v/>
      </c>
      <c r="F1497" s="47" t="str">
        <f>IF(COUNTA(archive!H1497:CI1497)=0,"",COUNTA(archive!H1497:CI1497))</f>
        <v/>
      </c>
      <c r="G1497" s="47" t="str">
        <f>IF(archive!G1497="","",archive!G1497)</f>
        <v/>
      </c>
      <c r="H1497" s="51" t="str">
        <f>IF(archive!CJ1497="","",archive!CJ1497)</f>
        <v/>
      </c>
      <c r="I1497" s="51" t="str">
        <f>IF(archive!CK1497="","",archive!CK1497)</f>
        <v/>
      </c>
      <c r="J1497" s="47" t="str">
        <f t="shared" si="325"/>
        <v/>
      </c>
      <c r="K1497" s="51" t="str">
        <f t="shared" si="326"/>
        <v/>
      </c>
      <c r="L1497" s="52" t="str">
        <f t="shared" si="327"/>
        <v/>
      </c>
      <c r="M1497" s="53" t="str">
        <f t="shared" si="328"/>
        <v/>
      </c>
      <c r="N1497" s="53" t="str">
        <f t="shared" si="329"/>
        <v/>
      </c>
      <c r="O1497" s="53" t="str">
        <f t="shared" si="330"/>
        <v/>
      </c>
      <c r="P1497" s="53" t="str">
        <f t="shared" si="331"/>
        <v/>
      </c>
      <c r="Q1497" s="53" t="str">
        <f t="shared" si="332"/>
        <v/>
      </c>
      <c r="R1497" s="53" t="str">
        <f t="shared" si="333"/>
        <v/>
      </c>
      <c r="S1497" s="53" t="str">
        <f t="shared" si="334"/>
        <v/>
      </c>
      <c r="T1497" s="53" t="str">
        <f t="shared" si="335"/>
        <v/>
      </c>
    </row>
    <row r="1498" spans="1:20">
      <c r="A1498" s="47" t="str">
        <f>IF(archive!E1498="","",archive!E1498)</f>
        <v/>
      </c>
      <c r="B1498" s="48" t="str">
        <f t="shared" si="322"/>
        <v/>
      </c>
      <c r="C1498" s="49" t="str">
        <f>IF(archive!F1498="","",archive!F1498)</f>
        <v/>
      </c>
      <c r="D1498" s="50" t="str">
        <f t="shared" si="323"/>
        <v/>
      </c>
      <c r="E1498" s="50" t="str">
        <f t="shared" si="324"/>
        <v/>
      </c>
      <c r="F1498" s="47" t="str">
        <f>IF(COUNTA(archive!H1498:CI1498)=0,"",COUNTA(archive!H1498:CI1498))</f>
        <v/>
      </c>
      <c r="G1498" s="47" t="str">
        <f>IF(archive!G1498="","",archive!G1498)</f>
        <v/>
      </c>
      <c r="H1498" s="51" t="str">
        <f>IF(archive!CJ1498="","",archive!CJ1498)</f>
        <v/>
      </c>
      <c r="I1498" s="51" t="str">
        <f>IF(archive!CK1498="","",archive!CK1498)</f>
        <v/>
      </c>
      <c r="J1498" s="47" t="str">
        <f t="shared" si="325"/>
        <v/>
      </c>
      <c r="K1498" s="51" t="str">
        <f t="shared" si="326"/>
        <v/>
      </c>
      <c r="L1498" s="52" t="str">
        <f t="shared" si="327"/>
        <v/>
      </c>
      <c r="M1498" s="53" t="str">
        <f t="shared" si="328"/>
        <v/>
      </c>
      <c r="N1498" s="53" t="str">
        <f t="shared" si="329"/>
        <v/>
      </c>
      <c r="O1498" s="53" t="str">
        <f t="shared" si="330"/>
        <v/>
      </c>
      <c r="P1498" s="53" t="str">
        <f t="shared" si="331"/>
        <v/>
      </c>
      <c r="Q1498" s="53" t="str">
        <f t="shared" si="332"/>
        <v/>
      </c>
      <c r="R1498" s="53" t="str">
        <f t="shared" si="333"/>
        <v/>
      </c>
      <c r="S1498" s="53" t="str">
        <f t="shared" si="334"/>
        <v/>
      </c>
      <c r="T1498" s="53" t="str">
        <f t="shared" si="335"/>
        <v/>
      </c>
    </row>
    <row r="1499" spans="1:20">
      <c r="A1499" s="47" t="str">
        <f>IF(archive!E1499="","",archive!E1499)</f>
        <v/>
      </c>
      <c r="B1499" s="48" t="str">
        <f t="shared" si="322"/>
        <v/>
      </c>
      <c r="C1499" s="49" t="str">
        <f>IF(archive!F1499="","",archive!F1499)</f>
        <v/>
      </c>
      <c r="D1499" s="50" t="str">
        <f t="shared" si="323"/>
        <v/>
      </c>
      <c r="E1499" s="50" t="str">
        <f t="shared" si="324"/>
        <v/>
      </c>
      <c r="F1499" s="47" t="str">
        <f>IF(COUNTA(archive!H1499:CI1499)=0,"",COUNTA(archive!H1499:CI1499))</f>
        <v/>
      </c>
      <c r="G1499" s="47" t="str">
        <f>IF(archive!G1499="","",archive!G1499)</f>
        <v/>
      </c>
      <c r="H1499" s="51" t="str">
        <f>IF(archive!CJ1499="","",archive!CJ1499)</f>
        <v/>
      </c>
      <c r="I1499" s="51" t="str">
        <f>IF(archive!CK1499="","",archive!CK1499)</f>
        <v/>
      </c>
      <c r="J1499" s="47" t="str">
        <f t="shared" si="325"/>
        <v/>
      </c>
      <c r="K1499" s="51" t="str">
        <f t="shared" si="326"/>
        <v/>
      </c>
      <c r="L1499" s="52" t="str">
        <f t="shared" si="327"/>
        <v/>
      </c>
      <c r="M1499" s="53" t="str">
        <f t="shared" si="328"/>
        <v/>
      </c>
      <c r="N1499" s="53" t="str">
        <f t="shared" si="329"/>
        <v/>
      </c>
      <c r="O1499" s="53" t="str">
        <f t="shared" si="330"/>
        <v/>
      </c>
      <c r="P1499" s="53" t="str">
        <f t="shared" si="331"/>
        <v/>
      </c>
      <c r="Q1499" s="53" t="str">
        <f t="shared" si="332"/>
        <v/>
      </c>
      <c r="R1499" s="53" t="str">
        <f t="shared" si="333"/>
        <v/>
      </c>
      <c r="S1499" s="53" t="str">
        <f t="shared" si="334"/>
        <v/>
      </c>
      <c r="T1499" s="53" t="str">
        <f t="shared" si="335"/>
        <v/>
      </c>
    </row>
    <row r="1500" spans="1:20">
      <c r="A1500" s="47" t="str">
        <f>IF(archive!E1500="","",archive!E1500)</f>
        <v/>
      </c>
      <c r="B1500" s="48" t="str">
        <f t="shared" si="322"/>
        <v/>
      </c>
      <c r="C1500" s="49" t="str">
        <f>IF(archive!F1500="","",archive!F1500)</f>
        <v/>
      </c>
      <c r="D1500" s="50" t="str">
        <f t="shared" si="323"/>
        <v/>
      </c>
      <c r="E1500" s="50" t="str">
        <f t="shared" si="324"/>
        <v/>
      </c>
      <c r="F1500" s="47" t="str">
        <f>IF(COUNTA(archive!H1500:CI1500)=0,"",COUNTA(archive!H1500:CI1500))</f>
        <v/>
      </c>
      <c r="G1500" s="47" t="str">
        <f>IF(archive!G1500="","",archive!G1500)</f>
        <v/>
      </c>
      <c r="H1500" s="51" t="str">
        <f>IF(archive!CJ1500="","",archive!CJ1500)</f>
        <v/>
      </c>
      <c r="I1500" s="51" t="str">
        <f>IF(archive!CK1500="","",archive!CK1500)</f>
        <v/>
      </c>
      <c r="J1500" s="47" t="str">
        <f t="shared" si="325"/>
        <v/>
      </c>
      <c r="K1500" s="51" t="str">
        <f t="shared" si="326"/>
        <v/>
      </c>
      <c r="L1500" s="52" t="str">
        <f t="shared" si="327"/>
        <v/>
      </c>
      <c r="M1500" s="53" t="str">
        <f t="shared" si="328"/>
        <v/>
      </c>
      <c r="N1500" s="53" t="str">
        <f t="shared" si="329"/>
        <v/>
      </c>
      <c r="O1500" s="53" t="str">
        <f t="shared" si="330"/>
        <v/>
      </c>
      <c r="P1500" s="53" t="str">
        <f t="shared" si="331"/>
        <v/>
      </c>
      <c r="Q1500" s="53" t="str">
        <f t="shared" si="332"/>
        <v/>
      </c>
      <c r="R1500" s="53" t="str">
        <f t="shared" si="333"/>
        <v/>
      </c>
      <c r="S1500" s="53" t="str">
        <f t="shared" si="334"/>
        <v/>
      </c>
      <c r="T1500" s="53" t="str">
        <f t="shared" si="335"/>
        <v/>
      </c>
    </row>
    <row r="1501" spans="1:20">
      <c r="A1501" s="47" t="str">
        <f>IF(archive!E1501="","",archive!E1501)</f>
        <v/>
      </c>
      <c r="B1501" s="48" t="str">
        <f t="shared" si="322"/>
        <v/>
      </c>
      <c r="C1501" s="49" t="str">
        <f>IF(archive!F1501="","",archive!F1501)</f>
        <v/>
      </c>
      <c r="D1501" s="50" t="str">
        <f t="shared" si="323"/>
        <v/>
      </c>
      <c r="E1501" s="50" t="str">
        <f t="shared" si="324"/>
        <v/>
      </c>
      <c r="F1501" s="47" t="str">
        <f>IF(COUNTA(archive!H1501:CI1501)=0,"",COUNTA(archive!H1501:CI1501))</f>
        <v/>
      </c>
      <c r="G1501" s="47" t="str">
        <f>IF(archive!G1501="","",archive!G1501)</f>
        <v/>
      </c>
      <c r="H1501" s="51" t="str">
        <f>IF(archive!CJ1501="","",archive!CJ1501)</f>
        <v/>
      </c>
      <c r="I1501" s="51" t="str">
        <f>IF(archive!CK1501="","",archive!CK1501)</f>
        <v/>
      </c>
      <c r="J1501" s="47" t="str">
        <f t="shared" si="325"/>
        <v/>
      </c>
      <c r="K1501" s="51" t="str">
        <f t="shared" si="326"/>
        <v/>
      </c>
      <c r="L1501" s="52" t="str">
        <f t="shared" si="327"/>
        <v/>
      </c>
      <c r="M1501" s="53" t="str">
        <f t="shared" si="328"/>
        <v/>
      </c>
      <c r="N1501" s="53" t="str">
        <f t="shared" si="329"/>
        <v/>
      </c>
      <c r="O1501" s="53" t="str">
        <f t="shared" si="330"/>
        <v/>
      </c>
      <c r="P1501" s="53" t="str">
        <f t="shared" si="331"/>
        <v/>
      </c>
      <c r="Q1501" s="53" t="str">
        <f t="shared" si="332"/>
        <v/>
      </c>
      <c r="R1501" s="53" t="str">
        <f t="shared" si="333"/>
        <v/>
      </c>
      <c r="S1501" s="53" t="str">
        <f t="shared" si="334"/>
        <v/>
      </c>
      <c r="T1501" s="53" t="str">
        <f t="shared" si="335"/>
        <v/>
      </c>
    </row>
    <row r="1502" spans="1:20">
      <c r="A1502" s="47" t="str">
        <f>IF(archive!E1502="","",archive!E1502)</f>
        <v/>
      </c>
      <c r="B1502" s="48" t="str">
        <f t="shared" si="322"/>
        <v/>
      </c>
      <c r="C1502" s="49" t="str">
        <f>IF(archive!F1502="","",archive!F1502)</f>
        <v/>
      </c>
      <c r="D1502" s="50" t="str">
        <f t="shared" si="323"/>
        <v/>
      </c>
      <c r="E1502" s="50" t="str">
        <f t="shared" si="324"/>
        <v/>
      </c>
      <c r="F1502" s="47" t="str">
        <f>IF(COUNTA(archive!H1502:CI1502)=0,"",COUNTA(archive!H1502:CI1502))</f>
        <v/>
      </c>
      <c r="G1502" s="47" t="str">
        <f>IF(archive!G1502="","",archive!G1502)</f>
        <v/>
      </c>
      <c r="H1502" s="51" t="str">
        <f>IF(archive!CJ1502="","",archive!CJ1502)</f>
        <v/>
      </c>
      <c r="I1502" s="51" t="str">
        <f>IF(archive!CK1502="","",archive!CK1502)</f>
        <v/>
      </c>
      <c r="J1502" s="47" t="str">
        <f t="shared" si="325"/>
        <v/>
      </c>
      <c r="K1502" s="51" t="str">
        <f t="shared" si="326"/>
        <v/>
      </c>
      <c r="L1502" s="52" t="str">
        <f t="shared" si="327"/>
        <v/>
      </c>
      <c r="M1502" s="53" t="str">
        <f t="shared" si="328"/>
        <v/>
      </c>
      <c r="N1502" s="53" t="str">
        <f t="shared" si="329"/>
        <v/>
      </c>
      <c r="O1502" s="53" t="str">
        <f t="shared" si="330"/>
        <v/>
      </c>
      <c r="P1502" s="53" t="str">
        <f t="shared" si="331"/>
        <v/>
      </c>
      <c r="Q1502" s="53" t="str">
        <f t="shared" si="332"/>
        <v/>
      </c>
      <c r="R1502" s="53" t="str">
        <f t="shared" si="333"/>
        <v/>
      </c>
      <c r="S1502" s="53" t="str">
        <f t="shared" si="334"/>
        <v/>
      </c>
      <c r="T1502" s="53" t="str">
        <f t="shared" si="335"/>
        <v/>
      </c>
    </row>
    <row r="1503" spans="1:20">
      <c r="A1503" s="47" t="str">
        <f>IF(archive!E1503="","",archive!E1503)</f>
        <v/>
      </c>
      <c r="B1503" s="48" t="str">
        <f t="shared" si="322"/>
        <v/>
      </c>
      <c r="C1503" s="49" t="str">
        <f>IF(archive!F1503="","",archive!F1503)</f>
        <v/>
      </c>
      <c r="D1503" s="50" t="str">
        <f t="shared" si="323"/>
        <v/>
      </c>
      <c r="E1503" s="50" t="str">
        <f t="shared" si="324"/>
        <v/>
      </c>
      <c r="F1503" s="47" t="str">
        <f>IF(COUNTA(archive!H1503:CI1503)=0,"",COUNTA(archive!H1503:CI1503))</f>
        <v/>
      </c>
      <c r="G1503" s="47" t="str">
        <f>IF(archive!G1503="","",archive!G1503)</f>
        <v/>
      </c>
      <c r="H1503" s="51" t="str">
        <f>IF(archive!CJ1503="","",archive!CJ1503)</f>
        <v/>
      </c>
      <c r="I1503" s="51" t="str">
        <f>IF(archive!CK1503="","",archive!CK1503)</f>
        <v/>
      </c>
      <c r="J1503" s="47" t="str">
        <f t="shared" si="325"/>
        <v/>
      </c>
      <c r="K1503" s="51" t="str">
        <f t="shared" si="326"/>
        <v/>
      </c>
      <c r="L1503" s="52" t="str">
        <f t="shared" si="327"/>
        <v/>
      </c>
      <c r="M1503" s="53" t="str">
        <f t="shared" si="328"/>
        <v/>
      </c>
      <c r="N1503" s="53" t="str">
        <f t="shared" si="329"/>
        <v/>
      </c>
      <c r="O1503" s="53" t="str">
        <f t="shared" si="330"/>
        <v/>
      </c>
      <c r="P1503" s="53" t="str">
        <f t="shared" si="331"/>
        <v/>
      </c>
      <c r="Q1503" s="53" t="str">
        <f t="shared" si="332"/>
        <v/>
      </c>
      <c r="R1503" s="53" t="str">
        <f t="shared" si="333"/>
        <v/>
      </c>
      <c r="S1503" s="53" t="str">
        <f t="shared" si="334"/>
        <v/>
      </c>
      <c r="T1503" s="53" t="str">
        <f t="shared" si="335"/>
        <v/>
      </c>
    </row>
    <row r="1504" spans="1:20">
      <c r="A1504" s="47" t="str">
        <f>IF(archive!E1504="","",archive!E1504)</f>
        <v/>
      </c>
      <c r="B1504" s="48" t="str">
        <f t="shared" si="322"/>
        <v/>
      </c>
      <c r="C1504" s="49" t="str">
        <f>IF(archive!F1504="","",archive!F1504)</f>
        <v/>
      </c>
      <c r="D1504" s="50" t="str">
        <f t="shared" si="323"/>
        <v/>
      </c>
      <c r="E1504" s="50" t="str">
        <f t="shared" si="324"/>
        <v/>
      </c>
      <c r="F1504" s="47" t="str">
        <f>IF(COUNTA(archive!H1504:CI1504)=0,"",COUNTA(archive!H1504:CI1504))</f>
        <v/>
      </c>
      <c r="G1504" s="47" t="str">
        <f>IF(archive!G1504="","",archive!G1504)</f>
        <v/>
      </c>
      <c r="H1504" s="51" t="str">
        <f>IF(archive!CJ1504="","",archive!CJ1504)</f>
        <v/>
      </c>
      <c r="I1504" s="51" t="str">
        <f>IF(archive!CK1504="","",archive!CK1504)</f>
        <v/>
      </c>
      <c r="J1504" s="47" t="str">
        <f t="shared" si="325"/>
        <v/>
      </c>
      <c r="K1504" s="51" t="str">
        <f t="shared" si="326"/>
        <v/>
      </c>
      <c r="L1504" s="52" t="str">
        <f t="shared" si="327"/>
        <v/>
      </c>
      <c r="M1504" s="53" t="str">
        <f t="shared" si="328"/>
        <v/>
      </c>
      <c r="N1504" s="53" t="str">
        <f t="shared" si="329"/>
        <v/>
      </c>
      <c r="O1504" s="53" t="str">
        <f t="shared" si="330"/>
        <v/>
      </c>
      <c r="P1504" s="53" t="str">
        <f t="shared" si="331"/>
        <v/>
      </c>
      <c r="Q1504" s="53" t="str">
        <f t="shared" si="332"/>
        <v/>
      </c>
      <c r="R1504" s="53" t="str">
        <f t="shared" si="333"/>
        <v/>
      </c>
      <c r="S1504" s="53" t="str">
        <f t="shared" si="334"/>
        <v/>
      </c>
      <c r="T1504" s="53" t="str">
        <f t="shared" si="335"/>
        <v/>
      </c>
    </row>
    <row r="1505" spans="1:20">
      <c r="A1505" s="47" t="str">
        <f>IF(archive!E1505="","",archive!E1505)</f>
        <v/>
      </c>
      <c r="B1505" s="48" t="str">
        <f t="shared" si="322"/>
        <v/>
      </c>
      <c r="C1505" s="49" t="str">
        <f>IF(archive!F1505="","",archive!F1505)</f>
        <v/>
      </c>
      <c r="D1505" s="50" t="str">
        <f t="shared" si="323"/>
        <v/>
      </c>
      <c r="E1505" s="50" t="str">
        <f t="shared" si="324"/>
        <v/>
      </c>
      <c r="F1505" s="47" t="str">
        <f>IF(COUNTA(archive!H1505:CI1505)=0,"",COUNTA(archive!H1505:CI1505))</f>
        <v/>
      </c>
      <c r="G1505" s="47" t="str">
        <f>IF(archive!G1505="","",archive!G1505)</f>
        <v/>
      </c>
      <c r="H1505" s="51" t="str">
        <f>IF(archive!CJ1505="","",archive!CJ1505)</f>
        <v/>
      </c>
      <c r="I1505" s="51" t="str">
        <f>IF(archive!CK1505="","",archive!CK1505)</f>
        <v/>
      </c>
      <c r="J1505" s="47" t="str">
        <f t="shared" si="325"/>
        <v/>
      </c>
      <c r="K1505" s="51" t="str">
        <f t="shared" si="326"/>
        <v/>
      </c>
      <c r="L1505" s="52" t="str">
        <f t="shared" si="327"/>
        <v/>
      </c>
      <c r="M1505" s="53" t="str">
        <f t="shared" si="328"/>
        <v/>
      </c>
      <c r="N1505" s="53" t="str">
        <f t="shared" si="329"/>
        <v/>
      </c>
      <c r="O1505" s="53" t="str">
        <f t="shared" si="330"/>
        <v/>
      </c>
      <c r="P1505" s="53" t="str">
        <f t="shared" si="331"/>
        <v/>
      </c>
      <c r="Q1505" s="53" t="str">
        <f t="shared" si="332"/>
        <v/>
      </c>
      <c r="R1505" s="53" t="str">
        <f t="shared" si="333"/>
        <v/>
      </c>
      <c r="S1505" s="53" t="str">
        <f t="shared" si="334"/>
        <v/>
      </c>
      <c r="T1505" s="53" t="str">
        <f t="shared" si="335"/>
        <v/>
      </c>
    </row>
    <row r="1506" spans="1:20">
      <c r="A1506" s="47" t="str">
        <f>IF(archive!E1506="","",archive!E1506)</f>
        <v/>
      </c>
      <c r="B1506" s="48" t="str">
        <f t="shared" si="322"/>
        <v/>
      </c>
      <c r="C1506" s="49" t="str">
        <f>IF(archive!F1506="","",archive!F1506)</f>
        <v/>
      </c>
      <c r="D1506" s="50" t="str">
        <f t="shared" si="323"/>
        <v/>
      </c>
      <c r="E1506" s="50" t="str">
        <f t="shared" si="324"/>
        <v/>
      </c>
      <c r="F1506" s="47" t="str">
        <f>IF(COUNTA(archive!H1506:CI1506)=0,"",COUNTA(archive!H1506:CI1506))</f>
        <v/>
      </c>
      <c r="G1506" s="47" t="str">
        <f>IF(archive!G1506="","",archive!G1506)</f>
        <v/>
      </c>
      <c r="H1506" s="51" t="str">
        <f>IF(archive!CJ1506="","",archive!CJ1506)</f>
        <v/>
      </c>
      <c r="I1506" s="51" t="str">
        <f>IF(archive!CK1506="","",archive!CK1506)</f>
        <v/>
      </c>
      <c r="J1506" s="47" t="str">
        <f t="shared" si="325"/>
        <v/>
      </c>
      <c r="K1506" s="51" t="str">
        <f t="shared" si="326"/>
        <v/>
      </c>
      <c r="L1506" s="52" t="str">
        <f t="shared" si="327"/>
        <v/>
      </c>
      <c r="M1506" s="53" t="str">
        <f t="shared" si="328"/>
        <v/>
      </c>
      <c r="N1506" s="53" t="str">
        <f t="shared" si="329"/>
        <v/>
      </c>
      <c r="O1506" s="53" t="str">
        <f t="shared" si="330"/>
        <v/>
      </c>
      <c r="P1506" s="53" t="str">
        <f t="shared" si="331"/>
        <v/>
      </c>
      <c r="Q1506" s="53" t="str">
        <f t="shared" si="332"/>
        <v/>
      </c>
      <c r="R1506" s="53" t="str">
        <f t="shared" si="333"/>
        <v/>
      </c>
      <c r="S1506" s="53" t="str">
        <f t="shared" si="334"/>
        <v/>
      </c>
      <c r="T1506" s="53" t="str">
        <f t="shared" si="335"/>
        <v/>
      </c>
    </row>
    <row r="1507" spans="1:20">
      <c r="A1507" s="47" t="str">
        <f>IF(archive!E1507="","",archive!E1507)</f>
        <v/>
      </c>
      <c r="B1507" s="48" t="str">
        <f t="shared" si="322"/>
        <v/>
      </c>
      <c r="C1507" s="49" t="str">
        <f>IF(archive!F1507="","",archive!F1507)</f>
        <v/>
      </c>
      <c r="D1507" s="50" t="str">
        <f t="shared" si="323"/>
        <v/>
      </c>
      <c r="E1507" s="50" t="str">
        <f t="shared" si="324"/>
        <v/>
      </c>
      <c r="F1507" s="47" t="str">
        <f>IF(COUNTA(archive!H1507:CI1507)=0,"",COUNTA(archive!H1507:CI1507))</f>
        <v/>
      </c>
      <c r="G1507" s="47" t="str">
        <f>IF(archive!G1507="","",archive!G1507)</f>
        <v/>
      </c>
      <c r="H1507" s="51" t="str">
        <f>IF(archive!CJ1507="","",archive!CJ1507)</f>
        <v/>
      </c>
      <c r="I1507" s="51" t="str">
        <f>IF(archive!CK1507="","",archive!CK1507)</f>
        <v/>
      </c>
      <c r="J1507" s="47" t="str">
        <f t="shared" si="325"/>
        <v/>
      </c>
      <c r="K1507" s="51" t="str">
        <f t="shared" si="326"/>
        <v/>
      </c>
      <c r="L1507" s="52" t="str">
        <f t="shared" si="327"/>
        <v/>
      </c>
      <c r="M1507" s="53" t="str">
        <f t="shared" si="328"/>
        <v/>
      </c>
      <c r="N1507" s="53" t="str">
        <f t="shared" si="329"/>
        <v/>
      </c>
      <c r="O1507" s="53" t="str">
        <f t="shared" si="330"/>
        <v/>
      </c>
      <c r="P1507" s="53" t="str">
        <f t="shared" si="331"/>
        <v/>
      </c>
      <c r="Q1507" s="53" t="str">
        <f t="shared" si="332"/>
        <v/>
      </c>
      <c r="R1507" s="53" t="str">
        <f t="shared" si="333"/>
        <v/>
      </c>
      <c r="S1507" s="53" t="str">
        <f t="shared" si="334"/>
        <v/>
      </c>
      <c r="T1507" s="53" t="str">
        <f t="shared" si="335"/>
        <v/>
      </c>
    </row>
    <row r="1508" spans="1:20">
      <c r="A1508" s="47" t="str">
        <f>IF(archive!E1508="","",archive!E1508)</f>
        <v/>
      </c>
      <c r="B1508" s="48" t="str">
        <f t="shared" si="322"/>
        <v/>
      </c>
      <c r="C1508" s="49" t="str">
        <f>IF(archive!F1508="","",archive!F1508)</f>
        <v/>
      </c>
      <c r="D1508" s="50" t="str">
        <f t="shared" si="323"/>
        <v/>
      </c>
      <c r="E1508" s="50" t="str">
        <f t="shared" si="324"/>
        <v/>
      </c>
      <c r="F1508" s="47" t="str">
        <f>IF(COUNTA(archive!H1508:CI1508)=0,"",COUNTA(archive!H1508:CI1508))</f>
        <v/>
      </c>
      <c r="G1508" s="47" t="str">
        <f>IF(archive!G1508="","",archive!G1508)</f>
        <v/>
      </c>
      <c r="H1508" s="51" t="str">
        <f>IF(archive!CJ1508="","",archive!CJ1508)</f>
        <v/>
      </c>
      <c r="I1508" s="51" t="str">
        <f>IF(archive!CK1508="","",archive!CK1508)</f>
        <v/>
      </c>
      <c r="J1508" s="47" t="str">
        <f t="shared" si="325"/>
        <v/>
      </c>
      <c r="K1508" s="51" t="str">
        <f t="shared" si="326"/>
        <v/>
      </c>
      <c r="L1508" s="52" t="str">
        <f t="shared" si="327"/>
        <v/>
      </c>
      <c r="M1508" s="53" t="str">
        <f t="shared" si="328"/>
        <v/>
      </c>
      <c r="N1508" s="53" t="str">
        <f t="shared" si="329"/>
        <v/>
      </c>
      <c r="O1508" s="53" t="str">
        <f t="shared" si="330"/>
        <v/>
      </c>
      <c r="P1508" s="53" t="str">
        <f t="shared" si="331"/>
        <v/>
      </c>
      <c r="Q1508" s="53" t="str">
        <f t="shared" si="332"/>
        <v/>
      </c>
      <c r="R1508" s="53" t="str">
        <f t="shared" si="333"/>
        <v/>
      </c>
      <c r="S1508" s="53" t="str">
        <f t="shared" si="334"/>
        <v/>
      </c>
      <c r="T1508" s="53" t="str">
        <f t="shared" si="335"/>
        <v/>
      </c>
    </row>
    <row r="1509" spans="1:20">
      <c r="A1509" s="47" t="str">
        <f>IF(archive!E1509="","",archive!E1509)</f>
        <v/>
      </c>
      <c r="B1509" s="48" t="str">
        <f t="shared" si="322"/>
        <v/>
      </c>
      <c r="C1509" s="49" t="str">
        <f>IF(archive!F1509="","",archive!F1509)</f>
        <v/>
      </c>
      <c r="D1509" s="50" t="str">
        <f t="shared" si="323"/>
        <v/>
      </c>
      <c r="E1509" s="50" t="str">
        <f t="shared" si="324"/>
        <v/>
      </c>
      <c r="F1509" s="47" t="str">
        <f>IF(COUNTA(archive!H1509:CI1509)=0,"",COUNTA(archive!H1509:CI1509))</f>
        <v/>
      </c>
      <c r="G1509" s="47" t="str">
        <f>IF(archive!G1509="","",archive!G1509)</f>
        <v/>
      </c>
      <c r="H1509" s="51" t="str">
        <f>IF(archive!CJ1509="","",archive!CJ1509)</f>
        <v/>
      </c>
      <c r="I1509" s="51" t="str">
        <f>IF(archive!CK1509="","",archive!CK1509)</f>
        <v/>
      </c>
      <c r="J1509" s="47" t="str">
        <f t="shared" si="325"/>
        <v/>
      </c>
      <c r="K1509" s="51" t="str">
        <f t="shared" si="326"/>
        <v/>
      </c>
      <c r="L1509" s="52" t="str">
        <f t="shared" si="327"/>
        <v/>
      </c>
      <c r="M1509" s="53" t="str">
        <f t="shared" si="328"/>
        <v/>
      </c>
      <c r="N1509" s="53" t="str">
        <f t="shared" si="329"/>
        <v/>
      </c>
      <c r="O1509" s="53" t="str">
        <f t="shared" si="330"/>
        <v/>
      </c>
      <c r="P1509" s="53" t="str">
        <f t="shared" si="331"/>
        <v/>
      </c>
      <c r="Q1509" s="53" t="str">
        <f t="shared" si="332"/>
        <v/>
      </c>
      <c r="R1509" s="53" t="str">
        <f t="shared" si="333"/>
        <v/>
      </c>
      <c r="S1509" s="53" t="str">
        <f t="shared" si="334"/>
        <v/>
      </c>
      <c r="T1509" s="53" t="str">
        <f t="shared" si="335"/>
        <v/>
      </c>
    </row>
    <row r="1510" spans="1:20">
      <c r="A1510" s="47" t="str">
        <f>IF(archive!E1510="","",archive!E1510)</f>
        <v/>
      </c>
      <c r="B1510" s="48" t="str">
        <f t="shared" si="322"/>
        <v/>
      </c>
      <c r="C1510" s="49" t="str">
        <f>IF(archive!F1510="","",archive!F1510)</f>
        <v/>
      </c>
      <c r="D1510" s="50" t="str">
        <f t="shared" si="323"/>
        <v/>
      </c>
      <c r="E1510" s="50" t="str">
        <f t="shared" si="324"/>
        <v/>
      </c>
      <c r="F1510" s="47" t="str">
        <f>IF(COUNTA(archive!H1510:CI1510)=0,"",COUNTA(archive!H1510:CI1510))</f>
        <v/>
      </c>
      <c r="G1510" s="47" t="str">
        <f>IF(archive!G1510="","",archive!G1510)</f>
        <v/>
      </c>
      <c r="H1510" s="51" t="str">
        <f>IF(archive!CJ1510="","",archive!CJ1510)</f>
        <v/>
      </c>
      <c r="I1510" s="51" t="str">
        <f>IF(archive!CK1510="","",archive!CK1510)</f>
        <v/>
      </c>
      <c r="J1510" s="47" t="str">
        <f t="shared" si="325"/>
        <v/>
      </c>
      <c r="K1510" s="51" t="str">
        <f t="shared" si="326"/>
        <v/>
      </c>
      <c r="L1510" s="52" t="str">
        <f t="shared" si="327"/>
        <v/>
      </c>
      <c r="M1510" s="53" t="str">
        <f t="shared" si="328"/>
        <v/>
      </c>
      <c r="N1510" s="53" t="str">
        <f t="shared" si="329"/>
        <v/>
      </c>
      <c r="O1510" s="53" t="str">
        <f t="shared" si="330"/>
        <v/>
      </c>
      <c r="P1510" s="53" t="str">
        <f t="shared" si="331"/>
        <v/>
      </c>
      <c r="Q1510" s="53" t="str">
        <f t="shared" si="332"/>
        <v/>
      </c>
      <c r="R1510" s="53" t="str">
        <f t="shared" si="333"/>
        <v/>
      </c>
      <c r="S1510" s="53" t="str">
        <f t="shared" si="334"/>
        <v/>
      </c>
      <c r="T1510" s="53" t="str">
        <f t="shared" si="335"/>
        <v/>
      </c>
    </row>
    <row r="1511" spans="1:20">
      <c r="A1511" s="47" t="str">
        <f>IF(archive!E1511="","",archive!E1511)</f>
        <v/>
      </c>
      <c r="B1511" s="48" t="str">
        <f t="shared" si="322"/>
        <v/>
      </c>
      <c r="C1511" s="49" t="str">
        <f>IF(archive!F1511="","",archive!F1511)</f>
        <v/>
      </c>
      <c r="D1511" s="50" t="str">
        <f t="shared" si="323"/>
        <v/>
      </c>
      <c r="E1511" s="50" t="str">
        <f t="shared" si="324"/>
        <v/>
      </c>
      <c r="F1511" s="47" t="str">
        <f>IF(COUNTA(archive!H1511:CI1511)=0,"",COUNTA(archive!H1511:CI1511))</f>
        <v/>
      </c>
      <c r="G1511" s="47" t="str">
        <f>IF(archive!G1511="","",archive!G1511)</f>
        <v/>
      </c>
      <c r="H1511" s="51" t="str">
        <f>IF(archive!CJ1511="","",archive!CJ1511)</f>
        <v/>
      </c>
      <c r="I1511" s="51" t="str">
        <f>IF(archive!CK1511="","",archive!CK1511)</f>
        <v/>
      </c>
      <c r="J1511" s="47" t="str">
        <f t="shared" si="325"/>
        <v/>
      </c>
      <c r="K1511" s="51" t="str">
        <f t="shared" si="326"/>
        <v/>
      </c>
      <c r="L1511" s="52" t="str">
        <f t="shared" si="327"/>
        <v/>
      </c>
      <c r="M1511" s="53" t="str">
        <f t="shared" si="328"/>
        <v/>
      </c>
      <c r="N1511" s="53" t="str">
        <f t="shared" si="329"/>
        <v/>
      </c>
      <c r="O1511" s="53" t="str">
        <f t="shared" si="330"/>
        <v/>
      </c>
      <c r="P1511" s="53" t="str">
        <f t="shared" si="331"/>
        <v/>
      </c>
      <c r="Q1511" s="53" t="str">
        <f t="shared" si="332"/>
        <v/>
      </c>
      <c r="R1511" s="53" t="str">
        <f t="shared" si="333"/>
        <v/>
      </c>
      <c r="S1511" s="53" t="str">
        <f t="shared" si="334"/>
        <v/>
      </c>
      <c r="T1511" s="53" t="str">
        <f t="shared" si="335"/>
        <v/>
      </c>
    </row>
    <row r="1512" spans="1:20">
      <c r="A1512" s="47" t="str">
        <f>IF(archive!E1512="","",archive!E1512)</f>
        <v/>
      </c>
      <c r="B1512" s="48" t="str">
        <f t="shared" si="322"/>
        <v/>
      </c>
      <c r="C1512" s="49" t="str">
        <f>IF(archive!F1512="","",archive!F1512)</f>
        <v/>
      </c>
      <c r="D1512" s="50" t="str">
        <f t="shared" si="323"/>
        <v/>
      </c>
      <c r="E1512" s="50" t="str">
        <f t="shared" si="324"/>
        <v/>
      </c>
      <c r="F1512" s="47" t="str">
        <f>IF(COUNTA(archive!H1512:CI1512)=0,"",COUNTA(archive!H1512:CI1512))</f>
        <v/>
      </c>
      <c r="G1512" s="47" t="str">
        <f>IF(archive!G1512="","",archive!G1512)</f>
        <v/>
      </c>
      <c r="H1512" s="51" t="str">
        <f>IF(archive!CJ1512="","",archive!CJ1512)</f>
        <v/>
      </c>
      <c r="I1512" s="51" t="str">
        <f>IF(archive!CK1512="","",archive!CK1512)</f>
        <v/>
      </c>
      <c r="J1512" s="47" t="str">
        <f t="shared" si="325"/>
        <v/>
      </c>
      <c r="K1512" s="51" t="str">
        <f t="shared" si="326"/>
        <v/>
      </c>
      <c r="L1512" s="52" t="str">
        <f t="shared" si="327"/>
        <v/>
      </c>
      <c r="M1512" s="53" t="str">
        <f t="shared" si="328"/>
        <v/>
      </c>
      <c r="N1512" s="53" t="str">
        <f t="shared" si="329"/>
        <v/>
      </c>
      <c r="O1512" s="53" t="str">
        <f t="shared" si="330"/>
        <v/>
      </c>
      <c r="P1512" s="53" t="str">
        <f t="shared" si="331"/>
        <v/>
      </c>
      <c r="Q1512" s="53" t="str">
        <f t="shared" si="332"/>
        <v/>
      </c>
      <c r="R1512" s="53" t="str">
        <f t="shared" si="333"/>
        <v/>
      </c>
      <c r="S1512" s="53" t="str">
        <f t="shared" si="334"/>
        <v/>
      </c>
      <c r="T1512" s="53" t="str">
        <f t="shared" si="335"/>
        <v/>
      </c>
    </row>
    <row r="1513" spans="1:20">
      <c r="A1513" s="47" t="str">
        <f>IF(archive!E1513="","",archive!E1513)</f>
        <v/>
      </c>
      <c r="B1513" s="48" t="str">
        <f t="shared" si="322"/>
        <v/>
      </c>
      <c r="C1513" s="49" t="str">
        <f>IF(archive!F1513="","",archive!F1513)</f>
        <v/>
      </c>
      <c r="D1513" s="50" t="str">
        <f t="shared" si="323"/>
        <v/>
      </c>
      <c r="E1513" s="50" t="str">
        <f t="shared" si="324"/>
        <v/>
      </c>
      <c r="F1513" s="47" t="str">
        <f>IF(COUNTA(archive!H1513:CI1513)=0,"",COUNTA(archive!H1513:CI1513))</f>
        <v/>
      </c>
      <c r="G1513" s="47" t="str">
        <f>IF(archive!G1513="","",archive!G1513)</f>
        <v/>
      </c>
      <c r="H1513" s="51" t="str">
        <f>IF(archive!CJ1513="","",archive!CJ1513)</f>
        <v/>
      </c>
      <c r="I1513" s="51" t="str">
        <f>IF(archive!CK1513="","",archive!CK1513)</f>
        <v/>
      </c>
      <c r="J1513" s="47" t="str">
        <f t="shared" si="325"/>
        <v/>
      </c>
      <c r="K1513" s="51" t="str">
        <f t="shared" si="326"/>
        <v/>
      </c>
      <c r="L1513" s="52" t="str">
        <f t="shared" si="327"/>
        <v/>
      </c>
      <c r="M1513" s="53" t="str">
        <f t="shared" si="328"/>
        <v/>
      </c>
      <c r="N1513" s="53" t="str">
        <f t="shared" si="329"/>
        <v/>
      </c>
      <c r="O1513" s="53" t="str">
        <f t="shared" si="330"/>
        <v/>
      </c>
      <c r="P1513" s="53" t="str">
        <f t="shared" si="331"/>
        <v/>
      </c>
      <c r="Q1513" s="53" t="str">
        <f t="shared" si="332"/>
        <v/>
      </c>
      <c r="R1513" s="53" t="str">
        <f t="shared" si="333"/>
        <v/>
      </c>
      <c r="S1513" s="53" t="str">
        <f t="shared" si="334"/>
        <v/>
      </c>
      <c r="T1513" s="53" t="str">
        <f t="shared" si="335"/>
        <v/>
      </c>
    </row>
    <row r="1514" spans="1:20">
      <c r="A1514" s="47" t="str">
        <f>IF(archive!E1514="","",archive!E1514)</f>
        <v/>
      </c>
      <c r="B1514" s="48" t="str">
        <f t="shared" si="322"/>
        <v/>
      </c>
      <c r="C1514" s="49" t="str">
        <f>IF(archive!F1514="","",archive!F1514)</f>
        <v/>
      </c>
      <c r="D1514" s="50" t="str">
        <f t="shared" si="323"/>
        <v/>
      </c>
      <c r="E1514" s="50" t="str">
        <f t="shared" si="324"/>
        <v/>
      </c>
      <c r="F1514" s="47" t="str">
        <f>IF(COUNTA(archive!H1514:CI1514)=0,"",COUNTA(archive!H1514:CI1514))</f>
        <v/>
      </c>
      <c r="G1514" s="47" t="str">
        <f>IF(archive!G1514="","",archive!G1514)</f>
        <v/>
      </c>
      <c r="H1514" s="51" t="str">
        <f>IF(archive!CJ1514="","",archive!CJ1514)</f>
        <v/>
      </c>
      <c r="I1514" s="51" t="str">
        <f>IF(archive!CK1514="","",archive!CK1514)</f>
        <v/>
      </c>
      <c r="J1514" s="47" t="str">
        <f t="shared" si="325"/>
        <v/>
      </c>
      <c r="K1514" s="51" t="str">
        <f t="shared" si="326"/>
        <v/>
      </c>
      <c r="L1514" s="52" t="str">
        <f t="shared" si="327"/>
        <v/>
      </c>
      <c r="M1514" s="53" t="str">
        <f t="shared" si="328"/>
        <v/>
      </c>
      <c r="N1514" s="53" t="str">
        <f t="shared" si="329"/>
        <v/>
      </c>
      <c r="O1514" s="53" t="str">
        <f t="shared" si="330"/>
        <v/>
      </c>
      <c r="P1514" s="53" t="str">
        <f t="shared" si="331"/>
        <v/>
      </c>
      <c r="Q1514" s="53" t="str">
        <f t="shared" si="332"/>
        <v/>
      </c>
      <c r="R1514" s="53" t="str">
        <f t="shared" si="333"/>
        <v/>
      </c>
      <c r="S1514" s="53" t="str">
        <f t="shared" si="334"/>
        <v/>
      </c>
      <c r="T1514" s="53" t="str">
        <f t="shared" si="335"/>
        <v/>
      </c>
    </row>
    <row r="1515" spans="1:20">
      <c r="A1515" s="47" t="str">
        <f>IF(archive!E1515="","",archive!E1515)</f>
        <v/>
      </c>
      <c r="B1515" s="48" t="str">
        <f t="shared" si="322"/>
        <v/>
      </c>
      <c r="C1515" s="49" t="str">
        <f>IF(archive!F1515="","",archive!F1515)</f>
        <v/>
      </c>
      <c r="D1515" s="50" t="str">
        <f t="shared" si="323"/>
        <v/>
      </c>
      <c r="E1515" s="50" t="str">
        <f t="shared" si="324"/>
        <v/>
      </c>
      <c r="F1515" s="47" t="str">
        <f>IF(COUNTA(archive!H1515:CI1515)=0,"",COUNTA(archive!H1515:CI1515))</f>
        <v/>
      </c>
      <c r="G1515" s="47" t="str">
        <f>IF(archive!G1515="","",archive!G1515)</f>
        <v/>
      </c>
      <c r="H1515" s="51" t="str">
        <f>IF(archive!CJ1515="","",archive!CJ1515)</f>
        <v/>
      </c>
      <c r="I1515" s="51" t="str">
        <f>IF(archive!CK1515="","",archive!CK1515)</f>
        <v/>
      </c>
      <c r="J1515" s="47" t="str">
        <f t="shared" si="325"/>
        <v/>
      </c>
      <c r="K1515" s="51" t="str">
        <f t="shared" si="326"/>
        <v/>
      </c>
      <c r="L1515" s="52" t="str">
        <f t="shared" si="327"/>
        <v/>
      </c>
      <c r="M1515" s="53" t="str">
        <f t="shared" si="328"/>
        <v/>
      </c>
      <c r="N1515" s="53" t="str">
        <f t="shared" si="329"/>
        <v/>
      </c>
      <c r="O1515" s="53" t="str">
        <f t="shared" si="330"/>
        <v/>
      </c>
      <c r="P1515" s="53" t="str">
        <f t="shared" si="331"/>
        <v/>
      </c>
      <c r="Q1515" s="53" t="str">
        <f t="shared" si="332"/>
        <v/>
      </c>
      <c r="R1515" s="53" t="str">
        <f t="shared" si="333"/>
        <v/>
      </c>
      <c r="S1515" s="53" t="str">
        <f t="shared" si="334"/>
        <v/>
      </c>
      <c r="T1515" s="53" t="str">
        <f t="shared" si="335"/>
        <v/>
      </c>
    </row>
    <row r="1516" spans="1:20">
      <c r="A1516" s="47" t="str">
        <f>IF(archive!E1516="","",archive!E1516)</f>
        <v/>
      </c>
      <c r="B1516" s="48" t="str">
        <f t="shared" si="322"/>
        <v/>
      </c>
      <c r="C1516" s="49" t="str">
        <f>IF(archive!F1516="","",archive!F1516)</f>
        <v/>
      </c>
      <c r="D1516" s="50" t="str">
        <f t="shared" si="323"/>
        <v/>
      </c>
      <c r="E1516" s="50" t="str">
        <f t="shared" si="324"/>
        <v/>
      </c>
      <c r="F1516" s="47" t="str">
        <f>IF(COUNTA(archive!H1516:CI1516)=0,"",COUNTA(archive!H1516:CI1516))</f>
        <v/>
      </c>
      <c r="G1516" s="47" t="str">
        <f>IF(archive!G1516="","",archive!G1516)</f>
        <v/>
      </c>
      <c r="H1516" s="51" t="str">
        <f>IF(archive!CJ1516="","",archive!CJ1516)</f>
        <v/>
      </c>
      <c r="I1516" s="51" t="str">
        <f>IF(archive!CK1516="","",archive!CK1516)</f>
        <v/>
      </c>
      <c r="J1516" s="47" t="str">
        <f t="shared" si="325"/>
        <v/>
      </c>
      <c r="K1516" s="51" t="str">
        <f t="shared" si="326"/>
        <v/>
      </c>
      <c r="L1516" s="52" t="str">
        <f t="shared" si="327"/>
        <v/>
      </c>
      <c r="M1516" s="53" t="str">
        <f t="shared" si="328"/>
        <v/>
      </c>
      <c r="N1516" s="53" t="str">
        <f t="shared" si="329"/>
        <v/>
      </c>
      <c r="O1516" s="53" t="str">
        <f t="shared" si="330"/>
        <v/>
      </c>
      <c r="P1516" s="53" t="str">
        <f t="shared" si="331"/>
        <v/>
      </c>
      <c r="Q1516" s="53" t="str">
        <f t="shared" si="332"/>
        <v/>
      </c>
      <c r="R1516" s="53" t="str">
        <f t="shared" si="333"/>
        <v/>
      </c>
      <c r="S1516" s="53" t="str">
        <f t="shared" si="334"/>
        <v/>
      </c>
      <c r="T1516" s="53" t="str">
        <f t="shared" si="335"/>
        <v/>
      </c>
    </row>
    <row r="1517" spans="1:20">
      <c r="A1517" s="47" t="str">
        <f>IF(archive!E1517="","",archive!E1517)</f>
        <v/>
      </c>
      <c r="B1517" s="48" t="str">
        <f t="shared" si="322"/>
        <v/>
      </c>
      <c r="C1517" s="49" t="str">
        <f>IF(archive!F1517="","",archive!F1517)</f>
        <v/>
      </c>
      <c r="D1517" s="50" t="str">
        <f t="shared" si="323"/>
        <v/>
      </c>
      <c r="E1517" s="50" t="str">
        <f t="shared" si="324"/>
        <v/>
      </c>
      <c r="F1517" s="47" t="str">
        <f>IF(COUNTA(archive!H1517:CI1517)=0,"",COUNTA(archive!H1517:CI1517))</f>
        <v/>
      </c>
      <c r="G1517" s="47" t="str">
        <f>IF(archive!G1517="","",archive!G1517)</f>
        <v/>
      </c>
      <c r="H1517" s="51" t="str">
        <f>IF(archive!CJ1517="","",archive!CJ1517)</f>
        <v/>
      </c>
      <c r="I1517" s="51" t="str">
        <f>IF(archive!CK1517="","",archive!CK1517)</f>
        <v/>
      </c>
      <c r="J1517" s="47" t="str">
        <f t="shared" si="325"/>
        <v/>
      </c>
      <c r="K1517" s="51" t="str">
        <f t="shared" si="326"/>
        <v/>
      </c>
      <c r="L1517" s="52" t="str">
        <f t="shared" si="327"/>
        <v/>
      </c>
      <c r="M1517" s="53" t="str">
        <f t="shared" si="328"/>
        <v/>
      </c>
      <c r="N1517" s="53" t="str">
        <f t="shared" si="329"/>
        <v/>
      </c>
      <c r="O1517" s="53" t="str">
        <f t="shared" si="330"/>
        <v/>
      </c>
      <c r="P1517" s="53" t="str">
        <f t="shared" si="331"/>
        <v/>
      </c>
      <c r="Q1517" s="53" t="str">
        <f t="shared" si="332"/>
        <v/>
      </c>
      <c r="R1517" s="53" t="str">
        <f t="shared" si="333"/>
        <v/>
      </c>
      <c r="S1517" s="53" t="str">
        <f t="shared" si="334"/>
        <v/>
      </c>
      <c r="T1517" s="53" t="str">
        <f t="shared" si="335"/>
        <v/>
      </c>
    </row>
    <row r="1518" spans="1:20">
      <c r="A1518" s="47" t="str">
        <f>IF(archive!E1518="","",archive!E1518)</f>
        <v/>
      </c>
      <c r="B1518" s="48" t="str">
        <f t="shared" si="322"/>
        <v/>
      </c>
      <c r="C1518" s="49" t="str">
        <f>IF(archive!F1518="","",archive!F1518)</f>
        <v/>
      </c>
      <c r="D1518" s="50" t="str">
        <f t="shared" si="323"/>
        <v/>
      </c>
      <c r="E1518" s="50" t="str">
        <f t="shared" si="324"/>
        <v/>
      </c>
      <c r="F1518" s="47" t="str">
        <f>IF(COUNTA(archive!H1518:CI1518)=0,"",COUNTA(archive!H1518:CI1518))</f>
        <v/>
      </c>
      <c r="G1518" s="47" t="str">
        <f>IF(archive!G1518="","",archive!G1518)</f>
        <v/>
      </c>
      <c r="H1518" s="51" t="str">
        <f>IF(archive!CJ1518="","",archive!CJ1518)</f>
        <v/>
      </c>
      <c r="I1518" s="51" t="str">
        <f>IF(archive!CK1518="","",archive!CK1518)</f>
        <v/>
      </c>
      <c r="J1518" s="47" t="str">
        <f t="shared" si="325"/>
        <v/>
      </c>
      <c r="K1518" s="51" t="str">
        <f t="shared" si="326"/>
        <v/>
      </c>
      <c r="L1518" s="52" t="str">
        <f t="shared" si="327"/>
        <v/>
      </c>
      <c r="M1518" s="53" t="str">
        <f t="shared" si="328"/>
        <v/>
      </c>
      <c r="N1518" s="53" t="str">
        <f t="shared" si="329"/>
        <v/>
      </c>
      <c r="O1518" s="53" t="str">
        <f t="shared" si="330"/>
        <v/>
      </c>
      <c r="P1518" s="53" t="str">
        <f t="shared" si="331"/>
        <v/>
      </c>
      <c r="Q1518" s="53" t="str">
        <f t="shared" si="332"/>
        <v/>
      </c>
      <c r="R1518" s="53" t="str">
        <f t="shared" si="333"/>
        <v/>
      </c>
      <c r="S1518" s="53" t="str">
        <f t="shared" si="334"/>
        <v/>
      </c>
      <c r="T1518" s="53" t="str">
        <f t="shared" si="335"/>
        <v/>
      </c>
    </row>
    <row r="1519" spans="1:20">
      <c r="A1519" s="47" t="str">
        <f>IF(archive!E1519="","",archive!E1519)</f>
        <v/>
      </c>
      <c r="B1519" s="48" t="str">
        <f t="shared" si="322"/>
        <v/>
      </c>
      <c r="C1519" s="49" t="str">
        <f>IF(archive!F1519="","",archive!F1519)</f>
        <v/>
      </c>
      <c r="D1519" s="50" t="str">
        <f t="shared" si="323"/>
        <v/>
      </c>
      <c r="E1519" s="50" t="str">
        <f t="shared" si="324"/>
        <v/>
      </c>
      <c r="F1519" s="47" t="str">
        <f>IF(COUNTA(archive!H1519:CI1519)=0,"",COUNTA(archive!H1519:CI1519))</f>
        <v/>
      </c>
      <c r="G1519" s="47" t="str">
        <f>IF(archive!G1519="","",archive!G1519)</f>
        <v/>
      </c>
      <c r="H1519" s="51" t="str">
        <f>IF(archive!CJ1519="","",archive!CJ1519)</f>
        <v/>
      </c>
      <c r="I1519" s="51" t="str">
        <f>IF(archive!CK1519="","",archive!CK1519)</f>
        <v/>
      </c>
      <c r="J1519" s="47" t="str">
        <f t="shared" si="325"/>
        <v/>
      </c>
      <c r="K1519" s="51" t="str">
        <f t="shared" si="326"/>
        <v/>
      </c>
      <c r="L1519" s="52" t="str">
        <f t="shared" si="327"/>
        <v/>
      </c>
      <c r="M1519" s="53" t="str">
        <f t="shared" si="328"/>
        <v/>
      </c>
      <c r="N1519" s="53" t="str">
        <f t="shared" si="329"/>
        <v/>
      </c>
      <c r="O1519" s="53" t="str">
        <f t="shared" si="330"/>
        <v/>
      </c>
      <c r="P1519" s="53" t="str">
        <f t="shared" si="331"/>
        <v/>
      </c>
      <c r="Q1519" s="53" t="str">
        <f t="shared" si="332"/>
        <v/>
      </c>
      <c r="R1519" s="53" t="str">
        <f t="shared" si="333"/>
        <v/>
      </c>
      <c r="S1519" s="53" t="str">
        <f t="shared" si="334"/>
        <v/>
      </c>
      <c r="T1519" s="53" t="str">
        <f t="shared" si="335"/>
        <v/>
      </c>
    </row>
    <row r="1520" spans="1:20">
      <c r="A1520" s="47" t="str">
        <f>IF(archive!E1520="","",archive!E1520)</f>
        <v/>
      </c>
      <c r="B1520" s="48" t="str">
        <f t="shared" si="322"/>
        <v/>
      </c>
      <c r="C1520" s="49" t="str">
        <f>IF(archive!F1520="","",archive!F1520)</f>
        <v/>
      </c>
      <c r="D1520" s="50" t="str">
        <f t="shared" si="323"/>
        <v/>
      </c>
      <c r="E1520" s="50" t="str">
        <f t="shared" si="324"/>
        <v/>
      </c>
      <c r="F1520" s="47" t="str">
        <f>IF(COUNTA(archive!H1520:CI1520)=0,"",COUNTA(archive!H1520:CI1520))</f>
        <v/>
      </c>
      <c r="G1520" s="47" t="str">
        <f>IF(archive!G1520="","",archive!G1520)</f>
        <v/>
      </c>
      <c r="H1520" s="51" t="str">
        <f>IF(archive!CJ1520="","",archive!CJ1520)</f>
        <v/>
      </c>
      <c r="I1520" s="51" t="str">
        <f>IF(archive!CK1520="","",archive!CK1520)</f>
        <v/>
      </c>
      <c r="J1520" s="47" t="str">
        <f t="shared" si="325"/>
        <v/>
      </c>
      <c r="K1520" s="51" t="str">
        <f t="shared" si="326"/>
        <v/>
      </c>
      <c r="L1520" s="52" t="str">
        <f t="shared" si="327"/>
        <v/>
      </c>
      <c r="M1520" s="53" t="str">
        <f t="shared" si="328"/>
        <v/>
      </c>
      <c r="N1520" s="53" t="str">
        <f t="shared" si="329"/>
        <v/>
      </c>
      <c r="O1520" s="53" t="str">
        <f t="shared" si="330"/>
        <v/>
      </c>
      <c r="P1520" s="53" t="str">
        <f t="shared" si="331"/>
        <v/>
      </c>
      <c r="Q1520" s="53" t="str">
        <f t="shared" si="332"/>
        <v/>
      </c>
      <c r="R1520" s="53" t="str">
        <f t="shared" si="333"/>
        <v/>
      </c>
      <c r="S1520" s="53" t="str">
        <f t="shared" si="334"/>
        <v/>
      </c>
      <c r="T1520" s="53" t="str">
        <f t="shared" si="335"/>
        <v/>
      </c>
    </row>
    <row r="1521" spans="1:20">
      <c r="A1521" s="47" t="str">
        <f>IF(archive!E1521="","",archive!E1521)</f>
        <v/>
      </c>
      <c r="B1521" s="48" t="str">
        <f t="shared" si="322"/>
        <v/>
      </c>
      <c r="C1521" s="49" t="str">
        <f>IF(archive!F1521="","",archive!F1521)</f>
        <v/>
      </c>
      <c r="D1521" s="50" t="str">
        <f t="shared" si="323"/>
        <v/>
      </c>
      <c r="E1521" s="50" t="str">
        <f t="shared" si="324"/>
        <v/>
      </c>
      <c r="F1521" s="47" t="str">
        <f>IF(COUNTA(archive!H1521:CI1521)=0,"",COUNTA(archive!H1521:CI1521))</f>
        <v/>
      </c>
      <c r="G1521" s="47" t="str">
        <f>IF(archive!G1521="","",archive!G1521)</f>
        <v/>
      </c>
      <c r="H1521" s="51" t="str">
        <f>IF(archive!CJ1521="","",archive!CJ1521)</f>
        <v/>
      </c>
      <c r="I1521" s="51" t="str">
        <f>IF(archive!CK1521="","",archive!CK1521)</f>
        <v/>
      </c>
      <c r="J1521" s="47" t="str">
        <f t="shared" si="325"/>
        <v/>
      </c>
      <c r="K1521" s="51" t="str">
        <f t="shared" si="326"/>
        <v/>
      </c>
      <c r="L1521" s="52" t="str">
        <f t="shared" si="327"/>
        <v/>
      </c>
      <c r="M1521" s="53" t="str">
        <f t="shared" si="328"/>
        <v/>
      </c>
      <c r="N1521" s="53" t="str">
        <f t="shared" si="329"/>
        <v/>
      </c>
      <c r="O1521" s="53" t="str">
        <f t="shared" si="330"/>
        <v/>
      </c>
      <c r="P1521" s="53" t="str">
        <f t="shared" si="331"/>
        <v/>
      </c>
      <c r="Q1521" s="53" t="str">
        <f t="shared" si="332"/>
        <v/>
      </c>
      <c r="R1521" s="53" t="str">
        <f t="shared" si="333"/>
        <v/>
      </c>
      <c r="S1521" s="53" t="str">
        <f t="shared" si="334"/>
        <v/>
      </c>
      <c r="T1521" s="53" t="str">
        <f t="shared" si="335"/>
        <v/>
      </c>
    </row>
    <row r="1522" spans="1:20">
      <c r="A1522" s="47" t="str">
        <f>IF(archive!E1522="","",archive!E1522)</f>
        <v/>
      </c>
      <c r="B1522" s="48" t="str">
        <f t="shared" si="322"/>
        <v/>
      </c>
      <c r="C1522" s="49" t="str">
        <f>IF(archive!F1522="","",archive!F1522)</f>
        <v/>
      </c>
      <c r="D1522" s="50" t="str">
        <f t="shared" si="323"/>
        <v/>
      </c>
      <c r="E1522" s="50" t="str">
        <f t="shared" si="324"/>
        <v/>
      </c>
      <c r="F1522" s="47" t="str">
        <f>IF(COUNTA(archive!H1522:CI1522)=0,"",COUNTA(archive!H1522:CI1522))</f>
        <v/>
      </c>
      <c r="G1522" s="47" t="str">
        <f>IF(archive!G1522="","",archive!G1522)</f>
        <v/>
      </c>
      <c r="H1522" s="51" t="str">
        <f>IF(archive!CJ1522="","",archive!CJ1522)</f>
        <v/>
      </c>
      <c r="I1522" s="51" t="str">
        <f>IF(archive!CK1522="","",archive!CK1522)</f>
        <v/>
      </c>
      <c r="J1522" s="47" t="str">
        <f t="shared" si="325"/>
        <v/>
      </c>
      <c r="K1522" s="51" t="str">
        <f t="shared" si="326"/>
        <v/>
      </c>
      <c r="L1522" s="52" t="str">
        <f t="shared" si="327"/>
        <v/>
      </c>
      <c r="M1522" s="53" t="str">
        <f t="shared" si="328"/>
        <v/>
      </c>
      <c r="N1522" s="53" t="str">
        <f t="shared" si="329"/>
        <v/>
      </c>
      <c r="O1522" s="53" t="str">
        <f t="shared" si="330"/>
        <v/>
      </c>
      <c r="P1522" s="53" t="str">
        <f t="shared" si="331"/>
        <v/>
      </c>
      <c r="Q1522" s="53" t="str">
        <f t="shared" si="332"/>
        <v/>
      </c>
      <c r="R1522" s="53" t="str">
        <f t="shared" si="333"/>
        <v/>
      </c>
      <c r="S1522" s="53" t="str">
        <f t="shared" si="334"/>
        <v/>
      </c>
      <c r="T1522" s="53" t="str">
        <f t="shared" si="335"/>
        <v/>
      </c>
    </row>
    <row r="1523" spans="1:20">
      <c r="A1523" s="47" t="str">
        <f>IF(archive!E1523="","",archive!E1523)</f>
        <v/>
      </c>
      <c r="B1523" s="48" t="str">
        <f t="shared" si="322"/>
        <v/>
      </c>
      <c r="C1523" s="49" t="str">
        <f>IF(archive!F1523="","",archive!F1523)</f>
        <v/>
      </c>
      <c r="D1523" s="50" t="str">
        <f t="shared" si="323"/>
        <v/>
      </c>
      <c r="E1523" s="50" t="str">
        <f t="shared" si="324"/>
        <v/>
      </c>
      <c r="F1523" s="47" t="str">
        <f>IF(COUNTA(archive!H1523:CI1523)=0,"",COUNTA(archive!H1523:CI1523))</f>
        <v/>
      </c>
      <c r="G1523" s="47" t="str">
        <f>IF(archive!G1523="","",archive!G1523)</f>
        <v/>
      </c>
      <c r="H1523" s="51" t="str">
        <f>IF(archive!CJ1523="","",archive!CJ1523)</f>
        <v/>
      </c>
      <c r="I1523" s="51" t="str">
        <f>IF(archive!CK1523="","",archive!CK1523)</f>
        <v/>
      </c>
      <c r="J1523" s="47" t="str">
        <f t="shared" si="325"/>
        <v/>
      </c>
      <c r="K1523" s="51" t="str">
        <f t="shared" si="326"/>
        <v/>
      </c>
      <c r="L1523" s="52" t="str">
        <f t="shared" si="327"/>
        <v/>
      </c>
      <c r="M1523" s="53" t="str">
        <f t="shared" si="328"/>
        <v/>
      </c>
      <c r="N1523" s="53" t="str">
        <f t="shared" si="329"/>
        <v/>
      </c>
      <c r="O1523" s="53" t="str">
        <f t="shared" si="330"/>
        <v/>
      </c>
      <c r="P1523" s="53" t="str">
        <f t="shared" si="331"/>
        <v/>
      </c>
      <c r="Q1523" s="53" t="str">
        <f t="shared" si="332"/>
        <v/>
      </c>
      <c r="R1523" s="53" t="str">
        <f t="shared" si="333"/>
        <v/>
      </c>
      <c r="S1523" s="53" t="str">
        <f t="shared" si="334"/>
        <v/>
      </c>
      <c r="T1523" s="53" t="str">
        <f t="shared" si="335"/>
        <v/>
      </c>
    </row>
    <row r="1524" spans="1:20">
      <c r="A1524" s="47" t="str">
        <f>IF(archive!E1524="","",archive!E1524)</f>
        <v/>
      </c>
      <c r="B1524" s="48" t="str">
        <f t="shared" si="322"/>
        <v/>
      </c>
      <c r="C1524" s="49" t="str">
        <f>IF(archive!F1524="","",archive!F1524)</f>
        <v/>
      </c>
      <c r="D1524" s="50" t="str">
        <f t="shared" si="323"/>
        <v/>
      </c>
      <c r="E1524" s="50" t="str">
        <f t="shared" si="324"/>
        <v/>
      </c>
      <c r="F1524" s="47" t="str">
        <f>IF(COUNTA(archive!H1524:CI1524)=0,"",COUNTA(archive!H1524:CI1524))</f>
        <v/>
      </c>
      <c r="G1524" s="47" t="str">
        <f>IF(archive!G1524="","",archive!G1524)</f>
        <v/>
      </c>
      <c r="H1524" s="51" t="str">
        <f>IF(archive!CJ1524="","",archive!CJ1524)</f>
        <v/>
      </c>
      <c r="I1524" s="51" t="str">
        <f>IF(archive!CK1524="","",archive!CK1524)</f>
        <v/>
      </c>
      <c r="J1524" s="47" t="str">
        <f t="shared" si="325"/>
        <v/>
      </c>
      <c r="K1524" s="51" t="str">
        <f t="shared" si="326"/>
        <v/>
      </c>
      <c r="L1524" s="52" t="str">
        <f t="shared" si="327"/>
        <v/>
      </c>
      <c r="M1524" s="53" t="str">
        <f t="shared" si="328"/>
        <v/>
      </c>
      <c r="N1524" s="53" t="str">
        <f t="shared" si="329"/>
        <v/>
      </c>
      <c r="O1524" s="53" t="str">
        <f t="shared" si="330"/>
        <v/>
      </c>
      <c r="P1524" s="53" t="str">
        <f t="shared" si="331"/>
        <v/>
      </c>
      <c r="Q1524" s="53" t="str">
        <f t="shared" si="332"/>
        <v/>
      </c>
      <c r="R1524" s="53" t="str">
        <f t="shared" si="333"/>
        <v/>
      </c>
      <c r="S1524" s="53" t="str">
        <f t="shared" si="334"/>
        <v/>
      </c>
      <c r="T1524" s="53" t="str">
        <f t="shared" si="335"/>
        <v/>
      </c>
    </row>
    <row r="1525" spans="1:20">
      <c r="A1525" s="47" t="str">
        <f>IF(archive!E1525="","",archive!E1525)</f>
        <v/>
      </c>
      <c r="B1525" s="48" t="str">
        <f t="shared" si="322"/>
        <v/>
      </c>
      <c r="C1525" s="49" t="str">
        <f>IF(archive!F1525="","",archive!F1525)</f>
        <v/>
      </c>
      <c r="D1525" s="50" t="str">
        <f t="shared" si="323"/>
        <v/>
      </c>
      <c r="E1525" s="50" t="str">
        <f t="shared" si="324"/>
        <v/>
      </c>
      <c r="F1525" s="47" t="str">
        <f>IF(COUNTA(archive!H1525:CI1525)=0,"",COUNTA(archive!H1525:CI1525))</f>
        <v/>
      </c>
      <c r="G1525" s="47" t="str">
        <f>IF(archive!G1525="","",archive!G1525)</f>
        <v/>
      </c>
      <c r="H1525" s="51" t="str">
        <f>IF(archive!CJ1525="","",archive!CJ1525)</f>
        <v/>
      </c>
      <c r="I1525" s="51" t="str">
        <f>IF(archive!CK1525="","",archive!CK1525)</f>
        <v/>
      </c>
      <c r="J1525" s="47" t="str">
        <f t="shared" si="325"/>
        <v/>
      </c>
      <c r="K1525" s="51" t="str">
        <f t="shared" si="326"/>
        <v/>
      </c>
      <c r="L1525" s="52" t="str">
        <f t="shared" si="327"/>
        <v/>
      </c>
      <c r="M1525" s="53" t="str">
        <f t="shared" si="328"/>
        <v/>
      </c>
      <c r="N1525" s="53" t="str">
        <f t="shared" si="329"/>
        <v/>
      </c>
      <c r="O1525" s="53" t="str">
        <f t="shared" si="330"/>
        <v/>
      </c>
      <c r="P1525" s="53" t="str">
        <f t="shared" si="331"/>
        <v/>
      </c>
      <c r="Q1525" s="53" t="str">
        <f t="shared" si="332"/>
        <v/>
      </c>
      <c r="R1525" s="53" t="str">
        <f t="shared" si="333"/>
        <v/>
      </c>
      <c r="S1525" s="53" t="str">
        <f t="shared" si="334"/>
        <v/>
      </c>
      <c r="T1525" s="53" t="str">
        <f t="shared" si="335"/>
        <v/>
      </c>
    </row>
    <row r="1526" spans="1:20">
      <c r="A1526" s="47" t="str">
        <f>IF(archive!E1526="","",archive!E1526)</f>
        <v/>
      </c>
      <c r="B1526" s="48" t="str">
        <f t="shared" si="322"/>
        <v/>
      </c>
      <c r="C1526" s="49" t="str">
        <f>IF(archive!F1526="","",archive!F1526)</f>
        <v/>
      </c>
      <c r="D1526" s="50" t="str">
        <f t="shared" si="323"/>
        <v/>
      </c>
      <c r="E1526" s="50" t="str">
        <f t="shared" si="324"/>
        <v/>
      </c>
      <c r="F1526" s="47" t="str">
        <f>IF(COUNTA(archive!H1526:CI1526)=0,"",COUNTA(archive!H1526:CI1526))</f>
        <v/>
      </c>
      <c r="G1526" s="47" t="str">
        <f>IF(archive!G1526="","",archive!G1526)</f>
        <v/>
      </c>
      <c r="H1526" s="51" t="str">
        <f>IF(archive!CJ1526="","",archive!CJ1526)</f>
        <v/>
      </c>
      <c r="I1526" s="51" t="str">
        <f>IF(archive!CK1526="","",archive!CK1526)</f>
        <v/>
      </c>
      <c r="J1526" s="47" t="str">
        <f t="shared" si="325"/>
        <v/>
      </c>
      <c r="K1526" s="51" t="str">
        <f t="shared" si="326"/>
        <v/>
      </c>
      <c r="L1526" s="52" t="str">
        <f t="shared" si="327"/>
        <v/>
      </c>
      <c r="M1526" s="53" t="str">
        <f t="shared" si="328"/>
        <v/>
      </c>
      <c r="N1526" s="53" t="str">
        <f t="shared" si="329"/>
        <v/>
      </c>
      <c r="O1526" s="53" t="str">
        <f t="shared" si="330"/>
        <v/>
      </c>
      <c r="P1526" s="53" t="str">
        <f t="shared" si="331"/>
        <v/>
      </c>
      <c r="Q1526" s="53" t="str">
        <f t="shared" si="332"/>
        <v/>
      </c>
      <c r="R1526" s="53" t="str">
        <f t="shared" si="333"/>
        <v/>
      </c>
      <c r="S1526" s="53" t="str">
        <f t="shared" si="334"/>
        <v/>
      </c>
      <c r="T1526" s="53" t="str">
        <f t="shared" si="335"/>
        <v/>
      </c>
    </row>
    <row r="1527" spans="1:20">
      <c r="A1527" s="47" t="str">
        <f>IF(archive!E1527="","",archive!E1527)</f>
        <v/>
      </c>
      <c r="B1527" s="48" t="str">
        <f t="shared" si="322"/>
        <v/>
      </c>
      <c r="C1527" s="49" t="str">
        <f>IF(archive!F1527="","",archive!F1527)</f>
        <v/>
      </c>
      <c r="D1527" s="50" t="str">
        <f t="shared" si="323"/>
        <v/>
      </c>
      <c r="E1527" s="50" t="str">
        <f t="shared" si="324"/>
        <v/>
      </c>
      <c r="F1527" s="47" t="str">
        <f>IF(COUNTA(archive!H1527:CI1527)=0,"",COUNTA(archive!H1527:CI1527))</f>
        <v/>
      </c>
      <c r="G1527" s="47" t="str">
        <f>IF(archive!G1527="","",archive!G1527)</f>
        <v/>
      </c>
      <c r="H1527" s="51" t="str">
        <f>IF(archive!CJ1527="","",archive!CJ1527)</f>
        <v/>
      </c>
      <c r="I1527" s="51" t="str">
        <f>IF(archive!CK1527="","",archive!CK1527)</f>
        <v/>
      </c>
      <c r="J1527" s="47" t="str">
        <f t="shared" si="325"/>
        <v/>
      </c>
      <c r="K1527" s="51" t="str">
        <f t="shared" si="326"/>
        <v/>
      </c>
      <c r="L1527" s="52" t="str">
        <f t="shared" si="327"/>
        <v/>
      </c>
      <c r="M1527" s="53" t="str">
        <f t="shared" si="328"/>
        <v/>
      </c>
      <c r="N1527" s="53" t="str">
        <f t="shared" si="329"/>
        <v/>
      </c>
      <c r="O1527" s="53" t="str">
        <f t="shared" si="330"/>
        <v/>
      </c>
      <c r="P1527" s="53" t="str">
        <f t="shared" si="331"/>
        <v/>
      </c>
      <c r="Q1527" s="53" t="str">
        <f t="shared" si="332"/>
        <v/>
      </c>
      <c r="R1527" s="53" t="str">
        <f t="shared" si="333"/>
        <v/>
      </c>
      <c r="S1527" s="53" t="str">
        <f t="shared" si="334"/>
        <v/>
      </c>
      <c r="T1527" s="53" t="str">
        <f t="shared" si="335"/>
        <v/>
      </c>
    </row>
    <row r="1528" spans="1:20">
      <c r="A1528" s="47" t="str">
        <f>IF(archive!E1528="","",archive!E1528)</f>
        <v/>
      </c>
      <c r="B1528" s="48" t="str">
        <f t="shared" si="322"/>
        <v/>
      </c>
      <c r="C1528" s="49" t="str">
        <f>IF(archive!F1528="","",archive!F1528)</f>
        <v/>
      </c>
      <c r="D1528" s="50" t="str">
        <f t="shared" si="323"/>
        <v/>
      </c>
      <c r="E1528" s="50" t="str">
        <f t="shared" si="324"/>
        <v/>
      </c>
      <c r="F1528" s="47" t="str">
        <f>IF(COUNTA(archive!H1528:CI1528)=0,"",COUNTA(archive!H1528:CI1528))</f>
        <v/>
      </c>
      <c r="G1528" s="47" t="str">
        <f>IF(archive!G1528="","",archive!G1528)</f>
        <v/>
      </c>
      <c r="H1528" s="51" t="str">
        <f>IF(archive!CJ1528="","",archive!CJ1528)</f>
        <v/>
      </c>
      <c r="I1528" s="51" t="str">
        <f>IF(archive!CK1528="","",archive!CK1528)</f>
        <v/>
      </c>
      <c r="J1528" s="47" t="str">
        <f t="shared" si="325"/>
        <v/>
      </c>
      <c r="K1528" s="51" t="str">
        <f t="shared" si="326"/>
        <v/>
      </c>
      <c r="L1528" s="52" t="str">
        <f t="shared" si="327"/>
        <v/>
      </c>
      <c r="M1528" s="53" t="str">
        <f t="shared" si="328"/>
        <v/>
      </c>
      <c r="N1528" s="53" t="str">
        <f t="shared" si="329"/>
        <v/>
      </c>
      <c r="O1528" s="53" t="str">
        <f t="shared" si="330"/>
        <v/>
      </c>
      <c r="P1528" s="53" t="str">
        <f t="shared" si="331"/>
        <v/>
      </c>
      <c r="Q1528" s="53" t="str">
        <f t="shared" si="332"/>
        <v/>
      </c>
      <c r="R1528" s="53" t="str">
        <f t="shared" si="333"/>
        <v/>
      </c>
      <c r="S1528" s="53" t="str">
        <f t="shared" si="334"/>
        <v/>
      </c>
      <c r="T1528" s="53" t="str">
        <f t="shared" si="335"/>
        <v/>
      </c>
    </row>
    <row r="1529" spans="1:20">
      <c r="A1529" s="47" t="str">
        <f>IF(archive!E1529="","",archive!E1529)</f>
        <v/>
      </c>
      <c r="B1529" s="48" t="str">
        <f t="shared" si="322"/>
        <v/>
      </c>
      <c r="C1529" s="49" t="str">
        <f>IF(archive!F1529="","",archive!F1529)</f>
        <v/>
      </c>
      <c r="D1529" s="50" t="str">
        <f t="shared" si="323"/>
        <v/>
      </c>
      <c r="E1529" s="50" t="str">
        <f t="shared" si="324"/>
        <v/>
      </c>
      <c r="F1529" s="47" t="str">
        <f>IF(COUNTA(archive!H1529:CI1529)=0,"",COUNTA(archive!H1529:CI1529))</f>
        <v/>
      </c>
      <c r="G1529" s="47" t="str">
        <f>IF(archive!G1529="","",archive!G1529)</f>
        <v/>
      </c>
      <c r="H1529" s="51" t="str">
        <f>IF(archive!CJ1529="","",archive!CJ1529)</f>
        <v/>
      </c>
      <c r="I1529" s="51" t="str">
        <f>IF(archive!CK1529="","",archive!CK1529)</f>
        <v/>
      </c>
      <c r="J1529" s="47" t="str">
        <f t="shared" si="325"/>
        <v/>
      </c>
      <c r="K1529" s="51" t="str">
        <f t="shared" si="326"/>
        <v/>
      </c>
      <c r="L1529" s="52" t="str">
        <f t="shared" si="327"/>
        <v/>
      </c>
      <c r="M1529" s="53" t="str">
        <f t="shared" si="328"/>
        <v/>
      </c>
      <c r="N1529" s="53" t="str">
        <f t="shared" si="329"/>
        <v/>
      </c>
      <c r="O1529" s="53" t="str">
        <f t="shared" si="330"/>
        <v/>
      </c>
      <c r="P1529" s="53" t="str">
        <f t="shared" si="331"/>
        <v/>
      </c>
      <c r="Q1529" s="53" t="str">
        <f t="shared" si="332"/>
        <v/>
      </c>
      <c r="R1529" s="53" t="str">
        <f t="shared" si="333"/>
        <v/>
      </c>
      <c r="S1529" s="53" t="str">
        <f t="shared" si="334"/>
        <v/>
      </c>
      <c r="T1529" s="53" t="str">
        <f t="shared" si="335"/>
        <v/>
      </c>
    </row>
    <row r="1530" spans="1:20">
      <c r="A1530" s="47" t="str">
        <f>IF(archive!E1530="","",archive!E1530)</f>
        <v/>
      </c>
      <c r="B1530" s="48" t="str">
        <f t="shared" si="322"/>
        <v/>
      </c>
      <c r="C1530" s="49" t="str">
        <f>IF(archive!F1530="","",archive!F1530)</f>
        <v/>
      </c>
      <c r="D1530" s="50" t="str">
        <f t="shared" si="323"/>
        <v/>
      </c>
      <c r="E1530" s="50" t="str">
        <f t="shared" si="324"/>
        <v/>
      </c>
      <c r="F1530" s="47" t="str">
        <f>IF(COUNTA(archive!H1530:CI1530)=0,"",COUNTA(archive!H1530:CI1530))</f>
        <v/>
      </c>
      <c r="G1530" s="47" t="str">
        <f>IF(archive!G1530="","",archive!G1530)</f>
        <v/>
      </c>
      <c r="H1530" s="51" t="str">
        <f>IF(archive!CJ1530="","",archive!CJ1530)</f>
        <v/>
      </c>
      <c r="I1530" s="51" t="str">
        <f>IF(archive!CK1530="","",archive!CK1530)</f>
        <v/>
      </c>
      <c r="J1530" s="47" t="str">
        <f t="shared" si="325"/>
        <v/>
      </c>
      <c r="K1530" s="51" t="str">
        <f t="shared" si="326"/>
        <v/>
      </c>
      <c r="L1530" s="52" t="str">
        <f t="shared" si="327"/>
        <v/>
      </c>
      <c r="M1530" s="53" t="str">
        <f t="shared" si="328"/>
        <v/>
      </c>
      <c r="N1530" s="53" t="str">
        <f t="shared" si="329"/>
        <v/>
      </c>
      <c r="O1530" s="53" t="str">
        <f t="shared" si="330"/>
        <v/>
      </c>
      <c r="P1530" s="53" t="str">
        <f t="shared" si="331"/>
        <v/>
      </c>
      <c r="Q1530" s="53" t="str">
        <f t="shared" si="332"/>
        <v/>
      </c>
      <c r="R1530" s="53" t="str">
        <f t="shared" si="333"/>
        <v/>
      </c>
      <c r="S1530" s="53" t="str">
        <f t="shared" si="334"/>
        <v/>
      </c>
      <c r="T1530" s="53" t="str">
        <f t="shared" si="335"/>
        <v/>
      </c>
    </row>
    <row r="1531" spans="1:20">
      <c r="A1531" s="47" t="str">
        <f>IF(archive!E1531="","",archive!E1531)</f>
        <v/>
      </c>
      <c r="B1531" s="48" t="str">
        <f t="shared" si="322"/>
        <v/>
      </c>
      <c r="C1531" s="49" t="str">
        <f>IF(archive!F1531="","",archive!F1531)</f>
        <v/>
      </c>
      <c r="D1531" s="50" t="str">
        <f t="shared" si="323"/>
        <v/>
      </c>
      <c r="E1531" s="50" t="str">
        <f t="shared" si="324"/>
        <v/>
      </c>
      <c r="F1531" s="47" t="str">
        <f>IF(COUNTA(archive!H1531:CI1531)=0,"",COUNTA(archive!H1531:CI1531))</f>
        <v/>
      </c>
      <c r="G1531" s="47" t="str">
        <f>IF(archive!G1531="","",archive!G1531)</f>
        <v/>
      </c>
      <c r="H1531" s="51" t="str">
        <f>IF(archive!CJ1531="","",archive!CJ1531)</f>
        <v/>
      </c>
      <c r="I1531" s="51" t="str">
        <f>IF(archive!CK1531="","",archive!CK1531)</f>
        <v/>
      </c>
      <c r="J1531" s="47" t="str">
        <f t="shared" si="325"/>
        <v/>
      </c>
      <c r="K1531" s="51" t="str">
        <f t="shared" si="326"/>
        <v/>
      </c>
      <c r="L1531" s="52" t="str">
        <f t="shared" si="327"/>
        <v/>
      </c>
      <c r="M1531" s="53" t="str">
        <f t="shared" si="328"/>
        <v/>
      </c>
      <c r="N1531" s="53" t="str">
        <f t="shared" si="329"/>
        <v/>
      </c>
      <c r="O1531" s="53" t="str">
        <f t="shared" si="330"/>
        <v/>
      </c>
      <c r="P1531" s="53" t="str">
        <f t="shared" si="331"/>
        <v/>
      </c>
      <c r="Q1531" s="53" t="str">
        <f t="shared" si="332"/>
        <v/>
      </c>
      <c r="R1531" s="53" t="str">
        <f t="shared" si="333"/>
        <v/>
      </c>
      <c r="S1531" s="53" t="str">
        <f t="shared" si="334"/>
        <v/>
      </c>
      <c r="T1531" s="53" t="str">
        <f t="shared" si="335"/>
        <v/>
      </c>
    </row>
    <row r="1532" spans="1:20">
      <c r="A1532" s="47" t="str">
        <f>IF(archive!E1532="","",archive!E1532)</f>
        <v/>
      </c>
      <c r="B1532" s="48" t="str">
        <f t="shared" si="322"/>
        <v/>
      </c>
      <c r="C1532" s="49" t="str">
        <f>IF(archive!F1532="","",archive!F1532)</f>
        <v/>
      </c>
      <c r="D1532" s="50" t="str">
        <f t="shared" si="323"/>
        <v/>
      </c>
      <c r="E1532" s="50" t="str">
        <f t="shared" si="324"/>
        <v/>
      </c>
      <c r="F1532" s="47" t="str">
        <f>IF(COUNTA(archive!H1532:CI1532)=0,"",COUNTA(archive!H1532:CI1532))</f>
        <v/>
      </c>
      <c r="G1532" s="47" t="str">
        <f>IF(archive!G1532="","",archive!G1532)</f>
        <v/>
      </c>
      <c r="H1532" s="51" t="str">
        <f>IF(archive!CJ1532="","",archive!CJ1532)</f>
        <v/>
      </c>
      <c r="I1532" s="51" t="str">
        <f>IF(archive!CK1532="","",archive!CK1532)</f>
        <v/>
      </c>
      <c r="J1532" s="47" t="str">
        <f t="shared" si="325"/>
        <v/>
      </c>
      <c r="K1532" s="51" t="str">
        <f t="shared" si="326"/>
        <v/>
      </c>
      <c r="L1532" s="52" t="str">
        <f t="shared" si="327"/>
        <v/>
      </c>
      <c r="M1532" s="53" t="str">
        <f t="shared" si="328"/>
        <v/>
      </c>
      <c r="N1532" s="53" t="str">
        <f t="shared" si="329"/>
        <v/>
      </c>
      <c r="O1532" s="53" t="str">
        <f t="shared" si="330"/>
        <v/>
      </c>
      <c r="P1532" s="53" t="str">
        <f t="shared" si="331"/>
        <v/>
      </c>
      <c r="Q1532" s="53" t="str">
        <f t="shared" si="332"/>
        <v/>
      </c>
      <c r="R1532" s="53" t="str">
        <f t="shared" si="333"/>
        <v/>
      </c>
      <c r="S1532" s="53" t="str">
        <f t="shared" si="334"/>
        <v/>
      </c>
      <c r="T1532" s="53" t="str">
        <f t="shared" si="335"/>
        <v/>
      </c>
    </row>
    <row r="1533" spans="1:20">
      <c r="A1533" s="47" t="str">
        <f>IF(archive!E1533="","",archive!E1533)</f>
        <v/>
      </c>
      <c r="B1533" s="48" t="str">
        <f t="shared" si="322"/>
        <v/>
      </c>
      <c r="C1533" s="49" t="str">
        <f>IF(archive!F1533="","",archive!F1533)</f>
        <v/>
      </c>
      <c r="D1533" s="50" t="str">
        <f t="shared" si="323"/>
        <v/>
      </c>
      <c r="E1533" s="50" t="str">
        <f t="shared" si="324"/>
        <v/>
      </c>
      <c r="F1533" s="47" t="str">
        <f>IF(COUNTA(archive!H1533:CI1533)=0,"",COUNTA(archive!H1533:CI1533))</f>
        <v/>
      </c>
      <c r="G1533" s="47" t="str">
        <f>IF(archive!G1533="","",archive!G1533)</f>
        <v/>
      </c>
      <c r="H1533" s="51" t="str">
        <f>IF(archive!CJ1533="","",archive!CJ1533)</f>
        <v/>
      </c>
      <c r="I1533" s="51" t="str">
        <f>IF(archive!CK1533="","",archive!CK1533)</f>
        <v/>
      </c>
      <c r="J1533" s="47" t="str">
        <f t="shared" si="325"/>
        <v/>
      </c>
      <c r="K1533" s="51" t="str">
        <f t="shared" si="326"/>
        <v/>
      </c>
      <c r="L1533" s="52" t="str">
        <f t="shared" si="327"/>
        <v/>
      </c>
      <c r="M1533" s="53" t="str">
        <f t="shared" si="328"/>
        <v/>
      </c>
      <c r="N1533" s="53" t="str">
        <f t="shared" si="329"/>
        <v/>
      </c>
      <c r="O1533" s="53" t="str">
        <f t="shared" si="330"/>
        <v/>
      </c>
      <c r="P1533" s="53" t="str">
        <f t="shared" si="331"/>
        <v/>
      </c>
      <c r="Q1533" s="53" t="str">
        <f t="shared" si="332"/>
        <v/>
      </c>
      <c r="R1533" s="53" t="str">
        <f t="shared" si="333"/>
        <v/>
      </c>
      <c r="S1533" s="53" t="str">
        <f t="shared" si="334"/>
        <v/>
      </c>
      <c r="T1533" s="53" t="str">
        <f t="shared" si="335"/>
        <v/>
      </c>
    </row>
    <row r="1534" spans="1:20">
      <c r="A1534" s="47" t="str">
        <f>IF(archive!E1534="","",archive!E1534)</f>
        <v/>
      </c>
      <c r="B1534" s="48" t="str">
        <f t="shared" si="322"/>
        <v/>
      </c>
      <c r="C1534" s="49" t="str">
        <f>IF(archive!F1534="","",archive!F1534)</f>
        <v/>
      </c>
      <c r="D1534" s="50" t="str">
        <f t="shared" si="323"/>
        <v/>
      </c>
      <c r="E1534" s="50" t="str">
        <f t="shared" si="324"/>
        <v/>
      </c>
      <c r="F1534" s="47" t="str">
        <f>IF(COUNTA(archive!H1534:CI1534)=0,"",COUNTA(archive!H1534:CI1534))</f>
        <v/>
      </c>
      <c r="G1534" s="47" t="str">
        <f>IF(archive!G1534="","",archive!G1534)</f>
        <v/>
      </c>
      <c r="H1534" s="51" t="str">
        <f>IF(archive!CJ1534="","",archive!CJ1534)</f>
        <v/>
      </c>
      <c r="I1534" s="51" t="str">
        <f>IF(archive!CK1534="","",archive!CK1534)</f>
        <v/>
      </c>
      <c r="J1534" s="47" t="str">
        <f t="shared" si="325"/>
        <v/>
      </c>
      <c r="K1534" s="51" t="str">
        <f t="shared" si="326"/>
        <v/>
      </c>
      <c r="L1534" s="52" t="str">
        <f t="shared" si="327"/>
        <v/>
      </c>
      <c r="M1534" s="53" t="str">
        <f t="shared" si="328"/>
        <v/>
      </c>
      <c r="N1534" s="53" t="str">
        <f t="shared" si="329"/>
        <v/>
      </c>
      <c r="O1534" s="53" t="str">
        <f t="shared" si="330"/>
        <v/>
      </c>
      <c r="P1534" s="53" t="str">
        <f t="shared" si="331"/>
        <v/>
      </c>
      <c r="Q1534" s="53" t="str">
        <f t="shared" si="332"/>
        <v/>
      </c>
      <c r="R1534" s="53" t="str">
        <f t="shared" si="333"/>
        <v/>
      </c>
      <c r="S1534" s="53" t="str">
        <f t="shared" si="334"/>
        <v/>
      </c>
      <c r="T1534" s="53" t="str">
        <f t="shared" si="335"/>
        <v/>
      </c>
    </row>
    <row r="1535" spans="1:20">
      <c r="A1535" s="47" t="str">
        <f>IF(archive!E1535="","",archive!E1535)</f>
        <v/>
      </c>
      <c r="B1535" s="48" t="str">
        <f t="shared" si="322"/>
        <v/>
      </c>
      <c r="C1535" s="49" t="str">
        <f>IF(archive!F1535="","",archive!F1535)</f>
        <v/>
      </c>
      <c r="D1535" s="50" t="str">
        <f t="shared" si="323"/>
        <v/>
      </c>
      <c r="E1535" s="50" t="str">
        <f t="shared" si="324"/>
        <v/>
      </c>
      <c r="F1535" s="47" t="str">
        <f>IF(COUNTA(archive!H1535:CI1535)=0,"",COUNTA(archive!H1535:CI1535))</f>
        <v/>
      </c>
      <c r="G1535" s="47" t="str">
        <f>IF(archive!G1535="","",archive!G1535)</f>
        <v/>
      </c>
      <c r="H1535" s="51" t="str">
        <f>IF(archive!CJ1535="","",archive!CJ1535)</f>
        <v/>
      </c>
      <c r="I1535" s="51" t="str">
        <f>IF(archive!CK1535="","",archive!CK1535)</f>
        <v/>
      </c>
      <c r="J1535" s="47" t="str">
        <f t="shared" si="325"/>
        <v/>
      </c>
      <c r="K1535" s="51" t="str">
        <f t="shared" si="326"/>
        <v/>
      </c>
      <c r="L1535" s="52" t="str">
        <f t="shared" si="327"/>
        <v/>
      </c>
      <c r="M1535" s="53" t="str">
        <f t="shared" si="328"/>
        <v/>
      </c>
      <c r="N1535" s="53" t="str">
        <f t="shared" si="329"/>
        <v/>
      </c>
      <c r="O1535" s="53" t="str">
        <f t="shared" si="330"/>
        <v/>
      </c>
      <c r="P1535" s="53" t="str">
        <f t="shared" si="331"/>
        <v/>
      </c>
      <c r="Q1535" s="53" t="str">
        <f t="shared" si="332"/>
        <v/>
      </c>
      <c r="R1535" s="53" t="str">
        <f t="shared" si="333"/>
        <v/>
      </c>
      <c r="S1535" s="53" t="str">
        <f t="shared" si="334"/>
        <v/>
      </c>
      <c r="T1535" s="53" t="str">
        <f t="shared" si="335"/>
        <v/>
      </c>
    </row>
    <row r="1536" spans="1:20">
      <c r="A1536" s="47" t="str">
        <f>IF(archive!E1536="","",archive!E1536)</f>
        <v/>
      </c>
      <c r="B1536" s="48" t="str">
        <f t="shared" si="322"/>
        <v/>
      </c>
      <c r="C1536" s="49" t="str">
        <f>IF(archive!F1536="","",archive!F1536)</f>
        <v/>
      </c>
      <c r="D1536" s="50" t="str">
        <f t="shared" si="323"/>
        <v/>
      </c>
      <c r="E1536" s="50" t="str">
        <f t="shared" si="324"/>
        <v/>
      </c>
      <c r="F1536" s="47" t="str">
        <f>IF(COUNTA(archive!H1536:CI1536)=0,"",COUNTA(archive!H1536:CI1536))</f>
        <v/>
      </c>
      <c r="G1536" s="47" t="str">
        <f>IF(archive!G1536="","",archive!G1536)</f>
        <v/>
      </c>
      <c r="H1536" s="51" t="str">
        <f>IF(archive!CJ1536="","",archive!CJ1536)</f>
        <v/>
      </c>
      <c r="I1536" s="51" t="str">
        <f>IF(archive!CK1536="","",archive!CK1536)</f>
        <v/>
      </c>
      <c r="J1536" s="47" t="str">
        <f t="shared" si="325"/>
        <v/>
      </c>
      <c r="K1536" s="51" t="str">
        <f t="shared" si="326"/>
        <v/>
      </c>
      <c r="L1536" s="52" t="str">
        <f t="shared" si="327"/>
        <v/>
      </c>
      <c r="M1536" s="53" t="str">
        <f t="shared" si="328"/>
        <v/>
      </c>
      <c r="N1536" s="53" t="str">
        <f t="shared" si="329"/>
        <v/>
      </c>
      <c r="O1536" s="53" t="str">
        <f t="shared" si="330"/>
        <v/>
      </c>
      <c r="P1536" s="53" t="str">
        <f t="shared" si="331"/>
        <v/>
      </c>
      <c r="Q1536" s="53" t="str">
        <f t="shared" si="332"/>
        <v/>
      </c>
      <c r="R1536" s="53" t="str">
        <f t="shared" si="333"/>
        <v/>
      </c>
      <c r="S1536" s="53" t="str">
        <f t="shared" si="334"/>
        <v/>
      </c>
      <c r="T1536" s="53" t="str">
        <f t="shared" si="335"/>
        <v/>
      </c>
    </row>
    <row r="1537" spans="1:20">
      <c r="A1537" s="47" t="str">
        <f>IF(archive!E1537="","",archive!E1537)</f>
        <v/>
      </c>
      <c r="B1537" s="48" t="str">
        <f t="shared" si="322"/>
        <v/>
      </c>
      <c r="C1537" s="49" t="str">
        <f>IF(archive!F1537="","",archive!F1537)</f>
        <v/>
      </c>
      <c r="D1537" s="50" t="str">
        <f t="shared" si="323"/>
        <v/>
      </c>
      <c r="E1537" s="50" t="str">
        <f t="shared" si="324"/>
        <v/>
      </c>
      <c r="F1537" s="47" t="str">
        <f>IF(COUNTA(archive!H1537:CI1537)=0,"",COUNTA(archive!H1537:CI1537))</f>
        <v/>
      </c>
      <c r="G1537" s="47" t="str">
        <f>IF(archive!G1537="","",archive!G1537)</f>
        <v/>
      </c>
      <c r="H1537" s="51" t="str">
        <f>IF(archive!CJ1537="","",archive!CJ1537)</f>
        <v/>
      </c>
      <c r="I1537" s="51" t="str">
        <f>IF(archive!CK1537="","",archive!CK1537)</f>
        <v/>
      </c>
      <c r="J1537" s="47" t="str">
        <f t="shared" si="325"/>
        <v/>
      </c>
      <c r="K1537" s="51" t="str">
        <f t="shared" si="326"/>
        <v/>
      </c>
      <c r="L1537" s="52" t="str">
        <f t="shared" si="327"/>
        <v/>
      </c>
      <c r="M1537" s="53" t="str">
        <f t="shared" si="328"/>
        <v/>
      </c>
      <c r="N1537" s="53" t="str">
        <f t="shared" si="329"/>
        <v/>
      </c>
      <c r="O1537" s="53" t="str">
        <f t="shared" si="330"/>
        <v/>
      </c>
      <c r="P1537" s="53" t="str">
        <f t="shared" si="331"/>
        <v/>
      </c>
      <c r="Q1537" s="53" t="str">
        <f t="shared" si="332"/>
        <v/>
      </c>
      <c r="R1537" s="53" t="str">
        <f t="shared" si="333"/>
        <v/>
      </c>
      <c r="S1537" s="53" t="str">
        <f t="shared" si="334"/>
        <v/>
      </c>
      <c r="T1537" s="53" t="str">
        <f t="shared" si="335"/>
        <v/>
      </c>
    </row>
    <row r="1538" spans="1:20">
      <c r="A1538" s="47" t="str">
        <f>IF(archive!E1538="","",archive!E1538)</f>
        <v/>
      </c>
      <c r="B1538" s="48" t="str">
        <f t="shared" si="322"/>
        <v/>
      </c>
      <c r="C1538" s="49" t="str">
        <f>IF(archive!F1538="","",archive!F1538)</f>
        <v/>
      </c>
      <c r="D1538" s="50" t="str">
        <f t="shared" si="323"/>
        <v/>
      </c>
      <c r="E1538" s="50" t="str">
        <f t="shared" si="324"/>
        <v/>
      </c>
      <c r="F1538" s="47" t="str">
        <f>IF(COUNTA(archive!H1538:CI1538)=0,"",COUNTA(archive!H1538:CI1538))</f>
        <v/>
      </c>
      <c r="G1538" s="47" t="str">
        <f>IF(archive!G1538="","",archive!G1538)</f>
        <v/>
      </c>
      <c r="H1538" s="51" t="str">
        <f>IF(archive!CJ1538="","",archive!CJ1538)</f>
        <v/>
      </c>
      <c r="I1538" s="51" t="str">
        <f>IF(archive!CK1538="","",archive!CK1538)</f>
        <v/>
      </c>
      <c r="J1538" s="47" t="str">
        <f t="shared" si="325"/>
        <v/>
      </c>
      <c r="K1538" s="51" t="str">
        <f t="shared" si="326"/>
        <v/>
      </c>
      <c r="L1538" s="52" t="str">
        <f t="shared" si="327"/>
        <v/>
      </c>
      <c r="M1538" s="53" t="str">
        <f t="shared" si="328"/>
        <v/>
      </c>
      <c r="N1538" s="53" t="str">
        <f t="shared" si="329"/>
        <v/>
      </c>
      <c r="O1538" s="53" t="str">
        <f t="shared" si="330"/>
        <v/>
      </c>
      <c r="P1538" s="53" t="str">
        <f t="shared" si="331"/>
        <v/>
      </c>
      <c r="Q1538" s="53" t="str">
        <f t="shared" si="332"/>
        <v/>
      </c>
      <c r="R1538" s="53" t="str">
        <f t="shared" si="333"/>
        <v/>
      </c>
      <c r="S1538" s="53" t="str">
        <f t="shared" si="334"/>
        <v/>
      </c>
      <c r="T1538" s="53" t="str">
        <f t="shared" si="335"/>
        <v/>
      </c>
    </row>
    <row r="1539" spans="1:20">
      <c r="A1539" s="47" t="str">
        <f>IF(archive!E1539="","",archive!E1539)</f>
        <v/>
      </c>
      <c r="B1539" s="48" t="str">
        <f t="shared" si="322"/>
        <v/>
      </c>
      <c r="C1539" s="49" t="str">
        <f>IF(archive!F1539="","",archive!F1539)</f>
        <v/>
      </c>
      <c r="D1539" s="50" t="str">
        <f t="shared" si="323"/>
        <v/>
      </c>
      <c r="E1539" s="50" t="str">
        <f t="shared" si="324"/>
        <v/>
      </c>
      <c r="F1539" s="47" t="str">
        <f>IF(COUNTA(archive!H1539:CI1539)=0,"",COUNTA(archive!H1539:CI1539))</f>
        <v/>
      </c>
      <c r="G1539" s="47" t="str">
        <f>IF(archive!G1539="","",archive!G1539)</f>
        <v/>
      </c>
      <c r="H1539" s="51" t="str">
        <f>IF(archive!CJ1539="","",archive!CJ1539)</f>
        <v/>
      </c>
      <c r="I1539" s="51" t="str">
        <f>IF(archive!CK1539="","",archive!CK1539)</f>
        <v/>
      </c>
      <c r="J1539" s="47" t="str">
        <f t="shared" si="325"/>
        <v/>
      </c>
      <c r="K1539" s="51" t="str">
        <f t="shared" si="326"/>
        <v/>
      </c>
      <c r="L1539" s="52" t="str">
        <f t="shared" si="327"/>
        <v/>
      </c>
      <c r="M1539" s="53" t="str">
        <f t="shared" si="328"/>
        <v/>
      </c>
      <c r="N1539" s="53" t="str">
        <f t="shared" si="329"/>
        <v/>
      </c>
      <c r="O1539" s="53" t="str">
        <f t="shared" si="330"/>
        <v/>
      </c>
      <c r="P1539" s="53" t="str">
        <f t="shared" si="331"/>
        <v/>
      </c>
      <c r="Q1539" s="53" t="str">
        <f t="shared" si="332"/>
        <v/>
      </c>
      <c r="R1539" s="53" t="str">
        <f t="shared" si="333"/>
        <v/>
      </c>
      <c r="S1539" s="53" t="str">
        <f t="shared" si="334"/>
        <v/>
      </c>
      <c r="T1539" s="53" t="str">
        <f t="shared" si="335"/>
        <v/>
      </c>
    </row>
    <row r="1540" spans="1:20">
      <c r="A1540" s="47" t="str">
        <f>IF(archive!E1540="","",archive!E1540)</f>
        <v/>
      </c>
      <c r="B1540" s="48" t="str">
        <f t="shared" ref="B1540:B1603" si="336">IF(C1540="","",VLOOKUP($C1540,Tare,2,0))</f>
        <v/>
      </c>
      <c r="C1540" s="49" t="str">
        <f>IF(archive!F1540="","",archive!F1540)</f>
        <v/>
      </c>
      <c r="D1540" s="50" t="str">
        <f t="shared" ref="D1540:D1603" si="337">IF(C1540="","",C1540+B1540)</f>
        <v/>
      </c>
      <c r="E1540" s="50" t="str">
        <f t="shared" ref="E1540:E1603" si="338">IF(C1540="","",(C1540*0.025)+D1540)</f>
        <v/>
      </c>
      <c r="F1540" s="47" t="str">
        <f>IF(COUNTA(archive!H1540:CI1540)=0,"",COUNTA(archive!H1540:CI1540))</f>
        <v/>
      </c>
      <c r="G1540" s="47" t="str">
        <f>IF(archive!G1540="","",archive!G1540)</f>
        <v/>
      </c>
      <c r="H1540" s="51" t="str">
        <f>IF(archive!CJ1540="","",archive!CJ1540)</f>
        <v/>
      </c>
      <c r="I1540" s="51" t="str">
        <f>IF(archive!CK1540="","",archive!CK1540)</f>
        <v/>
      </c>
      <c r="J1540" s="47" t="str">
        <f t="shared" ref="J1540:J1603" si="339">IF(F1540="","",VLOOKUP(F1540,Valeur_g,2,0))</f>
        <v/>
      </c>
      <c r="K1540" s="51" t="str">
        <f t="shared" ref="K1540:K1603" si="340">IF(C1540="","",D1540+(J1540*I1540))</f>
        <v/>
      </c>
      <c r="L1540" s="52" t="str">
        <f t="shared" ref="L1540:L1603" si="341">IF(C1540="","",IF(K1540&lt;H1540,"Conforme","Non conforme"))</f>
        <v/>
      </c>
      <c r="M1540" s="53" t="str">
        <f t="shared" ref="M1540:M1603" si="342">IF(C1540="","",1)</f>
        <v/>
      </c>
      <c r="N1540" s="53" t="str">
        <f t="shared" ref="N1540:N1603" si="343">IF(L1540="","",COUNTIF(L1540,"Non conforme"))</f>
        <v/>
      </c>
      <c r="O1540" s="53" t="str">
        <f t="shared" ref="O1540:O1603" si="344">IF($C1540="","",IF($C1540=0.25,$G1540,"-"))</f>
        <v/>
      </c>
      <c r="P1540" s="53" t="str">
        <f t="shared" ref="P1540:P1603" si="345">IF($C1540="","",IF($C1540=0.4,$G1540,"-"))</f>
        <v/>
      </c>
      <c r="Q1540" s="53" t="str">
        <f t="shared" ref="Q1540:Q1603" si="346">IF($C1540="","",IF($C1540=0.5,$G1540,"-"))</f>
        <v/>
      </c>
      <c r="R1540" s="53" t="str">
        <f t="shared" ref="R1540:R1603" si="347">IF($C1540="","",IF($C1540=0.6,$G1540,"-"))</f>
        <v/>
      </c>
      <c r="S1540" s="53" t="str">
        <f t="shared" ref="S1540:S1603" si="348">IF($C1540="","",IF($C1540=0.8,$G1540,"-"))</f>
        <v/>
      </c>
      <c r="T1540" s="53" t="str">
        <f t="shared" ref="T1540:T1603" si="349">IF($C1540="","",IF($C1540=1,$G1540,"-"))</f>
        <v/>
      </c>
    </row>
    <row r="1541" spans="1:20">
      <c r="A1541" s="47" t="str">
        <f>IF(archive!E1541="","",archive!E1541)</f>
        <v/>
      </c>
      <c r="B1541" s="48" t="str">
        <f t="shared" si="336"/>
        <v/>
      </c>
      <c r="C1541" s="49" t="str">
        <f>IF(archive!F1541="","",archive!F1541)</f>
        <v/>
      </c>
      <c r="D1541" s="50" t="str">
        <f t="shared" si="337"/>
        <v/>
      </c>
      <c r="E1541" s="50" t="str">
        <f t="shared" si="338"/>
        <v/>
      </c>
      <c r="F1541" s="47" t="str">
        <f>IF(COUNTA(archive!H1541:CI1541)=0,"",COUNTA(archive!H1541:CI1541))</f>
        <v/>
      </c>
      <c r="G1541" s="47" t="str">
        <f>IF(archive!G1541="","",archive!G1541)</f>
        <v/>
      </c>
      <c r="H1541" s="51" t="str">
        <f>IF(archive!CJ1541="","",archive!CJ1541)</f>
        <v/>
      </c>
      <c r="I1541" s="51" t="str">
        <f>IF(archive!CK1541="","",archive!CK1541)</f>
        <v/>
      </c>
      <c r="J1541" s="47" t="str">
        <f t="shared" si="339"/>
        <v/>
      </c>
      <c r="K1541" s="51" t="str">
        <f t="shared" si="340"/>
        <v/>
      </c>
      <c r="L1541" s="52" t="str">
        <f t="shared" si="341"/>
        <v/>
      </c>
      <c r="M1541" s="53" t="str">
        <f t="shared" si="342"/>
        <v/>
      </c>
      <c r="N1541" s="53" t="str">
        <f t="shared" si="343"/>
        <v/>
      </c>
      <c r="O1541" s="53" t="str">
        <f t="shared" si="344"/>
        <v/>
      </c>
      <c r="P1541" s="53" t="str">
        <f t="shared" si="345"/>
        <v/>
      </c>
      <c r="Q1541" s="53" t="str">
        <f t="shared" si="346"/>
        <v/>
      </c>
      <c r="R1541" s="53" t="str">
        <f t="shared" si="347"/>
        <v/>
      </c>
      <c r="S1541" s="53" t="str">
        <f t="shared" si="348"/>
        <v/>
      </c>
      <c r="T1541" s="53" t="str">
        <f t="shared" si="349"/>
        <v/>
      </c>
    </row>
    <row r="1542" spans="1:20">
      <c r="A1542" s="47" t="str">
        <f>IF(archive!E1542="","",archive!E1542)</f>
        <v/>
      </c>
      <c r="B1542" s="48" t="str">
        <f t="shared" si="336"/>
        <v/>
      </c>
      <c r="C1542" s="49" t="str">
        <f>IF(archive!F1542="","",archive!F1542)</f>
        <v/>
      </c>
      <c r="D1542" s="50" t="str">
        <f t="shared" si="337"/>
        <v/>
      </c>
      <c r="E1542" s="50" t="str">
        <f t="shared" si="338"/>
        <v/>
      </c>
      <c r="F1542" s="47" t="str">
        <f>IF(COUNTA(archive!H1542:CI1542)=0,"",COUNTA(archive!H1542:CI1542))</f>
        <v/>
      </c>
      <c r="G1542" s="47" t="str">
        <f>IF(archive!G1542="","",archive!G1542)</f>
        <v/>
      </c>
      <c r="H1542" s="51" t="str">
        <f>IF(archive!CJ1542="","",archive!CJ1542)</f>
        <v/>
      </c>
      <c r="I1542" s="51" t="str">
        <f>IF(archive!CK1542="","",archive!CK1542)</f>
        <v/>
      </c>
      <c r="J1542" s="47" t="str">
        <f t="shared" si="339"/>
        <v/>
      </c>
      <c r="K1542" s="51" t="str">
        <f t="shared" si="340"/>
        <v/>
      </c>
      <c r="L1542" s="52" t="str">
        <f t="shared" si="341"/>
        <v/>
      </c>
      <c r="M1542" s="53" t="str">
        <f t="shared" si="342"/>
        <v/>
      </c>
      <c r="N1542" s="53" t="str">
        <f t="shared" si="343"/>
        <v/>
      </c>
      <c r="O1542" s="53" t="str">
        <f t="shared" si="344"/>
        <v/>
      </c>
      <c r="P1542" s="53" t="str">
        <f t="shared" si="345"/>
        <v/>
      </c>
      <c r="Q1542" s="53" t="str">
        <f t="shared" si="346"/>
        <v/>
      </c>
      <c r="R1542" s="53" t="str">
        <f t="shared" si="347"/>
        <v/>
      </c>
      <c r="S1542" s="53" t="str">
        <f t="shared" si="348"/>
        <v/>
      </c>
      <c r="T1542" s="53" t="str">
        <f t="shared" si="349"/>
        <v/>
      </c>
    </row>
    <row r="1543" spans="1:20">
      <c r="A1543" s="47" t="str">
        <f>IF(archive!E1543="","",archive!E1543)</f>
        <v/>
      </c>
      <c r="B1543" s="48" t="str">
        <f t="shared" si="336"/>
        <v/>
      </c>
      <c r="C1543" s="49" t="str">
        <f>IF(archive!F1543="","",archive!F1543)</f>
        <v/>
      </c>
      <c r="D1543" s="50" t="str">
        <f t="shared" si="337"/>
        <v/>
      </c>
      <c r="E1543" s="50" t="str">
        <f t="shared" si="338"/>
        <v/>
      </c>
      <c r="F1543" s="47" t="str">
        <f>IF(COUNTA(archive!H1543:CI1543)=0,"",COUNTA(archive!H1543:CI1543))</f>
        <v/>
      </c>
      <c r="G1543" s="47" t="str">
        <f>IF(archive!G1543="","",archive!G1543)</f>
        <v/>
      </c>
      <c r="H1543" s="51" t="str">
        <f>IF(archive!CJ1543="","",archive!CJ1543)</f>
        <v/>
      </c>
      <c r="I1543" s="51" t="str">
        <f>IF(archive!CK1543="","",archive!CK1543)</f>
        <v/>
      </c>
      <c r="J1543" s="47" t="str">
        <f t="shared" si="339"/>
        <v/>
      </c>
      <c r="K1543" s="51" t="str">
        <f t="shared" si="340"/>
        <v/>
      </c>
      <c r="L1543" s="52" t="str">
        <f t="shared" si="341"/>
        <v/>
      </c>
      <c r="M1543" s="53" t="str">
        <f t="shared" si="342"/>
        <v/>
      </c>
      <c r="N1543" s="53" t="str">
        <f t="shared" si="343"/>
        <v/>
      </c>
      <c r="O1543" s="53" t="str">
        <f t="shared" si="344"/>
        <v/>
      </c>
      <c r="P1543" s="53" t="str">
        <f t="shared" si="345"/>
        <v/>
      </c>
      <c r="Q1543" s="53" t="str">
        <f t="shared" si="346"/>
        <v/>
      </c>
      <c r="R1543" s="53" t="str">
        <f t="shared" si="347"/>
        <v/>
      </c>
      <c r="S1543" s="53" t="str">
        <f t="shared" si="348"/>
        <v/>
      </c>
      <c r="T1543" s="53" t="str">
        <f t="shared" si="349"/>
        <v/>
      </c>
    </row>
    <row r="1544" spans="1:20">
      <c r="A1544" s="47" t="str">
        <f>IF(archive!E1544="","",archive!E1544)</f>
        <v/>
      </c>
      <c r="B1544" s="48" t="str">
        <f t="shared" si="336"/>
        <v/>
      </c>
      <c r="C1544" s="49" t="str">
        <f>IF(archive!F1544="","",archive!F1544)</f>
        <v/>
      </c>
      <c r="D1544" s="50" t="str">
        <f t="shared" si="337"/>
        <v/>
      </c>
      <c r="E1544" s="50" t="str">
        <f t="shared" si="338"/>
        <v/>
      </c>
      <c r="F1544" s="47" t="str">
        <f>IF(COUNTA(archive!H1544:CI1544)=0,"",COUNTA(archive!H1544:CI1544))</f>
        <v/>
      </c>
      <c r="G1544" s="47" t="str">
        <f>IF(archive!G1544="","",archive!G1544)</f>
        <v/>
      </c>
      <c r="H1544" s="51" t="str">
        <f>IF(archive!CJ1544="","",archive!CJ1544)</f>
        <v/>
      </c>
      <c r="I1544" s="51" t="str">
        <f>IF(archive!CK1544="","",archive!CK1544)</f>
        <v/>
      </c>
      <c r="J1544" s="47" t="str">
        <f t="shared" si="339"/>
        <v/>
      </c>
      <c r="K1544" s="51" t="str">
        <f t="shared" si="340"/>
        <v/>
      </c>
      <c r="L1544" s="52" t="str">
        <f t="shared" si="341"/>
        <v/>
      </c>
      <c r="M1544" s="53" t="str">
        <f t="shared" si="342"/>
        <v/>
      </c>
      <c r="N1544" s="53" t="str">
        <f t="shared" si="343"/>
        <v/>
      </c>
      <c r="O1544" s="53" t="str">
        <f t="shared" si="344"/>
        <v/>
      </c>
      <c r="P1544" s="53" t="str">
        <f t="shared" si="345"/>
        <v/>
      </c>
      <c r="Q1544" s="53" t="str">
        <f t="shared" si="346"/>
        <v/>
      </c>
      <c r="R1544" s="53" t="str">
        <f t="shared" si="347"/>
        <v/>
      </c>
      <c r="S1544" s="53" t="str">
        <f t="shared" si="348"/>
        <v/>
      </c>
      <c r="T1544" s="53" t="str">
        <f t="shared" si="349"/>
        <v/>
      </c>
    </row>
    <row r="1545" spans="1:20">
      <c r="A1545" s="47" t="str">
        <f>IF(archive!E1545="","",archive!E1545)</f>
        <v/>
      </c>
      <c r="B1545" s="48" t="str">
        <f t="shared" si="336"/>
        <v/>
      </c>
      <c r="C1545" s="49" t="str">
        <f>IF(archive!F1545="","",archive!F1545)</f>
        <v/>
      </c>
      <c r="D1545" s="50" t="str">
        <f t="shared" si="337"/>
        <v/>
      </c>
      <c r="E1545" s="50" t="str">
        <f t="shared" si="338"/>
        <v/>
      </c>
      <c r="F1545" s="47" t="str">
        <f>IF(COUNTA(archive!H1545:CI1545)=0,"",COUNTA(archive!H1545:CI1545))</f>
        <v/>
      </c>
      <c r="G1545" s="47" t="str">
        <f>IF(archive!G1545="","",archive!G1545)</f>
        <v/>
      </c>
      <c r="H1545" s="51" t="str">
        <f>IF(archive!CJ1545="","",archive!CJ1545)</f>
        <v/>
      </c>
      <c r="I1545" s="51" t="str">
        <f>IF(archive!CK1545="","",archive!CK1545)</f>
        <v/>
      </c>
      <c r="J1545" s="47" t="str">
        <f t="shared" si="339"/>
        <v/>
      </c>
      <c r="K1545" s="51" t="str">
        <f t="shared" si="340"/>
        <v/>
      </c>
      <c r="L1545" s="52" t="str">
        <f t="shared" si="341"/>
        <v/>
      </c>
      <c r="M1545" s="53" t="str">
        <f t="shared" si="342"/>
        <v/>
      </c>
      <c r="N1545" s="53" t="str">
        <f t="shared" si="343"/>
        <v/>
      </c>
      <c r="O1545" s="53" t="str">
        <f t="shared" si="344"/>
        <v/>
      </c>
      <c r="P1545" s="53" t="str">
        <f t="shared" si="345"/>
        <v/>
      </c>
      <c r="Q1545" s="53" t="str">
        <f t="shared" si="346"/>
        <v/>
      </c>
      <c r="R1545" s="53" t="str">
        <f t="shared" si="347"/>
        <v/>
      </c>
      <c r="S1545" s="53" t="str">
        <f t="shared" si="348"/>
        <v/>
      </c>
      <c r="T1545" s="53" t="str">
        <f t="shared" si="349"/>
        <v/>
      </c>
    </row>
    <row r="1546" spans="1:20">
      <c r="A1546" s="47" t="str">
        <f>IF(archive!E1546="","",archive!E1546)</f>
        <v/>
      </c>
      <c r="B1546" s="48" t="str">
        <f t="shared" si="336"/>
        <v/>
      </c>
      <c r="C1546" s="49" t="str">
        <f>IF(archive!F1546="","",archive!F1546)</f>
        <v/>
      </c>
      <c r="D1546" s="50" t="str">
        <f t="shared" si="337"/>
        <v/>
      </c>
      <c r="E1546" s="50" t="str">
        <f t="shared" si="338"/>
        <v/>
      </c>
      <c r="F1546" s="47" t="str">
        <f>IF(COUNTA(archive!H1546:CI1546)=0,"",COUNTA(archive!H1546:CI1546))</f>
        <v/>
      </c>
      <c r="G1546" s="47" t="str">
        <f>IF(archive!G1546="","",archive!G1546)</f>
        <v/>
      </c>
      <c r="H1546" s="51" t="str">
        <f>IF(archive!CJ1546="","",archive!CJ1546)</f>
        <v/>
      </c>
      <c r="I1546" s="51" t="str">
        <f>IF(archive!CK1546="","",archive!CK1546)</f>
        <v/>
      </c>
      <c r="J1546" s="47" t="str">
        <f t="shared" si="339"/>
        <v/>
      </c>
      <c r="K1546" s="51" t="str">
        <f t="shared" si="340"/>
        <v/>
      </c>
      <c r="L1546" s="52" t="str">
        <f t="shared" si="341"/>
        <v/>
      </c>
      <c r="M1546" s="53" t="str">
        <f t="shared" si="342"/>
        <v/>
      </c>
      <c r="N1546" s="53" t="str">
        <f t="shared" si="343"/>
        <v/>
      </c>
      <c r="O1546" s="53" t="str">
        <f t="shared" si="344"/>
        <v/>
      </c>
      <c r="P1546" s="53" t="str">
        <f t="shared" si="345"/>
        <v/>
      </c>
      <c r="Q1546" s="53" t="str">
        <f t="shared" si="346"/>
        <v/>
      </c>
      <c r="R1546" s="53" t="str">
        <f t="shared" si="347"/>
        <v/>
      </c>
      <c r="S1546" s="53" t="str">
        <f t="shared" si="348"/>
        <v/>
      </c>
      <c r="T1546" s="53" t="str">
        <f t="shared" si="349"/>
        <v/>
      </c>
    </row>
    <row r="1547" spans="1:20">
      <c r="A1547" s="47" t="str">
        <f>IF(archive!E1547="","",archive!E1547)</f>
        <v/>
      </c>
      <c r="B1547" s="48" t="str">
        <f t="shared" si="336"/>
        <v/>
      </c>
      <c r="C1547" s="49" t="str">
        <f>IF(archive!F1547="","",archive!F1547)</f>
        <v/>
      </c>
      <c r="D1547" s="50" t="str">
        <f t="shared" si="337"/>
        <v/>
      </c>
      <c r="E1547" s="50" t="str">
        <f t="shared" si="338"/>
        <v/>
      </c>
      <c r="F1547" s="47" t="str">
        <f>IF(COUNTA(archive!H1547:CI1547)=0,"",COUNTA(archive!H1547:CI1547))</f>
        <v/>
      </c>
      <c r="G1547" s="47" t="str">
        <f>IF(archive!G1547="","",archive!G1547)</f>
        <v/>
      </c>
      <c r="H1547" s="51" t="str">
        <f>IF(archive!CJ1547="","",archive!CJ1547)</f>
        <v/>
      </c>
      <c r="I1547" s="51" t="str">
        <f>IF(archive!CK1547="","",archive!CK1547)</f>
        <v/>
      </c>
      <c r="J1547" s="47" t="str">
        <f t="shared" si="339"/>
        <v/>
      </c>
      <c r="K1547" s="51" t="str">
        <f t="shared" si="340"/>
        <v/>
      </c>
      <c r="L1547" s="52" t="str">
        <f t="shared" si="341"/>
        <v/>
      </c>
      <c r="M1547" s="53" t="str">
        <f t="shared" si="342"/>
        <v/>
      </c>
      <c r="N1547" s="53" t="str">
        <f t="shared" si="343"/>
        <v/>
      </c>
      <c r="O1547" s="53" t="str">
        <f t="shared" si="344"/>
        <v/>
      </c>
      <c r="P1547" s="53" t="str">
        <f t="shared" si="345"/>
        <v/>
      </c>
      <c r="Q1547" s="53" t="str">
        <f t="shared" si="346"/>
        <v/>
      </c>
      <c r="R1547" s="53" t="str">
        <f t="shared" si="347"/>
        <v/>
      </c>
      <c r="S1547" s="53" t="str">
        <f t="shared" si="348"/>
        <v/>
      </c>
      <c r="T1547" s="53" t="str">
        <f t="shared" si="349"/>
        <v/>
      </c>
    </row>
    <row r="1548" spans="1:20">
      <c r="A1548" s="47" t="str">
        <f>IF(archive!E1548="","",archive!E1548)</f>
        <v/>
      </c>
      <c r="B1548" s="48" t="str">
        <f t="shared" si="336"/>
        <v/>
      </c>
      <c r="C1548" s="49" t="str">
        <f>IF(archive!F1548="","",archive!F1548)</f>
        <v/>
      </c>
      <c r="D1548" s="50" t="str">
        <f t="shared" si="337"/>
        <v/>
      </c>
      <c r="E1548" s="50" t="str">
        <f t="shared" si="338"/>
        <v/>
      </c>
      <c r="F1548" s="47" t="str">
        <f>IF(COUNTA(archive!H1548:CI1548)=0,"",COUNTA(archive!H1548:CI1548))</f>
        <v/>
      </c>
      <c r="G1548" s="47" t="str">
        <f>IF(archive!G1548="","",archive!G1548)</f>
        <v/>
      </c>
      <c r="H1548" s="51" t="str">
        <f>IF(archive!CJ1548="","",archive!CJ1548)</f>
        <v/>
      </c>
      <c r="I1548" s="51" t="str">
        <f>IF(archive!CK1548="","",archive!CK1548)</f>
        <v/>
      </c>
      <c r="J1548" s="47" t="str">
        <f t="shared" si="339"/>
        <v/>
      </c>
      <c r="K1548" s="51" t="str">
        <f t="shared" si="340"/>
        <v/>
      </c>
      <c r="L1548" s="52" t="str">
        <f t="shared" si="341"/>
        <v/>
      </c>
      <c r="M1548" s="53" t="str">
        <f t="shared" si="342"/>
        <v/>
      </c>
      <c r="N1548" s="53" t="str">
        <f t="shared" si="343"/>
        <v/>
      </c>
      <c r="O1548" s="53" t="str">
        <f t="shared" si="344"/>
        <v/>
      </c>
      <c r="P1548" s="53" t="str">
        <f t="shared" si="345"/>
        <v/>
      </c>
      <c r="Q1548" s="53" t="str">
        <f t="shared" si="346"/>
        <v/>
      </c>
      <c r="R1548" s="53" t="str">
        <f t="shared" si="347"/>
        <v/>
      </c>
      <c r="S1548" s="53" t="str">
        <f t="shared" si="348"/>
        <v/>
      </c>
      <c r="T1548" s="53" t="str">
        <f t="shared" si="349"/>
        <v/>
      </c>
    </row>
    <row r="1549" spans="1:20">
      <c r="A1549" s="47" t="str">
        <f>IF(archive!E1549="","",archive!E1549)</f>
        <v/>
      </c>
      <c r="B1549" s="48" t="str">
        <f t="shared" si="336"/>
        <v/>
      </c>
      <c r="C1549" s="49" t="str">
        <f>IF(archive!F1549="","",archive!F1549)</f>
        <v/>
      </c>
      <c r="D1549" s="50" t="str">
        <f t="shared" si="337"/>
        <v/>
      </c>
      <c r="E1549" s="50" t="str">
        <f t="shared" si="338"/>
        <v/>
      </c>
      <c r="F1549" s="47" t="str">
        <f>IF(COUNTA(archive!H1549:CI1549)=0,"",COUNTA(archive!H1549:CI1549))</f>
        <v/>
      </c>
      <c r="G1549" s="47" t="str">
        <f>IF(archive!G1549="","",archive!G1549)</f>
        <v/>
      </c>
      <c r="H1549" s="51" t="str">
        <f>IF(archive!CJ1549="","",archive!CJ1549)</f>
        <v/>
      </c>
      <c r="I1549" s="51" t="str">
        <f>IF(archive!CK1549="","",archive!CK1549)</f>
        <v/>
      </c>
      <c r="J1549" s="47" t="str">
        <f t="shared" si="339"/>
        <v/>
      </c>
      <c r="K1549" s="51" t="str">
        <f t="shared" si="340"/>
        <v/>
      </c>
      <c r="L1549" s="52" t="str">
        <f t="shared" si="341"/>
        <v/>
      </c>
      <c r="M1549" s="53" t="str">
        <f t="shared" si="342"/>
        <v/>
      </c>
      <c r="N1549" s="53" t="str">
        <f t="shared" si="343"/>
        <v/>
      </c>
      <c r="O1549" s="53" t="str">
        <f t="shared" si="344"/>
        <v/>
      </c>
      <c r="P1549" s="53" t="str">
        <f t="shared" si="345"/>
        <v/>
      </c>
      <c r="Q1549" s="53" t="str">
        <f t="shared" si="346"/>
        <v/>
      </c>
      <c r="R1549" s="53" t="str">
        <f t="shared" si="347"/>
        <v/>
      </c>
      <c r="S1549" s="53" t="str">
        <f t="shared" si="348"/>
        <v/>
      </c>
      <c r="T1549" s="53" t="str">
        <f t="shared" si="349"/>
        <v/>
      </c>
    </row>
    <row r="1550" spans="1:20">
      <c r="A1550" s="47" t="str">
        <f>IF(archive!E1550="","",archive!E1550)</f>
        <v/>
      </c>
      <c r="B1550" s="48" t="str">
        <f t="shared" si="336"/>
        <v/>
      </c>
      <c r="C1550" s="49" t="str">
        <f>IF(archive!F1550="","",archive!F1550)</f>
        <v/>
      </c>
      <c r="D1550" s="50" t="str">
        <f t="shared" si="337"/>
        <v/>
      </c>
      <c r="E1550" s="50" t="str">
        <f t="shared" si="338"/>
        <v/>
      </c>
      <c r="F1550" s="47" t="str">
        <f>IF(COUNTA(archive!H1550:CI1550)=0,"",COUNTA(archive!H1550:CI1550))</f>
        <v/>
      </c>
      <c r="G1550" s="47" t="str">
        <f>IF(archive!G1550="","",archive!G1550)</f>
        <v/>
      </c>
      <c r="H1550" s="51" t="str">
        <f>IF(archive!CJ1550="","",archive!CJ1550)</f>
        <v/>
      </c>
      <c r="I1550" s="51" t="str">
        <f>IF(archive!CK1550="","",archive!CK1550)</f>
        <v/>
      </c>
      <c r="J1550" s="47" t="str">
        <f t="shared" si="339"/>
        <v/>
      </c>
      <c r="K1550" s="51" t="str">
        <f t="shared" si="340"/>
        <v/>
      </c>
      <c r="L1550" s="52" t="str">
        <f t="shared" si="341"/>
        <v/>
      </c>
      <c r="M1550" s="53" t="str">
        <f t="shared" si="342"/>
        <v/>
      </c>
      <c r="N1550" s="53" t="str">
        <f t="shared" si="343"/>
        <v/>
      </c>
      <c r="O1550" s="53" t="str">
        <f t="shared" si="344"/>
        <v/>
      </c>
      <c r="P1550" s="53" t="str">
        <f t="shared" si="345"/>
        <v/>
      </c>
      <c r="Q1550" s="53" t="str">
        <f t="shared" si="346"/>
        <v/>
      </c>
      <c r="R1550" s="53" t="str">
        <f t="shared" si="347"/>
        <v/>
      </c>
      <c r="S1550" s="53" t="str">
        <f t="shared" si="348"/>
        <v/>
      </c>
      <c r="T1550" s="53" t="str">
        <f t="shared" si="349"/>
        <v/>
      </c>
    </row>
    <row r="1551" spans="1:20">
      <c r="A1551" s="47" t="str">
        <f>IF(archive!E1551="","",archive!E1551)</f>
        <v/>
      </c>
      <c r="B1551" s="48" t="str">
        <f t="shared" si="336"/>
        <v/>
      </c>
      <c r="C1551" s="49" t="str">
        <f>IF(archive!F1551="","",archive!F1551)</f>
        <v/>
      </c>
      <c r="D1551" s="50" t="str">
        <f t="shared" si="337"/>
        <v/>
      </c>
      <c r="E1551" s="50" t="str">
        <f t="shared" si="338"/>
        <v/>
      </c>
      <c r="F1551" s="47" t="str">
        <f>IF(COUNTA(archive!H1551:CI1551)=0,"",COUNTA(archive!H1551:CI1551))</f>
        <v/>
      </c>
      <c r="G1551" s="47" t="str">
        <f>IF(archive!G1551="","",archive!G1551)</f>
        <v/>
      </c>
      <c r="H1551" s="51" t="str">
        <f>IF(archive!CJ1551="","",archive!CJ1551)</f>
        <v/>
      </c>
      <c r="I1551" s="51" t="str">
        <f>IF(archive!CK1551="","",archive!CK1551)</f>
        <v/>
      </c>
      <c r="J1551" s="47" t="str">
        <f t="shared" si="339"/>
        <v/>
      </c>
      <c r="K1551" s="51" t="str">
        <f t="shared" si="340"/>
        <v/>
      </c>
      <c r="L1551" s="52" t="str">
        <f t="shared" si="341"/>
        <v/>
      </c>
      <c r="M1551" s="53" t="str">
        <f t="shared" si="342"/>
        <v/>
      </c>
      <c r="N1551" s="53" t="str">
        <f t="shared" si="343"/>
        <v/>
      </c>
      <c r="O1551" s="53" t="str">
        <f t="shared" si="344"/>
        <v/>
      </c>
      <c r="P1551" s="53" t="str">
        <f t="shared" si="345"/>
        <v/>
      </c>
      <c r="Q1551" s="53" t="str">
        <f t="shared" si="346"/>
        <v/>
      </c>
      <c r="R1551" s="53" t="str">
        <f t="shared" si="347"/>
        <v/>
      </c>
      <c r="S1551" s="53" t="str">
        <f t="shared" si="348"/>
        <v/>
      </c>
      <c r="T1551" s="53" t="str">
        <f t="shared" si="349"/>
        <v/>
      </c>
    </row>
    <row r="1552" spans="1:20">
      <c r="A1552" s="47" t="str">
        <f>IF(archive!E1552="","",archive!E1552)</f>
        <v/>
      </c>
      <c r="B1552" s="48" t="str">
        <f t="shared" si="336"/>
        <v/>
      </c>
      <c r="C1552" s="49" t="str">
        <f>IF(archive!F1552="","",archive!F1552)</f>
        <v/>
      </c>
      <c r="D1552" s="50" t="str">
        <f t="shared" si="337"/>
        <v/>
      </c>
      <c r="E1552" s="50" t="str">
        <f t="shared" si="338"/>
        <v/>
      </c>
      <c r="F1552" s="47" t="str">
        <f>IF(COUNTA(archive!H1552:CI1552)=0,"",COUNTA(archive!H1552:CI1552))</f>
        <v/>
      </c>
      <c r="G1552" s="47" t="str">
        <f>IF(archive!G1552="","",archive!G1552)</f>
        <v/>
      </c>
      <c r="H1552" s="51" t="str">
        <f>IF(archive!CJ1552="","",archive!CJ1552)</f>
        <v/>
      </c>
      <c r="I1552" s="51" t="str">
        <f>IF(archive!CK1552="","",archive!CK1552)</f>
        <v/>
      </c>
      <c r="J1552" s="47" t="str">
        <f t="shared" si="339"/>
        <v/>
      </c>
      <c r="K1552" s="51" t="str">
        <f t="shared" si="340"/>
        <v/>
      </c>
      <c r="L1552" s="52" t="str">
        <f t="shared" si="341"/>
        <v/>
      </c>
      <c r="M1552" s="53" t="str">
        <f t="shared" si="342"/>
        <v/>
      </c>
      <c r="N1552" s="53" t="str">
        <f t="shared" si="343"/>
        <v/>
      </c>
      <c r="O1552" s="53" t="str">
        <f t="shared" si="344"/>
        <v/>
      </c>
      <c r="P1552" s="53" t="str">
        <f t="shared" si="345"/>
        <v/>
      </c>
      <c r="Q1552" s="53" t="str">
        <f t="shared" si="346"/>
        <v/>
      </c>
      <c r="R1552" s="53" t="str">
        <f t="shared" si="347"/>
        <v/>
      </c>
      <c r="S1552" s="53" t="str">
        <f t="shared" si="348"/>
        <v/>
      </c>
      <c r="T1552" s="53" t="str">
        <f t="shared" si="349"/>
        <v/>
      </c>
    </row>
    <row r="1553" spans="1:20">
      <c r="A1553" s="47" t="str">
        <f>IF(archive!E1553="","",archive!E1553)</f>
        <v/>
      </c>
      <c r="B1553" s="48" t="str">
        <f t="shared" si="336"/>
        <v/>
      </c>
      <c r="C1553" s="49" t="str">
        <f>IF(archive!F1553="","",archive!F1553)</f>
        <v/>
      </c>
      <c r="D1553" s="50" t="str">
        <f t="shared" si="337"/>
        <v/>
      </c>
      <c r="E1553" s="50" t="str">
        <f t="shared" si="338"/>
        <v/>
      </c>
      <c r="F1553" s="47" t="str">
        <f>IF(COUNTA(archive!H1553:CI1553)=0,"",COUNTA(archive!H1553:CI1553))</f>
        <v/>
      </c>
      <c r="G1553" s="47" t="str">
        <f>IF(archive!G1553="","",archive!G1553)</f>
        <v/>
      </c>
      <c r="H1553" s="51" t="str">
        <f>IF(archive!CJ1553="","",archive!CJ1553)</f>
        <v/>
      </c>
      <c r="I1553" s="51" t="str">
        <f>IF(archive!CK1553="","",archive!CK1553)</f>
        <v/>
      </c>
      <c r="J1553" s="47" t="str">
        <f t="shared" si="339"/>
        <v/>
      </c>
      <c r="K1553" s="51" t="str">
        <f t="shared" si="340"/>
        <v/>
      </c>
      <c r="L1553" s="52" t="str">
        <f t="shared" si="341"/>
        <v/>
      </c>
      <c r="M1553" s="53" t="str">
        <f t="shared" si="342"/>
        <v/>
      </c>
      <c r="N1553" s="53" t="str">
        <f t="shared" si="343"/>
        <v/>
      </c>
      <c r="O1553" s="53" t="str">
        <f t="shared" si="344"/>
        <v/>
      </c>
      <c r="P1553" s="53" t="str">
        <f t="shared" si="345"/>
        <v/>
      </c>
      <c r="Q1553" s="53" t="str">
        <f t="shared" si="346"/>
        <v/>
      </c>
      <c r="R1553" s="53" t="str">
        <f t="shared" si="347"/>
        <v/>
      </c>
      <c r="S1553" s="53" t="str">
        <f t="shared" si="348"/>
        <v/>
      </c>
      <c r="T1553" s="53" t="str">
        <f t="shared" si="349"/>
        <v/>
      </c>
    </row>
    <row r="1554" spans="1:20">
      <c r="A1554" s="47" t="str">
        <f>IF(archive!E1554="","",archive!E1554)</f>
        <v/>
      </c>
      <c r="B1554" s="48" t="str">
        <f t="shared" si="336"/>
        <v/>
      </c>
      <c r="C1554" s="49" t="str">
        <f>IF(archive!F1554="","",archive!F1554)</f>
        <v/>
      </c>
      <c r="D1554" s="50" t="str">
        <f t="shared" si="337"/>
        <v/>
      </c>
      <c r="E1554" s="50" t="str">
        <f t="shared" si="338"/>
        <v/>
      </c>
      <c r="F1554" s="47" t="str">
        <f>IF(COUNTA(archive!H1554:CI1554)=0,"",COUNTA(archive!H1554:CI1554))</f>
        <v/>
      </c>
      <c r="G1554" s="47" t="str">
        <f>IF(archive!G1554="","",archive!G1554)</f>
        <v/>
      </c>
      <c r="H1554" s="51" t="str">
        <f>IF(archive!CJ1554="","",archive!CJ1554)</f>
        <v/>
      </c>
      <c r="I1554" s="51" t="str">
        <f>IF(archive!CK1554="","",archive!CK1554)</f>
        <v/>
      </c>
      <c r="J1554" s="47" t="str">
        <f t="shared" si="339"/>
        <v/>
      </c>
      <c r="K1554" s="51" t="str">
        <f t="shared" si="340"/>
        <v/>
      </c>
      <c r="L1554" s="52" t="str">
        <f t="shared" si="341"/>
        <v/>
      </c>
      <c r="M1554" s="53" t="str">
        <f t="shared" si="342"/>
        <v/>
      </c>
      <c r="N1554" s="53" t="str">
        <f t="shared" si="343"/>
        <v/>
      </c>
      <c r="O1554" s="53" t="str">
        <f t="shared" si="344"/>
        <v/>
      </c>
      <c r="P1554" s="53" t="str">
        <f t="shared" si="345"/>
        <v/>
      </c>
      <c r="Q1554" s="53" t="str">
        <f t="shared" si="346"/>
        <v/>
      </c>
      <c r="R1554" s="53" t="str">
        <f t="shared" si="347"/>
        <v/>
      </c>
      <c r="S1554" s="53" t="str">
        <f t="shared" si="348"/>
        <v/>
      </c>
      <c r="T1554" s="53" t="str">
        <f t="shared" si="349"/>
        <v/>
      </c>
    </row>
    <row r="1555" spans="1:20">
      <c r="A1555" s="47" t="str">
        <f>IF(archive!E1555="","",archive!E1555)</f>
        <v/>
      </c>
      <c r="B1555" s="48" t="str">
        <f t="shared" si="336"/>
        <v/>
      </c>
      <c r="C1555" s="49" t="str">
        <f>IF(archive!F1555="","",archive!F1555)</f>
        <v/>
      </c>
      <c r="D1555" s="50" t="str">
        <f t="shared" si="337"/>
        <v/>
      </c>
      <c r="E1555" s="50" t="str">
        <f t="shared" si="338"/>
        <v/>
      </c>
      <c r="F1555" s="47" t="str">
        <f>IF(COUNTA(archive!H1555:CI1555)=0,"",COUNTA(archive!H1555:CI1555))</f>
        <v/>
      </c>
      <c r="G1555" s="47" t="str">
        <f>IF(archive!G1555="","",archive!G1555)</f>
        <v/>
      </c>
      <c r="H1555" s="51" t="str">
        <f>IF(archive!CJ1555="","",archive!CJ1555)</f>
        <v/>
      </c>
      <c r="I1555" s="51" t="str">
        <f>IF(archive!CK1555="","",archive!CK1555)</f>
        <v/>
      </c>
      <c r="J1555" s="47" t="str">
        <f t="shared" si="339"/>
        <v/>
      </c>
      <c r="K1555" s="51" t="str">
        <f t="shared" si="340"/>
        <v/>
      </c>
      <c r="L1555" s="52" t="str">
        <f t="shared" si="341"/>
        <v/>
      </c>
      <c r="M1555" s="53" t="str">
        <f t="shared" si="342"/>
        <v/>
      </c>
      <c r="N1555" s="53" t="str">
        <f t="shared" si="343"/>
        <v/>
      </c>
      <c r="O1555" s="53" t="str">
        <f t="shared" si="344"/>
        <v/>
      </c>
      <c r="P1555" s="53" t="str">
        <f t="shared" si="345"/>
        <v/>
      </c>
      <c r="Q1555" s="53" t="str">
        <f t="shared" si="346"/>
        <v/>
      </c>
      <c r="R1555" s="53" t="str">
        <f t="shared" si="347"/>
        <v/>
      </c>
      <c r="S1555" s="53" t="str">
        <f t="shared" si="348"/>
        <v/>
      </c>
      <c r="T1555" s="53" t="str">
        <f t="shared" si="349"/>
        <v/>
      </c>
    </row>
    <row r="1556" spans="1:20">
      <c r="A1556" s="47" t="str">
        <f>IF(archive!E1556="","",archive!E1556)</f>
        <v/>
      </c>
      <c r="B1556" s="48" t="str">
        <f t="shared" si="336"/>
        <v/>
      </c>
      <c r="C1556" s="49" t="str">
        <f>IF(archive!F1556="","",archive!F1556)</f>
        <v/>
      </c>
      <c r="D1556" s="50" t="str">
        <f t="shared" si="337"/>
        <v/>
      </c>
      <c r="E1556" s="50" t="str">
        <f t="shared" si="338"/>
        <v/>
      </c>
      <c r="F1556" s="47" t="str">
        <f>IF(COUNTA(archive!H1556:CI1556)=0,"",COUNTA(archive!H1556:CI1556))</f>
        <v/>
      </c>
      <c r="G1556" s="47" t="str">
        <f>IF(archive!G1556="","",archive!G1556)</f>
        <v/>
      </c>
      <c r="H1556" s="51" t="str">
        <f>IF(archive!CJ1556="","",archive!CJ1556)</f>
        <v/>
      </c>
      <c r="I1556" s="51" t="str">
        <f>IF(archive!CK1556="","",archive!CK1556)</f>
        <v/>
      </c>
      <c r="J1556" s="47" t="str">
        <f t="shared" si="339"/>
        <v/>
      </c>
      <c r="K1556" s="51" t="str">
        <f t="shared" si="340"/>
        <v/>
      </c>
      <c r="L1556" s="52" t="str">
        <f t="shared" si="341"/>
        <v/>
      </c>
      <c r="M1556" s="53" t="str">
        <f t="shared" si="342"/>
        <v/>
      </c>
      <c r="N1556" s="53" t="str">
        <f t="shared" si="343"/>
        <v/>
      </c>
      <c r="O1556" s="53" t="str">
        <f t="shared" si="344"/>
        <v/>
      </c>
      <c r="P1556" s="53" t="str">
        <f t="shared" si="345"/>
        <v/>
      </c>
      <c r="Q1556" s="53" t="str">
        <f t="shared" si="346"/>
        <v/>
      </c>
      <c r="R1556" s="53" t="str">
        <f t="shared" si="347"/>
        <v/>
      </c>
      <c r="S1556" s="53" t="str">
        <f t="shared" si="348"/>
        <v/>
      </c>
      <c r="T1556" s="53" t="str">
        <f t="shared" si="349"/>
        <v/>
      </c>
    </row>
    <row r="1557" spans="1:20">
      <c r="A1557" s="47" t="str">
        <f>IF(archive!E1557="","",archive!E1557)</f>
        <v/>
      </c>
      <c r="B1557" s="48" t="str">
        <f t="shared" si="336"/>
        <v/>
      </c>
      <c r="C1557" s="49" t="str">
        <f>IF(archive!F1557="","",archive!F1557)</f>
        <v/>
      </c>
      <c r="D1557" s="50" t="str">
        <f t="shared" si="337"/>
        <v/>
      </c>
      <c r="E1557" s="50" t="str">
        <f t="shared" si="338"/>
        <v/>
      </c>
      <c r="F1557" s="47" t="str">
        <f>IF(COUNTA(archive!H1557:CI1557)=0,"",COUNTA(archive!H1557:CI1557))</f>
        <v/>
      </c>
      <c r="G1557" s="47" t="str">
        <f>IF(archive!G1557="","",archive!G1557)</f>
        <v/>
      </c>
      <c r="H1557" s="51" t="str">
        <f>IF(archive!CJ1557="","",archive!CJ1557)</f>
        <v/>
      </c>
      <c r="I1557" s="51" t="str">
        <f>IF(archive!CK1557="","",archive!CK1557)</f>
        <v/>
      </c>
      <c r="J1557" s="47" t="str">
        <f t="shared" si="339"/>
        <v/>
      </c>
      <c r="K1557" s="51" t="str">
        <f t="shared" si="340"/>
        <v/>
      </c>
      <c r="L1557" s="52" t="str">
        <f t="shared" si="341"/>
        <v/>
      </c>
      <c r="M1557" s="53" t="str">
        <f t="shared" si="342"/>
        <v/>
      </c>
      <c r="N1557" s="53" t="str">
        <f t="shared" si="343"/>
        <v/>
      </c>
      <c r="O1557" s="53" t="str">
        <f t="shared" si="344"/>
        <v/>
      </c>
      <c r="P1557" s="53" t="str">
        <f t="shared" si="345"/>
        <v/>
      </c>
      <c r="Q1557" s="53" t="str">
        <f t="shared" si="346"/>
        <v/>
      </c>
      <c r="R1557" s="53" t="str">
        <f t="shared" si="347"/>
        <v/>
      </c>
      <c r="S1557" s="53" t="str">
        <f t="shared" si="348"/>
        <v/>
      </c>
      <c r="T1557" s="53" t="str">
        <f t="shared" si="349"/>
        <v/>
      </c>
    </row>
    <row r="1558" spans="1:20">
      <c r="A1558" s="47" t="str">
        <f>IF(archive!E1558="","",archive!E1558)</f>
        <v/>
      </c>
      <c r="B1558" s="48" t="str">
        <f t="shared" si="336"/>
        <v/>
      </c>
      <c r="C1558" s="49" t="str">
        <f>IF(archive!F1558="","",archive!F1558)</f>
        <v/>
      </c>
      <c r="D1558" s="50" t="str">
        <f t="shared" si="337"/>
        <v/>
      </c>
      <c r="E1558" s="50" t="str">
        <f t="shared" si="338"/>
        <v/>
      </c>
      <c r="F1558" s="47" t="str">
        <f>IF(COUNTA(archive!H1558:CI1558)=0,"",COUNTA(archive!H1558:CI1558))</f>
        <v/>
      </c>
      <c r="G1558" s="47" t="str">
        <f>IF(archive!G1558="","",archive!G1558)</f>
        <v/>
      </c>
      <c r="H1558" s="51" t="str">
        <f>IF(archive!CJ1558="","",archive!CJ1558)</f>
        <v/>
      </c>
      <c r="I1558" s="51" t="str">
        <f>IF(archive!CK1558="","",archive!CK1558)</f>
        <v/>
      </c>
      <c r="J1558" s="47" t="str">
        <f t="shared" si="339"/>
        <v/>
      </c>
      <c r="K1558" s="51" t="str">
        <f t="shared" si="340"/>
        <v/>
      </c>
      <c r="L1558" s="52" t="str">
        <f t="shared" si="341"/>
        <v/>
      </c>
      <c r="M1558" s="53" t="str">
        <f t="shared" si="342"/>
        <v/>
      </c>
      <c r="N1558" s="53" t="str">
        <f t="shared" si="343"/>
        <v/>
      </c>
      <c r="O1558" s="53" t="str">
        <f t="shared" si="344"/>
        <v/>
      </c>
      <c r="P1558" s="53" t="str">
        <f t="shared" si="345"/>
        <v/>
      </c>
      <c r="Q1558" s="53" t="str">
        <f t="shared" si="346"/>
        <v/>
      </c>
      <c r="R1558" s="53" t="str">
        <f t="shared" si="347"/>
        <v/>
      </c>
      <c r="S1558" s="53" t="str">
        <f t="shared" si="348"/>
        <v/>
      </c>
      <c r="T1558" s="53" t="str">
        <f t="shared" si="349"/>
        <v/>
      </c>
    </row>
    <row r="1559" spans="1:20">
      <c r="A1559" s="47" t="str">
        <f>IF(archive!E1559="","",archive!E1559)</f>
        <v/>
      </c>
      <c r="B1559" s="48" t="str">
        <f t="shared" si="336"/>
        <v/>
      </c>
      <c r="C1559" s="49" t="str">
        <f>IF(archive!F1559="","",archive!F1559)</f>
        <v/>
      </c>
      <c r="D1559" s="50" t="str">
        <f t="shared" si="337"/>
        <v/>
      </c>
      <c r="E1559" s="50" t="str">
        <f t="shared" si="338"/>
        <v/>
      </c>
      <c r="F1559" s="47" t="str">
        <f>IF(COUNTA(archive!H1559:CI1559)=0,"",COUNTA(archive!H1559:CI1559))</f>
        <v/>
      </c>
      <c r="G1559" s="47" t="str">
        <f>IF(archive!G1559="","",archive!G1559)</f>
        <v/>
      </c>
      <c r="H1559" s="51" t="str">
        <f>IF(archive!CJ1559="","",archive!CJ1559)</f>
        <v/>
      </c>
      <c r="I1559" s="51" t="str">
        <f>IF(archive!CK1559="","",archive!CK1559)</f>
        <v/>
      </c>
      <c r="J1559" s="47" t="str">
        <f t="shared" si="339"/>
        <v/>
      </c>
      <c r="K1559" s="51" t="str">
        <f t="shared" si="340"/>
        <v/>
      </c>
      <c r="L1559" s="52" t="str">
        <f t="shared" si="341"/>
        <v/>
      </c>
      <c r="M1559" s="53" t="str">
        <f t="shared" si="342"/>
        <v/>
      </c>
      <c r="N1559" s="53" t="str">
        <f t="shared" si="343"/>
        <v/>
      </c>
      <c r="O1559" s="53" t="str">
        <f t="shared" si="344"/>
        <v/>
      </c>
      <c r="P1559" s="53" t="str">
        <f t="shared" si="345"/>
        <v/>
      </c>
      <c r="Q1559" s="53" t="str">
        <f t="shared" si="346"/>
        <v/>
      </c>
      <c r="R1559" s="53" t="str">
        <f t="shared" si="347"/>
        <v/>
      </c>
      <c r="S1559" s="53" t="str">
        <f t="shared" si="348"/>
        <v/>
      </c>
      <c r="T1559" s="53" t="str">
        <f t="shared" si="349"/>
        <v/>
      </c>
    </row>
    <row r="1560" spans="1:20">
      <c r="A1560" s="47" t="str">
        <f>IF(archive!E1560="","",archive!E1560)</f>
        <v/>
      </c>
      <c r="B1560" s="48" t="str">
        <f t="shared" si="336"/>
        <v/>
      </c>
      <c r="C1560" s="49" t="str">
        <f>IF(archive!F1560="","",archive!F1560)</f>
        <v/>
      </c>
      <c r="D1560" s="50" t="str">
        <f t="shared" si="337"/>
        <v/>
      </c>
      <c r="E1560" s="50" t="str">
        <f t="shared" si="338"/>
        <v/>
      </c>
      <c r="F1560" s="47" t="str">
        <f>IF(COUNTA(archive!H1560:CI1560)=0,"",COUNTA(archive!H1560:CI1560))</f>
        <v/>
      </c>
      <c r="G1560" s="47" t="str">
        <f>IF(archive!G1560="","",archive!G1560)</f>
        <v/>
      </c>
      <c r="H1560" s="51" t="str">
        <f>IF(archive!CJ1560="","",archive!CJ1560)</f>
        <v/>
      </c>
      <c r="I1560" s="51" t="str">
        <f>IF(archive!CK1560="","",archive!CK1560)</f>
        <v/>
      </c>
      <c r="J1560" s="47" t="str">
        <f t="shared" si="339"/>
        <v/>
      </c>
      <c r="K1560" s="51" t="str">
        <f t="shared" si="340"/>
        <v/>
      </c>
      <c r="L1560" s="52" t="str">
        <f t="shared" si="341"/>
        <v/>
      </c>
      <c r="M1560" s="53" t="str">
        <f t="shared" si="342"/>
        <v/>
      </c>
      <c r="N1560" s="53" t="str">
        <f t="shared" si="343"/>
        <v/>
      </c>
      <c r="O1560" s="53" t="str">
        <f t="shared" si="344"/>
        <v/>
      </c>
      <c r="P1560" s="53" t="str">
        <f t="shared" si="345"/>
        <v/>
      </c>
      <c r="Q1560" s="53" t="str">
        <f t="shared" si="346"/>
        <v/>
      </c>
      <c r="R1560" s="53" t="str">
        <f t="shared" si="347"/>
        <v/>
      </c>
      <c r="S1560" s="53" t="str">
        <f t="shared" si="348"/>
        <v/>
      </c>
      <c r="T1560" s="53" t="str">
        <f t="shared" si="349"/>
        <v/>
      </c>
    </row>
    <row r="1561" spans="1:20">
      <c r="A1561" s="47" t="str">
        <f>IF(archive!E1561="","",archive!E1561)</f>
        <v/>
      </c>
      <c r="B1561" s="48" t="str">
        <f t="shared" si="336"/>
        <v/>
      </c>
      <c r="C1561" s="49" t="str">
        <f>IF(archive!F1561="","",archive!F1561)</f>
        <v/>
      </c>
      <c r="D1561" s="50" t="str">
        <f t="shared" si="337"/>
        <v/>
      </c>
      <c r="E1561" s="50" t="str">
        <f t="shared" si="338"/>
        <v/>
      </c>
      <c r="F1561" s="47" t="str">
        <f>IF(COUNTA(archive!H1561:CI1561)=0,"",COUNTA(archive!H1561:CI1561))</f>
        <v/>
      </c>
      <c r="G1561" s="47" t="str">
        <f>IF(archive!G1561="","",archive!G1561)</f>
        <v/>
      </c>
      <c r="H1561" s="51" t="str">
        <f>IF(archive!CJ1561="","",archive!CJ1561)</f>
        <v/>
      </c>
      <c r="I1561" s="51" t="str">
        <f>IF(archive!CK1561="","",archive!CK1561)</f>
        <v/>
      </c>
      <c r="J1561" s="47" t="str">
        <f t="shared" si="339"/>
        <v/>
      </c>
      <c r="K1561" s="51" t="str">
        <f t="shared" si="340"/>
        <v/>
      </c>
      <c r="L1561" s="52" t="str">
        <f t="shared" si="341"/>
        <v/>
      </c>
      <c r="M1561" s="53" t="str">
        <f t="shared" si="342"/>
        <v/>
      </c>
      <c r="N1561" s="53" t="str">
        <f t="shared" si="343"/>
        <v/>
      </c>
      <c r="O1561" s="53" t="str">
        <f t="shared" si="344"/>
        <v/>
      </c>
      <c r="P1561" s="53" t="str">
        <f t="shared" si="345"/>
        <v/>
      </c>
      <c r="Q1561" s="53" t="str">
        <f t="shared" si="346"/>
        <v/>
      </c>
      <c r="R1561" s="53" t="str">
        <f t="shared" si="347"/>
        <v/>
      </c>
      <c r="S1561" s="53" t="str">
        <f t="shared" si="348"/>
        <v/>
      </c>
      <c r="T1561" s="53" t="str">
        <f t="shared" si="349"/>
        <v/>
      </c>
    </row>
    <row r="1562" spans="1:20">
      <c r="A1562" s="47" t="str">
        <f>IF(archive!E1562="","",archive!E1562)</f>
        <v/>
      </c>
      <c r="B1562" s="48" t="str">
        <f t="shared" si="336"/>
        <v/>
      </c>
      <c r="C1562" s="49" t="str">
        <f>IF(archive!F1562="","",archive!F1562)</f>
        <v/>
      </c>
      <c r="D1562" s="50" t="str">
        <f t="shared" si="337"/>
        <v/>
      </c>
      <c r="E1562" s="50" t="str">
        <f t="shared" si="338"/>
        <v/>
      </c>
      <c r="F1562" s="47" t="str">
        <f>IF(COUNTA(archive!H1562:CI1562)=0,"",COUNTA(archive!H1562:CI1562))</f>
        <v/>
      </c>
      <c r="G1562" s="47" t="str">
        <f>IF(archive!G1562="","",archive!G1562)</f>
        <v/>
      </c>
      <c r="H1562" s="51" t="str">
        <f>IF(archive!CJ1562="","",archive!CJ1562)</f>
        <v/>
      </c>
      <c r="I1562" s="51" t="str">
        <f>IF(archive!CK1562="","",archive!CK1562)</f>
        <v/>
      </c>
      <c r="J1562" s="47" t="str">
        <f t="shared" si="339"/>
        <v/>
      </c>
      <c r="K1562" s="51" t="str">
        <f t="shared" si="340"/>
        <v/>
      </c>
      <c r="L1562" s="52" t="str">
        <f t="shared" si="341"/>
        <v/>
      </c>
      <c r="M1562" s="53" t="str">
        <f t="shared" si="342"/>
        <v/>
      </c>
      <c r="N1562" s="53" t="str">
        <f t="shared" si="343"/>
        <v/>
      </c>
      <c r="O1562" s="53" t="str">
        <f t="shared" si="344"/>
        <v/>
      </c>
      <c r="P1562" s="53" t="str">
        <f t="shared" si="345"/>
        <v/>
      </c>
      <c r="Q1562" s="53" t="str">
        <f t="shared" si="346"/>
        <v/>
      </c>
      <c r="R1562" s="53" t="str">
        <f t="shared" si="347"/>
        <v/>
      </c>
      <c r="S1562" s="53" t="str">
        <f t="shared" si="348"/>
        <v/>
      </c>
      <c r="T1562" s="53" t="str">
        <f t="shared" si="349"/>
        <v/>
      </c>
    </row>
    <row r="1563" spans="1:20">
      <c r="A1563" s="47" t="str">
        <f>IF(archive!E1563="","",archive!E1563)</f>
        <v/>
      </c>
      <c r="B1563" s="48" t="str">
        <f t="shared" si="336"/>
        <v/>
      </c>
      <c r="C1563" s="49" t="str">
        <f>IF(archive!F1563="","",archive!F1563)</f>
        <v/>
      </c>
      <c r="D1563" s="50" t="str">
        <f t="shared" si="337"/>
        <v/>
      </c>
      <c r="E1563" s="50" t="str">
        <f t="shared" si="338"/>
        <v/>
      </c>
      <c r="F1563" s="47" t="str">
        <f>IF(COUNTA(archive!H1563:CI1563)=0,"",COUNTA(archive!H1563:CI1563))</f>
        <v/>
      </c>
      <c r="G1563" s="47" t="str">
        <f>IF(archive!G1563="","",archive!G1563)</f>
        <v/>
      </c>
      <c r="H1563" s="51" t="str">
        <f>IF(archive!CJ1563="","",archive!CJ1563)</f>
        <v/>
      </c>
      <c r="I1563" s="51" t="str">
        <f>IF(archive!CK1563="","",archive!CK1563)</f>
        <v/>
      </c>
      <c r="J1563" s="47" t="str">
        <f t="shared" si="339"/>
        <v/>
      </c>
      <c r="K1563" s="51" t="str">
        <f t="shared" si="340"/>
        <v/>
      </c>
      <c r="L1563" s="52" t="str">
        <f t="shared" si="341"/>
        <v/>
      </c>
      <c r="M1563" s="53" t="str">
        <f t="shared" si="342"/>
        <v/>
      </c>
      <c r="N1563" s="53" t="str">
        <f t="shared" si="343"/>
        <v/>
      </c>
      <c r="O1563" s="53" t="str">
        <f t="shared" si="344"/>
        <v/>
      </c>
      <c r="P1563" s="53" t="str">
        <f t="shared" si="345"/>
        <v/>
      </c>
      <c r="Q1563" s="53" t="str">
        <f t="shared" si="346"/>
        <v/>
      </c>
      <c r="R1563" s="53" t="str">
        <f t="shared" si="347"/>
        <v/>
      </c>
      <c r="S1563" s="53" t="str">
        <f t="shared" si="348"/>
        <v/>
      </c>
      <c r="T1563" s="53" t="str">
        <f t="shared" si="349"/>
        <v/>
      </c>
    </row>
    <row r="1564" spans="1:20">
      <c r="A1564" s="47" t="str">
        <f>IF(archive!E1564="","",archive!E1564)</f>
        <v/>
      </c>
      <c r="B1564" s="48" t="str">
        <f t="shared" si="336"/>
        <v/>
      </c>
      <c r="C1564" s="49" t="str">
        <f>IF(archive!F1564="","",archive!F1564)</f>
        <v/>
      </c>
      <c r="D1564" s="50" t="str">
        <f t="shared" si="337"/>
        <v/>
      </c>
      <c r="E1564" s="50" t="str">
        <f t="shared" si="338"/>
        <v/>
      </c>
      <c r="F1564" s="47" t="str">
        <f>IF(COUNTA(archive!H1564:CI1564)=0,"",COUNTA(archive!H1564:CI1564))</f>
        <v/>
      </c>
      <c r="G1564" s="47" t="str">
        <f>IF(archive!G1564="","",archive!G1564)</f>
        <v/>
      </c>
      <c r="H1564" s="51" t="str">
        <f>IF(archive!CJ1564="","",archive!CJ1564)</f>
        <v/>
      </c>
      <c r="I1564" s="51" t="str">
        <f>IF(archive!CK1564="","",archive!CK1564)</f>
        <v/>
      </c>
      <c r="J1564" s="47" t="str">
        <f t="shared" si="339"/>
        <v/>
      </c>
      <c r="K1564" s="51" t="str">
        <f t="shared" si="340"/>
        <v/>
      </c>
      <c r="L1564" s="52" t="str">
        <f t="shared" si="341"/>
        <v/>
      </c>
      <c r="M1564" s="53" t="str">
        <f t="shared" si="342"/>
        <v/>
      </c>
      <c r="N1564" s="53" t="str">
        <f t="shared" si="343"/>
        <v/>
      </c>
      <c r="O1564" s="53" t="str">
        <f t="shared" si="344"/>
        <v/>
      </c>
      <c r="P1564" s="53" t="str">
        <f t="shared" si="345"/>
        <v/>
      </c>
      <c r="Q1564" s="53" t="str">
        <f t="shared" si="346"/>
        <v/>
      </c>
      <c r="R1564" s="53" t="str">
        <f t="shared" si="347"/>
        <v/>
      </c>
      <c r="S1564" s="53" t="str">
        <f t="shared" si="348"/>
        <v/>
      </c>
      <c r="T1564" s="53" t="str">
        <f t="shared" si="349"/>
        <v/>
      </c>
    </row>
    <row r="1565" spans="1:20">
      <c r="A1565" s="47" t="str">
        <f>IF(archive!E1565="","",archive!E1565)</f>
        <v/>
      </c>
      <c r="B1565" s="48" t="str">
        <f t="shared" si="336"/>
        <v/>
      </c>
      <c r="C1565" s="49" t="str">
        <f>IF(archive!F1565="","",archive!F1565)</f>
        <v/>
      </c>
      <c r="D1565" s="50" t="str">
        <f t="shared" si="337"/>
        <v/>
      </c>
      <c r="E1565" s="50" t="str">
        <f t="shared" si="338"/>
        <v/>
      </c>
      <c r="F1565" s="47" t="str">
        <f>IF(COUNTA(archive!H1565:CI1565)=0,"",COUNTA(archive!H1565:CI1565))</f>
        <v/>
      </c>
      <c r="G1565" s="47" t="str">
        <f>IF(archive!G1565="","",archive!G1565)</f>
        <v/>
      </c>
      <c r="H1565" s="51" t="str">
        <f>IF(archive!CJ1565="","",archive!CJ1565)</f>
        <v/>
      </c>
      <c r="I1565" s="51" t="str">
        <f>IF(archive!CK1565="","",archive!CK1565)</f>
        <v/>
      </c>
      <c r="J1565" s="47" t="str">
        <f t="shared" si="339"/>
        <v/>
      </c>
      <c r="K1565" s="51" t="str">
        <f t="shared" si="340"/>
        <v/>
      </c>
      <c r="L1565" s="52" t="str">
        <f t="shared" si="341"/>
        <v/>
      </c>
      <c r="M1565" s="53" t="str">
        <f t="shared" si="342"/>
        <v/>
      </c>
      <c r="N1565" s="53" t="str">
        <f t="shared" si="343"/>
        <v/>
      </c>
      <c r="O1565" s="53" t="str">
        <f t="shared" si="344"/>
        <v/>
      </c>
      <c r="P1565" s="53" t="str">
        <f t="shared" si="345"/>
        <v/>
      </c>
      <c r="Q1565" s="53" t="str">
        <f t="shared" si="346"/>
        <v/>
      </c>
      <c r="R1565" s="53" t="str">
        <f t="shared" si="347"/>
        <v/>
      </c>
      <c r="S1565" s="53" t="str">
        <f t="shared" si="348"/>
        <v/>
      </c>
      <c r="T1565" s="53" t="str">
        <f t="shared" si="349"/>
        <v/>
      </c>
    </row>
    <row r="1566" spans="1:20">
      <c r="A1566" s="47" t="str">
        <f>IF(archive!E1566="","",archive!E1566)</f>
        <v/>
      </c>
      <c r="B1566" s="48" t="str">
        <f t="shared" si="336"/>
        <v/>
      </c>
      <c r="C1566" s="49" t="str">
        <f>IF(archive!F1566="","",archive!F1566)</f>
        <v/>
      </c>
      <c r="D1566" s="50" t="str">
        <f t="shared" si="337"/>
        <v/>
      </c>
      <c r="E1566" s="50" t="str">
        <f t="shared" si="338"/>
        <v/>
      </c>
      <c r="F1566" s="47" t="str">
        <f>IF(COUNTA(archive!H1566:CI1566)=0,"",COUNTA(archive!H1566:CI1566))</f>
        <v/>
      </c>
      <c r="G1566" s="47" t="str">
        <f>IF(archive!G1566="","",archive!G1566)</f>
        <v/>
      </c>
      <c r="H1566" s="51" t="str">
        <f>IF(archive!CJ1566="","",archive!CJ1566)</f>
        <v/>
      </c>
      <c r="I1566" s="51" t="str">
        <f>IF(archive!CK1566="","",archive!CK1566)</f>
        <v/>
      </c>
      <c r="J1566" s="47" t="str">
        <f t="shared" si="339"/>
        <v/>
      </c>
      <c r="K1566" s="51" t="str">
        <f t="shared" si="340"/>
        <v/>
      </c>
      <c r="L1566" s="52" t="str">
        <f t="shared" si="341"/>
        <v/>
      </c>
      <c r="M1566" s="53" t="str">
        <f t="shared" si="342"/>
        <v/>
      </c>
      <c r="N1566" s="53" t="str">
        <f t="shared" si="343"/>
        <v/>
      </c>
      <c r="O1566" s="53" t="str">
        <f t="shared" si="344"/>
        <v/>
      </c>
      <c r="P1566" s="53" t="str">
        <f t="shared" si="345"/>
        <v/>
      </c>
      <c r="Q1566" s="53" t="str">
        <f t="shared" si="346"/>
        <v/>
      </c>
      <c r="R1566" s="53" t="str">
        <f t="shared" si="347"/>
        <v/>
      </c>
      <c r="S1566" s="53" t="str">
        <f t="shared" si="348"/>
        <v/>
      </c>
      <c r="T1566" s="53" t="str">
        <f t="shared" si="349"/>
        <v/>
      </c>
    </row>
    <row r="1567" spans="1:20">
      <c r="A1567" s="47" t="str">
        <f>IF(archive!E1567="","",archive!E1567)</f>
        <v/>
      </c>
      <c r="B1567" s="48" t="str">
        <f t="shared" si="336"/>
        <v/>
      </c>
      <c r="C1567" s="49" t="str">
        <f>IF(archive!F1567="","",archive!F1567)</f>
        <v/>
      </c>
      <c r="D1567" s="50" t="str">
        <f t="shared" si="337"/>
        <v/>
      </c>
      <c r="E1567" s="50" t="str">
        <f t="shared" si="338"/>
        <v/>
      </c>
      <c r="F1567" s="47" t="str">
        <f>IF(COUNTA(archive!H1567:CI1567)=0,"",COUNTA(archive!H1567:CI1567))</f>
        <v/>
      </c>
      <c r="G1567" s="47" t="str">
        <f>IF(archive!G1567="","",archive!G1567)</f>
        <v/>
      </c>
      <c r="H1567" s="51" t="str">
        <f>IF(archive!CJ1567="","",archive!CJ1567)</f>
        <v/>
      </c>
      <c r="I1567" s="51" t="str">
        <f>IF(archive!CK1567="","",archive!CK1567)</f>
        <v/>
      </c>
      <c r="J1567" s="47" t="str">
        <f t="shared" si="339"/>
        <v/>
      </c>
      <c r="K1567" s="51" t="str">
        <f t="shared" si="340"/>
        <v/>
      </c>
      <c r="L1567" s="52" t="str">
        <f t="shared" si="341"/>
        <v/>
      </c>
      <c r="M1567" s="53" t="str">
        <f t="shared" si="342"/>
        <v/>
      </c>
      <c r="N1567" s="53" t="str">
        <f t="shared" si="343"/>
        <v/>
      </c>
      <c r="O1567" s="53" t="str">
        <f t="shared" si="344"/>
        <v/>
      </c>
      <c r="P1567" s="53" t="str">
        <f t="shared" si="345"/>
        <v/>
      </c>
      <c r="Q1567" s="53" t="str">
        <f t="shared" si="346"/>
        <v/>
      </c>
      <c r="R1567" s="53" t="str">
        <f t="shared" si="347"/>
        <v/>
      </c>
      <c r="S1567" s="53" t="str">
        <f t="shared" si="348"/>
        <v/>
      </c>
      <c r="T1567" s="53" t="str">
        <f t="shared" si="349"/>
        <v/>
      </c>
    </row>
    <row r="1568" spans="1:20">
      <c r="A1568" s="47" t="str">
        <f>IF(archive!E1568="","",archive!E1568)</f>
        <v/>
      </c>
      <c r="B1568" s="48" t="str">
        <f t="shared" si="336"/>
        <v/>
      </c>
      <c r="C1568" s="49" t="str">
        <f>IF(archive!F1568="","",archive!F1568)</f>
        <v/>
      </c>
      <c r="D1568" s="50" t="str">
        <f t="shared" si="337"/>
        <v/>
      </c>
      <c r="E1568" s="50" t="str">
        <f t="shared" si="338"/>
        <v/>
      </c>
      <c r="F1568" s="47" t="str">
        <f>IF(COUNTA(archive!H1568:CI1568)=0,"",COUNTA(archive!H1568:CI1568))</f>
        <v/>
      </c>
      <c r="G1568" s="47" t="str">
        <f>IF(archive!G1568="","",archive!G1568)</f>
        <v/>
      </c>
      <c r="H1568" s="51" t="str">
        <f>IF(archive!CJ1568="","",archive!CJ1568)</f>
        <v/>
      </c>
      <c r="I1568" s="51" t="str">
        <f>IF(archive!CK1568="","",archive!CK1568)</f>
        <v/>
      </c>
      <c r="J1568" s="47" t="str">
        <f t="shared" si="339"/>
        <v/>
      </c>
      <c r="K1568" s="51" t="str">
        <f t="shared" si="340"/>
        <v/>
      </c>
      <c r="L1568" s="52" t="str">
        <f t="shared" si="341"/>
        <v/>
      </c>
      <c r="M1568" s="53" t="str">
        <f t="shared" si="342"/>
        <v/>
      </c>
      <c r="N1568" s="53" t="str">
        <f t="shared" si="343"/>
        <v/>
      </c>
      <c r="O1568" s="53" t="str">
        <f t="shared" si="344"/>
        <v/>
      </c>
      <c r="P1568" s="53" t="str">
        <f t="shared" si="345"/>
        <v/>
      </c>
      <c r="Q1568" s="53" t="str">
        <f t="shared" si="346"/>
        <v/>
      </c>
      <c r="R1568" s="53" t="str">
        <f t="shared" si="347"/>
        <v/>
      </c>
      <c r="S1568" s="53" t="str">
        <f t="shared" si="348"/>
        <v/>
      </c>
      <c r="T1568" s="53" t="str">
        <f t="shared" si="349"/>
        <v/>
      </c>
    </row>
    <row r="1569" spans="1:20">
      <c r="A1569" s="47" t="str">
        <f>IF(archive!E1569="","",archive!E1569)</f>
        <v/>
      </c>
      <c r="B1569" s="48" t="str">
        <f t="shared" si="336"/>
        <v/>
      </c>
      <c r="C1569" s="49" t="str">
        <f>IF(archive!F1569="","",archive!F1569)</f>
        <v/>
      </c>
      <c r="D1569" s="50" t="str">
        <f t="shared" si="337"/>
        <v/>
      </c>
      <c r="E1569" s="50" t="str">
        <f t="shared" si="338"/>
        <v/>
      </c>
      <c r="F1569" s="47" t="str">
        <f>IF(COUNTA(archive!H1569:CI1569)=0,"",COUNTA(archive!H1569:CI1569))</f>
        <v/>
      </c>
      <c r="G1569" s="47" t="str">
        <f>IF(archive!G1569="","",archive!G1569)</f>
        <v/>
      </c>
      <c r="H1569" s="51" t="str">
        <f>IF(archive!CJ1569="","",archive!CJ1569)</f>
        <v/>
      </c>
      <c r="I1569" s="51" t="str">
        <f>IF(archive!CK1569="","",archive!CK1569)</f>
        <v/>
      </c>
      <c r="J1569" s="47" t="str">
        <f t="shared" si="339"/>
        <v/>
      </c>
      <c r="K1569" s="51" t="str">
        <f t="shared" si="340"/>
        <v/>
      </c>
      <c r="L1569" s="52" t="str">
        <f t="shared" si="341"/>
        <v/>
      </c>
      <c r="M1569" s="53" t="str">
        <f t="shared" si="342"/>
        <v/>
      </c>
      <c r="N1569" s="53" t="str">
        <f t="shared" si="343"/>
        <v/>
      </c>
      <c r="O1569" s="53" t="str">
        <f t="shared" si="344"/>
        <v/>
      </c>
      <c r="P1569" s="53" t="str">
        <f t="shared" si="345"/>
        <v/>
      </c>
      <c r="Q1569" s="53" t="str">
        <f t="shared" si="346"/>
        <v/>
      </c>
      <c r="R1569" s="53" t="str">
        <f t="shared" si="347"/>
        <v/>
      </c>
      <c r="S1569" s="53" t="str">
        <f t="shared" si="348"/>
        <v/>
      </c>
      <c r="T1569" s="53" t="str">
        <f t="shared" si="349"/>
        <v/>
      </c>
    </row>
    <row r="1570" spans="1:20">
      <c r="A1570" s="47" t="str">
        <f>IF(archive!E1570="","",archive!E1570)</f>
        <v/>
      </c>
      <c r="B1570" s="48" t="str">
        <f t="shared" si="336"/>
        <v/>
      </c>
      <c r="C1570" s="49" t="str">
        <f>IF(archive!F1570="","",archive!F1570)</f>
        <v/>
      </c>
      <c r="D1570" s="50" t="str">
        <f t="shared" si="337"/>
        <v/>
      </c>
      <c r="E1570" s="50" t="str">
        <f t="shared" si="338"/>
        <v/>
      </c>
      <c r="F1570" s="47" t="str">
        <f>IF(COUNTA(archive!H1570:CI1570)=0,"",COUNTA(archive!H1570:CI1570))</f>
        <v/>
      </c>
      <c r="G1570" s="47" t="str">
        <f>IF(archive!G1570="","",archive!G1570)</f>
        <v/>
      </c>
      <c r="H1570" s="51" t="str">
        <f>IF(archive!CJ1570="","",archive!CJ1570)</f>
        <v/>
      </c>
      <c r="I1570" s="51" t="str">
        <f>IF(archive!CK1570="","",archive!CK1570)</f>
        <v/>
      </c>
      <c r="J1570" s="47" t="str">
        <f t="shared" si="339"/>
        <v/>
      </c>
      <c r="K1570" s="51" t="str">
        <f t="shared" si="340"/>
        <v/>
      </c>
      <c r="L1570" s="52" t="str">
        <f t="shared" si="341"/>
        <v/>
      </c>
      <c r="M1570" s="53" t="str">
        <f t="shared" si="342"/>
        <v/>
      </c>
      <c r="N1570" s="53" t="str">
        <f t="shared" si="343"/>
        <v/>
      </c>
      <c r="O1570" s="53" t="str">
        <f t="shared" si="344"/>
        <v/>
      </c>
      <c r="P1570" s="53" t="str">
        <f t="shared" si="345"/>
        <v/>
      </c>
      <c r="Q1570" s="53" t="str">
        <f t="shared" si="346"/>
        <v/>
      </c>
      <c r="R1570" s="53" t="str">
        <f t="shared" si="347"/>
        <v/>
      </c>
      <c r="S1570" s="53" t="str">
        <f t="shared" si="348"/>
        <v/>
      </c>
      <c r="T1570" s="53" t="str">
        <f t="shared" si="349"/>
        <v/>
      </c>
    </row>
    <row r="1571" spans="1:20">
      <c r="A1571" s="47" t="str">
        <f>IF(archive!E1571="","",archive!E1571)</f>
        <v/>
      </c>
      <c r="B1571" s="48" t="str">
        <f t="shared" si="336"/>
        <v/>
      </c>
      <c r="C1571" s="49" t="str">
        <f>IF(archive!F1571="","",archive!F1571)</f>
        <v/>
      </c>
      <c r="D1571" s="50" t="str">
        <f t="shared" si="337"/>
        <v/>
      </c>
      <c r="E1571" s="50" t="str">
        <f t="shared" si="338"/>
        <v/>
      </c>
      <c r="F1571" s="47" t="str">
        <f>IF(COUNTA(archive!H1571:CI1571)=0,"",COUNTA(archive!H1571:CI1571))</f>
        <v/>
      </c>
      <c r="G1571" s="47" t="str">
        <f>IF(archive!G1571="","",archive!G1571)</f>
        <v/>
      </c>
      <c r="H1571" s="51" t="str">
        <f>IF(archive!CJ1571="","",archive!CJ1571)</f>
        <v/>
      </c>
      <c r="I1571" s="51" t="str">
        <f>IF(archive!CK1571="","",archive!CK1571)</f>
        <v/>
      </c>
      <c r="J1571" s="47" t="str">
        <f t="shared" si="339"/>
        <v/>
      </c>
      <c r="K1571" s="51" t="str">
        <f t="shared" si="340"/>
        <v/>
      </c>
      <c r="L1571" s="52" t="str">
        <f t="shared" si="341"/>
        <v/>
      </c>
      <c r="M1571" s="53" t="str">
        <f t="shared" si="342"/>
        <v/>
      </c>
      <c r="N1571" s="53" t="str">
        <f t="shared" si="343"/>
        <v/>
      </c>
      <c r="O1571" s="53" t="str">
        <f t="shared" si="344"/>
        <v/>
      </c>
      <c r="P1571" s="53" t="str">
        <f t="shared" si="345"/>
        <v/>
      </c>
      <c r="Q1571" s="53" t="str">
        <f t="shared" si="346"/>
        <v/>
      </c>
      <c r="R1571" s="53" t="str">
        <f t="shared" si="347"/>
        <v/>
      </c>
      <c r="S1571" s="53" t="str">
        <f t="shared" si="348"/>
        <v/>
      </c>
      <c r="T1571" s="53" t="str">
        <f t="shared" si="349"/>
        <v/>
      </c>
    </row>
    <row r="1572" spans="1:20">
      <c r="A1572" s="47" t="str">
        <f>IF(archive!E1572="","",archive!E1572)</f>
        <v/>
      </c>
      <c r="B1572" s="48" t="str">
        <f t="shared" si="336"/>
        <v/>
      </c>
      <c r="C1572" s="49" t="str">
        <f>IF(archive!F1572="","",archive!F1572)</f>
        <v/>
      </c>
      <c r="D1572" s="50" t="str">
        <f t="shared" si="337"/>
        <v/>
      </c>
      <c r="E1572" s="50" t="str">
        <f t="shared" si="338"/>
        <v/>
      </c>
      <c r="F1572" s="47" t="str">
        <f>IF(COUNTA(archive!H1572:CI1572)=0,"",COUNTA(archive!H1572:CI1572))</f>
        <v/>
      </c>
      <c r="G1572" s="47" t="str">
        <f>IF(archive!G1572="","",archive!G1572)</f>
        <v/>
      </c>
      <c r="H1572" s="51" t="str">
        <f>IF(archive!CJ1572="","",archive!CJ1572)</f>
        <v/>
      </c>
      <c r="I1572" s="51" t="str">
        <f>IF(archive!CK1572="","",archive!CK1572)</f>
        <v/>
      </c>
      <c r="J1572" s="47" t="str">
        <f t="shared" si="339"/>
        <v/>
      </c>
      <c r="K1572" s="51" t="str">
        <f t="shared" si="340"/>
        <v/>
      </c>
      <c r="L1572" s="52" t="str">
        <f t="shared" si="341"/>
        <v/>
      </c>
      <c r="M1572" s="53" t="str">
        <f t="shared" si="342"/>
        <v/>
      </c>
      <c r="N1572" s="53" t="str">
        <f t="shared" si="343"/>
        <v/>
      </c>
      <c r="O1572" s="53" t="str">
        <f t="shared" si="344"/>
        <v/>
      </c>
      <c r="P1572" s="53" t="str">
        <f t="shared" si="345"/>
        <v/>
      </c>
      <c r="Q1572" s="53" t="str">
        <f t="shared" si="346"/>
        <v/>
      </c>
      <c r="R1572" s="53" t="str">
        <f t="shared" si="347"/>
        <v/>
      </c>
      <c r="S1572" s="53" t="str">
        <f t="shared" si="348"/>
        <v/>
      </c>
      <c r="T1572" s="53" t="str">
        <f t="shared" si="349"/>
        <v/>
      </c>
    </row>
    <row r="1573" spans="1:20">
      <c r="A1573" s="47" t="str">
        <f>IF(archive!E1573="","",archive!E1573)</f>
        <v/>
      </c>
      <c r="B1573" s="48" t="str">
        <f t="shared" si="336"/>
        <v/>
      </c>
      <c r="C1573" s="49" t="str">
        <f>IF(archive!F1573="","",archive!F1573)</f>
        <v/>
      </c>
      <c r="D1573" s="50" t="str">
        <f t="shared" si="337"/>
        <v/>
      </c>
      <c r="E1573" s="50" t="str">
        <f t="shared" si="338"/>
        <v/>
      </c>
      <c r="F1573" s="47" t="str">
        <f>IF(COUNTA(archive!H1573:CI1573)=0,"",COUNTA(archive!H1573:CI1573))</f>
        <v/>
      </c>
      <c r="G1573" s="47" t="str">
        <f>IF(archive!G1573="","",archive!G1573)</f>
        <v/>
      </c>
      <c r="H1573" s="51" t="str">
        <f>IF(archive!CJ1573="","",archive!CJ1573)</f>
        <v/>
      </c>
      <c r="I1573" s="51" t="str">
        <f>IF(archive!CK1573="","",archive!CK1573)</f>
        <v/>
      </c>
      <c r="J1573" s="47" t="str">
        <f t="shared" si="339"/>
        <v/>
      </c>
      <c r="K1573" s="51" t="str">
        <f t="shared" si="340"/>
        <v/>
      </c>
      <c r="L1573" s="52" t="str">
        <f t="shared" si="341"/>
        <v/>
      </c>
      <c r="M1573" s="53" t="str">
        <f t="shared" si="342"/>
        <v/>
      </c>
      <c r="N1573" s="53" t="str">
        <f t="shared" si="343"/>
        <v/>
      </c>
      <c r="O1573" s="53" t="str">
        <f t="shared" si="344"/>
        <v/>
      </c>
      <c r="P1573" s="53" t="str">
        <f t="shared" si="345"/>
        <v/>
      </c>
      <c r="Q1573" s="53" t="str">
        <f t="shared" si="346"/>
        <v/>
      </c>
      <c r="R1573" s="53" t="str">
        <f t="shared" si="347"/>
        <v/>
      </c>
      <c r="S1573" s="53" t="str">
        <f t="shared" si="348"/>
        <v/>
      </c>
      <c r="T1573" s="53" t="str">
        <f t="shared" si="349"/>
        <v/>
      </c>
    </row>
    <row r="1574" spans="1:20">
      <c r="A1574" s="47" t="str">
        <f>IF(archive!E1574="","",archive!E1574)</f>
        <v/>
      </c>
      <c r="B1574" s="48" t="str">
        <f t="shared" si="336"/>
        <v/>
      </c>
      <c r="C1574" s="49" t="str">
        <f>IF(archive!F1574="","",archive!F1574)</f>
        <v/>
      </c>
      <c r="D1574" s="50" t="str">
        <f t="shared" si="337"/>
        <v/>
      </c>
      <c r="E1574" s="50" t="str">
        <f t="shared" si="338"/>
        <v/>
      </c>
      <c r="F1574" s="47" t="str">
        <f>IF(COUNTA(archive!H1574:CI1574)=0,"",COUNTA(archive!H1574:CI1574))</f>
        <v/>
      </c>
      <c r="G1574" s="47" t="str">
        <f>IF(archive!G1574="","",archive!G1574)</f>
        <v/>
      </c>
      <c r="H1574" s="51" t="str">
        <f>IF(archive!CJ1574="","",archive!CJ1574)</f>
        <v/>
      </c>
      <c r="I1574" s="51" t="str">
        <f>IF(archive!CK1574="","",archive!CK1574)</f>
        <v/>
      </c>
      <c r="J1574" s="47" t="str">
        <f t="shared" si="339"/>
        <v/>
      </c>
      <c r="K1574" s="51" t="str">
        <f t="shared" si="340"/>
        <v/>
      </c>
      <c r="L1574" s="52" t="str">
        <f t="shared" si="341"/>
        <v/>
      </c>
      <c r="M1574" s="53" t="str">
        <f t="shared" si="342"/>
        <v/>
      </c>
      <c r="N1574" s="53" t="str">
        <f t="shared" si="343"/>
        <v/>
      </c>
      <c r="O1574" s="53" t="str">
        <f t="shared" si="344"/>
        <v/>
      </c>
      <c r="P1574" s="53" t="str">
        <f t="shared" si="345"/>
        <v/>
      </c>
      <c r="Q1574" s="53" t="str">
        <f t="shared" si="346"/>
        <v/>
      </c>
      <c r="R1574" s="53" t="str">
        <f t="shared" si="347"/>
        <v/>
      </c>
      <c r="S1574" s="53" t="str">
        <f t="shared" si="348"/>
        <v/>
      </c>
      <c r="T1574" s="53" t="str">
        <f t="shared" si="349"/>
        <v/>
      </c>
    </row>
    <row r="1575" spans="1:20">
      <c r="A1575" s="47" t="str">
        <f>IF(archive!E1575="","",archive!E1575)</f>
        <v/>
      </c>
      <c r="B1575" s="48" t="str">
        <f t="shared" si="336"/>
        <v/>
      </c>
      <c r="C1575" s="49" t="str">
        <f>IF(archive!F1575="","",archive!F1575)</f>
        <v/>
      </c>
      <c r="D1575" s="50" t="str">
        <f t="shared" si="337"/>
        <v/>
      </c>
      <c r="E1575" s="50" t="str">
        <f t="shared" si="338"/>
        <v/>
      </c>
      <c r="F1575" s="47" t="str">
        <f>IF(COUNTA(archive!H1575:CI1575)=0,"",COUNTA(archive!H1575:CI1575))</f>
        <v/>
      </c>
      <c r="G1575" s="47" t="str">
        <f>IF(archive!G1575="","",archive!G1575)</f>
        <v/>
      </c>
      <c r="H1575" s="51" t="str">
        <f>IF(archive!CJ1575="","",archive!CJ1575)</f>
        <v/>
      </c>
      <c r="I1575" s="51" t="str">
        <f>IF(archive!CK1575="","",archive!CK1575)</f>
        <v/>
      </c>
      <c r="J1575" s="47" t="str">
        <f t="shared" si="339"/>
        <v/>
      </c>
      <c r="K1575" s="51" t="str">
        <f t="shared" si="340"/>
        <v/>
      </c>
      <c r="L1575" s="52" t="str">
        <f t="shared" si="341"/>
        <v/>
      </c>
      <c r="M1575" s="53" t="str">
        <f t="shared" si="342"/>
        <v/>
      </c>
      <c r="N1575" s="53" t="str">
        <f t="shared" si="343"/>
        <v/>
      </c>
      <c r="O1575" s="53" t="str">
        <f t="shared" si="344"/>
        <v/>
      </c>
      <c r="P1575" s="53" t="str">
        <f t="shared" si="345"/>
        <v/>
      </c>
      <c r="Q1575" s="53" t="str">
        <f t="shared" si="346"/>
        <v/>
      </c>
      <c r="R1575" s="53" t="str">
        <f t="shared" si="347"/>
        <v/>
      </c>
      <c r="S1575" s="53" t="str">
        <f t="shared" si="348"/>
        <v/>
      </c>
      <c r="T1575" s="53" t="str">
        <f t="shared" si="349"/>
        <v/>
      </c>
    </row>
    <row r="1576" spans="1:20">
      <c r="A1576" s="47" t="str">
        <f>IF(archive!E1576="","",archive!E1576)</f>
        <v/>
      </c>
      <c r="B1576" s="48" t="str">
        <f t="shared" si="336"/>
        <v/>
      </c>
      <c r="C1576" s="49" t="str">
        <f>IF(archive!F1576="","",archive!F1576)</f>
        <v/>
      </c>
      <c r="D1576" s="50" t="str">
        <f t="shared" si="337"/>
        <v/>
      </c>
      <c r="E1576" s="50" t="str">
        <f t="shared" si="338"/>
        <v/>
      </c>
      <c r="F1576" s="47" t="str">
        <f>IF(COUNTA(archive!H1576:CI1576)=0,"",COUNTA(archive!H1576:CI1576))</f>
        <v/>
      </c>
      <c r="G1576" s="47" t="str">
        <f>IF(archive!G1576="","",archive!G1576)</f>
        <v/>
      </c>
      <c r="H1576" s="51" t="str">
        <f>IF(archive!CJ1576="","",archive!CJ1576)</f>
        <v/>
      </c>
      <c r="I1576" s="51" t="str">
        <f>IF(archive!CK1576="","",archive!CK1576)</f>
        <v/>
      </c>
      <c r="J1576" s="47" t="str">
        <f t="shared" si="339"/>
        <v/>
      </c>
      <c r="K1576" s="51" t="str">
        <f t="shared" si="340"/>
        <v/>
      </c>
      <c r="L1576" s="52" t="str">
        <f t="shared" si="341"/>
        <v/>
      </c>
      <c r="M1576" s="53" t="str">
        <f t="shared" si="342"/>
        <v/>
      </c>
      <c r="N1576" s="53" t="str">
        <f t="shared" si="343"/>
        <v/>
      </c>
      <c r="O1576" s="53" t="str">
        <f t="shared" si="344"/>
        <v/>
      </c>
      <c r="P1576" s="53" t="str">
        <f t="shared" si="345"/>
        <v/>
      </c>
      <c r="Q1576" s="53" t="str">
        <f t="shared" si="346"/>
        <v/>
      </c>
      <c r="R1576" s="53" t="str">
        <f t="shared" si="347"/>
        <v/>
      </c>
      <c r="S1576" s="53" t="str">
        <f t="shared" si="348"/>
        <v/>
      </c>
      <c r="T1576" s="53" t="str">
        <f t="shared" si="349"/>
        <v/>
      </c>
    </row>
    <row r="1577" spans="1:20">
      <c r="A1577" s="47" t="str">
        <f>IF(archive!E1577="","",archive!E1577)</f>
        <v/>
      </c>
      <c r="B1577" s="48" t="str">
        <f t="shared" si="336"/>
        <v/>
      </c>
      <c r="C1577" s="49" t="str">
        <f>IF(archive!F1577="","",archive!F1577)</f>
        <v/>
      </c>
      <c r="D1577" s="50" t="str">
        <f t="shared" si="337"/>
        <v/>
      </c>
      <c r="E1577" s="50" t="str">
        <f t="shared" si="338"/>
        <v/>
      </c>
      <c r="F1577" s="47" t="str">
        <f>IF(COUNTA(archive!H1577:CI1577)=0,"",COUNTA(archive!H1577:CI1577))</f>
        <v/>
      </c>
      <c r="G1577" s="47" t="str">
        <f>IF(archive!G1577="","",archive!G1577)</f>
        <v/>
      </c>
      <c r="H1577" s="51" t="str">
        <f>IF(archive!CJ1577="","",archive!CJ1577)</f>
        <v/>
      </c>
      <c r="I1577" s="51" t="str">
        <f>IF(archive!CK1577="","",archive!CK1577)</f>
        <v/>
      </c>
      <c r="J1577" s="47" t="str">
        <f t="shared" si="339"/>
        <v/>
      </c>
      <c r="K1577" s="51" t="str">
        <f t="shared" si="340"/>
        <v/>
      </c>
      <c r="L1577" s="52" t="str">
        <f t="shared" si="341"/>
        <v/>
      </c>
      <c r="M1577" s="53" t="str">
        <f t="shared" si="342"/>
        <v/>
      </c>
      <c r="N1577" s="53" t="str">
        <f t="shared" si="343"/>
        <v/>
      </c>
      <c r="O1577" s="53" t="str">
        <f t="shared" si="344"/>
        <v/>
      </c>
      <c r="P1577" s="53" t="str">
        <f t="shared" si="345"/>
        <v/>
      </c>
      <c r="Q1577" s="53" t="str">
        <f t="shared" si="346"/>
        <v/>
      </c>
      <c r="R1577" s="53" t="str">
        <f t="shared" si="347"/>
        <v/>
      </c>
      <c r="S1577" s="53" t="str">
        <f t="shared" si="348"/>
        <v/>
      </c>
      <c r="T1577" s="53" t="str">
        <f t="shared" si="349"/>
        <v/>
      </c>
    </row>
    <row r="1578" spans="1:20">
      <c r="A1578" s="47" t="str">
        <f>IF(archive!E1578="","",archive!E1578)</f>
        <v/>
      </c>
      <c r="B1578" s="48" t="str">
        <f t="shared" si="336"/>
        <v/>
      </c>
      <c r="C1578" s="49" t="str">
        <f>IF(archive!F1578="","",archive!F1578)</f>
        <v/>
      </c>
      <c r="D1578" s="50" t="str">
        <f t="shared" si="337"/>
        <v/>
      </c>
      <c r="E1578" s="50" t="str">
        <f t="shared" si="338"/>
        <v/>
      </c>
      <c r="F1578" s="47" t="str">
        <f>IF(COUNTA(archive!H1578:CI1578)=0,"",COUNTA(archive!H1578:CI1578))</f>
        <v/>
      </c>
      <c r="G1578" s="47" t="str">
        <f>IF(archive!G1578="","",archive!G1578)</f>
        <v/>
      </c>
      <c r="H1578" s="51" t="str">
        <f>IF(archive!CJ1578="","",archive!CJ1578)</f>
        <v/>
      </c>
      <c r="I1578" s="51" t="str">
        <f>IF(archive!CK1578="","",archive!CK1578)</f>
        <v/>
      </c>
      <c r="J1578" s="47" t="str">
        <f t="shared" si="339"/>
        <v/>
      </c>
      <c r="K1578" s="51" t="str">
        <f t="shared" si="340"/>
        <v/>
      </c>
      <c r="L1578" s="52" t="str">
        <f t="shared" si="341"/>
        <v/>
      </c>
      <c r="M1578" s="53" t="str">
        <f t="shared" si="342"/>
        <v/>
      </c>
      <c r="N1578" s="53" t="str">
        <f t="shared" si="343"/>
        <v/>
      </c>
      <c r="O1578" s="53" t="str">
        <f t="shared" si="344"/>
        <v/>
      </c>
      <c r="P1578" s="53" t="str">
        <f t="shared" si="345"/>
        <v/>
      </c>
      <c r="Q1578" s="53" t="str">
        <f t="shared" si="346"/>
        <v/>
      </c>
      <c r="R1578" s="53" t="str">
        <f t="shared" si="347"/>
        <v/>
      </c>
      <c r="S1578" s="53" t="str">
        <f t="shared" si="348"/>
        <v/>
      </c>
      <c r="T1578" s="53" t="str">
        <f t="shared" si="349"/>
        <v/>
      </c>
    </row>
    <row r="1579" spans="1:20">
      <c r="A1579" s="47" t="str">
        <f>IF(archive!E1579="","",archive!E1579)</f>
        <v/>
      </c>
      <c r="B1579" s="48" t="str">
        <f t="shared" si="336"/>
        <v/>
      </c>
      <c r="C1579" s="49" t="str">
        <f>IF(archive!F1579="","",archive!F1579)</f>
        <v/>
      </c>
      <c r="D1579" s="50" t="str">
        <f t="shared" si="337"/>
        <v/>
      </c>
      <c r="E1579" s="50" t="str">
        <f t="shared" si="338"/>
        <v/>
      </c>
      <c r="F1579" s="47" t="str">
        <f>IF(COUNTA(archive!H1579:CI1579)=0,"",COUNTA(archive!H1579:CI1579))</f>
        <v/>
      </c>
      <c r="G1579" s="47" t="str">
        <f>IF(archive!G1579="","",archive!G1579)</f>
        <v/>
      </c>
      <c r="H1579" s="51" t="str">
        <f>IF(archive!CJ1579="","",archive!CJ1579)</f>
        <v/>
      </c>
      <c r="I1579" s="51" t="str">
        <f>IF(archive!CK1579="","",archive!CK1579)</f>
        <v/>
      </c>
      <c r="J1579" s="47" t="str">
        <f t="shared" si="339"/>
        <v/>
      </c>
      <c r="K1579" s="51" t="str">
        <f t="shared" si="340"/>
        <v/>
      </c>
      <c r="L1579" s="52" t="str">
        <f t="shared" si="341"/>
        <v/>
      </c>
      <c r="M1579" s="53" t="str">
        <f t="shared" si="342"/>
        <v/>
      </c>
      <c r="N1579" s="53" t="str">
        <f t="shared" si="343"/>
        <v/>
      </c>
      <c r="O1579" s="53" t="str">
        <f t="shared" si="344"/>
        <v/>
      </c>
      <c r="P1579" s="53" t="str">
        <f t="shared" si="345"/>
        <v/>
      </c>
      <c r="Q1579" s="53" t="str">
        <f t="shared" si="346"/>
        <v/>
      </c>
      <c r="R1579" s="53" t="str">
        <f t="shared" si="347"/>
        <v/>
      </c>
      <c r="S1579" s="53" t="str">
        <f t="shared" si="348"/>
        <v/>
      </c>
      <c r="T1579" s="53" t="str">
        <f t="shared" si="349"/>
        <v/>
      </c>
    </row>
    <row r="1580" spans="1:20">
      <c r="A1580" s="47" t="str">
        <f>IF(archive!E1580="","",archive!E1580)</f>
        <v/>
      </c>
      <c r="B1580" s="48" t="str">
        <f t="shared" si="336"/>
        <v/>
      </c>
      <c r="C1580" s="49" t="str">
        <f>IF(archive!F1580="","",archive!F1580)</f>
        <v/>
      </c>
      <c r="D1580" s="50" t="str">
        <f t="shared" si="337"/>
        <v/>
      </c>
      <c r="E1580" s="50" t="str">
        <f t="shared" si="338"/>
        <v/>
      </c>
      <c r="F1580" s="47" t="str">
        <f>IF(COUNTA(archive!H1580:CI1580)=0,"",COUNTA(archive!H1580:CI1580))</f>
        <v/>
      </c>
      <c r="G1580" s="47" t="str">
        <f>IF(archive!G1580="","",archive!G1580)</f>
        <v/>
      </c>
      <c r="H1580" s="51" t="str">
        <f>IF(archive!CJ1580="","",archive!CJ1580)</f>
        <v/>
      </c>
      <c r="I1580" s="51" t="str">
        <f>IF(archive!CK1580="","",archive!CK1580)</f>
        <v/>
      </c>
      <c r="J1580" s="47" t="str">
        <f t="shared" si="339"/>
        <v/>
      </c>
      <c r="K1580" s="51" t="str">
        <f t="shared" si="340"/>
        <v/>
      </c>
      <c r="L1580" s="52" t="str">
        <f t="shared" si="341"/>
        <v/>
      </c>
      <c r="M1580" s="53" t="str">
        <f t="shared" si="342"/>
        <v/>
      </c>
      <c r="N1580" s="53" t="str">
        <f t="shared" si="343"/>
        <v/>
      </c>
      <c r="O1580" s="53" t="str">
        <f t="shared" si="344"/>
        <v/>
      </c>
      <c r="P1580" s="53" t="str">
        <f t="shared" si="345"/>
        <v/>
      </c>
      <c r="Q1580" s="53" t="str">
        <f t="shared" si="346"/>
        <v/>
      </c>
      <c r="R1580" s="53" t="str">
        <f t="shared" si="347"/>
        <v/>
      </c>
      <c r="S1580" s="53" t="str">
        <f t="shared" si="348"/>
        <v/>
      </c>
      <c r="T1580" s="53" t="str">
        <f t="shared" si="349"/>
        <v/>
      </c>
    </row>
    <row r="1581" spans="1:20">
      <c r="A1581" s="47" t="str">
        <f>IF(archive!E1581="","",archive!E1581)</f>
        <v/>
      </c>
      <c r="B1581" s="48" t="str">
        <f t="shared" si="336"/>
        <v/>
      </c>
      <c r="C1581" s="49" t="str">
        <f>IF(archive!F1581="","",archive!F1581)</f>
        <v/>
      </c>
      <c r="D1581" s="50" t="str">
        <f t="shared" si="337"/>
        <v/>
      </c>
      <c r="E1581" s="50" t="str">
        <f t="shared" si="338"/>
        <v/>
      </c>
      <c r="F1581" s="47" t="str">
        <f>IF(COUNTA(archive!H1581:CI1581)=0,"",COUNTA(archive!H1581:CI1581))</f>
        <v/>
      </c>
      <c r="G1581" s="47" t="str">
        <f>IF(archive!G1581="","",archive!G1581)</f>
        <v/>
      </c>
      <c r="H1581" s="51" t="str">
        <f>IF(archive!CJ1581="","",archive!CJ1581)</f>
        <v/>
      </c>
      <c r="I1581" s="51" t="str">
        <f>IF(archive!CK1581="","",archive!CK1581)</f>
        <v/>
      </c>
      <c r="J1581" s="47" t="str">
        <f t="shared" si="339"/>
        <v/>
      </c>
      <c r="K1581" s="51" t="str">
        <f t="shared" si="340"/>
        <v/>
      </c>
      <c r="L1581" s="52" t="str">
        <f t="shared" si="341"/>
        <v/>
      </c>
      <c r="M1581" s="53" t="str">
        <f t="shared" si="342"/>
        <v/>
      </c>
      <c r="N1581" s="53" t="str">
        <f t="shared" si="343"/>
        <v/>
      </c>
      <c r="O1581" s="53" t="str">
        <f t="shared" si="344"/>
        <v/>
      </c>
      <c r="P1581" s="53" t="str">
        <f t="shared" si="345"/>
        <v/>
      </c>
      <c r="Q1581" s="53" t="str">
        <f t="shared" si="346"/>
        <v/>
      </c>
      <c r="R1581" s="53" t="str">
        <f t="shared" si="347"/>
        <v/>
      </c>
      <c r="S1581" s="53" t="str">
        <f t="shared" si="348"/>
        <v/>
      </c>
      <c r="T1581" s="53" t="str">
        <f t="shared" si="349"/>
        <v/>
      </c>
    </row>
    <row r="1582" spans="1:20">
      <c r="A1582" s="47" t="str">
        <f>IF(archive!E1582="","",archive!E1582)</f>
        <v/>
      </c>
      <c r="B1582" s="48" t="str">
        <f t="shared" si="336"/>
        <v/>
      </c>
      <c r="C1582" s="49" t="str">
        <f>IF(archive!F1582="","",archive!F1582)</f>
        <v/>
      </c>
      <c r="D1582" s="50" t="str">
        <f t="shared" si="337"/>
        <v/>
      </c>
      <c r="E1582" s="50" t="str">
        <f t="shared" si="338"/>
        <v/>
      </c>
      <c r="F1582" s="47" t="str">
        <f>IF(COUNTA(archive!H1582:CI1582)=0,"",COUNTA(archive!H1582:CI1582))</f>
        <v/>
      </c>
      <c r="G1582" s="47" t="str">
        <f>IF(archive!G1582="","",archive!G1582)</f>
        <v/>
      </c>
      <c r="H1582" s="51" t="str">
        <f>IF(archive!CJ1582="","",archive!CJ1582)</f>
        <v/>
      </c>
      <c r="I1582" s="51" t="str">
        <f>IF(archive!CK1582="","",archive!CK1582)</f>
        <v/>
      </c>
      <c r="J1582" s="47" t="str">
        <f t="shared" si="339"/>
        <v/>
      </c>
      <c r="K1582" s="51" t="str">
        <f t="shared" si="340"/>
        <v/>
      </c>
      <c r="L1582" s="52" t="str">
        <f t="shared" si="341"/>
        <v/>
      </c>
      <c r="M1582" s="53" t="str">
        <f t="shared" si="342"/>
        <v/>
      </c>
      <c r="N1582" s="53" t="str">
        <f t="shared" si="343"/>
        <v/>
      </c>
      <c r="O1582" s="53" t="str">
        <f t="shared" si="344"/>
        <v/>
      </c>
      <c r="P1582" s="53" t="str">
        <f t="shared" si="345"/>
        <v/>
      </c>
      <c r="Q1582" s="53" t="str">
        <f t="shared" si="346"/>
        <v/>
      </c>
      <c r="R1582" s="53" t="str">
        <f t="shared" si="347"/>
        <v/>
      </c>
      <c r="S1582" s="53" t="str">
        <f t="shared" si="348"/>
        <v/>
      </c>
      <c r="T1582" s="53" t="str">
        <f t="shared" si="349"/>
        <v/>
      </c>
    </row>
    <row r="1583" spans="1:20">
      <c r="A1583" s="47" t="str">
        <f>IF(archive!E1583="","",archive!E1583)</f>
        <v/>
      </c>
      <c r="B1583" s="48" t="str">
        <f t="shared" si="336"/>
        <v/>
      </c>
      <c r="C1583" s="49" t="str">
        <f>IF(archive!F1583="","",archive!F1583)</f>
        <v/>
      </c>
      <c r="D1583" s="50" t="str">
        <f t="shared" si="337"/>
        <v/>
      </c>
      <c r="E1583" s="50" t="str">
        <f t="shared" si="338"/>
        <v/>
      </c>
      <c r="F1583" s="47" t="str">
        <f>IF(COUNTA(archive!H1583:CI1583)=0,"",COUNTA(archive!H1583:CI1583))</f>
        <v/>
      </c>
      <c r="G1583" s="47" t="str">
        <f>IF(archive!G1583="","",archive!G1583)</f>
        <v/>
      </c>
      <c r="H1583" s="51" t="str">
        <f>IF(archive!CJ1583="","",archive!CJ1583)</f>
        <v/>
      </c>
      <c r="I1583" s="51" t="str">
        <f>IF(archive!CK1583="","",archive!CK1583)</f>
        <v/>
      </c>
      <c r="J1583" s="47" t="str">
        <f t="shared" si="339"/>
        <v/>
      </c>
      <c r="K1583" s="51" t="str">
        <f t="shared" si="340"/>
        <v/>
      </c>
      <c r="L1583" s="52" t="str">
        <f t="shared" si="341"/>
        <v/>
      </c>
      <c r="M1583" s="53" t="str">
        <f t="shared" si="342"/>
        <v/>
      </c>
      <c r="N1583" s="53" t="str">
        <f t="shared" si="343"/>
        <v/>
      </c>
      <c r="O1583" s="53" t="str">
        <f t="shared" si="344"/>
        <v/>
      </c>
      <c r="P1583" s="53" t="str">
        <f t="shared" si="345"/>
        <v/>
      </c>
      <c r="Q1583" s="53" t="str">
        <f t="shared" si="346"/>
        <v/>
      </c>
      <c r="R1583" s="53" t="str">
        <f t="shared" si="347"/>
        <v/>
      </c>
      <c r="S1583" s="53" t="str">
        <f t="shared" si="348"/>
        <v/>
      </c>
      <c r="T1583" s="53" t="str">
        <f t="shared" si="349"/>
        <v/>
      </c>
    </row>
    <row r="1584" spans="1:20">
      <c r="A1584" s="47" t="str">
        <f>IF(archive!E1584="","",archive!E1584)</f>
        <v/>
      </c>
      <c r="B1584" s="48" t="str">
        <f t="shared" si="336"/>
        <v/>
      </c>
      <c r="C1584" s="49" t="str">
        <f>IF(archive!F1584="","",archive!F1584)</f>
        <v/>
      </c>
      <c r="D1584" s="50" t="str">
        <f t="shared" si="337"/>
        <v/>
      </c>
      <c r="E1584" s="50" t="str">
        <f t="shared" si="338"/>
        <v/>
      </c>
      <c r="F1584" s="47" t="str">
        <f>IF(COUNTA(archive!H1584:CI1584)=0,"",COUNTA(archive!H1584:CI1584))</f>
        <v/>
      </c>
      <c r="G1584" s="47" t="str">
        <f>IF(archive!G1584="","",archive!G1584)</f>
        <v/>
      </c>
      <c r="H1584" s="51" t="str">
        <f>IF(archive!CJ1584="","",archive!CJ1584)</f>
        <v/>
      </c>
      <c r="I1584" s="51" t="str">
        <f>IF(archive!CK1584="","",archive!CK1584)</f>
        <v/>
      </c>
      <c r="J1584" s="47" t="str">
        <f t="shared" si="339"/>
        <v/>
      </c>
      <c r="K1584" s="51" t="str">
        <f t="shared" si="340"/>
        <v/>
      </c>
      <c r="L1584" s="52" t="str">
        <f t="shared" si="341"/>
        <v/>
      </c>
      <c r="M1584" s="53" t="str">
        <f t="shared" si="342"/>
        <v/>
      </c>
      <c r="N1584" s="53" t="str">
        <f t="shared" si="343"/>
        <v/>
      </c>
      <c r="O1584" s="53" t="str">
        <f t="shared" si="344"/>
        <v/>
      </c>
      <c r="P1584" s="53" t="str">
        <f t="shared" si="345"/>
        <v/>
      </c>
      <c r="Q1584" s="53" t="str">
        <f t="shared" si="346"/>
        <v/>
      </c>
      <c r="R1584" s="53" t="str">
        <f t="shared" si="347"/>
        <v/>
      </c>
      <c r="S1584" s="53" t="str">
        <f t="shared" si="348"/>
        <v/>
      </c>
      <c r="T1584" s="53" t="str">
        <f t="shared" si="349"/>
        <v/>
      </c>
    </row>
    <row r="1585" spans="1:20">
      <c r="A1585" s="47" t="str">
        <f>IF(archive!E1585="","",archive!E1585)</f>
        <v/>
      </c>
      <c r="B1585" s="48" t="str">
        <f t="shared" si="336"/>
        <v/>
      </c>
      <c r="C1585" s="49" t="str">
        <f>IF(archive!F1585="","",archive!F1585)</f>
        <v/>
      </c>
      <c r="D1585" s="50" t="str">
        <f t="shared" si="337"/>
        <v/>
      </c>
      <c r="E1585" s="50" t="str">
        <f t="shared" si="338"/>
        <v/>
      </c>
      <c r="F1585" s="47" t="str">
        <f>IF(COUNTA(archive!H1585:CI1585)=0,"",COUNTA(archive!H1585:CI1585))</f>
        <v/>
      </c>
      <c r="G1585" s="47" t="str">
        <f>IF(archive!G1585="","",archive!G1585)</f>
        <v/>
      </c>
      <c r="H1585" s="51" t="str">
        <f>IF(archive!CJ1585="","",archive!CJ1585)</f>
        <v/>
      </c>
      <c r="I1585" s="51" t="str">
        <f>IF(archive!CK1585="","",archive!CK1585)</f>
        <v/>
      </c>
      <c r="J1585" s="47" t="str">
        <f t="shared" si="339"/>
        <v/>
      </c>
      <c r="K1585" s="51" t="str">
        <f t="shared" si="340"/>
        <v/>
      </c>
      <c r="L1585" s="52" t="str">
        <f t="shared" si="341"/>
        <v/>
      </c>
      <c r="M1585" s="53" t="str">
        <f t="shared" si="342"/>
        <v/>
      </c>
      <c r="N1585" s="53" t="str">
        <f t="shared" si="343"/>
        <v/>
      </c>
      <c r="O1585" s="53" t="str">
        <f t="shared" si="344"/>
        <v/>
      </c>
      <c r="P1585" s="53" t="str">
        <f t="shared" si="345"/>
        <v/>
      </c>
      <c r="Q1585" s="53" t="str">
        <f t="shared" si="346"/>
        <v/>
      </c>
      <c r="R1585" s="53" t="str">
        <f t="shared" si="347"/>
        <v/>
      </c>
      <c r="S1585" s="53" t="str">
        <f t="shared" si="348"/>
        <v/>
      </c>
      <c r="T1585" s="53" t="str">
        <f t="shared" si="349"/>
        <v/>
      </c>
    </row>
    <row r="1586" spans="1:20">
      <c r="A1586" s="47" t="str">
        <f>IF(archive!E1586="","",archive!E1586)</f>
        <v/>
      </c>
      <c r="B1586" s="48" t="str">
        <f t="shared" si="336"/>
        <v/>
      </c>
      <c r="C1586" s="49" t="str">
        <f>IF(archive!F1586="","",archive!F1586)</f>
        <v/>
      </c>
      <c r="D1586" s="50" t="str">
        <f t="shared" si="337"/>
        <v/>
      </c>
      <c r="E1586" s="50" t="str">
        <f t="shared" si="338"/>
        <v/>
      </c>
      <c r="F1586" s="47" t="str">
        <f>IF(COUNTA(archive!H1586:CI1586)=0,"",COUNTA(archive!H1586:CI1586))</f>
        <v/>
      </c>
      <c r="G1586" s="47" t="str">
        <f>IF(archive!G1586="","",archive!G1586)</f>
        <v/>
      </c>
      <c r="H1586" s="51" t="str">
        <f>IF(archive!CJ1586="","",archive!CJ1586)</f>
        <v/>
      </c>
      <c r="I1586" s="51" t="str">
        <f>IF(archive!CK1586="","",archive!CK1586)</f>
        <v/>
      </c>
      <c r="J1586" s="47" t="str">
        <f t="shared" si="339"/>
        <v/>
      </c>
      <c r="K1586" s="51" t="str">
        <f t="shared" si="340"/>
        <v/>
      </c>
      <c r="L1586" s="52" t="str">
        <f t="shared" si="341"/>
        <v/>
      </c>
      <c r="M1586" s="53" t="str">
        <f t="shared" si="342"/>
        <v/>
      </c>
      <c r="N1586" s="53" t="str">
        <f t="shared" si="343"/>
        <v/>
      </c>
      <c r="O1586" s="53" t="str">
        <f t="shared" si="344"/>
        <v/>
      </c>
      <c r="P1586" s="53" t="str">
        <f t="shared" si="345"/>
        <v/>
      </c>
      <c r="Q1586" s="53" t="str">
        <f t="shared" si="346"/>
        <v/>
      </c>
      <c r="R1586" s="53" t="str">
        <f t="shared" si="347"/>
        <v/>
      </c>
      <c r="S1586" s="53" t="str">
        <f t="shared" si="348"/>
        <v/>
      </c>
      <c r="T1586" s="53" t="str">
        <f t="shared" si="349"/>
        <v/>
      </c>
    </row>
    <row r="1587" spans="1:20">
      <c r="A1587" s="47" t="str">
        <f>IF(archive!E1587="","",archive!E1587)</f>
        <v/>
      </c>
      <c r="B1587" s="48" t="str">
        <f t="shared" si="336"/>
        <v/>
      </c>
      <c r="C1587" s="49" t="str">
        <f>IF(archive!F1587="","",archive!F1587)</f>
        <v/>
      </c>
      <c r="D1587" s="50" t="str">
        <f t="shared" si="337"/>
        <v/>
      </c>
      <c r="E1587" s="50" t="str">
        <f t="shared" si="338"/>
        <v/>
      </c>
      <c r="F1587" s="47" t="str">
        <f>IF(COUNTA(archive!H1587:CI1587)=0,"",COUNTA(archive!H1587:CI1587))</f>
        <v/>
      </c>
      <c r="G1587" s="47" t="str">
        <f>IF(archive!G1587="","",archive!G1587)</f>
        <v/>
      </c>
      <c r="H1587" s="51" t="str">
        <f>IF(archive!CJ1587="","",archive!CJ1587)</f>
        <v/>
      </c>
      <c r="I1587" s="51" t="str">
        <f>IF(archive!CK1587="","",archive!CK1587)</f>
        <v/>
      </c>
      <c r="J1587" s="47" t="str">
        <f t="shared" si="339"/>
        <v/>
      </c>
      <c r="K1587" s="51" t="str">
        <f t="shared" si="340"/>
        <v/>
      </c>
      <c r="L1587" s="52" t="str">
        <f t="shared" si="341"/>
        <v/>
      </c>
      <c r="M1587" s="53" t="str">
        <f t="shared" si="342"/>
        <v/>
      </c>
      <c r="N1587" s="53" t="str">
        <f t="shared" si="343"/>
        <v/>
      </c>
      <c r="O1587" s="53" t="str">
        <f t="shared" si="344"/>
        <v/>
      </c>
      <c r="P1587" s="53" t="str">
        <f t="shared" si="345"/>
        <v/>
      </c>
      <c r="Q1587" s="53" t="str">
        <f t="shared" si="346"/>
        <v/>
      </c>
      <c r="R1587" s="53" t="str">
        <f t="shared" si="347"/>
        <v/>
      </c>
      <c r="S1587" s="53" t="str">
        <f t="shared" si="348"/>
        <v/>
      </c>
      <c r="T1587" s="53" t="str">
        <f t="shared" si="349"/>
        <v/>
      </c>
    </row>
    <row r="1588" spans="1:20">
      <c r="A1588" s="47" t="str">
        <f>IF(archive!E1588="","",archive!E1588)</f>
        <v/>
      </c>
      <c r="B1588" s="48" t="str">
        <f t="shared" si="336"/>
        <v/>
      </c>
      <c r="C1588" s="49" t="str">
        <f>IF(archive!F1588="","",archive!F1588)</f>
        <v/>
      </c>
      <c r="D1588" s="50" t="str">
        <f t="shared" si="337"/>
        <v/>
      </c>
      <c r="E1588" s="50" t="str">
        <f t="shared" si="338"/>
        <v/>
      </c>
      <c r="F1588" s="47" t="str">
        <f>IF(COUNTA(archive!H1588:CI1588)=0,"",COUNTA(archive!H1588:CI1588))</f>
        <v/>
      </c>
      <c r="G1588" s="47" t="str">
        <f>IF(archive!G1588="","",archive!G1588)</f>
        <v/>
      </c>
      <c r="H1588" s="51" t="str">
        <f>IF(archive!CJ1588="","",archive!CJ1588)</f>
        <v/>
      </c>
      <c r="I1588" s="51" t="str">
        <f>IF(archive!CK1588="","",archive!CK1588)</f>
        <v/>
      </c>
      <c r="J1588" s="47" t="str">
        <f t="shared" si="339"/>
        <v/>
      </c>
      <c r="K1588" s="51" t="str">
        <f t="shared" si="340"/>
        <v/>
      </c>
      <c r="L1588" s="52" t="str">
        <f t="shared" si="341"/>
        <v/>
      </c>
      <c r="M1588" s="53" t="str">
        <f t="shared" si="342"/>
        <v/>
      </c>
      <c r="N1588" s="53" t="str">
        <f t="shared" si="343"/>
        <v/>
      </c>
      <c r="O1588" s="53" t="str">
        <f t="shared" si="344"/>
        <v/>
      </c>
      <c r="P1588" s="53" t="str">
        <f t="shared" si="345"/>
        <v/>
      </c>
      <c r="Q1588" s="53" t="str">
        <f t="shared" si="346"/>
        <v/>
      </c>
      <c r="R1588" s="53" t="str">
        <f t="shared" si="347"/>
        <v/>
      </c>
      <c r="S1588" s="53" t="str">
        <f t="shared" si="348"/>
        <v/>
      </c>
      <c r="T1588" s="53" t="str">
        <f t="shared" si="349"/>
        <v/>
      </c>
    </row>
    <row r="1589" spans="1:20">
      <c r="A1589" s="47" t="str">
        <f>IF(archive!E1589="","",archive!E1589)</f>
        <v/>
      </c>
      <c r="B1589" s="48" t="str">
        <f t="shared" si="336"/>
        <v/>
      </c>
      <c r="C1589" s="49" t="str">
        <f>IF(archive!F1589="","",archive!F1589)</f>
        <v/>
      </c>
      <c r="D1589" s="50" t="str">
        <f t="shared" si="337"/>
        <v/>
      </c>
      <c r="E1589" s="50" t="str">
        <f t="shared" si="338"/>
        <v/>
      </c>
      <c r="F1589" s="47" t="str">
        <f>IF(COUNTA(archive!H1589:CI1589)=0,"",COUNTA(archive!H1589:CI1589))</f>
        <v/>
      </c>
      <c r="G1589" s="47" t="str">
        <f>IF(archive!G1589="","",archive!G1589)</f>
        <v/>
      </c>
      <c r="H1589" s="51" t="str">
        <f>IF(archive!CJ1589="","",archive!CJ1589)</f>
        <v/>
      </c>
      <c r="I1589" s="51" t="str">
        <f>IF(archive!CK1589="","",archive!CK1589)</f>
        <v/>
      </c>
      <c r="J1589" s="47" t="str">
        <f t="shared" si="339"/>
        <v/>
      </c>
      <c r="K1589" s="51" t="str">
        <f t="shared" si="340"/>
        <v/>
      </c>
      <c r="L1589" s="52" t="str">
        <f t="shared" si="341"/>
        <v/>
      </c>
      <c r="M1589" s="53" t="str">
        <f t="shared" si="342"/>
        <v/>
      </c>
      <c r="N1589" s="53" t="str">
        <f t="shared" si="343"/>
        <v/>
      </c>
      <c r="O1589" s="53" t="str">
        <f t="shared" si="344"/>
        <v/>
      </c>
      <c r="P1589" s="53" t="str">
        <f t="shared" si="345"/>
        <v/>
      </c>
      <c r="Q1589" s="53" t="str">
        <f t="shared" si="346"/>
        <v/>
      </c>
      <c r="R1589" s="53" t="str">
        <f t="shared" si="347"/>
        <v/>
      </c>
      <c r="S1589" s="53" t="str">
        <f t="shared" si="348"/>
        <v/>
      </c>
      <c r="T1589" s="53" t="str">
        <f t="shared" si="349"/>
        <v/>
      </c>
    </row>
    <row r="1590" spans="1:20">
      <c r="A1590" s="47" t="str">
        <f>IF(archive!E1590="","",archive!E1590)</f>
        <v/>
      </c>
      <c r="B1590" s="48" t="str">
        <f t="shared" si="336"/>
        <v/>
      </c>
      <c r="C1590" s="49" t="str">
        <f>IF(archive!F1590="","",archive!F1590)</f>
        <v/>
      </c>
      <c r="D1590" s="50" t="str">
        <f t="shared" si="337"/>
        <v/>
      </c>
      <c r="E1590" s="50" t="str">
        <f t="shared" si="338"/>
        <v/>
      </c>
      <c r="F1590" s="47" t="str">
        <f>IF(COUNTA(archive!H1590:CI1590)=0,"",COUNTA(archive!H1590:CI1590))</f>
        <v/>
      </c>
      <c r="G1590" s="47" t="str">
        <f>IF(archive!G1590="","",archive!G1590)</f>
        <v/>
      </c>
      <c r="H1590" s="51" t="str">
        <f>IF(archive!CJ1590="","",archive!CJ1590)</f>
        <v/>
      </c>
      <c r="I1590" s="51" t="str">
        <f>IF(archive!CK1590="","",archive!CK1590)</f>
        <v/>
      </c>
      <c r="J1590" s="47" t="str">
        <f t="shared" si="339"/>
        <v/>
      </c>
      <c r="K1590" s="51" t="str">
        <f t="shared" si="340"/>
        <v/>
      </c>
      <c r="L1590" s="52" t="str">
        <f t="shared" si="341"/>
        <v/>
      </c>
      <c r="M1590" s="53" t="str">
        <f t="shared" si="342"/>
        <v/>
      </c>
      <c r="N1590" s="53" t="str">
        <f t="shared" si="343"/>
        <v/>
      </c>
      <c r="O1590" s="53" t="str">
        <f t="shared" si="344"/>
        <v/>
      </c>
      <c r="P1590" s="53" t="str">
        <f t="shared" si="345"/>
        <v/>
      </c>
      <c r="Q1590" s="53" t="str">
        <f t="shared" si="346"/>
        <v/>
      </c>
      <c r="R1590" s="53" t="str">
        <f t="shared" si="347"/>
        <v/>
      </c>
      <c r="S1590" s="53" t="str">
        <f t="shared" si="348"/>
        <v/>
      </c>
      <c r="T1590" s="53" t="str">
        <f t="shared" si="349"/>
        <v/>
      </c>
    </row>
    <row r="1591" spans="1:20">
      <c r="A1591" s="47" t="str">
        <f>IF(archive!E1591="","",archive!E1591)</f>
        <v/>
      </c>
      <c r="B1591" s="48" t="str">
        <f t="shared" si="336"/>
        <v/>
      </c>
      <c r="C1591" s="49" t="str">
        <f>IF(archive!F1591="","",archive!F1591)</f>
        <v/>
      </c>
      <c r="D1591" s="50" t="str">
        <f t="shared" si="337"/>
        <v/>
      </c>
      <c r="E1591" s="50" t="str">
        <f t="shared" si="338"/>
        <v/>
      </c>
      <c r="F1591" s="47" t="str">
        <f>IF(COUNTA(archive!H1591:CI1591)=0,"",COUNTA(archive!H1591:CI1591))</f>
        <v/>
      </c>
      <c r="G1591" s="47" t="str">
        <f>IF(archive!G1591="","",archive!G1591)</f>
        <v/>
      </c>
      <c r="H1591" s="51" t="str">
        <f>IF(archive!CJ1591="","",archive!CJ1591)</f>
        <v/>
      </c>
      <c r="I1591" s="51" t="str">
        <f>IF(archive!CK1591="","",archive!CK1591)</f>
        <v/>
      </c>
      <c r="J1591" s="47" t="str">
        <f t="shared" si="339"/>
        <v/>
      </c>
      <c r="K1591" s="51" t="str">
        <f t="shared" si="340"/>
        <v/>
      </c>
      <c r="L1591" s="52" t="str">
        <f t="shared" si="341"/>
        <v/>
      </c>
      <c r="M1591" s="53" t="str">
        <f t="shared" si="342"/>
        <v/>
      </c>
      <c r="N1591" s="53" t="str">
        <f t="shared" si="343"/>
        <v/>
      </c>
      <c r="O1591" s="53" t="str">
        <f t="shared" si="344"/>
        <v/>
      </c>
      <c r="P1591" s="53" t="str">
        <f t="shared" si="345"/>
        <v/>
      </c>
      <c r="Q1591" s="53" t="str">
        <f t="shared" si="346"/>
        <v/>
      </c>
      <c r="R1591" s="53" t="str">
        <f t="shared" si="347"/>
        <v/>
      </c>
      <c r="S1591" s="53" t="str">
        <f t="shared" si="348"/>
        <v/>
      </c>
      <c r="T1591" s="53" t="str">
        <f t="shared" si="349"/>
        <v/>
      </c>
    </row>
    <row r="1592" spans="1:20">
      <c r="A1592" s="47" t="str">
        <f>IF(archive!E1592="","",archive!E1592)</f>
        <v/>
      </c>
      <c r="B1592" s="48" t="str">
        <f t="shared" si="336"/>
        <v/>
      </c>
      <c r="C1592" s="49" t="str">
        <f>IF(archive!F1592="","",archive!F1592)</f>
        <v/>
      </c>
      <c r="D1592" s="50" t="str">
        <f t="shared" si="337"/>
        <v/>
      </c>
      <c r="E1592" s="50" t="str">
        <f t="shared" si="338"/>
        <v/>
      </c>
      <c r="F1592" s="47" t="str">
        <f>IF(COUNTA(archive!H1592:CI1592)=0,"",COUNTA(archive!H1592:CI1592))</f>
        <v/>
      </c>
      <c r="G1592" s="47" t="str">
        <f>IF(archive!G1592="","",archive!G1592)</f>
        <v/>
      </c>
      <c r="H1592" s="51" t="str">
        <f>IF(archive!CJ1592="","",archive!CJ1592)</f>
        <v/>
      </c>
      <c r="I1592" s="51" t="str">
        <f>IF(archive!CK1592="","",archive!CK1592)</f>
        <v/>
      </c>
      <c r="J1592" s="47" t="str">
        <f t="shared" si="339"/>
        <v/>
      </c>
      <c r="K1592" s="51" t="str">
        <f t="shared" si="340"/>
        <v/>
      </c>
      <c r="L1592" s="52" t="str">
        <f t="shared" si="341"/>
        <v/>
      </c>
      <c r="M1592" s="53" t="str">
        <f t="shared" si="342"/>
        <v/>
      </c>
      <c r="N1592" s="53" t="str">
        <f t="shared" si="343"/>
        <v/>
      </c>
      <c r="O1592" s="53" t="str">
        <f t="shared" si="344"/>
        <v/>
      </c>
      <c r="P1592" s="53" t="str">
        <f t="shared" si="345"/>
        <v/>
      </c>
      <c r="Q1592" s="53" t="str">
        <f t="shared" si="346"/>
        <v/>
      </c>
      <c r="R1592" s="53" t="str">
        <f t="shared" si="347"/>
        <v/>
      </c>
      <c r="S1592" s="53" t="str">
        <f t="shared" si="348"/>
        <v/>
      </c>
      <c r="T1592" s="53" t="str">
        <f t="shared" si="349"/>
        <v/>
      </c>
    </row>
    <row r="1593" spans="1:20">
      <c r="A1593" s="47" t="str">
        <f>IF(archive!E1593="","",archive!E1593)</f>
        <v/>
      </c>
      <c r="B1593" s="48" t="str">
        <f t="shared" si="336"/>
        <v/>
      </c>
      <c r="C1593" s="49" t="str">
        <f>IF(archive!F1593="","",archive!F1593)</f>
        <v/>
      </c>
      <c r="D1593" s="50" t="str">
        <f t="shared" si="337"/>
        <v/>
      </c>
      <c r="E1593" s="50" t="str">
        <f t="shared" si="338"/>
        <v/>
      </c>
      <c r="F1593" s="47" t="str">
        <f>IF(COUNTA(archive!H1593:CI1593)=0,"",COUNTA(archive!H1593:CI1593))</f>
        <v/>
      </c>
      <c r="G1593" s="47" t="str">
        <f>IF(archive!G1593="","",archive!G1593)</f>
        <v/>
      </c>
      <c r="H1593" s="51" t="str">
        <f>IF(archive!CJ1593="","",archive!CJ1593)</f>
        <v/>
      </c>
      <c r="I1593" s="51" t="str">
        <f>IF(archive!CK1593="","",archive!CK1593)</f>
        <v/>
      </c>
      <c r="J1593" s="47" t="str">
        <f t="shared" si="339"/>
        <v/>
      </c>
      <c r="K1593" s="51" t="str">
        <f t="shared" si="340"/>
        <v/>
      </c>
      <c r="L1593" s="52" t="str">
        <f t="shared" si="341"/>
        <v/>
      </c>
      <c r="M1593" s="53" t="str">
        <f t="shared" si="342"/>
        <v/>
      </c>
      <c r="N1593" s="53" t="str">
        <f t="shared" si="343"/>
        <v/>
      </c>
      <c r="O1593" s="53" t="str">
        <f t="shared" si="344"/>
        <v/>
      </c>
      <c r="P1593" s="53" t="str">
        <f t="shared" si="345"/>
        <v/>
      </c>
      <c r="Q1593" s="53" t="str">
        <f t="shared" si="346"/>
        <v/>
      </c>
      <c r="R1593" s="53" t="str">
        <f t="shared" si="347"/>
        <v/>
      </c>
      <c r="S1593" s="53" t="str">
        <f t="shared" si="348"/>
        <v/>
      </c>
      <c r="T1593" s="53" t="str">
        <f t="shared" si="349"/>
        <v/>
      </c>
    </row>
    <row r="1594" spans="1:20">
      <c r="A1594" s="47" t="str">
        <f>IF(archive!E1594="","",archive!E1594)</f>
        <v/>
      </c>
      <c r="B1594" s="48" t="str">
        <f t="shared" si="336"/>
        <v/>
      </c>
      <c r="C1594" s="49" t="str">
        <f>IF(archive!F1594="","",archive!F1594)</f>
        <v/>
      </c>
      <c r="D1594" s="50" t="str">
        <f t="shared" si="337"/>
        <v/>
      </c>
      <c r="E1594" s="50" t="str">
        <f t="shared" si="338"/>
        <v/>
      </c>
      <c r="F1594" s="47" t="str">
        <f>IF(COUNTA(archive!H1594:CI1594)=0,"",COUNTA(archive!H1594:CI1594))</f>
        <v/>
      </c>
      <c r="G1594" s="47" t="str">
        <f>IF(archive!G1594="","",archive!G1594)</f>
        <v/>
      </c>
      <c r="H1594" s="51" t="str">
        <f>IF(archive!CJ1594="","",archive!CJ1594)</f>
        <v/>
      </c>
      <c r="I1594" s="51" t="str">
        <f>IF(archive!CK1594="","",archive!CK1594)</f>
        <v/>
      </c>
      <c r="J1594" s="47" t="str">
        <f t="shared" si="339"/>
        <v/>
      </c>
      <c r="K1594" s="51" t="str">
        <f t="shared" si="340"/>
        <v/>
      </c>
      <c r="L1594" s="52" t="str">
        <f t="shared" si="341"/>
        <v/>
      </c>
      <c r="M1594" s="53" t="str">
        <f t="shared" si="342"/>
        <v/>
      </c>
      <c r="N1594" s="53" t="str">
        <f t="shared" si="343"/>
        <v/>
      </c>
      <c r="O1594" s="53" t="str">
        <f t="shared" si="344"/>
        <v/>
      </c>
      <c r="P1594" s="53" t="str">
        <f t="shared" si="345"/>
        <v/>
      </c>
      <c r="Q1594" s="53" t="str">
        <f t="shared" si="346"/>
        <v/>
      </c>
      <c r="R1594" s="53" t="str">
        <f t="shared" si="347"/>
        <v/>
      </c>
      <c r="S1594" s="53" t="str">
        <f t="shared" si="348"/>
        <v/>
      </c>
      <c r="T1594" s="53" t="str">
        <f t="shared" si="349"/>
        <v/>
      </c>
    </row>
    <row r="1595" spans="1:20">
      <c r="A1595" s="47" t="str">
        <f>IF(archive!E1595="","",archive!E1595)</f>
        <v/>
      </c>
      <c r="B1595" s="48" t="str">
        <f t="shared" si="336"/>
        <v/>
      </c>
      <c r="C1595" s="49" t="str">
        <f>IF(archive!F1595="","",archive!F1595)</f>
        <v/>
      </c>
      <c r="D1595" s="50" t="str">
        <f t="shared" si="337"/>
        <v/>
      </c>
      <c r="E1595" s="50" t="str">
        <f t="shared" si="338"/>
        <v/>
      </c>
      <c r="F1595" s="47" t="str">
        <f>IF(COUNTA(archive!H1595:CI1595)=0,"",COUNTA(archive!H1595:CI1595))</f>
        <v/>
      </c>
      <c r="G1595" s="47" t="str">
        <f>IF(archive!G1595="","",archive!G1595)</f>
        <v/>
      </c>
      <c r="H1595" s="51" t="str">
        <f>IF(archive!CJ1595="","",archive!CJ1595)</f>
        <v/>
      </c>
      <c r="I1595" s="51" t="str">
        <f>IF(archive!CK1595="","",archive!CK1595)</f>
        <v/>
      </c>
      <c r="J1595" s="47" t="str">
        <f t="shared" si="339"/>
        <v/>
      </c>
      <c r="K1595" s="51" t="str">
        <f t="shared" si="340"/>
        <v/>
      </c>
      <c r="L1595" s="52" t="str">
        <f t="shared" si="341"/>
        <v/>
      </c>
      <c r="M1595" s="53" t="str">
        <f t="shared" si="342"/>
        <v/>
      </c>
      <c r="N1595" s="53" t="str">
        <f t="shared" si="343"/>
        <v/>
      </c>
      <c r="O1595" s="53" t="str">
        <f t="shared" si="344"/>
        <v/>
      </c>
      <c r="P1595" s="53" t="str">
        <f t="shared" si="345"/>
        <v/>
      </c>
      <c r="Q1595" s="53" t="str">
        <f t="shared" si="346"/>
        <v/>
      </c>
      <c r="R1595" s="53" t="str">
        <f t="shared" si="347"/>
        <v/>
      </c>
      <c r="S1595" s="53" t="str">
        <f t="shared" si="348"/>
        <v/>
      </c>
      <c r="T1595" s="53" t="str">
        <f t="shared" si="349"/>
        <v/>
      </c>
    </row>
    <row r="1596" spans="1:20">
      <c r="A1596" s="47" t="str">
        <f>IF(archive!E1596="","",archive!E1596)</f>
        <v/>
      </c>
      <c r="B1596" s="48" t="str">
        <f t="shared" si="336"/>
        <v/>
      </c>
      <c r="C1596" s="49" t="str">
        <f>IF(archive!F1596="","",archive!F1596)</f>
        <v/>
      </c>
      <c r="D1596" s="50" t="str">
        <f t="shared" si="337"/>
        <v/>
      </c>
      <c r="E1596" s="50" t="str">
        <f t="shared" si="338"/>
        <v/>
      </c>
      <c r="F1596" s="47" t="str">
        <f>IF(COUNTA(archive!H1596:CI1596)=0,"",COUNTA(archive!H1596:CI1596))</f>
        <v/>
      </c>
      <c r="G1596" s="47" t="str">
        <f>IF(archive!G1596="","",archive!G1596)</f>
        <v/>
      </c>
      <c r="H1596" s="51" t="str">
        <f>IF(archive!CJ1596="","",archive!CJ1596)</f>
        <v/>
      </c>
      <c r="I1596" s="51" t="str">
        <f>IF(archive!CK1596="","",archive!CK1596)</f>
        <v/>
      </c>
      <c r="J1596" s="47" t="str">
        <f t="shared" si="339"/>
        <v/>
      </c>
      <c r="K1596" s="51" t="str">
        <f t="shared" si="340"/>
        <v/>
      </c>
      <c r="L1596" s="52" t="str">
        <f t="shared" si="341"/>
        <v/>
      </c>
      <c r="M1596" s="53" t="str">
        <f t="shared" si="342"/>
        <v/>
      </c>
      <c r="N1596" s="53" t="str">
        <f t="shared" si="343"/>
        <v/>
      </c>
      <c r="O1596" s="53" t="str">
        <f t="shared" si="344"/>
        <v/>
      </c>
      <c r="P1596" s="53" t="str">
        <f t="shared" si="345"/>
        <v/>
      </c>
      <c r="Q1596" s="53" t="str">
        <f t="shared" si="346"/>
        <v/>
      </c>
      <c r="R1596" s="53" t="str">
        <f t="shared" si="347"/>
        <v/>
      </c>
      <c r="S1596" s="53" t="str">
        <f t="shared" si="348"/>
        <v/>
      </c>
      <c r="T1596" s="53" t="str">
        <f t="shared" si="349"/>
        <v/>
      </c>
    </row>
    <row r="1597" spans="1:20">
      <c r="A1597" s="47" t="str">
        <f>IF(archive!E1597="","",archive!E1597)</f>
        <v/>
      </c>
      <c r="B1597" s="48" t="str">
        <f t="shared" si="336"/>
        <v/>
      </c>
      <c r="C1597" s="49" t="str">
        <f>IF(archive!F1597="","",archive!F1597)</f>
        <v/>
      </c>
      <c r="D1597" s="50" t="str">
        <f t="shared" si="337"/>
        <v/>
      </c>
      <c r="E1597" s="50" t="str">
        <f t="shared" si="338"/>
        <v/>
      </c>
      <c r="F1597" s="47" t="str">
        <f>IF(COUNTA(archive!H1597:CI1597)=0,"",COUNTA(archive!H1597:CI1597))</f>
        <v/>
      </c>
      <c r="G1597" s="47" t="str">
        <f>IF(archive!G1597="","",archive!G1597)</f>
        <v/>
      </c>
      <c r="H1597" s="51" t="str">
        <f>IF(archive!CJ1597="","",archive!CJ1597)</f>
        <v/>
      </c>
      <c r="I1597" s="51" t="str">
        <f>IF(archive!CK1597="","",archive!CK1597)</f>
        <v/>
      </c>
      <c r="J1597" s="47" t="str">
        <f t="shared" si="339"/>
        <v/>
      </c>
      <c r="K1597" s="51" t="str">
        <f t="shared" si="340"/>
        <v/>
      </c>
      <c r="L1597" s="52" t="str">
        <f t="shared" si="341"/>
        <v/>
      </c>
      <c r="M1597" s="53" t="str">
        <f t="shared" si="342"/>
        <v/>
      </c>
      <c r="N1597" s="53" t="str">
        <f t="shared" si="343"/>
        <v/>
      </c>
      <c r="O1597" s="53" t="str">
        <f t="shared" si="344"/>
        <v/>
      </c>
      <c r="P1597" s="53" t="str">
        <f t="shared" si="345"/>
        <v/>
      </c>
      <c r="Q1597" s="53" t="str">
        <f t="shared" si="346"/>
        <v/>
      </c>
      <c r="R1597" s="53" t="str">
        <f t="shared" si="347"/>
        <v/>
      </c>
      <c r="S1597" s="53" t="str">
        <f t="shared" si="348"/>
        <v/>
      </c>
      <c r="T1597" s="53" t="str">
        <f t="shared" si="349"/>
        <v/>
      </c>
    </row>
    <row r="1598" spans="1:20">
      <c r="A1598" s="47" t="str">
        <f>IF(archive!E1598="","",archive!E1598)</f>
        <v/>
      </c>
      <c r="B1598" s="48" t="str">
        <f t="shared" si="336"/>
        <v/>
      </c>
      <c r="C1598" s="49" t="str">
        <f>IF(archive!F1598="","",archive!F1598)</f>
        <v/>
      </c>
      <c r="D1598" s="50" t="str">
        <f t="shared" si="337"/>
        <v/>
      </c>
      <c r="E1598" s="50" t="str">
        <f t="shared" si="338"/>
        <v/>
      </c>
      <c r="F1598" s="47" t="str">
        <f>IF(COUNTA(archive!H1598:CI1598)=0,"",COUNTA(archive!H1598:CI1598))</f>
        <v/>
      </c>
      <c r="G1598" s="47" t="str">
        <f>IF(archive!G1598="","",archive!G1598)</f>
        <v/>
      </c>
      <c r="H1598" s="51" t="str">
        <f>IF(archive!CJ1598="","",archive!CJ1598)</f>
        <v/>
      </c>
      <c r="I1598" s="51" t="str">
        <f>IF(archive!CK1598="","",archive!CK1598)</f>
        <v/>
      </c>
      <c r="J1598" s="47" t="str">
        <f t="shared" si="339"/>
        <v/>
      </c>
      <c r="K1598" s="51" t="str">
        <f t="shared" si="340"/>
        <v/>
      </c>
      <c r="L1598" s="52" t="str">
        <f t="shared" si="341"/>
        <v/>
      </c>
      <c r="M1598" s="53" t="str">
        <f t="shared" si="342"/>
        <v/>
      </c>
      <c r="N1598" s="53" t="str">
        <f t="shared" si="343"/>
        <v/>
      </c>
      <c r="O1598" s="53" t="str">
        <f t="shared" si="344"/>
        <v/>
      </c>
      <c r="P1598" s="53" t="str">
        <f t="shared" si="345"/>
        <v/>
      </c>
      <c r="Q1598" s="53" t="str">
        <f t="shared" si="346"/>
        <v/>
      </c>
      <c r="R1598" s="53" t="str">
        <f t="shared" si="347"/>
        <v/>
      </c>
      <c r="S1598" s="53" t="str">
        <f t="shared" si="348"/>
        <v/>
      </c>
      <c r="T1598" s="53" t="str">
        <f t="shared" si="349"/>
        <v/>
      </c>
    </row>
    <row r="1599" spans="1:20">
      <c r="A1599" s="47" t="str">
        <f>IF(archive!E1599="","",archive!E1599)</f>
        <v/>
      </c>
      <c r="B1599" s="48" t="str">
        <f t="shared" si="336"/>
        <v/>
      </c>
      <c r="C1599" s="49" t="str">
        <f>IF(archive!F1599="","",archive!F1599)</f>
        <v/>
      </c>
      <c r="D1599" s="50" t="str">
        <f t="shared" si="337"/>
        <v/>
      </c>
      <c r="E1599" s="50" t="str">
        <f t="shared" si="338"/>
        <v/>
      </c>
      <c r="F1599" s="47" t="str">
        <f>IF(COUNTA(archive!H1599:CI1599)=0,"",COUNTA(archive!H1599:CI1599))</f>
        <v/>
      </c>
      <c r="G1599" s="47" t="str">
        <f>IF(archive!G1599="","",archive!G1599)</f>
        <v/>
      </c>
      <c r="H1599" s="51" t="str">
        <f>IF(archive!CJ1599="","",archive!CJ1599)</f>
        <v/>
      </c>
      <c r="I1599" s="51" t="str">
        <f>IF(archive!CK1599="","",archive!CK1599)</f>
        <v/>
      </c>
      <c r="J1599" s="47" t="str">
        <f t="shared" si="339"/>
        <v/>
      </c>
      <c r="K1599" s="51" t="str">
        <f t="shared" si="340"/>
        <v/>
      </c>
      <c r="L1599" s="52" t="str">
        <f t="shared" si="341"/>
        <v/>
      </c>
      <c r="M1599" s="53" t="str">
        <f t="shared" si="342"/>
        <v/>
      </c>
      <c r="N1599" s="53" t="str">
        <f t="shared" si="343"/>
        <v/>
      </c>
      <c r="O1599" s="53" t="str">
        <f t="shared" si="344"/>
        <v/>
      </c>
      <c r="P1599" s="53" t="str">
        <f t="shared" si="345"/>
        <v/>
      </c>
      <c r="Q1599" s="53" t="str">
        <f t="shared" si="346"/>
        <v/>
      </c>
      <c r="R1599" s="53" t="str">
        <f t="shared" si="347"/>
        <v/>
      </c>
      <c r="S1599" s="53" t="str">
        <f t="shared" si="348"/>
        <v/>
      </c>
      <c r="T1599" s="53" t="str">
        <f t="shared" si="349"/>
        <v/>
      </c>
    </row>
    <row r="1600" spans="1:20">
      <c r="A1600" s="47" t="str">
        <f>IF(archive!E1600="","",archive!E1600)</f>
        <v/>
      </c>
      <c r="B1600" s="48" t="str">
        <f t="shared" si="336"/>
        <v/>
      </c>
      <c r="C1600" s="49" t="str">
        <f>IF(archive!F1600="","",archive!F1600)</f>
        <v/>
      </c>
      <c r="D1600" s="50" t="str">
        <f t="shared" si="337"/>
        <v/>
      </c>
      <c r="E1600" s="50" t="str">
        <f t="shared" si="338"/>
        <v/>
      </c>
      <c r="F1600" s="47" t="str">
        <f>IF(COUNTA(archive!H1600:CI1600)=0,"",COUNTA(archive!H1600:CI1600))</f>
        <v/>
      </c>
      <c r="G1600" s="47" t="str">
        <f>IF(archive!G1600="","",archive!G1600)</f>
        <v/>
      </c>
      <c r="H1600" s="51" t="str">
        <f>IF(archive!CJ1600="","",archive!CJ1600)</f>
        <v/>
      </c>
      <c r="I1600" s="51" t="str">
        <f>IF(archive!CK1600="","",archive!CK1600)</f>
        <v/>
      </c>
      <c r="J1600" s="47" t="str">
        <f t="shared" si="339"/>
        <v/>
      </c>
      <c r="K1600" s="51" t="str">
        <f t="shared" si="340"/>
        <v/>
      </c>
      <c r="L1600" s="52" t="str">
        <f t="shared" si="341"/>
        <v/>
      </c>
      <c r="M1600" s="53" t="str">
        <f t="shared" si="342"/>
        <v/>
      </c>
      <c r="N1600" s="53" t="str">
        <f t="shared" si="343"/>
        <v/>
      </c>
      <c r="O1600" s="53" t="str">
        <f t="shared" si="344"/>
        <v/>
      </c>
      <c r="P1600" s="53" t="str">
        <f t="shared" si="345"/>
        <v/>
      </c>
      <c r="Q1600" s="53" t="str">
        <f t="shared" si="346"/>
        <v/>
      </c>
      <c r="R1600" s="53" t="str">
        <f t="shared" si="347"/>
        <v/>
      </c>
      <c r="S1600" s="53" t="str">
        <f t="shared" si="348"/>
        <v/>
      </c>
      <c r="T1600" s="53" t="str">
        <f t="shared" si="349"/>
        <v/>
      </c>
    </row>
    <row r="1601" spans="1:20">
      <c r="A1601" s="47" t="str">
        <f>IF(archive!E1601="","",archive!E1601)</f>
        <v/>
      </c>
      <c r="B1601" s="48" t="str">
        <f t="shared" si="336"/>
        <v/>
      </c>
      <c r="C1601" s="49" t="str">
        <f>IF(archive!F1601="","",archive!F1601)</f>
        <v/>
      </c>
      <c r="D1601" s="50" t="str">
        <f t="shared" si="337"/>
        <v/>
      </c>
      <c r="E1601" s="50" t="str">
        <f t="shared" si="338"/>
        <v/>
      </c>
      <c r="F1601" s="47" t="str">
        <f>IF(COUNTA(archive!H1601:CI1601)=0,"",COUNTA(archive!H1601:CI1601))</f>
        <v/>
      </c>
      <c r="G1601" s="47" t="str">
        <f>IF(archive!G1601="","",archive!G1601)</f>
        <v/>
      </c>
      <c r="H1601" s="51" t="str">
        <f>IF(archive!CJ1601="","",archive!CJ1601)</f>
        <v/>
      </c>
      <c r="I1601" s="51" t="str">
        <f>IF(archive!CK1601="","",archive!CK1601)</f>
        <v/>
      </c>
      <c r="J1601" s="47" t="str">
        <f t="shared" si="339"/>
        <v/>
      </c>
      <c r="K1601" s="51" t="str">
        <f t="shared" si="340"/>
        <v/>
      </c>
      <c r="L1601" s="52" t="str">
        <f t="shared" si="341"/>
        <v/>
      </c>
      <c r="M1601" s="53" t="str">
        <f t="shared" si="342"/>
        <v/>
      </c>
      <c r="N1601" s="53" t="str">
        <f t="shared" si="343"/>
        <v/>
      </c>
      <c r="O1601" s="53" t="str">
        <f t="shared" si="344"/>
        <v/>
      </c>
      <c r="P1601" s="53" t="str">
        <f t="shared" si="345"/>
        <v/>
      </c>
      <c r="Q1601" s="53" t="str">
        <f t="shared" si="346"/>
        <v/>
      </c>
      <c r="R1601" s="53" t="str">
        <f t="shared" si="347"/>
        <v/>
      </c>
      <c r="S1601" s="53" t="str">
        <f t="shared" si="348"/>
        <v/>
      </c>
      <c r="T1601" s="53" t="str">
        <f t="shared" si="349"/>
        <v/>
      </c>
    </row>
    <row r="1602" spans="1:20">
      <c r="A1602" s="47" t="str">
        <f>IF(archive!E1602="","",archive!E1602)</f>
        <v/>
      </c>
      <c r="B1602" s="48" t="str">
        <f t="shared" si="336"/>
        <v/>
      </c>
      <c r="C1602" s="49" t="str">
        <f>IF(archive!F1602="","",archive!F1602)</f>
        <v/>
      </c>
      <c r="D1602" s="50" t="str">
        <f t="shared" si="337"/>
        <v/>
      </c>
      <c r="E1602" s="50" t="str">
        <f t="shared" si="338"/>
        <v/>
      </c>
      <c r="F1602" s="47" t="str">
        <f>IF(COUNTA(archive!H1602:CI1602)=0,"",COUNTA(archive!H1602:CI1602))</f>
        <v/>
      </c>
      <c r="G1602" s="47" t="str">
        <f>IF(archive!G1602="","",archive!G1602)</f>
        <v/>
      </c>
      <c r="H1602" s="51" t="str">
        <f>IF(archive!CJ1602="","",archive!CJ1602)</f>
        <v/>
      </c>
      <c r="I1602" s="51" t="str">
        <f>IF(archive!CK1602="","",archive!CK1602)</f>
        <v/>
      </c>
      <c r="J1602" s="47" t="str">
        <f t="shared" si="339"/>
        <v/>
      </c>
      <c r="K1602" s="51" t="str">
        <f t="shared" si="340"/>
        <v/>
      </c>
      <c r="L1602" s="52" t="str">
        <f t="shared" si="341"/>
        <v/>
      </c>
      <c r="M1602" s="53" t="str">
        <f t="shared" si="342"/>
        <v/>
      </c>
      <c r="N1602" s="53" t="str">
        <f t="shared" si="343"/>
        <v/>
      </c>
      <c r="O1602" s="53" t="str">
        <f t="shared" si="344"/>
        <v/>
      </c>
      <c r="P1602" s="53" t="str">
        <f t="shared" si="345"/>
        <v/>
      </c>
      <c r="Q1602" s="53" t="str">
        <f t="shared" si="346"/>
        <v/>
      </c>
      <c r="R1602" s="53" t="str">
        <f t="shared" si="347"/>
        <v/>
      </c>
      <c r="S1602" s="53" t="str">
        <f t="shared" si="348"/>
        <v/>
      </c>
      <c r="T1602" s="53" t="str">
        <f t="shared" si="349"/>
        <v/>
      </c>
    </row>
    <row r="1603" spans="1:20">
      <c r="A1603" s="47" t="str">
        <f>IF(archive!E1603="","",archive!E1603)</f>
        <v/>
      </c>
      <c r="B1603" s="48" t="str">
        <f t="shared" si="336"/>
        <v/>
      </c>
      <c r="C1603" s="49" t="str">
        <f>IF(archive!F1603="","",archive!F1603)</f>
        <v/>
      </c>
      <c r="D1603" s="50" t="str">
        <f t="shared" si="337"/>
        <v/>
      </c>
      <c r="E1603" s="50" t="str">
        <f t="shared" si="338"/>
        <v/>
      </c>
      <c r="F1603" s="47" t="str">
        <f>IF(COUNTA(archive!H1603:CI1603)=0,"",COUNTA(archive!H1603:CI1603))</f>
        <v/>
      </c>
      <c r="G1603" s="47" t="str">
        <f>IF(archive!G1603="","",archive!G1603)</f>
        <v/>
      </c>
      <c r="H1603" s="51" t="str">
        <f>IF(archive!CJ1603="","",archive!CJ1603)</f>
        <v/>
      </c>
      <c r="I1603" s="51" t="str">
        <f>IF(archive!CK1603="","",archive!CK1603)</f>
        <v/>
      </c>
      <c r="J1603" s="47" t="str">
        <f t="shared" si="339"/>
        <v/>
      </c>
      <c r="K1603" s="51" t="str">
        <f t="shared" si="340"/>
        <v/>
      </c>
      <c r="L1603" s="52" t="str">
        <f t="shared" si="341"/>
        <v/>
      </c>
      <c r="M1603" s="53" t="str">
        <f t="shared" si="342"/>
        <v/>
      </c>
      <c r="N1603" s="53" t="str">
        <f t="shared" si="343"/>
        <v/>
      </c>
      <c r="O1603" s="53" t="str">
        <f t="shared" si="344"/>
        <v/>
      </c>
      <c r="P1603" s="53" t="str">
        <f t="shared" si="345"/>
        <v/>
      </c>
      <c r="Q1603" s="53" t="str">
        <f t="shared" si="346"/>
        <v/>
      </c>
      <c r="R1603" s="53" t="str">
        <f t="shared" si="347"/>
        <v/>
      </c>
      <c r="S1603" s="53" t="str">
        <f t="shared" si="348"/>
        <v/>
      </c>
      <c r="T1603" s="53" t="str">
        <f t="shared" si="349"/>
        <v/>
      </c>
    </row>
    <row r="1604" spans="1:20">
      <c r="A1604" s="47" t="str">
        <f>IF(archive!E1604="","",archive!E1604)</f>
        <v/>
      </c>
      <c r="B1604" s="48" t="str">
        <f t="shared" ref="B1604:B1667" si="350">IF(C1604="","",VLOOKUP($C1604,Tare,2,0))</f>
        <v/>
      </c>
      <c r="C1604" s="49" t="str">
        <f>IF(archive!F1604="","",archive!F1604)</f>
        <v/>
      </c>
      <c r="D1604" s="50" t="str">
        <f t="shared" ref="D1604:D1667" si="351">IF(C1604="","",C1604+B1604)</f>
        <v/>
      </c>
      <c r="E1604" s="50" t="str">
        <f t="shared" ref="E1604:E1667" si="352">IF(C1604="","",(C1604*0.025)+D1604)</f>
        <v/>
      </c>
      <c r="F1604" s="47" t="str">
        <f>IF(COUNTA(archive!H1604:CI1604)=0,"",COUNTA(archive!H1604:CI1604))</f>
        <v/>
      </c>
      <c r="G1604" s="47" t="str">
        <f>IF(archive!G1604="","",archive!G1604)</f>
        <v/>
      </c>
      <c r="H1604" s="51" t="str">
        <f>IF(archive!CJ1604="","",archive!CJ1604)</f>
        <v/>
      </c>
      <c r="I1604" s="51" t="str">
        <f>IF(archive!CK1604="","",archive!CK1604)</f>
        <v/>
      </c>
      <c r="J1604" s="47" t="str">
        <f t="shared" ref="J1604:J1667" si="353">IF(F1604="","",VLOOKUP(F1604,Valeur_g,2,0))</f>
        <v/>
      </c>
      <c r="K1604" s="51" t="str">
        <f t="shared" ref="K1604:K1667" si="354">IF(C1604="","",D1604+(J1604*I1604))</f>
        <v/>
      </c>
      <c r="L1604" s="52" t="str">
        <f t="shared" ref="L1604:L1667" si="355">IF(C1604="","",IF(K1604&lt;H1604,"Conforme","Non conforme"))</f>
        <v/>
      </c>
      <c r="M1604" s="53" t="str">
        <f t="shared" ref="M1604:M1667" si="356">IF(C1604="","",1)</f>
        <v/>
      </c>
      <c r="N1604" s="53" t="str">
        <f t="shared" ref="N1604:N1667" si="357">IF(L1604="","",COUNTIF(L1604,"Non conforme"))</f>
        <v/>
      </c>
      <c r="O1604" s="53" t="str">
        <f t="shared" ref="O1604:O1667" si="358">IF($C1604="","",IF($C1604=0.25,$G1604,"-"))</f>
        <v/>
      </c>
      <c r="P1604" s="53" t="str">
        <f t="shared" ref="P1604:P1667" si="359">IF($C1604="","",IF($C1604=0.4,$G1604,"-"))</f>
        <v/>
      </c>
      <c r="Q1604" s="53" t="str">
        <f t="shared" ref="Q1604:Q1667" si="360">IF($C1604="","",IF($C1604=0.5,$G1604,"-"))</f>
        <v/>
      </c>
      <c r="R1604" s="53" t="str">
        <f t="shared" ref="R1604:R1667" si="361">IF($C1604="","",IF($C1604=0.6,$G1604,"-"))</f>
        <v/>
      </c>
      <c r="S1604" s="53" t="str">
        <f t="shared" ref="S1604:S1667" si="362">IF($C1604="","",IF($C1604=0.8,$G1604,"-"))</f>
        <v/>
      </c>
      <c r="T1604" s="53" t="str">
        <f t="shared" ref="T1604:T1667" si="363">IF($C1604="","",IF($C1604=1,$G1604,"-"))</f>
        <v/>
      </c>
    </row>
    <row r="1605" spans="1:20">
      <c r="A1605" s="47" t="str">
        <f>IF(archive!E1605="","",archive!E1605)</f>
        <v/>
      </c>
      <c r="B1605" s="48" t="str">
        <f t="shared" si="350"/>
        <v/>
      </c>
      <c r="C1605" s="49" t="str">
        <f>IF(archive!F1605="","",archive!F1605)</f>
        <v/>
      </c>
      <c r="D1605" s="50" t="str">
        <f t="shared" si="351"/>
        <v/>
      </c>
      <c r="E1605" s="50" t="str">
        <f t="shared" si="352"/>
        <v/>
      </c>
      <c r="F1605" s="47" t="str">
        <f>IF(COUNTA(archive!H1605:CI1605)=0,"",COUNTA(archive!H1605:CI1605))</f>
        <v/>
      </c>
      <c r="G1605" s="47" t="str">
        <f>IF(archive!G1605="","",archive!G1605)</f>
        <v/>
      </c>
      <c r="H1605" s="51" t="str">
        <f>IF(archive!CJ1605="","",archive!CJ1605)</f>
        <v/>
      </c>
      <c r="I1605" s="51" t="str">
        <f>IF(archive!CK1605="","",archive!CK1605)</f>
        <v/>
      </c>
      <c r="J1605" s="47" t="str">
        <f t="shared" si="353"/>
        <v/>
      </c>
      <c r="K1605" s="51" t="str">
        <f t="shared" si="354"/>
        <v/>
      </c>
      <c r="L1605" s="52" t="str">
        <f t="shared" si="355"/>
        <v/>
      </c>
      <c r="M1605" s="53" t="str">
        <f t="shared" si="356"/>
        <v/>
      </c>
      <c r="N1605" s="53" t="str">
        <f t="shared" si="357"/>
        <v/>
      </c>
      <c r="O1605" s="53" t="str">
        <f t="shared" si="358"/>
        <v/>
      </c>
      <c r="P1605" s="53" t="str">
        <f t="shared" si="359"/>
        <v/>
      </c>
      <c r="Q1605" s="53" t="str">
        <f t="shared" si="360"/>
        <v/>
      </c>
      <c r="R1605" s="53" t="str">
        <f t="shared" si="361"/>
        <v/>
      </c>
      <c r="S1605" s="53" t="str">
        <f t="shared" si="362"/>
        <v/>
      </c>
      <c r="T1605" s="53" t="str">
        <f t="shared" si="363"/>
        <v/>
      </c>
    </row>
    <row r="1606" spans="1:20">
      <c r="A1606" s="47" t="str">
        <f>IF(archive!E1606="","",archive!E1606)</f>
        <v/>
      </c>
      <c r="B1606" s="48" t="str">
        <f t="shared" si="350"/>
        <v/>
      </c>
      <c r="C1606" s="49" t="str">
        <f>IF(archive!F1606="","",archive!F1606)</f>
        <v/>
      </c>
      <c r="D1606" s="50" t="str">
        <f t="shared" si="351"/>
        <v/>
      </c>
      <c r="E1606" s="50" t="str">
        <f t="shared" si="352"/>
        <v/>
      </c>
      <c r="F1606" s="47" t="str">
        <f>IF(COUNTA(archive!H1606:CI1606)=0,"",COUNTA(archive!H1606:CI1606))</f>
        <v/>
      </c>
      <c r="G1606" s="47" t="str">
        <f>IF(archive!G1606="","",archive!G1606)</f>
        <v/>
      </c>
      <c r="H1606" s="51" t="str">
        <f>IF(archive!CJ1606="","",archive!CJ1606)</f>
        <v/>
      </c>
      <c r="I1606" s="51" t="str">
        <f>IF(archive!CK1606="","",archive!CK1606)</f>
        <v/>
      </c>
      <c r="J1606" s="47" t="str">
        <f t="shared" si="353"/>
        <v/>
      </c>
      <c r="K1606" s="51" t="str">
        <f t="shared" si="354"/>
        <v/>
      </c>
      <c r="L1606" s="52" t="str">
        <f t="shared" si="355"/>
        <v/>
      </c>
      <c r="M1606" s="53" t="str">
        <f t="shared" si="356"/>
        <v/>
      </c>
      <c r="N1606" s="53" t="str">
        <f t="shared" si="357"/>
        <v/>
      </c>
      <c r="O1606" s="53" t="str">
        <f t="shared" si="358"/>
        <v/>
      </c>
      <c r="P1606" s="53" t="str">
        <f t="shared" si="359"/>
        <v/>
      </c>
      <c r="Q1606" s="53" t="str">
        <f t="shared" si="360"/>
        <v/>
      </c>
      <c r="R1606" s="53" t="str">
        <f t="shared" si="361"/>
        <v/>
      </c>
      <c r="S1606" s="53" t="str">
        <f t="shared" si="362"/>
        <v/>
      </c>
      <c r="T1606" s="53" t="str">
        <f t="shared" si="363"/>
        <v/>
      </c>
    </row>
    <row r="1607" spans="1:20">
      <c r="A1607" s="47" t="str">
        <f>IF(archive!E1607="","",archive!E1607)</f>
        <v/>
      </c>
      <c r="B1607" s="48" t="str">
        <f t="shared" si="350"/>
        <v/>
      </c>
      <c r="C1607" s="49" t="str">
        <f>IF(archive!F1607="","",archive!F1607)</f>
        <v/>
      </c>
      <c r="D1607" s="50" t="str">
        <f t="shared" si="351"/>
        <v/>
      </c>
      <c r="E1607" s="50" t="str">
        <f t="shared" si="352"/>
        <v/>
      </c>
      <c r="F1607" s="47" t="str">
        <f>IF(COUNTA(archive!H1607:CI1607)=0,"",COUNTA(archive!H1607:CI1607))</f>
        <v/>
      </c>
      <c r="G1607" s="47" t="str">
        <f>IF(archive!G1607="","",archive!G1607)</f>
        <v/>
      </c>
      <c r="H1607" s="51" t="str">
        <f>IF(archive!CJ1607="","",archive!CJ1607)</f>
        <v/>
      </c>
      <c r="I1607" s="51" t="str">
        <f>IF(archive!CK1607="","",archive!CK1607)</f>
        <v/>
      </c>
      <c r="J1607" s="47" t="str">
        <f t="shared" si="353"/>
        <v/>
      </c>
      <c r="K1607" s="51" t="str">
        <f t="shared" si="354"/>
        <v/>
      </c>
      <c r="L1607" s="52" t="str">
        <f t="shared" si="355"/>
        <v/>
      </c>
      <c r="M1607" s="53" t="str">
        <f t="shared" si="356"/>
        <v/>
      </c>
      <c r="N1607" s="53" t="str">
        <f t="shared" si="357"/>
        <v/>
      </c>
      <c r="O1607" s="53" t="str">
        <f t="shared" si="358"/>
        <v/>
      </c>
      <c r="P1607" s="53" t="str">
        <f t="shared" si="359"/>
        <v/>
      </c>
      <c r="Q1607" s="53" t="str">
        <f t="shared" si="360"/>
        <v/>
      </c>
      <c r="R1607" s="53" t="str">
        <f t="shared" si="361"/>
        <v/>
      </c>
      <c r="S1607" s="53" t="str">
        <f t="shared" si="362"/>
        <v/>
      </c>
      <c r="T1607" s="53" t="str">
        <f t="shared" si="363"/>
        <v/>
      </c>
    </row>
    <row r="1608" spans="1:20">
      <c r="A1608" s="47" t="str">
        <f>IF(archive!E1608="","",archive!E1608)</f>
        <v/>
      </c>
      <c r="B1608" s="48" t="str">
        <f t="shared" si="350"/>
        <v/>
      </c>
      <c r="C1608" s="49" t="str">
        <f>IF(archive!F1608="","",archive!F1608)</f>
        <v/>
      </c>
      <c r="D1608" s="50" t="str">
        <f t="shared" si="351"/>
        <v/>
      </c>
      <c r="E1608" s="50" t="str">
        <f t="shared" si="352"/>
        <v/>
      </c>
      <c r="F1608" s="47" t="str">
        <f>IF(COUNTA(archive!H1608:CI1608)=0,"",COUNTA(archive!H1608:CI1608))</f>
        <v/>
      </c>
      <c r="G1608" s="47" t="str">
        <f>IF(archive!G1608="","",archive!G1608)</f>
        <v/>
      </c>
      <c r="H1608" s="51" t="str">
        <f>IF(archive!CJ1608="","",archive!CJ1608)</f>
        <v/>
      </c>
      <c r="I1608" s="51" t="str">
        <f>IF(archive!CK1608="","",archive!CK1608)</f>
        <v/>
      </c>
      <c r="J1608" s="47" t="str">
        <f t="shared" si="353"/>
        <v/>
      </c>
      <c r="K1608" s="51" t="str">
        <f t="shared" si="354"/>
        <v/>
      </c>
      <c r="L1608" s="52" t="str">
        <f t="shared" si="355"/>
        <v/>
      </c>
      <c r="M1608" s="53" t="str">
        <f t="shared" si="356"/>
        <v/>
      </c>
      <c r="N1608" s="53" t="str">
        <f t="shared" si="357"/>
        <v/>
      </c>
      <c r="O1608" s="53" t="str">
        <f t="shared" si="358"/>
        <v/>
      </c>
      <c r="P1608" s="53" t="str">
        <f t="shared" si="359"/>
        <v/>
      </c>
      <c r="Q1608" s="53" t="str">
        <f t="shared" si="360"/>
        <v/>
      </c>
      <c r="R1608" s="53" t="str">
        <f t="shared" si="361"/>
        <v/>
      </c>
      <c r="S1608" s="53" t="str">
        <f t="shared" si="362"/>
        <v/>
      </c>
      <c r="T1608" s="53" t="str">
        <f t="shared" si="363"/>
        <v/>
      </c>
    </row>
    <row r="1609" spans="1:20">
      <c r="A1609" s="47" t="str">
        <f>IF(archive!E1609="","",archive!E1609)</f>
        <v/>
      </c>
      <c r="B1609" s="48" t="str">
        <f t="shared" si="350"/>
        <v/>
      </c>
      <c r="C1609" s="49" t="str">
        <f>IF(archive!F1609="","",archive!F1609)</f>
        <v/>
      </c>
      <c r="D1609" s="50" t="str">
        <f t="shared" si="351"/>
        <v/>
      </c>
      <c r="E1609" s="50" t="str">
        <f t="shared" si="352"/>
        <v/>
      </c>
      <c r="F1609" s="47" t="str">
        <f>IF(COUNTA(archive!H1609:CI1609)=0,"",COUNTA(archive!H1609:CI1609))</f>
        <v/>
      </c>
      <c r="G1609" s="47" t="str">
        <f>IF(archive!G1609="","",archive!G1609)</f>
        <v/>
      </c>
      <c r="H1609" s="51" t="str">
        <f>IF(archive!CJ1609="","",archive!CJ1609)</f>
        <v/>
      </c>
      <c r="I1609" s="51" t="str">
        <f>IF(archive!CK1609="","",archive!CK1609)</f>
        <v/>
      </c>
      <c r="J1609" s="47" t="str">
        <f t="shared" si="353"/>
        <v/>
      </c>
      <c r="K1609" s="51" t="str">
        <f t="shared" si="354"/>
        <v/>
      </c>
      <c r="L1609" s="52" t="str">
        <f t="shared" si="355"/>
        <v/>
      </c>
      <c r="M1609" s="53" t="str">
        <f t="shared" si="356"/>
        <v/>
      </c>
      <c r="N1609" s="53" t="str">
        <f t="shared" si="357"/>
        <v/>
      </c>
      <c r="O1609" s="53" t="str">
        <f t="shared" si="358"/>
        <v/>
      </c>
      <c r="P1609" s="53" t="str">
        <f t="shared" si="359"/>
        <v/>
      </c>
      <c r="Q1609" s="53" t="str">
        <f t="shared" si="360"/>
        <v/>
      </c>
      <c r="R1609" s="53" t="str">
        <f t="shared" si="361"/>
        <v/>
      </c>
      <c r="S1609" s="53" t="str">
        <f t="shared" si="362"/>
        <v/>
      </c>
      <c r="T1609" s="53" t="str">
        <f t="shared" si="363"/>
        <v/>
      </c>
    </row>
    <row r="1610" spans="1:20">
      <c r="A1610" s="47" t="str">
        <f>IF(archive!E1610="","",archive!E1610)</f>
        <v/>
      </c>
      <c r="B1610" s="48" t="str">
        <f t="shared" si="350"/>
        <v/>
      </c>
      <c r="C1610" s="49" t="str">
        <f>IF(archive!F1610="","",archive!F1610)</f>
        <v/>
      </c>
      <c r="D1610" s="50" t="str">
        <f t="shared" si="351"/>
        <v/>
      </c>
      <c r="E1610" s="50" t="str">
        <f t="shared" si="352"/>
        <v/>
      </c>
      <c r="F1610" s="47" t="str">
        <f>IF(COUNTA(archive!H1610:CI1610)=0,"",COUNTA(archive!H1610:CI1610))</f>
        <v/>
      </c>
      <c r="G1610" s="47" t="str">
        <f>IF(archive!G1610="","",archive!G1610)</f>
        <v/>
      </c>
      <c r="H1610" s="51" t="str">
        <f>IF(archive!CJ1610="","",archive!CJ1610)</f>
        <v/>
      </c>
      <c r="I1610" s="51" t="str">
        <f>IF(archive!CK1610="","",archive!CK1610)</f>
        <v/>
      </c>
      <c r="J1610" s="47" t="str">
        <f t="shared" si="353"/>
        <v/>
      </c>
      <c r="K1610" s="51" t="str">
        <f t="shared" si="354"/>
        <v/>
      </c>
      <c r="L1610" s="52" t="str">
        <f t="shared" si="355"/>
        <v/>
      </c>
      <c r="M1610" s="53" t="str">
        <f t="shared" si="356"/>
        <v/>
      </c>
      <c r="N1610" s="53" t="str">
        <f t="shared" si="357"/>
        <v/>
      </c>
      <c r="O1610" s="53" t="str">
        <f t="shared" si="358"/>
        <v/>
      </c>
      <c r="P1610" s="53" t="str">
        <f t="shared" si="359"/>
        <v/>
      </c>
      <c r="Q1610" s="53" t="str">
        <f t="shared" si="360"/>
        <v/>
      </c>
      <c r="R1610" s="53" t="str">
        <f t="shared" si="361"/>
        <v/>
      </c>
      <c r="S1610" s="53" t="str">
        <f t="shared" si="362"/>
        <v/>
      </c>
      <c r="T1610" s="53" t="str">
        <f t="shared" si="363"/>
        <v/>
      </c>
    </row>
    <row r="1611" spans="1:20">
      <c r="A1611" s="47" t="str">
        <f>IF(archive!E1611="","",archive!E1611)</f>
        <v/>
      </c>
      <c r="B1611" s="48" t="str">
        <f t="shared" si="350"/>
        <v/>
      </c>
      <c r="C1611" s="49" t="str">
        <f>IF(archive!F1611="","",archive!F1611)</f>
        <v/>
      </c>
      <c r="D1611" s="50" t="str">
        <f t="shared" si="351"/>
        <v/>
      </c>
      <c r="E1611" s="50" t="str">
        <f t="shared" si="352"/>
        <v/>
      </c>
      <c r="F1611" s="47" t="str">
        <f>IF(COUNTA(archive!H1611:CI1611)=0,"",COUNTA(archive!H1611:CI1611))</f>
        <v/>
      </c>
      <c r="G1611" s="47" t="str">
        <f>IF(archive!G1611="","",archive!G1611)</f>
        <v/>
      </c>
      <c r="H1611" s="51" t="str">
        <f>IF(archive!CJ1611="","",archive!CJ1611)</f>
        <v/>
      </c>
      <c r="I1611" s="51" t="str">
        <f>IF(archive!CK1611="","",archive!CK1611)</f>
        <v/>
      </c>
      <c r="J1611" s="47" t="str">
        <f t="shared" si="353"/>
        <v/>
      </c>
      <c r="K1611" s="51" t="str">
        <f t="shared" si="354"/>
        <v/>
      </c>
      <c r="L1611" s="52" t="str">
        <f t="shared" si="355"/>
        <v/>
      </c>
      <c r="M1611" s="53" t="str">
        <f t="shared" si="356"/>
        <v/>
      </c>
      <c r="N1611" s="53" t="str">
        <f t="shared" si="357"/>
        <v/>
      </c>
      <c r="O1611" s="53" t="str">
        <f t="shared" si="358"/>
        <v/>
      </c>
      <c r="P1611" s="53" t="str">
        <f t="shared" si="359"/>
        <v/>
      </c>
      <c r="Q1611" s="53" t="str">
        <f t="shared" si="360"/>
        <v/>
      </c>
      <c r="R1611" s="53" t="str">
        <f t="shared" si="361"/>
        <v/>
      </c>
      <c r="S1611" s="53" t="str">
        <f t="shared" si="362"/>
        <v/>
      </c>
      <c r="T1611" s="53" t="str">
        <f t="shared" si="363"/>
        <v/>
      </c>
    </row>
    <row r="1612" spans="1:20">
      <c r="A1612" s="47" t="str">
        <f>IF(archive!E1612="","",archive!E1612)</f>
        <v/>
      </c>
      <c r="B1612" s="48" t="str">
        <f t="shared" si="350"/>
        <v/>
      </c>
      <c r="C1612" s="49" t="str">
        <f>IF(archive!F1612="","",archive!F1612)</f>
        <v/>
      </c>
      <c r="D1612" s="50" t="str">
        <f t="shared" si="351"/>
        <v/>
      </c>
      <c r="E1612" s="50" t="str">
        <f t="shared" si="352"/>
        <v/>
      </c>
      <c r="F1612" s="47" t="str">
        <f>IF(COUNTA(archive!H1612:CI1612)=0,"",COUNTA(archive!H1612:CI1612))</f>
        <v/>
      </c>
      <c r="G1612" s="47" t="str">
        <f>IF(archive!G1612="","",archive!G1612)</f>
        <v/>
      </c>
      <c r="H1612" s="51" t="str">
        <f>IF(archive!CJ1612="","",archive!CJ1612)</f>
        <v/>
      </c>
      <c r="I1612" s="51" t="str">
        <f>IF(archive!CK1612="","",archive!CK1612)</f>
        <v/>
      </c>
      <c r="J1612" s="47" t="str">
        <f t="shared" si="353"/>
        <v/>
      </c>
      <c r="K1612" s="51" t="str">
        <f t="shared" si="354"/>
        <v/>
      </c>
      <c r="L1612" s="52" t="str">
        <f t="shared" si="355"/>
        <v/>
      </c>
      <c r="M1612" s="53" t="str">
        <f t="shared" si="356"/>
        <v/>
      </c>
      <c r="N1612" s="53" t="str">
        <f t="shared" si="357"/>
        <v/>
      </c>
      <c r="O1612" s="53" t="str">
        <f t="shared" si="358"/>
        <v/>
      </c>
      <c r="P1612" s="53" t="str">
        <f t="shared" si="359"/>
        <v/>
      </c>
      <c r="Q1612" s="53" t="str">
        <f t="shared" si="360"/>
        <v/>
      </c>
      <c r="R1612" s="53" t="str">
        <f t="shared" si="361"/>
        <v/>
      </c>
      <c r="S1612" s="53" t="str">
        <f t="shared" si="362"/>
        <v/>
      </c>
      <c r="T1612" s="53" t="str">
        <f t="shared" si="363"/>
        <v/>
      </c>
    </row>
    <row r="1613" spans="1:20">
      <c r="A1613" s="47" t="str">
        <f>IF(archive!E1613="","",archive!E1613)</f>
        <v/>
      </c>
      <c r="B1613" s="48" t="str">
        <f t="shared" si="350"/>
        <v/>
      </c>
      <c r="C1613" s="49" t="str">
        <f>IF(archive!F1613="","",archive!F1613)</f>
        <v/>
      </c>
      <c r="D1613" s="50" t="str">
        <f t="shared" si="351"/>
        <v/>
      </c>
      <c r="E1613" s="50" t="str">
        <f t="shared" si="352"/>
        <v/>
      </c>
      <c r="F1613" s="47" t="str">
        <f>IF(COUNTA(archive!H1613:CI1613)=0,"",COUNTA(archive!H1613:CI1613))</f>
        <v/>
      </c>
      <c r="G1613" s="47" t="str">
        <f>IF(archive!G1613="","",archive!G1613)</f>
        <v/>
      </c>
      <c r="H1613" s="51" t="str">
        <f>IF(archive!CJ1613="","",archive!CJ1613)</f>
        <v/>
      </c>
      <c r="I1613" s="51" t="str">
        <f>IF(archive!CK1613="","",archive!CK1613)</f>
        <v/>
      </c>
      <c r="J1613" s="47" t="str">
        <f t="shared" si="353"/>
        <v/>
      </c>
      <c r="K1613" s="51" t="str">
        <f t="shared" si="354"/>
        <v/>
      </c>
      <c r="L1613" s="52" t="str">
        <f t="shared" si="355"/>
        <v/>
      </c>
      <c r="M1613" s="53" t="str">
        <f t="shared" si="356"/>
        <v/>
      </c>
      <c r="N1613" s="53" t="str">
        <f t="shared" si="357"/>
        <v/>
      </c>
      <c r="O1613" s="53" t="str">
        <f t="shared" si="358"/>
        <v/>
      </c>
      <c r="P1613" s="53" t="str">
        <f t="shared" si="359"/>
        <v/>
      </c>
      <c r="Q1613" s="53" t="str">
        <f t="shared" si="360"/>
        <v/>
      </c>
      <c r="R1613" s="53" t="str">
        <f t="shared" si="361"/>
        <v/>
      </c>
      <c r="S1613" s="53" t="str">
        <f t="shared" si="362"/>
        <v/>
      </c>
      <c r="T1613" s="53" t="str">
        <f t="shared" si="363"/>
        <v/>
      </c>
    </row>
    <row r="1614" spans="1:20">
      <c r="A1614" s="47" t="str">
        <f>IF(archive!E1614="","",archive!E1614)</f>
        <v/>
      </c>
      <c r="B1614" s="48" t="str">
        <f t="shared" si="350"/>
        <v/>
      </c>
      <c r="C1614" s="49" t="str">
        <f>IF(archive!F1614="","",archive!F1614)</f>
        <v/>
      </c>
      <c r="D1614" s="50" t="str">
        <f t="shared" si="351"/>
        <v/>
      </c>
      <c r="E1614" s="50" t="str">
        <f t="shared" si="352"/>
        <v/>
      </c>
      <c r="F1614" s="47" t="str">
        <f>IF(COUNTA(archive!H1614:CI1614)=0,"",COUNTA(archive!H1614:CI1614))</f>
        <v/>
      </c>
      <c r="G1614" s="47" t="str">
        <f>IF(archive!G1614="","",archive!G1614)</f>
        <v/>
      </c>
      <c r="H1614" s="51" t="str">
        <f>IF(archive!CJ1614="","",archive!CJ1614)</f>
        <v/>
      </c>
      <c r="I1614" s="51" t="str">
        <f>IF(archive!CK1614="","",archive!CK1614)</f>
        <v/>
      </c>
      <c r="J1614" s="47" t="str">
        <f t="shared" si="353"/>
        <v/>
      </c>
      <c r="K1614" s="51" t="str">
        <f t="shared" si="354"/>
        <v/>
      </c>
      <c r="L1614" s="52" t="str">
        <f t="shared" si="355"/>
        <v/>
      </c>
      <c r="M1614" s="53" t="str">
        <f t="shared" si="356"/>
        <v/>
      </c>
      <c r="N1614" s="53" t="str">
        <f t="shared" si="357"/>
        <v/>
      </c>
      <c r="O1614" s="53" t="str">
        <f t="shared" si="358"/>
        <v/>
      </c>
      <c r="P1614" s="53" t="str">
        <f t="shared" si="359"/>
        <v/>
      </c>
      <c r="Q1614" s="53" t="str">
        <f t="shared" si="360"/>
        <v/>
      </c>
      <c r="R1614" s="53" t="str">
        <f t="shared" si="361"/>
        <v/>
      </c>
      <c r="S1614" s="53" t="str">
        <f t="shared" si="362"/>
        <v/>
      </c>
      <c r="T1614" s="53" t="str">
        <f t="shared" si="363"/>
        <v/>
      </c>
    </row>
    <row r="1615" spans="1:20">
      <c r="A1615" s="47" t="str">
        <f>IF(archive!E1615="","",archive!E1615)</f>
        <v/>
      </c>
      <c r="B1615" s="48" t="str">
        <f t="shared" si="350"/>
        <v/>
      </c>
      <c r="C1615" s="49" t="str">
        <f>IF(archive!F1615="","",archive!F1615)</f>
        <v/>
      </c>
      <c r="D1615" s="50" t="str">
        <f t="shared" si="351"/>
        <v/>
      </c>
      <c r="E1615" s="50" t="str">
        <f t="shared" si="352"/>
        <v/>
      </c>
      <c r="F1615" s="47" t="str">
        <f>IF(COUNTA(archive!H1615:CI1615)=0,"",COUNTA(archive!H1615:CI1615))</f>
        <v/>
      </c>
      <c r="G1615" s="47" t="str">
        <f>IF(archive!G1615="","",archive!G1615)</f>
        <v/>
      </c>
      <c r="H1615" s="51" t="str">
        <f>IF(archive!CJ1615="","",archive!CJ1615)</f>
        <v/>
      </c>
      <c r="I1615" s="51" t="str">
        <f>IF(archive!CK1615="","",archive!CK1615)</f>
        <v/>
      </c>
      <c r="J1615" s="47" t="str">
        <f t="shared" si="353"/>
        <v/>
      </c>
      <c r="K1615" s="51" t="str">
        <f t="shared" si="354"/>
        <v/>
      </c>
      <c r="L1615" s="52" t="str">
        <f t="shared" si="355"/>
        <v/>
      </c>
      <c r="M1615" s="53" t="str">
        <f t="shared" si="356"/>
        <v/>
      </c>
      <c r="N1615" s="53" t="str">
        <f t="shared" si="357"/>
        <v/>
      </c>
      <c r="O1615" s="53" t="str">
        <f t="shared" si="358"/>
        <v/>
      </c>
      <c r="P1615" s="53" t="str">
        <f t="shared" si="359"/>
        <v/>
      </c>
      <c r="Q1615" s="53" t="str">
        <f t="shared" si="360"/>
        <v/>
      </c>
      <c r="R1615" s="53" t="str">
        <f t="shared" si="361"/>
        <v/>
      </c>
      <c r="S1615" s="53" t="str">
        <f t="shared" si="362"/>
        <v/>
      </c>
      <c r="T1615" s="53" t="str">
        <f t="shared" si="363"/>
        <v/>
      </c>
    </row>
    <row r="1616" spans="1:20">
      <c r="A1616" s="47" t="str">
        <f>IF(archive!E1616="","",archive!E1616)</f>
        <v/>
      </c>
      <c r="B1616" s="48" t="str">
        <f t="shared" si="350"/>
        <v/>
      </c>
      <c r="C1616" s="49" t="str">
        <f>IF(archive!F1616="","",archive!F1616)</f>
        <v/>
      </c>
      <c r="D1616" s="50" t="str">
        <f t="shared" si="351"/>
        <v/>
      </c>
      <c r="E1616" s="50" t="str">
        <f t="shared" si="352"/>
        <v/>
      </c>
      <c r="F1616" s="47" t="str">
        <f>IF(COUNTA(archive!H1616:CI1616)=0,"",COUNTA(archive!H1616:CI1616))</f>
        <v/>
      </c>
      <c r="G1616" s="47" t="str">
        <f>IF(archive!G1616="","",archive!G1616)</f>
        <v/>
      </c>
      <c r="H1616" s="51" t="str">
        <f>IF(archive!CJ1616="","",archive!CJ1616)</f>
        <v/>
      </c>
      <c r="I1616" s="51" t="str">
        <f>IF(archive!CK1616="","",archive!CK1616)</f>
        <v/>
      </c>
      <c r="J1616" s="47" t="str">
        <f t="shared" si="353"/>
        <v/>
      </c>
      <c r="K1616" s="51" t="str">
        <f t="shared" si="354"/>
        <v/>
      </c>
      <c r="L1616" s="52" t="str">
        <f t="shared" si="355"/>
        <v/>
      </c>
      <c r="M1616" s="53" t="str">
        <f t="shared" si="356"/>
        <v/>
      </c>
      <c r="N1616" s="53" t="str">
        <f t="shared" si="357"/>
        <v/>
      </c>
      <c r="O1616" s="53" t="str">
        <f t="shared" si="358"/>
        <v/>
      </c>
      <c r="P1616" s="53" t="str">
        <f t="shared" si="359"/>
        <v/>
      </c>
      <c r="Q1616" s="53" t="str">
        <f t="shared" si="360"/>
        <v/>
      </c>
      <c r="R1616" s="53" t="str">
        <f t="shared" si="361"/>
        <v/>
      </c>
      <c r="S1616" s="53" t="str">
        <f t="shared" si="362"/>
        <v/>
      </c>
      <c r="T1616" s="53" t="str">
        <f t="shared" si="363"/>
        <v/>
      </c>
    </row>
    <row r="1617" spans="1:20">
      <c r="A1617" s="47" t="str">
        <f>IF(archive!E1617="","",archive!E1617)</f>
        <v/>
      </c>
      <c r="B1617" s="48" t="str">
        <f t="shared" si="350"/>
        <v/>
      </c>
      <c r="C1617" s="49" t="str">
        <f>IF(archive!F1617="","",archive!F1617)</f>
        <v/>
      </c>
      <c r="D1617" s="50" t="str">
        <f t="shared" si="351"/>
        <v/>
      </c>
      <c r="E1617" s="50" t="str">
        <f t="shared" si="352"/>
        <v/>
      </c>
      <c r="F1617" s="47" t="str">
        <f>IF(COUNTA(archive!H1617:CI1617)=0,"",COUNTA(archive!H1617:CI1617))</f>
        <v/>
      </c>
      <c r="G1617" s="47" t="str">
        <f>IF(archive!G1617="","",archive!G1617)</f>
        <v/>
      </c>
      <c r="H1617" s="51" t="str">
        <f>IF(archive!CJ1617="","",archive!CJ1617)</f>
        <v/>
      </c>
      <c r="I1617" s="51" t="str">
        <f>IF(archive!CK1617="","",archive!CK1617)</f>
        <v/>
      </c>
      <c r="J1617" s="47" t="str">
        <f t="shared" si="353"/>
        <v/>
      </c>
      <c r="K1617" s="51" t="str">
        <f t="shared" si="354"/>
        <v/>
      </c>
      <c r="L1617" s="52" t="str">
        <f t="shared" si="355"/>
        <v/>
      </c>
      <c r="M1617" s="53" t="str">
        <f t="shared" si="356"/>
        <v/>
      </c>
      <c r="N1617" s="53" t="str">
        <f t="shared" si="357"/>
        <v/>
      </c>
      <c r="O1617" s="53" t="str">
        <f t="shared" si="358"/>
        <v/>
      </c>
      <c r="P1617" s="53" t="str">
        <f t="shared" si="359"/>
        <v/>
      </c>
      <c r="Q1617" s="53" t="str">
        <f t="shared" si="360"/>
        <v/>
      </c>
      <c r="R1617" s="53" t="str">
        <f t="shared" si="361"/>
        <v/>
      </c>
      <c r="S1617" s="53" t="str">
        <f t="shared" si="362"/>
        <v/>
      </c>
      <c r="T1617" s="53" t="str">
        <f t="shared" si="363"/>
        <v/>
      </c>
    </row>
    <row r="1618" spans="1:20">
      <c r="A1618" s="47" t="str">
        <f>IF(archive!E1618="","",archive!E1618)</f>
        <v/>
      </c>
      <c r="B1618" s="48" t="str">
        <f t="shared" si="350"/>
        <v/>
      </c>
      <c r="C1618" s="49" t="str">
        <f>IF(archive!F1618="","",archive!F1618)</f>
        <v/>
      </c>
      <c r="D1618" s="50" t="str">
        <f t="shared" si="351"/>
        <v/>
      </c>
      <c r="E1618" s="50" t="str">
        <f t="shared" si="352"/>
        <v/>
      </c>
      <c r="F1618" s="47" t="str">
        <f>IF(COUNTA(archive!H1618:CI1618)=0,"",COUNTA(archive!H1618:CI1618))</f>
        <v/>
      </c>
      <c r="G1618" s="47" t="str">
        <f>IF(archive!G1618="","",archive!G1618)</f>
        <v/>
      </c>
      <c r="H1618" s="51" t="str">
        <f>IF(archive!CJ1618="","",archive!CJ1618)</f>
        <v/>
      </c>
      <c r="I1618" s="51" t="str">
        <f>IF(archive!CK1618="","",archive!CK1618)</f>
        <v/>
      </c>
      <c r="J1618" s="47" t="str">
        <f t="shared" si="353"/>
        <v/>
      </c>
      <c r="K1618" s="51" t="str">
        <f t="shared" si="354"/>
        <v/>
      </c>
      <c r="L1618" s="52" t="str">
        <f t="shared" si="355"/>
        <v/>
      </c>
      <c r="M1618" s="53" t="str">
        <f t="shared" si="356"/>
        <v/>
      </c>
      <c r="N1618" s="53" t="str">
        <f t="shared" si="357"/>
        <v/>
      </c>
      <c r="O1618" s="53" t="str">
        <f t="shared" si="358"/>
        <v/>
      </c>
      <c r="P1618" s="53" t="str">
        <f t="shared" si="359"/>
        <v/>
      </c>
      <c r="Q1618" s="53" t="str">
        <f t="shared" si="360"/>
        <v/>
      </c>
      <c r="R1618" s="53" t="str">
        <f t="shared" si="361"/>
        <v/>
      </c>
      <c r="S1618" s="53" t="str">
        <f t="shared" si="362"/>
        <v/>
      </c>
      <c r="T1618" s="53" t="str">
        <f t="shared" si="363"/>
        <v/>
      </c>
    </row>
    <row r="1619" spans="1:20">
      <c r="A1619" s="47" t="str">
        <f>IF(archive!E1619="","",archive!E1619)</f>
        <v/>
      </c>
      <c r="B1619" s="48" t="str">
        <f t="shared" si="350"/>
        <v/>
      </c>
      <c r="C1619" s="49" t="str">
        <f>IF(archive!F1619="","",archive!F1619)</f>
        <v/>
      </c>
      <c r="D1619" s="50" t="str">
        <f t="shared" si="351"/>
        <v/>
      </c>
      <c r="E1619" s="50" t="str">
        <f t="shared" si="352"/>
        <v/>
      </c>
      <c r="F1619" s="47" t="str">
        <f>IF(COUNTA(archive!H1619:CI1619)=0,"",COUNTA(archive!H1619:CI1619))</f>
        <v/>
      </c>
      <c r="G1619" s="47" t="str">
        <f>IF(archive!G1619="","",archive!G1619)</f>
        <v/>
      </c>
      <c r="H1619" s="51" t="str">
        <f>IF(archive!CJ1619="","",archive!CJ1619)</f>
        <v/>
      </c>
      <c r="I1619" s="51" t="str">
        <f>IF(archive!CK1619="","",archive!CK1619)</f>
        <v/>
      </c>
      <c r="J1619" s="47" t="str">
        <f t="shared" si="353"/>
        <v/>
      </c>
      <c r="K1619" s="51" t="str">
        <f t="shared" si="354"/>
        <v/>
      </c>
      <c r="L1619" s="52" t="str">
        <f t="shared" si="355"/>
        <v/>
      </c>
      <c r="M1619" s="53" t="str">
        <f t="shared" si="356"/>
        <v/>
      </c>
      <c r="N1619" s="53" t="str">
        <f t="shared" si="357"/>
        <v/>
      </c>
      <c r="O1619" s="53" t="str">
        <f t="shared" si="358"/>
        <v/>
      </c>
      <c r="P1619" s="53" t="str">
        <f t="shared" si="359"/>
        <v/>
      </c>
      <c r="Q1619" s="53" t="str">
        <f t="shared" si="360"/>
        <v/>
      </c>
      <c r="R1619" s="53" t="str">
        <f t="shared" si="361"/>
        <v/>
      </c>
      <c r="S1619" s="53" t="str">
        <f t="shared" si="362"/>
        <v/>
      </c>
      <c r="T1619" s="53" t="str">
        <f t="shared" si="363"/>
        <v/>
      </c>
    </row>
    <row r="1620" spans="1:20">
      <c r="A1620" s="47" t="str">
        <f>IF(archive!E1620="","",archive!E1620)</f>
        <v/>
      </c>
      <c r="B1620" s="48" t="str">
        <f t="shared" si="350"/>
        <v/>
      </c>
      <c r="C1620" s="49" t="str">
        <f>IF(archive!F1620="","",archive!F1620)</f>
        <v/>
      </c>
      <c r="D1620" s="50" t="str">
        <f t="shared" si="351"/>
        <v/>
      </c>
      <c r="E1620" s="50" t="str">
        <f t="shared" si="352"/>
        <v/>
      </c>
      <c r="F1620" s="47" t="str">
        <f>IF(COUNTA(archive!H1620:CI1620)=0,"",COUNTA(archive!H1620:CI1620))</f>
        <v/>
      </c>
      <c r="G1620" s="47" t="str">
        <f>IF(archive!G1620="","",archive!G1620)</f>
        <v/>
      </c>
      <c r="H1620" s="51" t="str">
        <f>IF(archive!CJ1620="","",archive!CJ1620)</f>
        <v/>
      </c>
      <c r="I1620" s="51" t="str">
        <f>IF(archive!CK1620="","",archive!CK1620)</f>
        <v/>
      </c>
      <c r="J1620" s="47" t="str">
        <f t="shared" si="353"/>
        <v/>
      </c>
      <c r="K1620" s="51" t="str">
        <f t="shared" si="354"/>
        <v/>
      </c>
      <c r="L1620" s="52" t="str">
        <f t="shared" si="355"/>
        <v/>
      </c>
      <c r="M1620" s="53" t="str">
        <f t="shared" si="356"/>
        <v/>
      </c>
      <c r="N1620" s="53" t="str">
        <f t="shared" si="357"/>
        <v/>
      </c>
      <c r="O1620" s="53" t="str">
        <f t="shared" si="358"/>
        <v/>
      </c>
      <c r="P1620" s="53" t="str">
        <f t="shared" si="359"/>
        <v/>
      </c>
      <c r="Q1620" s="53" t="str">
        <f t="shared" si="360"/>
        <v/>
      </c>
      <c r="R1620" s="53" t="str">
        <f t="shared" si="361"/>
        <v/>
      </c>
      <c r="S1620" s="53" t="str">
        <f t="shared" si="362"/>
        <v/>
      </c>
      <c r="T1620" s="53" t="str">
        <f t="shared" si="363"/>
        <v/>
      </c>
    </row>
    <row r="1621" spans="1:20">
      <c r="A1621" s="47" t="str">
        <f>IF(archive!E1621="","",archive!E1621)</f>
        <v/>
      </c>
      <c r="B1621" s="48" t="str">
        <f t="shared" si="350"/>
        <v/>
      </c>
      <c r="C1621" s="49" t="str">
        <f>IF(archive!F1621="","",archive!F1621)</f>
        <v/>
      </c>
      <c r="D1621" s="50" t="str">
        <f t="shared" si="351"/>
        <v/>
      </c>
      <c r="E1621" s="50" t="str">
        <f t="shared" si="352"/>
        <v/>
      </c>
      <c r="F1621" s="47" t="str">
        <f>IF(COUNTA(archive!H1621:CI1621)=0,"",COUNTA(archive!H1621:CI1621))</f>
        <v/>
      </c>
      <c r="G1621" s="47" t="str">
        <f>IF(archive!G1621="","",archive!G1621)</f>
        <v/>
      </c>
      <c r="H1621" s="51" t="str">
        <f>IF(archive!CJ1621="","",archive!CJ1621)</f>
        <v/>
      </c>
      <c r="I1621" s="51" t="str">
        <f>IF(archive!CK1621="","",archive!CK1621)</f>
        <v/>
      </c>
      <c r="J1621" s="47" t="str">
        <f t="shared" si="353"/>
        <v/>
      </c>
      <c r="K1621" s="51" t="str">
        <f t="shared" si="354"/>
        <v/>
      </c>
      <c r="L1621" s="52" t="str">
        <f t="shared" si="355"/>
        <v/>
      </c>
      <c r="M1621" s="53" t="str">
        <f t="shared" si="356"/>
        <v/>
      </c>
      <c r="N1621" s="53" t="str">
        <f t="shared" si="357"/>
        <v/>
      </c>
      <c r="O1621" s="53" t="str">
        <f t="shared" si="358"/>
        <v/>
      </c>
      <c r="P1621" s="53" t="str">
        <f t="shared" si="359"/>
        <v/>
      </c>
      <c r="Q1621" s="53" t="str">
        <f t="shared" si="360"/>
        <v/>
      </c>
      <c r="R1621" s="53" t="str">
        <f t="shared" si="361"/>
        <v/>
      </c>
      <c r="S1621" s="53" t="str">
        <f t="shared" si="362"/>
        <v/>
      </c>
      <c r="T1621" s="53" t="str">
        <f t="shared" si="363"/>
        <v/>
      </c>
    </row>
    <row r="1622" spans="1:20">
      <c r="A1622" s="47" t="str">
        <f>IF(archive!E1622="","",archive!E1622)</f>
        <v/>
      </c>
      <c r="B1622" s="48" t="str">
        <f t="shared" si="350"/>
        <v/>
      </c>
      <c r="C1622" s="49" t="str">
        <f>IF(archive!F1622="","",archive!F1622)</f>
        <v/>
      </c>
      <c r="D1622" s="50" t="str">
        <f t="shared" si="351"/>
        <v/>
      </c>
      <c r="E1622" s="50" t="str">
        <f t="shared" si="352"/>
        <v/>
      </c>
      <c r="F1622" s="47" t="str">
        <f>IF(COUNTA(archive!H1622:CI1622)=0,"",COUNTA(archive!H1622:CI1622))</f>
        <v/>
      </c>
      <c r="G1622" s="47" t="str">
        <f>IF(archive!G1622="","",archive!G1622)</f>
        <v/>
      </c>
      <c r="H1622" s="51" t="str">
        <f>IF(archive!CJ1622="","",archive!CJ1622)</f>
        <v/>
      </c>
      <c r="I1622" s="51" t="str">
        <f>IF(archive!CK1622="","",archive!CK1622)</f>
        <v/>
      </c>
      <c r="J1622" s="47" t="str">
        <f t="shared" si="353"/>
        <v/>
      </c>
      <c r="K1622" s="51" t="str">
        <f t="shared" si="354"/>
        <v/>
      </c>
      <c r="L1622" s="52" t="str">
        <f t="shared" si="355"/>
        <v/>
      </c>
      <c r="M1622" s="53" t="str">
        <f t="shared" si="356"/>
        <v/>
      </c>
      <c r="N1622" s="53" t="str">
        <f t="shared" si="357"/>
        <v/>
      </c>
      <c r="O1622" s="53" t="str">
        <f t="shared" si="358"/>
        <v/>
      </c>
      <c r="P1622" s="53" t="str">
        <f t="shared" si="359"/>
        <v/>
      </c>
      <c r="Q1622" s="53" t="str">
        <f t="shared" si="360"/>
        <v/>
      </c>
      <c r="R1622" s="53" t="str">
        <f t="shared" si="361"/>
        <v/>
      </c>
      <c r="S1622" s="53" t="str">
        <f t="shared" si="362"/>
        <v/>
      </c>
      <c r="T1622" s="53" t="str">
        <f t="shared" si="363"/>
        <v/>
      </c>
    </row>
    <row r="1623" spans="1:20">
      <c r="A1623" s="47" t="str">
        <f>IF(archive!E1623="","",archive!E1623)</f>
        <v/>
      </c>
      <c r="B1623" s="48" t="str">
        <f t="shared" si="350"/>
        <v/>
      </c>
      <c r="C1623" s="49" t="str">
        <f>IF(archive!F1623="","",archive!F1623)</f>
        <v/>
      </c>
      <c r="D1623" s="50" t="str">
        <f t="shared" si="351"/>
        <v/>
      </c>
      <c r="E1623" s="50" t="str">
        <f t="shared" si="352"/>
        <v/>
      </c>
      <c r="F1623" s="47" t="str">
        <f>IF(COUNTA(archive!H1623:CI1623)=0,"",COUNTA(archive!H1623:CI1623))</f>
        <v/>
      </c>
      <c r="G1623" s="47" t="str">
        <f>IF(archive!G1623="","",archive!G1623)</f>
        <v/>
      </c>
      <c r="H1623" s="51" t="str">
        <f>IF(archive!CJ1623="","",archive!CJ1623)</f>
        <v/>
      </c>
      <c r="I1623" s="51" t="str">
        <f>IF(archive!CK1623="","",archive!CK1623)</f>
        <v/>
      </c>
      <c r="J1623" s="47" t="str">
        <f t="shared" si="353"/>
        <v/>
      </c>
      <c r="K1623" s="51" t="str">
        <f t="shared" si="354"/>
        <v/>
      </c>
      <c r="L1623" s="52" t="str">
        <f t="shared" si="355"/>
        <v/>
      </c>
      <c r="M1623" s="53" t="str">
        <f t="shared" si="356"/>
        <v/>
      </c>
      <c r="N1623" s="53" t="str">
        <f t="shared" si="357"/>
        <v/>
      </c>
      <c r="O1623" s="53" t="str">
        <f t="shared" si="358"/>
        <v/>
      </c>
      <c r="P1623" s="53" t="str">
        <f t="shared" si="359"/>
        <v/>
      </c>
      <c r="Q1623" s="53" t="str">
        <f t="shared" si="360"/>
        <v/>
      </c>
      <c r="R1623" s="53" t="str">
        <f t="shared" si="361"/>
        <v/>
      </c>
      <c r="S1623" s="53" t="str">
        <f t="shared" si="362"/>
        <v/>
      </c>
      <c r="T1623" s="53" t="str">
        <f t="shared" si="363"/>
        <v/>
      </c>
    </row>
    <row r="1624" spans="1:20">
      <c r="A1624" s="47" t="str">
        <f>IF(archive!E1624="","",archive!E1624)</f>
        <v/>
      </c>
      <c r="B1624" s="48" t="str">
        <f t="shared" si="350"/>
        <v/>
      </c>
      <c r="C1624" s="49" t="str">
        <f>IF(archive!F1624="","",archive!F1624)</f>
        <v/>
      </c>
      <c r="D1624" s="50" t="str">
        <f t="shared" si="351"/>
        <v/>
      </c>
      <c r="E1624" s="50" t="str">
        <f t="shared" si="352"/>
        <v/>
      </c>
      <c r="F1624" s="47" t="str">
        <f>IF(COUNTA(archive!H1624:CI1624)=0,"",COUNTA(archive!H1624:CI1624))</f>
        <v/>
      </c>
      <c r="G1624" s="47" t="str">
        <f>IF(archive!G1624="","",archive!G1624)</f>
        <v/>
      </c>
      <c r="H1624" s="51" t="str">
        <f>IF(archive!CJ1624="","",archive!CJ1624)</f>
        <v/>
      </c>
      <c r="I1624" s="51" t="str">
        <f>IF(archive!CK1624="","",archive!CK1624)</f>
        <v/>
      </c>
      <c r="J1624" s="47" t="str">
        <f t="shared" si="353"/>
        <v/>
      </c>
      <c r="K1624" s="51" t="str">
        <f t="shared" si="354"/>
        <v/>
      </c>
      <c r="L1624" s="52" t="str">
        <f t="shared" si="355"/>
        <v/>
      </c>
      <c r="M1624" s="53" t="str">
        <f t="shared" si="356"/>
        <v/>
      </c>
      <c r="N1624" s="53" t="str">
        <f t="shared" si="357"/>
        <v/>
      </c>
      <c r="O1624" s="53" t="str">
        <f t="shared" si="358"/>
        <v/>
      </c>
      <c r="P1624" s="53" t="str">
        <f t="shared" si="359"/>
        <v/>
      </c>
      <c r="Q1624" s="53" t="str">
        <f t="shared" si="360"/>
        <v/>
      </c>
      <c r="R1624" s="53" t="str">
        <f t="shared" si="361"/>
        <v/>
      </c>
      <c r="S1624" s="53" t="str">
        <f t="shared" si="362"/>
        <v/>
      </c>
      <c r="T1624" s="53" t="str">
        <f t="shared" si="363"/>
        <v/>
      </c>
    </row>
    <row r="1625" spans="1:20">
      <c r="A1625" s="47" t="str">
        <f>IF(archive!E1625="","",archive!E1625)</f>
        <v/>
      </c>
      <c r="B1625" s="48" t="str">
        <f t="shared" si="350"/>
        <v/>
      </c>
      <c r="C1625" s="49" t="str">
        <f>IF(archive!F1625="","",archive!F1625)</f>
        <v/>
      </c>
      <c r="D1625" s="50" t="str">
        <f t="shared" si="351"/>
        <v/>
      </c>
      <c r="E1625" s="50" t="str">
        <f t="shared" si="352"/>
        <v/>
      </c>
      <c r="F1625" s="47" t="str">
        <f>IF(COUNTA(archive!H1625:CI1625)=0,"",COUNTA(archive!H1625:CI1625))</f>
        <v/>
      </c>
      <c r="G1625" s="47" t="str">
        <f>IF(archive!G1625="","",archive!G1625)</f>
        <v/>
      </c>
      <c r="H1625" s="51" t="str">
        <f>IF(archive!CJ1625="","",archive!CJ1625)</f>
        <v/>
      </c>
      <c r="I1625" s="51" t="str">
        <f>IF(archive!CK1625="","",archive!CK1625)</f>
        <v/>
      </c>
      <c r="J1625" s="47" t="str">
        <f t="shared" si="353"/>
        <v/>
      </c>
      <c r="K1625" s="51" t="str">
        <f t="shared" si="354"/>
        <v/>
      </c>
      <c r="L1625" s="52" t="str">
        <f t="shared" si="355"/>
        <v/>
      </c>
      <c r="M1625" s="53" t="str">
        <f t="shared" si="356"/>
        <v/>
      </c>
      <c r="N1625" s="53" t="str">
        <f t="shared" si="357"/>
        <v/>
      </c>
      <c r="O1625" s="53" t="str">
        <f t="shared" si="358"/>
        <v/>
      </c>
      <c r="P1625" s="53" t="str">
        <f t="shared" si="359"/>
        <v/>
      </c>
      <c r="Q1625" s="53" t="str">
        <f t="shared" si="360"/>
        <v/>
      </c>
      <c r="R1625" s="53" t="str">
        <f t="shared" si="361"/>
        <v/>
      </c>
      <c r="S1625" s="53" t="str">
        <f t="shared" si="362"/>
        <v/>
      </c>
      <c r="T1625" s="53" t="str">
        <f t="shared" si="363"/>
        <v/>
      </c>
    </row>
    <row r="1626" spans="1:20">
      <c r="A1626" s="47" t="str">
        <f>IF(archive!E1626="","",archive!E1626)</f>
        <v/>
      </c>
      <c r="B1626" s="48" t="str">
        <f t="shared" si="350"/>
        <v/>
      </c>
      <c r="C1626" s="49" t="str">
        <f>IF(archive!F1626="","",archive!F1626)</f>
        <v/>
      </c>
      <c r="D1626" s="50" t="str">
        <f t="shared" si="351"/>
        <v/>
      </c>
      <c r="E1626" s="50" t="str">
        <f t="shared" si="352"/>
        <v/>
      </c>
      <c r="F1626" s="47" t="str">
        <f>IF(COUNTA(archive!H1626:CI1626)=0,"",COUNTA(archive!H1626:CI1626))</f>
        <v/>
      </c>
      <c r="G1626" s="47" t="str">
        <f>IF(archive!G1626="","",archive!G1626)</f>
        <v/>
      </c>
      <c r="H1626" s="51" t="str">
        <f>IF(archive!CJ1626="","",archive!CJ1626)</f>
        <v/>
      </c>
      <c r="I1626" s="51" t="str">
        <f>IF(archive!CK1626="","",archive!CK1626)</f>
        <v/>
      </c>
      <c r="J1626" s="47" t="str">
        <f t="shared" si="353"/>
        <v/>
      </c>
      <c r="K1626" s="51" t="str">
        <f t="shared" si="354"/>
        <v/>
      </c>
      <c r="L1626" s="52" t="str">
        <f t="shared" si="355"/>
        <v/>
      </c>
      <c r="M1626" s="53" t="str">
        <f t="shared" si="356"/>
        <v/>
      </c>
      <c r="N1626" s="53" t="str">
        <f t="shared" si="357"/>
        <v/>
      </c>
      <c r="O1626" s="53" t="str">
        <f t="shared" si="358"/>
        <v/>
      </c>
      <c r="P1626" s="53" t="str">
        <f t="shared" si="359"/>
        <v/>
      </c>
      <c r="Q1626" s="53" t="str">
        <f t="shared" si="360"/>
        <v/>
      </c>
      <c r="R1626" s="53" t="str">
        <f t="shared" si="361"/>
        <v/>
      </c>
      <c r="S1626" s="53" t="str">
        <f t="shared" si="362"/>
        <v/>
      </c>
      <c r="T1626" s="53" t="str">
        <f t="shared" si="363"/>
        <v/>
      </c>
    </row>
    <row r="1627" spans="1:20">
      <c r="A1627" s="47" t="str">
        <f>IF(archive!E1627="","",archive!E1627)</f>
        <v/>
      </c>
      <c r="B1627" s="48" t="str">
        <f t="shared" si="350"/>
        <v/>
      </c>
      <c r="C1627" s="49" t="str">
        <f>IF(archive!F1627="","",archive!F1627)</f>
        <v/>
      </c>
      <c r="D1627" s="50" t="str">
        <f t="shared" si="351"/>
        <v/>
      </c>
      <c r="E1627" s="50" t="str">
        <f t="shared" si="352"/>
        <v/>
      </c>
      <c r="F1627" s="47" t="str">
        <f>IF(COUNTA(archive!H1627:CI1627)=0,"",COUNTA(archive!H1627:CI1627))</f>
        <v/>
      </c>
      <c r="G1627" s="47" t="str">
        <f>IF(archive!G1627="","",archive!G1627)</f>
        <v/>
      </c>
      <c r="H1627" s="51" t="str">
        <f>IF(archive!CJ1627="","",archive!CJ1627)</f>
        <v/>
      </c>
      <c r="I1627" s="51" t="str">
        <f>IF(archive!CK1627="","",archive!CK1627)</f>
        <v/>
      </c>
      <c r="J1627" s="47" t="str">
        <f t="shared" si="353"/>
        <v/>
      </c>
      <c r="K1627" s="51" t="str">
        <f t="shared" si="354"/>
        <v/>
      </c>
      <c r="L1627" s="52" t="str">
        <f t="shared" si="355"/>
        <v/>
      </c>
      <c r="M1627" s="53" t="str">
        <f t="shared" si="356"/>
        <v/>
      </c>
      <c r="N1627" s="53" t="str">
        <f t="shared" si="357"/>
        <v/>
      </c>
      <c r="O1627" s="53" t="str">
        <f t="shared" si="358"/>
        <v/>
      </c>
      <c r="P1627" s="53" t="str">
        <f t="shared" si="359"/>
        <v/>
      </c>
      <c r="Q1627" s="53" t="str">
        <f t="shared" si="360"/>
        <v/>
      </c>
      <c r="R1627" s="53" t="str">
        <f t="shared" si="361"/>
        <v/>
      </c>
      <c r="S1627" s="53" t="str">
        <f t="shared" si="362"/>
        <v/>
      </c>
      <c r="T1627" s="53" t="str">
        <f t="shared" si="363"/>
        <v/>
      </c>
    </row>
    <row r="1628" spans="1:20">
      <c r="A1628" s="47" t="str">
        <f>IF(archive!E1628="","",archive!E1628)</f>
        <v/>
      </c>
      <c r="B1628" s="48" t="str">
        <f t="shared" si="350"/>
        <v/>
      </c>
      <c r="C1628" s="49" t="str">
        <f>IF(archive!F1628="","",archive!F1628)</f>
        <v/>
      </c>
      <c r="D1628" s="50" t="str">
        <f t="shared" si="351"/>
        <v/>
      </c>
      <c r="E1628" s="50" t="str">
        <f t="shared" si="352"/>
        <v/>
      </c>
      <c r="F1628" s="47" t="str">
        <f>IF(COUNTA(archive!H1628:CI1628)=0,"",COUNTA(archive!H1628:CI1628))</f>
        <v/>
      </c>
      <c r="G1628" s="47" t="str">
        <f>IF(archive!G1628="","",archive!G1628)</f>
        <v/>
      </c>
      <c r="H1628" s="51" t="str">
        <f>IF(archive!CJ1628="","",archive!CJ1628)</f>
        <v/>
      </c>
      <c r="I1628" s="51" t="str">
        <f>IF(archive!CK1628="","",archive!CK1628)</f>
        <v/>
      </c>
      <c r="J1628" s="47" t="str">
        <f t="shared" si="353"/>
        <v/>
      </c>
      <c r="K1628" s="51" t="str">
        <f t="shared" si="354"/>
        <v/>
      </c>
      <c r="L1628" s="52" t="str">
        <f t="shared" si="355"/>
        <v/>
      </c>
      <c r="M1628" s="53" t="str">
        <f t="shared" si="356"/>
        <v/>
      </c>
      <c r="N1628" s="53" t="str">
        <f t="shared" si="357"/>
        <v/>
      </c>
      <c r="O1628" s="53" t="str">
        <f t="shared" si="358"/>
        <v/>
      </c>
      <c r="P1628" s="53" t="str">
        <f t="shared" si="359"/>
        <v/>
      </c>
      <c r="Q1628" s="53" t="str">
        <f t="shared" si="360"/>
        <v/>
      </c>
      <c r="R1628" s="53" t="str">
        <f t="shared" si="361"/>
        <v/>
      </c>
      <c r="S1628" s="53" t="str">
        <f t="shared" si="362"/>
        <v/>
      </c>
      <c r="T1628" s="53" t="str">
        <f t="shared" si="363"/>
        <v/>
      </c>
    </row>
    <row r="1629" spans="1:20">
      <c r="A1629" s="47" t="str">
        <f>IF(archive!E1629="","",archive!E1629)</f>
        <v/>
      </c>
      <c r="B1629" s="48" t="str">
        <f t="shared" si="350"/>
        <v/>
      </c>
      <c r="C1629" s="49" t="str">
        <f>IF(archive!F1629="","",archive!F1629)</f>
        <v/>
      </c>
      <c r="D1629" s="50" t="str">
        <f t="shared" si="351"/>
        <v/>
      </c>
      <c r="E1629" s="50" t="str">
        <f t="shared" si="352"/>
        <v/>
      </c>
      <c r="F1629" s="47" t="str">
        <f>IF(COUNTA(archive!H1629:CI1629)=0,"",COUNTA(archive!H1629:CI1629))</f>
        <v/>
      </c>
      <c r="G1629" s="47" t="str">
        <f>IF(archive!G1629="","",archive!G1629)</f>
        <v/>
      </c>
      <c r="H1629" s="51" t="str">
        <f>IF(archive!CJ1629="","",archive!CJ1629)</f>
        <v/>
      </c>
      <c r="I1629" s="51" t="str">
        <f>IF(archive!CK1629="","",archive!CK1629)</f>
        <v/>
      </c>
      <c r="J1629" s="47" t="str">
        <f t="shared" si="353"/>
        <v/>
      </c>
      <c r="K1629" s="51" t="str">
        <f t="shared" si="354"/>
        <v/>
      </c>
      <c r="L1629" s="52" t="str">
        <f t="shared" si="355"/>
        <v/>
      </c>
      <c r="M1629" s="53" t="str">
        <f t="shared" si="356"/>
        <v/>
      </c>
      <c r="N1629" s="53" t="str">
        <f t="shared" si="357"/>
        <v/>
      </c>
      <c r="O1629" s="53" t="str">
        <f t="shared" si="358"/>
        <v/>
      </c>
      <c r="P1629" s="53" t="str">
        <f t="shared" si="359"/>
        <v/>
      </c>
      <c r="Q1629" s="53" t="str">
        <f t="shared" si="360"/>
        <v/>
      </c>
      <c r="R1629" s="53" t="str">
        <f t="shared" si="361"/>
        <v/>
      </c>
      <c r="S1629" s="53" t="str">
        <f t="shared" si="362"/>
        <v/>
      </c>
      <c r="T1629" s="53" t="str">
        <f t="shared" si="363"/>
        <v/>
      </c>
    </row>
    <row r="1630" spans="1:20">
      <c r="A1630" s="47" t="str">
        <f>IF(archive!E1630="","",archive!E1630)</f>
        <v/>
      </c>
      <c r="B1630" s="48" t="str">
        <f t="shared" si="350"/>
        <v/>
      </c>
      <c r="C1630" s="49" t="str">
        <f>IF(archive!F1630="","",archive!F1630)</f>
        <v/>
      </c>
      <c r="D1630" s="50" t="str">
        <f t="shared" si="351"/>
        <v/>
      </c>
      <c r="E1630" s="50" t="str">
        <f t="shared" si="352"/>
        <v/>
      </c>
      <c r="F1630" s="47" t="str">
        <f>IF(COUNTA(archive!H1630:CI1630)=0,"",COUNTA(archive!H1630:CI1630))</f>
        <v/>
      </c>
      <c r="G1630" s="47" t="str">
        <f>IF(archive!G1630="","",archive!G1630)</f>
        <v/>
      </c>
      <c r="H1630" s="51" t="str">
        <f>IF(archive!CJ1630="","",archive!CJ1630)</f>
        <v/>
      </c>
      <c r="I1630" s="51" t="str">
        <f>IF(archive!CK1630="","",archive!CK1630)</f>
        <v/>
      </c>
      <c r="J1630" s="47" t="str">
        <f t="shared" si="353"/>
        <v/>
      </c>
      <c r="K1630" s="51" t="str">
        <f t="shared" si="354"/>
        <v/>
      </c>
      <c r="L1630" s="52" t="str">
        <f t="shared" si="355"/>
        <v/>
      </c>
      <c r="M1630" s="53" t="str">
        <f t="shared" si="356"/>
        <v/>
      </c>
      <c r="N1630" s="53" t="str">
        <f t="shared" si="357"/>
        <v/>
      </c>
      <c r="O1630" s="53" t="str">
        <f t="shared" si="358"/>
        <v/>
      </c>
      <c r="P1630" s="53" t="str">
        <f t="shared" si="359"/>
        <v/>
      </c>
      <c r="Q1630" s="53" t="str">
        <f t="shared" si="360"/>
        <v/>
      </c>
      <c r="R1630" s="53" t="str">
        <f t="shared" si="361"/>
        <v/>
      </c>
      <c r="S1630" s="53" t="str">
        <f t="shared" si="362"/>
        <v/>
      </c>
      <c r="T1630" s="53" t="str">
        <f t="shared" si="363"/>
        <v/>
      </c>
    </row>
    <row r="1631" spans="1:20">
      <c r="A1631" s="47" t="str">
        <f>IF(archive!E1631="","",archive!E1631)</f>
        <v/>
      </c>
      <c r="B1631" s="48" t="str">
        <f t="shared" si="350"/>
        <v/>
      </c>
      <c r="C1631" s="49" t="str">
        <f>IF(archive!F1631="","",archive!F1631)</f>
        <v/>
      </c>
      <c r="D1631" s="50" t="str">
        <f t="shared" si="351"/>
        <v/>
      </c>
      <c r="E1631" s="50" t="str">
        <f t="shared" si="352"/>
        <v/>
      </c>
      <c r="F1631" s="47" t="str">
        <f>IF(COUNTA(archive!H1631:CI1631)=0,"",COUNTA(archive!H1631:CI1631))</f>
        <v/>
      </c>
      <c r="G1631" s="47" t="str">
        <f>IF(archive!G1631="","",archive!G1631)</f>
        <v/>
      </c>
      <c r="H1631" s="51" t="str">
        <f>IF(archive!CJ1631="","",archive!CJ1631)</f>
        <v/>
      </c>
      <c r="I1631" s="51" t="str">
        <f>IF(archive!CK1631="","",archive!CK1631)</f>
        <v/>
      </c>
      <c r="J1631" s="47" t="str">
        <f t="shared" si="353"/>
        <v/>
      </c>
      <c r="K1631" s="51" t="str">
        <f t="shared" si="354"/>
        <v/>
      </c>
      <c r="L1631" s="52" t="str">
        <f t="shared" si="355"/>
        <v/>
      </c>
      <c r="M1631" s="53" t="str">
        <f t="shared" si="356"/>
        <v/>
      </c>
      <c r="N1631" s="53" t="str">
        <f t="shared" si="357"/>
        <v/>
      </c>
      <c r="O1631" s="53" t="str">
        <f t="shared" si="358"/>
        <v/>
      </c>
      <c r="P1631" s="53" t="str">
        <f t="shared" si="359"/>
        <v/>
      </c>
      <c r="Q1631" s="53" t="str">
        <f t="shared" si="360"/>
        <v/>
      </c>
      <c r="R1631" s="53" t="str">
        <f t="shared" si="361"/>
        <v/>
      </c>
      <c r="S1631" s="53" t="str">
        <f t="shared" si="362"/>
        <v/>
      </c>
      <c r="T1631" s="53" t="str">
        <f t="shared" si="363"/>
        <v/>
      </c>
    </row>
    <row r="1632" spans="1:20">
      <c r="A1632" s="47" t="str">
        <f>IF(archive!E1632="","",archive!E1632)</f>
        <v/>
      </c>
      <c r="B1632" s="48" t="str">
        <f t="shared" si="350"/>
        <v/>
      </c>
      <c r="C1632" s="49" t="str">
        <f>IF(archive!F1632="","",archive!F1632)</f>
        <v/>
      </c>
      <c r="D1632" s="50" t="str">
        <f t="shared" si="351"/>
        <v/>
      </c>
      <c r="E1632" s="50" t="str">
        <f t="shared" si="352"/>
        <v/>
      </c>
      <c r="F1632" s="47" t="str">
        <f>IF(COUNTA(archive!H1632:CI1632)=0,"",COUNTA(archive!H1632:CI1632))</f>
        <v/>
      </c>
      <c r="G1632" s="47" t="str">
        <f>IF(archive!G1632="","",archive!G1632)</f>
        <v/>
      </c>
      <c r="H1632" s="51" t="str">
        <f>IF(archive!CJ1632="","",archive!CJ1632)</f>
        <v/>
      </c>
      <c r="I1632" s="51" t="str">
        <f>IF(archive!CK1632="","",archive!CK1632)</f>
        <v/>
      </c>
      <c r="J1632" s="47" t="str">
        <f t="shared" si="353"/>
        <v/>
      </c>
      <c r="K1632" s="51" t="str">
        <f t="shared" si="354"/>
        <v/>
      </c>
      <c r="L1632" s="52" t="str">
        <f t="shared" si="355"/>
        <v/>
      </c>
      <c r="M1632" s="53" t="str">
        <f t="shared" si="356"/>
        <v/>
      </c>
      <c r="N1632" s="53" t="str">
        <f t="shared" si="357"/>
        <v/>
      </c>
      <c r="O1632" s="53" t="str">
        <f t="shared" si="358"/>
        <v/>
      </c>
      <c r="P1632" s="53" t="str">
        <f t="shared" si="359"/>
        <v/>
      </c>
      <c r="Q1632" s="53" t="str">
        <f t="shared" si="360"/>
        <v/>
      </c>
      <c r="R1632" s="53" t="str">
        <f t="shared" si="361"/>
        <v/>
      </c>
      <c r="S1632" s="53" t="str">
        <f t="shared" si="362"/>
        <v/>
      </c>
      <c r="T1632" s="53" t="str">
        <f t="shared" si="363"/>
        <v/>
      </c>
    </row>
    <row r="1633" spans="1:20">
      <c r="A1633" s="47" t="str">
        <f>IF(archive!E1633="","",archive!E1633)</f>
        <v/>
      </c>
      <c r="B1633" s="48" t="str">
        <f t="shared" si="350"/>
        <v/>
      </c>
      <c r="C1633" s="49" t="str">
        <f>IF(archive!F1633="","",archive!F1633)</f>
        <v/>
      </c>
      <c r="D1633" s="50" t="str">
        <f t="shared" si="351"/>
        <v/>
      </c>
      <c r="E1633" s="50" t="str">
        <f t="shared" si="352"/>
        <v/>
      </c>
      <c r="F1633" s="47" t="str">
        <f>IF(COUNTA(archive!H1633:CI1633)=0,"",COUNTA(archive!H1633:CI1633))</f>
        <v/>
      </c>
      <c r="G1633" s="47" t="str">
        <f>IF(archive!G1633="","",archive!G1633)</f>
        <v/>
      </c>
      <c r="H1633" s="51" t="str">
        <f>IF(archive!CJ1633="","",archive!CJ1633)</f>
        <v/>
      </c>
      <c r="I1633" s="51" t="str">
        <f>IF(archive!CK1633="","",archive!CK1633)</f>
        <v/>
      </c>
      <c r="J1633" s="47" t="str">
        <f t="shared" si="353"/>
        <v/>
      </c>
      <c r="K1633" s="51" t="str">
        <f t="shared" si="354"/>
        <v/>
      </c>
      <c r="L1633" s="52" t="str">
        <f t="shared" si="355"/>
        <v/>
      </c>
      <c r="M1633" s="53" t="str">
        <f t="shared" si="356"/>
        <v/>
      </c>
      <c r="N1633" s="53" t="str">
        <f t="shared" si="357"/>
        <v/>
      </c>
      <c r="O1633" s="53" t="str">
        <f t="shared" si="358"/>
        <v/>
      </c>
      <c r="P1633" s="53" t="str">
        <f t="shared" si="359"/>
        <v/>
      </c>
      <c r="Q1633" s="53" t="str">
        <f t="shared" si="360"/>
        <v/>
      </c>
      <c r="R1633" s="53" t="str">
        <f t="shared" si="361"/>
        <v/>
      </c>
      <c r="S1633" s="53" t="str">
        <f t="shared" si="362"/>
        <v/>
      </c>
      <c r="T1633" s="53" t="str">
        <f t="shared" si="363"/>
        <v/>
      </c>
    </row>
    <row r="1634" spans="1:20">
      <c r="A1634" s="47" t="str">
        <f>IF(archive!E1634="","",archive!E1634)</f>
        <v/>
      </c>
      <c r="B1634" s="48" t="str">
        <f t="shared" si="350"/>
        <v/>
      </c>
      <c r="C1634" s="49" t="str">
        <f>IF(archive!F1634="","",archive!F1634)</f>
        <v/>
      </c>
      <c r="D1634" s="50" t="str">
        <f t="shared" si="351"/>
        <v/>
      </c>
      <c r="E1634" s="50" t="str">
        <f t="shared" si="352"/>
        <v/>
      </c>
      <c r="F1634" s="47" t="str">
        <f>IF(COUNTA(archive!H1634:CI1634)=0,"",COUNTA(archive!H1634:CI1634))</f>
        <v/>
      </c>
      <c r="G1634" s="47" t="str">
        <f>IF(archive!G1634="","",archive!G1634)</f>
        <v/>
      </c>
      <c r="H1634" s="51" t="str">
        <f>IF(archive!CJ1634="","",archive!CJ1634)</f>
        <v/>
      </c>
      <c r="I1634" s="51" t="str">
        <f>IF(archive!CK1634="","",archive!CK1634)</f>
        <v/>
      </c>
      <c r="J1634" s="47" t="str">
        <f t="shared" si="353"/>
        <v/>
      </c>
      <c r="K1634" s="51" t="str">
        <f t="shared" si="354"/>
        <v/>
      </c>
      <c r="L1634" s="52" t="str">
        <f t="shared" si="355"/>
        <v/>
      </c>
      <c r="M1634" s="53" t="str">
        <f t="shared" si="356"/>
        <v/>
      </c>
      <c r="N1634" s="53" t="str">
        <f t="shared" si="357"/>
        <v/>
      </c>
      <c r="O1634" s="53" t="str">
        <f t="shared" si="358"/>
        <v/>
      </c>
      <c r="P1634" s="53" t="str">
        <f t="shared" si="359"/>
        <v/>
      </c>
      <c r="Q1634" s="53" t="str">
        <f t="shared" si="360"/>
        <v/>
      </c>
      <c r="R1634" s="53" t="str">
        <f t="shared" si="361"/>
        <v/>
      </c>
      <c r="S1634" s="53" t="str">
        <f t="shared" si="362"/>
        <v/>
      </c>
      <c r="T1634" s="53" t="str">
        <f t="shared" si="363"/>
        <v/>
      </c>
    </row>
    <row r="1635" spans="1:20">
      <c r="A1635" s="47" t="str">
        <f>IF(archive!E1635="","",archive!E1635)</f>
        <v/>
      </c>
      <c r="B1635" s="48" t="str">
        <f t="shared" si="350"/>
        <v/>
      </c>
      <c r="C1635" s="49" t="str">
        <f>IF(archive!F1635="","",archive!F1635)</f>
        <v/>
      </c>
      <c r="D1635" s="50" t="str">
        <f t="shared" si="351"/>
        <v/>
      </c>
      <c r="E1635" s="50" t="str">
        <f t="shared" si="352"/>
        <v/>
      </c>
      <c r="F1635" s="47" t="str">
        <f>IF(COUNTA(archive!H1635:CI1635)=0,"",COUNTA(archive!H1635:CI1635))</f>
        <v/>
      </c>
      <c r="G1635" s="47" t="str">
        <f>IF(archive!G1635="","",archive!G1635)</f>
        <v/>
      </c>
      <c r="H1635" s="51" t="str">
        <f>IF(archive!CJ1635="","",archive!CJ1635)</f>
        <v/>
      </c>
      <c r="I1635" s="51" t="str">
        <f>IF(archive!CK1635="","",archive!CK1635)</f>
        <v/>
      </c>
      <c r="J1635" s="47" t="str">
        <f t="shared" si="353"/>
        <v/>
      </c>
      <c r="K1635" s="51" t="str">
        <f t="shared" si="354"/>
        <v/>
      </c>
      <c r="L1635" s="52" t="str">
        <f t="shared" si="355"/>
        <v/>
      </c>
      <c r="M1635" s="53" t="str">
        <f t="shared" si="356"/>
        <v/>
      </c>
      <c r="N1635" s="53" t="str">
        <f t="shared" si="357"/>
        <v/>
      </c>
      <c r="O1635" s="53" t="str">
        <f t="shared" si="358"/>
        <v/>
      </c>
      <c r="P1635" s="53" t="str">
        <f t="shared" si="359"/>
        <v/>
      </c>
      <c r="Q1635" s="53" t="str">
        <f t="shared" si="360"/>
        <v/>
      </c>
      <c r="R1635" s="53" t="str">
        <f t="shared" si="361"/>
        <v/>
      </c>
      <c r="S1635" s="53" t="str">
        <f t="shared" si="362"/>
        <v/>
      </c>
      <c r="T1635" s="53" t="str">
        <f t="shared" si="363"/>
        <v/>
      </c>
    </row>
    <row r="1636" spans="1:20">
      <c r="A1636" s="47" t="str">
        <f>IF(archive!E1636="","",archive!E1636)</f>
        <v/>
      </c>
      <c r="B1636" s="48" t="str">
        <f t="shared" si="350"/>
        <v/>
      </c>
      <c r="C1636" s="49" t="str">
        <f>IF(archive!F1636="","",archive!F1636)</f>
        <v/>
      </c>
      <c r="D1636" s="50" t="str">
        <f t="shared" si="351"/>
        <v/>
      </c>
      <c r="E1636" s="50" t="str">
        <f t="shared" si="352"/>
        <v/>
      </c>
      <c r="F1636" s="47" t="str">
        <f>IF(COUNTA(archive!H1636:CI1636)=0,"",COUNTA(archive!H1636:CI1636))</f>
        <v/>
      </c>
      <c r="G1636" s="47" t="str">
        <f>IF(archive!G1636="","",archive!G1636)</f>
        <v/>
      </c>
      <c r="H1636" s="51" t="str">
        <f>IF(archive!CJ1636="","",archive!CJ1636)</f>
        <v/>
      </c>
      <c r="I1636" s="51" t="str">
        <f>IF(archive!CK1636="","",archive!CK1636)</f>
        <v/>
      </c>
      <c r="J1636" s="47" t="str">
        <f t="shared" si="353"/>
        <v/>
      </c>
      <c r="K1636" s="51" t="str">
        <f t="shared" si="354"/>
        <v/>
      </c>
      <c r="L1636" s="52" t="str">
        <f t="shared" si="355"/>
        <v/>
      </c>
      <c r="M1636" s="53" t="str">
        <f t="shared" si="356"/>
        <v/>
      </c>
      <c r="N1636" s="53" t="str">
        <f t="shared" si="357"/>
        <v/>
      </c>
      <c r="O1636" s="53" t="str">
        <f t="shared" si="358"/>
        <v/>
      </c>
      <c r="P1636" s="53" t="str">
        <f t="shared" si="359"/>
        <v/>
      </c>
      <c r="Q1636" s="53" t="str">
        <f t="shared" si="360"/>
        <v/>
      </c>
      <c r="R1636" s="53" t="str">
        <f t="shared" si="361"/>
        <v/>
      </c>
      <c r="S1636" s="53" t="str">
        <f t="shared" si="362"/>
        <v/>
      </c>
      <c r="T1636" s="53" t="str">
        <f t="shared" si="363"/>
        <v/>
      </c>
    </row>
    <row r="1637" spans="1:20">
      <c r="A1637" s="47" t="str">
        <f>IF(archive!E1637="","",archive!E1637)</f>
        <v/>
      </c>
      <c r="B1637" s="48" t="str">
        <f t="shared" si="350"/>
        <v/>
      </c>
      <c r="C1637" s="49" t="str">
        <f>IF(archive!F1637="","",archive!F1637)</f>
        <v/>
      </c>
      <c r="D1637" s="50" t="str">
        <f t="shared" si="351"/>
        <v/>
      </c>
      <c r="E1637" s="50" t="str">
        <f t="shared" si="352"/>
        <v/>
      </c>
      <c r="F1637" s="47" t="str">
        <f>IF(COUNTA(archive!H1637:CI1637)=0,"",COUNTA(archive!H1637:CI1637))</f>
        <v/>
      </c>
      <c r="G1637" s="47" t="str">
        <f>IF(archive!G1637="","",archive!G1637)</f>
        <v/>
      </c>
      <c r="H1637" s="51" t="str">
        <f>IF(archive!CJ1637="","",archive!CJ1637)</f>
        <v/>
      </c>
      <c r="I1637" s="51" t="str">
        <f>IF(archive!CK1637="","",archive!CK1637)</f>
        <v/>
      </c>
      <c r="J1637" s="47" t="str">
        <f t="shared" si="353"/>
        <v/>
      </c>
      <c r="K1637" s="51" t="str">
        <f t="shared" si="354"/>
        <v/>
      </c>
      <c r="L1637" s="52" t="str">
        <f t="shared" si="355"/>
        <v/>
      </c>
      <c r="M1637" s="53" t="str">
        <f t="shared" si="356"/>
        <v/>
      </c>
      <c r="N1637" s="53" t="str">
        <f t="shared" si="357"/>
        <v/>
      </c>
      <c r="O1637" s="53" t="str">
        <f t="shared" si="358"/>
        <v/>
      </c>
      <c r="P1637" s="53" t="str">
        <f t="shared" si="359"/>
        <v/>
      </c>
      <c r="Q1637" s="53" t="str">
        <f t="shared" si="360"/>
        <v/>
      </c>
      <c r="R1637" s="53" t="str">
        <f t="shared" si="361"/>
        <v/>
      </c>
      <c r="S1637" s="53" t="str">
        <f t="shared" si="362"/>
        <v/>
      </c>
      <c r="T1637" s="53" t="str">
        <f t="shared" si="363"/>
        <v/>
      </c>
    </row>
    <row r="1638" spans="1:20">
      <c r="A1638" s="47" t="str">
        <f>IF(archive!E1638="","",archive!E1638)</f>
        <v/>
      </c>
      <c r="B1638" s="48" t="str">
        <f t="shared" si="350"/>
        <v/>
      </c>
      <c r="C1638" s="49" t="str">
        <f>IF(archive!F1638="","",archive!F1638)</f>
        <v/>
      </c>
      <c r="D1638" s="50" t="str">
        <f t="shared" si="351"/>
        <v/>
      </c>
      <c r="E1638" s="50" t="str">
        <f t="shared" si="352"/>
        <v/>
      </c>
      <c r="F1638" s="47" t="str">
        <f>IF(COUNTA(archive!H1638:CI1638)=0,"",COUNTA(archive!H1638:CI1638))</f>
        <v/>
      </c>
      <c r="G1638" s="47" t="str">
        <f>IF(archive!G1638="","",archive!G1638)</f>
        <v/>
      </c>
      <c r="H1638" s="51" t="str">
        <f>IF(archive!CJ1638="","",archive!CJ1638)</f>
        <v/>
      </c>
      <c r="I1638" s="51" t="str">
        <f>IF(archive!CK1638="","",archive!CK1638)</f>
        <v/>
      </c>
      <c r="J1638" s="47" t="str">
        <f t="shared" si="353"/>
        <v/>
      </c>
      <c r="K1638" s="51" t="str">
        <f t="shared" si="354"/>
        <v/>
      </c>
      <c r="L1638" s="52" t="str">
        <f t="shared" si="355"/>
        <v/>
      </c>
      <c r="M1638" s="53" t="str">
        <f t="shared" si="356"/>
        <v/>
      </c>
      <c r="N1638" s="53" t="str">
        <f t="shared" si="357"/>
        <v/>
      </c>
      <c r="O1638" s="53" t="str">
        <f t="shared" si="358"/>
        <v/>
      </c>
      <c r="P1638" s="53" t="str">
        <f t="shared" si="359"/>
        <v/>
      </c>
      <c r="Q1638" s="53" t="str">
        <f t="shared" si="360"/>
        <v/>
      </c>
      <c r="R1638" s="53" t="str">
        <f t="shared" si="361"/>
        <v/>
      </c>
      <c r="S1638" s="53" t="str">
        <f t="shared" si="362"/>
        <v/>
      </c>
      <c r="T1638" s="53" t="str">
        <f t="shared" si="363"/>
        <v/>
      </c>
    </row>
    <row r="1639" spans="1:20">
      <c r="A1639" s="47" t="str">
        <f>IF(archive!E1639="","",archive!E1639)</f>
        <v/>
      </c>
      <c r="B1639" s="48" t="str">
        <f t="shared" si="350"/>
        <v/>
      </c>
      <c r="C1639" s="49" t="str">
        <f>IF(archive!F1639="","",archive!F1639)</f>
        <v/>
      </c>
      <c r="D1639" s="50" t="str">
        <f t="shared" si="351"/>
        <v/>
      </c>
      <c r="E1639" s="50" t="str">
        <f t="shared" si="352"/>
        <v/>
      </c>
      <c r="F1639" s="47" t="str">
        <f>IF(COUNTA(archive!H1639:CI1639)=0,"",COUNTA(archive!H1639:CI1639))</f>
        <v/>
      </c>
      <c r="G1639" s="47" t="str">
        <f>IF(archive!G1639="","",archive!G1639)</f>
        <v/>
      </c>
      <c r="H1639" s="51" t="str">
        <f>IF(archive!CJ1639="","",archive!CJ1639)</f>
        <v/>
      </c>
      <c r="I1639" s="51" t="str">
        <f>IF(archive!CK1639="","",archive!CK1639)</f>
        <v/>
      </c>
      <c r="J1639" s="47" t="str">
        <f t="shared" si="353"/>
        <v/>
      </c>
      <c r="K1639" s="51" t="str">
        <f t="shared" si="354"/>
        <v/>
      </c>
      <c r="L1639" s="52" t="str">
        <f t="shared" si="355"/>
        <v/>
      </c>
      <c r="M1639" s="53" t="str">
        <f t="shared" si="356"/>
        <v/>
      </c>
      <c r="N1639" s="53" t="str">
        <f t="shared" si="357"/>
        <v/>
      </c>
      <c r="O1639" s="53" t="str">
        <f t="shared" si="358"/>
        <v/>
      </c>
      <c r="P1639" s="53" t="str">
        <f t="shared" si="359"/>
        <v/>
      </c>
      <c r="Q1639" s="53" t="str">
        <f t="shared" si="360"/>
        <v/>
      </c>
      <c r="R1639" s="53" t="str">
        <f t="shared" si="361"/>
        <v/>
      </c>
      <c r="S1639" s="53" t="str">
        <f t="shared" si="362"/>
        <v/>
      </c>
      <c r="T1639" s="53" t="str">
        <f t="shared" si="363"/>
        <v/>
      </c>
    </row>
    <row r="1640" spans="1:20">
      <c r="A1640" s="47" t="str">
        <f>IF(archive!E1640="","",archive!E1640)</f>
        <v/>
      </c>
      <c r="B1640" s="48" t="str">
        <f t="shared" si="350"/>
        <v/>
      </c>
      <c r="C1640" s="49" t="str">
        <f>IF(archive!F1640="","",archive!F1640)</f>
        <v/>
      </c>
      <c r="D1640" s="50" t="str">
        <f t="shared" si="351"/>
        <v/>
      </c>
      <c r="E1640" s="50" t="str">
        <f t="shared" si="352"/>
        <v/>
      </c>
      <c r="F1640" s="47" t="str">
        <f>IF(COUNTA(archive!H1640:CI1640)=0,"",COUNTA(archive!H1640:CI1640))</f>
        <v/>
      </c>
      <c r="G1640" s="47" t="str">
        <f>IF(archive!G1640="","",archive!G1640)</f>
        <v/>
      </c>
      <c r="H1640" s="51" t="str">
        <f>IF(archive!CJ1640="","",archive!CJ1640)</f>
        <v/>
      </c>
      <c r="I1640" s="51" t="str">
        <f>IF(archive!CK1640="","",archive!CK1640)</f>
        <v/>
      </c>
      <c r="J1640" s="47" t="str">
        <f t="shared" si="353"/>
        <v/>
      </c>
      <c r="K1640" s="51" t="str">
        <f t="shared" si="354"/>
        <v/>
      </c>
      <c r="L1640" s="52" t="str">
        <f t="shared" si="355"/>
        <v/>
      </c>
      <c r="M1640" s="53" t="str">
        <f t="shared" si="356"/>
        <v/>
      </c>
      <c r="N1640" s="53" t="str">
        <f t="shared" si="357"/>
        <v/>
      </c>
      <c r="O1640" s="53" t="str">
        <f t="shared" si="358"/>
        <v/>
      </c>
      <c r="P1640" s="53" t="str">
        <f t="shared" si="359"/>
        <v/>
      </c>
      <c r="Q1640" s="53" t="str">
        <f t="shared" si="360"/>
        <v/>
      </c>
      <c r="R1640" s="53" t="str">
        <f t="shared" si="361"/>
        <v/>
      </c>
      <c r="S1640" s="53" t="str">
        <f t="shared" si="362"/>
        <v/>
      </c>
      <c r="T1640" s="53" t="str">
        <f t="shared" si="363"/>
        <v/>
      </c>
    </row>
    <row r="1641" spans="1:20">
      <c r="A1641" s="47" t="str">
        <f>IF(archive!E1641="","",archive!E1641)</f>
        <v/>
      </c>
      <c r="B1641" s="48" t="str">
        <f t="shared" si="350"/>
        <v/>
      </c>
      <c r="C1641" s="49" t="str">
        <f>IF(archive!F1641="","",archive!F1641)</f>
        <v/>
      </c>
      <c r="D1641" s="50" t="str">
        <f t="shared" si="351"/>
        <v/>
      </c>
      <c r="E1641" s="50" t="str">
        <f t="shared" si="352"/>
        <v/>
      </c>
      <c r="F1641" s="47" t="str">
        <f>IF(COUNTA(archive!H1641:CI1641)=0,"",COUNTA(archive!H1641:CI1641))</f>
        <v/>
      </c>
      <c r="G1641" s="47" t="str">
        <f>IF(archive!G1641="","",archive!G1641)</f>
        <v/>
      </c>
      <c r="H1641" s="51" t="str">
        <f>IF(archive!CJ1641="","",archive!CJ1641)</f>
        <v/>
      </c>
      <c r="I1641" s="51" t="str">
        <f>IF(archive!CK1641="","",archive!CK1641)</f>
        <v/>
      </c>
      <c r="J1641" s="47" t="str">
        <f t="shared" si="353"/>
        <v/>
      </c>
      <c r="K1641" s="51" t="str">
        <f t="shared" si="354"/>
        <v/>
      </c>
      <c r="L1641" s="52" t="str">
        <f t="shared" si="355"/>
        <v/>
      </c>
      <c r="M1641" s="53" t="str">
        <f t="shared" si="356"/>
        <v/>
      </c>
      <c r="N1641" s="53" t="str">
        <f t="shared" si="357"/>
        <v/>
      </c>
      <c r="O1641" s="53" t="str">
        <f t="shared" si="358"/>
        <v/>
      </c>
      <c r="P1641" s="53" t="str">
        <f t="shared" si="359"/>
        <v/>
      </c>
      <c r="Q1641" s="53" t="str">
        <f t="shared" si="360"/>
        <v/>
      </c>
      <c r="R1641" s="53" t="str">
        <f t="shared" si="361"/>
        <v/>
      </c>
      <c r="S1641" s="53" t="str">
        <f t="shared" si="362"/>
        <v/>
      </c>
      <c r="T1641" s="53" t="str">
        <f t="shared" si="363"/>
        <v/>
      </c>
    </row>
    <row r="1642" spans="1:20">
      <c r="A1642" s="47" t="str">
        <f>IF(archive!E1642="","",archive!E1642)</f>
        <v/>
      </c>
      <c r="B1642" s="48" t="str">
        <f t="shared" si="350"/>
        <v/>
      </c>
      <c r="C1642" s="49" t="str">
        <f>IF(archive!F1642="","",archive!F1642)</f>
        <v/>
      </c>
      <c r="D1642" s="50" t="str">
        <f t="shared" si="351"/>
        <v/>
      </c>
      <c r="E1642" s="50" t="str">
        <f t="shared" si="352"/>
        <v/>
      </c>
      <c r="F1642" s="47" t="str">
        <f>IF(COUNTA(archive!H1642:CI1642)=0,"",COUNTA(archive!H1642:CI1642))</f>
        <v/>
      </c>
      <c r="G1642" s="47" t="str">
        <f>IF(archive!G1642="","",archive!G1642)</f>
        <v/>
      </c>
      <c r="H1642" s="51" t="str">
        <f>IF(archive!CJ1642="","",archive!CJ1642)</f>
        <v/>
      </c>
      <c r="I1642" s="51" t="str">
        <f>IF(archive!CK1642="","",archive!CK1642)</f>
        <v/>
      </c>
      <c r="J1642" s="47" t="str">
        <f t="shared" si="353"/>
        <v/>
      </c>
      <c r="K1642" s="51" t="str">
        <f t="shared" si="354"/>
        <v/>
      </c>
      <c r="L1642" s="52" t="str">
        <f t="shared" si="355"/>
        <v/>
      </c>
      <c r="M1642" s="53" t="str">
        <f t="shared" si="356"/>
        <v/>
      </c>
      <c r="N1642" s="53" t="str">
        <f t="shared" si="357"/>
        <v/>
      </c>
      <c r="O1642" s="53" t="str">
        <f t="shared" si="358"/>
        <v/>
      </c>
      <c r="P1642" s="53" t="str">
        <f t="shared" si="359"/>
        <v/>
      </c>
      <c r="Q1642" s="53" t="str">
        <f t="shared" si="360"/>
        <v/>
      </c>
      <c r="R1642" s="53" t="str">
        <f t="shared" si="361"/>
        <v/>
      </c>
      <c r="S1642" s="53" t="str">
        <f t="shared" si="362"/>
        <v/>
      </c>
      <c r="T1642" s="53" t="str">
        <f t="shared" si="363"/>
        <v/>
      </c>
    </row>
    <row r="1643" spans="1:20">
      <c r="A1643" s="47" t="str">
        <f>IF(archive!E1643="","",archive!E1643)</f>
        <v/>
      </c>
      <c r="B1643" s="48" t="str">
        <f t="shared" si="350"/>
        <v/>
      </c>
      <c r="C1643" s="49" t="str">
        <f>IF(archive!F1643="","",archive!F1643)</f>
        <v/>
      </c>
      <c r="D1643" s="50" t="str">
        <f t="shared" si="351"/>
        <v/>
      </c>
      <c r="E1643" s="50" t="str">
        <f t="shared" si="352"/>
        <v/>
      </c>
      <c r="F1643" s="47" t="str">
        <f>IF(COUNTA(archive!H1643:CI1643)=0,"",COUNTA(archive!H1643:CI1643))</f>
        <v/>
      </c>
      <c r="G1643" s="47" t="str">
        <f>IF(archive!G1643="","",archive!G1643)</f>
        <v/>
      </c>
      <c r="H1643" s="51" t="str">
        <f>IF(archive!CJ1643="","",archive!CJ1643)</f>
        <v/>
      </c>
      <c r="I1643" s="51" t="str">
        <f>IF(archive!CK1643="","",archive!CK1643)</f>
        <v/>
      </c>
      <c r="J1643" s="47" t="str">
        <f t="shared" si="353"/>
        <v/>
      </c>
      <c r="K1643" s="51" t="str">
        <f t="shared" si="354"/>
        <v/>
      </c>
      <c r="L1643" s="52" t="str">
        <f t="shared" si="355"/>
        <v/>
      </c>
      <c r="M1643" s="53" t="str">
        <f t="shared" si="356"/>
        <v/>
      </c>
      <c r="N1643" s="53" t="str">
        <f t="shared" si="357"/>
        <v/>
      </c>
      <c r="O1643" s="53" t="str">
        <f t="shared" si="358"/>
        <v/>
      </c>
      <c r="P1643" s="53" t="str">
        <f t="shared" si="359"/>
        <v/>
      </c>
      <c r="Q1643" s="53" t="str">
        <f t="shared" si="360"/>
        <v/>
      </c>
      <c r="R1643" s="53" t="str">
        <f t="shared" si="361"/>
        <v/>
      </c>
      <c r="S1643" s="53" t="str">
        <f t="shared" si="362"/>
        <v/>
      </c>
      <c r="T1643" s="53" t="str">
        <f t="shared" si="363"/>
        <v/>
      </c>
    </row>
    <row r="1644" spans="1:20">
      <c r="A1644" s="47" t="str">
        <f>IF(archive!E1644="","",archive!E1644)</f>
        <v/>
      </c>
      <c r="B1644" s="48" t="str">
        <f t="shared" si="350"/>
        <v/>
      </c>
      <c r="C1644" s="49" t="str">
        <f>IF(archive!F1644="","",archive!F1644)</f>
        <v/>
      </c>
      <c r="D1644" s="50" t="str">
        <f t="shared" si="351"/>
        <v/>
      </c>
      <c r="E1644" s="50" t="str">
        <f t="shared" si="352"/>
        <v/>
      </c>
      <c r="F1644" s="47" t="str">
        <f>IF(COUNTA(archive!H1644:CI1644)=0,"",COUNTA(archive!H1644:CI1644))</f>
        <v/>
      </c>
      <c r="G1644" s="47" t="str">
        <f>IF(archive!G1644="","",archive!G1644)</f>
        <v/>
      </c>
      <c r="H1644" s="51" t="str">
        <f>IF(archive!CJ1644="","",archive!CJ1644)</f>
        <v/>
      </c>
      <c r="I1644" s="51" t="str">
        <f>IF(archive!CK1644="","",archive!CK1644)</f>
        <v/>
      </c>
      <c r="J1644" s="47" t="str">
        <f t="shared" si="353"/>
        <v/>
      </c>
      <c r="K1644" s="51" t="str">
        <f t="shared" si="354"/>
        <v/>
      </c>
      <c r="L1644" s="52" t="str">
        <f t="shared" si="355"/>
        <v/>
      </c>
      <c r="M1644" s="53" t="str">
        <f t="shared" si="356"/>
        <v/>
      </c>
      <c r="N1644" s="53" t="str">
        <f t="shared" si="357"/>
        <v/>
      </c>
      <c r="O1644" s="53" t="str">
        <f t="shared" si="358"/>
        <v/>
      </c>
      <c r="P1644" s="53" t="str">
        <f t="shared" si="359"/>
        <v/>
      </c>
      <c r="Q1644" s="53" t="str">
        <f t="shared" si="360"/>
        <v/>
      </c>
      <c r="R1644" s="53" t="str">
        <f t="shared" si="361"/>
        <v/>
      </c>
      <c r="S1644" s="53" t="str">
        <f t="shared" si="362"/>
        <v/>
      </c>
      <c r="T1644" s="53" t="str">
        <f t="shared" si="363"/>
        <v/>
      </c>
    </row>
    <row r="1645" spans="1:20">
      <c r="A1645" s="47" t="str">
        <f>IF(archive!E1645="","",archive!E1645)</f>
        <v/>
      </c>
      <c r="B1645" s="48" t="str">
        <f t="shared" si="350"/>
        <v/>
      </c>
      <c r="C1645" s="49" t="str">
        <f>IF(archive!F1645="","",archive!F1645)</f>
        <v/>
      </c>
      <c r="D1645" s="50" t="str">
        <f t="shared" si="351"/>
        <v/>
      </c>
      <c r="E1645" s="50" t="str">
        <f t="shared" si="352"/>
        <v/>
      </c>
      <c r="F1645" s="47" t="str">
        <f>IF(COUNTA(archive!H1645:CI1645)=0,"",COUNTA(archive!H1645:CI1645))</f>
        <v/>
      </c>
      <c r="G1645" s="47" t="str">
        <f>IF(archive!G1645="","",archive!G1645)</f>
        <v/>
      </c>
      <c r="H1645" s="51" t="str">
        <f>IF(archive!CJ1645="","",archive!CJ1645)</f>
        <v/>
      </c>
      <c r="I1645" s="51" t="str">
        <f>IF(archive!CK1645="","",archive!CK1645)</f>
        <v/>
      </c>
      <c r="J1645" s="47" t="str">
        <f t="shared" si="353"/>
        <v/>
      </c>
      <c r="K1645" s="51" t="str">
        <f t="shared" si="354"/>
        <v/>
      </c>
      <c r="L1645" s="52" t="str">
        <f t="shared" si="355"/>
        <v/>
      </c>
      <c r="M1645" s="53" t="str">
        <f t="shared" si="356"/>
        <v/>
      </c>
      <c r="N1645" s="53" t="str">
        <f t="shared" si="357"/>
        <v/>
      </c>
      <c r="O1645" s="53" t="str">
        <f t="shared" si="358"/>
        <v/>
      </c>
      <c r="P1645" s="53" t="str">
        <f t="shared" si="359"/>
        <v/>
      </c>
      <c r="Q1645" s="53" t="str">
        <f t="shared" si="360"/>
        <v/>
      </c>
      <c r="R1645" s="53" t="str">
        <f t="shared" si="361"/>
        <v/>
      </c>
      <c r="S1645" s="53" t="str">
        <f t="shared" si="362"/>
        <v/>
      </c>
      <c r="T1645" s="53" t="str">
        <f t="shared" si="363"/>
        <v/>
      </c>
    </row>
    <row r="1646" spans="1:20">
      <c r="A1646" s="47" t="str">
        <f>IF(archive!E1646="","",archive!E1646)</f>
        <v/>
      </c>
      <c r="B1646" s="48" t="str">
        <f t="shared" si="350"/>
        <v/>
      </c>
      <c r="C1646" s="49" t="str">
        <f>IF(archive!F1646="","",archive!F1646)</f>
        <v/>
      </c>
      <c r="D1646" s="50" t="str">
        <f t="shared" si="351"/>
        <v/>
      </c>
      <c r="E1646" s="50" t="str">
        <f t="shared" si="352"/>
        <v/>
      </c>
      <c r="F1646" s="47" t="str">
        <f>IF(COUNTA(archive!H1646:CI1646)=0,"",COUNTA(archive!H1646:CI1646))</f>
        <v/>
      </c>
      <c r="G1646" s="47" t="str">
        <f>IF(archive!G1646="","",archive!G1646)</f>
        <v/>
      </c>
      <c r="H1646" s="51" t="str">
        <f>IF(archive!CJ1646="","",archive!CJ1646)</f>
        <v/>
      </c>
      <c r="I1646" s="51" t="str">
        <f>IF(archive!CK1646="","",archive!CK1646)</f>
        <v/>
      </c>
      <c r="J1646" s="47" t="str">
        <f t="shared" si="353"/>
        <v/>
      </c>
      <c r="K1646" s="51" t="str">
        <f t="shared" si="354"/>
        <v/>
      </c>
      <c r="L1646" s="52" t="str">
        <f t="shared" si="355"/>
        <v/>
      </c>
      <c r="M1646" s="53" t="str">
        <f t="shared" si="356"/>
        <v/>
      </c>
      <c r="N1646" s="53" t="str">
        <f t="shared" si="357"/>
        <v/>
      </c>
      <c r="O1646" s="53" t="str">
        <f t="shared" si="358"/>
        <v/>
      </c>
      <c r="P1646" s="53" t="str">
        <f t="shared" si="359"/>
        <v/>
      </c>
      <c r="Q1646" s="53" t="str">
        <f t="shared" si="360"/>
        <v/>
      </c>
      <c r="R1646" s="53" t="str">
        <f t="shared" si="361"/>
        <v/>
      </c>
      <c r="S1646" s="53" t="str">
        <f t="shared" si="362"/>
        <v/>
      </c>
      <c r="T1646" s="53" t="str">
        <f t="shared" si="363"/>
        <v/>
      </c>
    </row>
    <row r="1647" spans="1:20">
      <c r="A1647" s="47" t="str">
        <f>IF(archive!E1647="","",archive!E1647)</f>
        <v/>
      </c>
      <c r="B1647" s="48" t="str">
        <f t="shared" si="350"/>
        <v/>
      </c>
      <c r="C1647" s="49" t="str">
        <f>IF(archive!F1647="","",archive!F1647)</f>
        <v/>
      </c>
      <c r="D1647" s="50" t="str">
        <f t="shared" si="351"/>
        <v/>
      </c>
      <c r="E1647" s="50" t="str">
        <f t="shared" si="352"/>
        <v/>
      </c>
      <c r="F1647" s="47" t="str">
        <f>IF(COUNTA(archive!H1647:CI1647)=0,"",COUNTA(archive!H1647:CI1647))</f>
        <v/>
      </c>
      <c r="G1647" s="47" t="str">
        <f>IF(archive!G1647="","",archive!G1647)</f>
        <v/>
      </c>
      <c r="H1647" s="51" t="str">
        <f>IF(archive!CJ1647="","",archive!CJ1647)</f>
        <v/>
      </c>
      <c r="I1647" s="51" t="str">
        <f>IF(archive!CK1647="","",archive!CK1647)</f>
        <v/>
      </c>
      <c r="J1647" s="47" t="str">
        <f t="shared" si="353"/>
        <v/>
      </c>
      <c r="K1647" s="51" t="str">
        <f t="shared" si="354"/>
        <v/>
      </c>
      <c r="L1647" s="52" t="str">
        <f t="shared" si="355"/>
        <v/>
      </c>
      <c r="M1647" s="53" t="str">
        <f t="shared" si="356"/>
        <v/>
      </c>
      <c r="N1647" s="53" t="str">
        <f t="shared" si="357"/>
        <v/>
      </c>
      <c r="O1647" s="53" t="str">
        <f t="shared" si="358"/>
        <v/>
      </c>
      <c r="P1647" s="53" t="str">
        <f t="shared" si="359"/>
        <v/>
      </c>
      <c r="Q1647" s="53" t="str">
        <f t="shared" si="360"/>
        <v/>
      </c>
      <c r="R1647" s="53" t="str">
        <f t="shared" si="361"/>
        <v/>
      </c>
      <c r="S1647" s="53" t="str">
        <f t="shared" si="362"/>
        <v/>
      </c>
      <c r="T1647" s="53" t="str">
        <f t="shared" si="363"/>
        <v/>
      </c>
    </row>
    <row r="1648" spans="1:20">
      <c r="A1648" s="47" t="str">
        <f>IF(archive!E1648="","",archive!E1648)</f>
        <v/>
      </c>
      <c r="B1648" s="48" t="str">
        <f t="shared" si="350"/>
        <v/>
      </c>
      <c r="C1648" s="49" t="str">
        <f>IF(archive!F1648="","",archive!F1648)</f>
        <v/>
      </c>
      <c r="D1648" s="50" t="str">
        <f t="shared" si="351"/>
        <v/>
      </c>
      <c r="E1648" s="50" t="str">
        <f t="shared" si="352"/>
        <v/>
      </c>
      <c r="F1648" s="47" t="str">
        <f>IF(COUNTA(archive!H1648:CI1648)=0,"",COUNTA(archive!H1648:CI1648))</f>
        <v/>
      </c>
      <c r="G1648" s="47" t="str">
        <f>IF(archive!G1648="","",archive!G1648)</f>
        <v/>
      </c>
      <c r="H1648" s="51" t="str">
        <f>IF(archive!CJ1648="","",archive!CJ1648)</f>
        <v/>
      </c>
      <c r="I1648" s="51" t="str">
        <f>IF(archive!CK1648="","",archive!CK1648)</f>
        <v/>
      </c>
      <c r="J1648" s="47" t="str">
        <f t="shared" si="353"/>
        <v/>
      </c>
      <c r="K1648" s="51" t="str">
        <f t="shared" si="354"/>
        <v/>
      </c>
      <c r="L1648" s="52" t="str">
        <f t="shared" si="355"/>
        <v/>
      </c>
      <c r="M1648" s="53" t="str">
        <f t="shared" si="356"/>
        <v/>
      </c>
      <c r="N1648" s="53" t="str">
        <f t="shared" si="357"/>
        <v/>
      </c>
      <c r="O1648" s="53" t="str">
        <f t="shared" si="358"/>
        <v/>
      </c>
      <c r="P1648" s="53" t="str">
        <f t="shared" si="359"/>
        <v/>
      </c>
      <c r="Q1648" s="53" t="str">
        <f t="shared" si="360"/>
        <v/>
      </c>
      <c r="R1648" s="53" t="str">
        <f t="shared" si="361"/>
        <v/>
      </c>
      <c r="S1648" s="53" t="str">
        <f t="shared" si="362"/>
        <v/>
      </c>
      <c r="T1648" s="53" t="str">
        <f t="shared" si="363"/>
        <v/>
      </c>
    </row>
    <row r="1649" spans="1:20">
      <c r="A1649" s="47" t="str">
        <f>IF(archive!E1649="","",archive!E1649)</f>
        <v/>
      </c>
      <c r="B1649" s="48" t="str">
        <f t="shared" si="350"/>
        <v/>
      </c>
      <c r="C1649" s="49" t="str">
        <f>IF(archive!F1649="","",archive!F1649)</f>
        <v/>
      </c>
      <c r="D1649" s="50" t="str">
        <f t="shared" si="351"/>
        <v/>
      </c>
      <c r="E1649" s="50" t="str">
        <f t="shared" si="352"/>
        <v/>
      </c>
      <c r="F1649" s="47" t="str">
        <f>IF(COUNTA(archive!H1649:CI1649)=0,"",COUNTA(archive!H1649:CI1649))</f>
        <v/>
      </c>
      <c r="G1649" s="47" t="str">
        <f>IF(archive!G1649="","",archive!G1649)</f>
        <v/>
      </c>
      <c r="H1649" s="51" t="str">
        <f>IF(archive!CJ1649="","",archive!CJ1649)</f>
        <v/>
      </c>
      <c r="I1649" s="51" t="str">
        <f>IF(archive!CK1649="","",archive!CK1649)</f>
        <v/>
      </c>
      <c r="J1649" s="47" t="str">
        <f t="shared" si="353"/>
        <v/>
      </c>
      <c r="K1649" s="51" t="str">
        <f t="shared" si="354"/>
        <v/>
      </c>
      <c r="L1649" s="52" t="str">
        <f t="shared" si="355"/>
        <v/>
      </c>
      <c r="M1649" s="53" t="str">
        <f t="shared" si="356"/>
        <v/>
      </c>
      <c r="N1649" s="53" t="str">
        <f t="shared" si="357"/>
        <v/>
      </c>
      <c r="O1649" s="53" t="str">
        <f t="shared" si="358"/>
        <v/>
      </c>
      <c r="P1649" s="53" t="str">
        <f t="shared" si="359"/>
        <v/>
      </c>
      <c r="Q1649" s="53" t="str">
        <f t="shared" si="360"/>
        <v/>
      </c>
      <c r="R1649" s="53" t="str">
        <f t="shared" si="361"/>
        <v/>
      </c>
      <c r="S1649" s="53" t="str">
        <f t="shared" si="362"/>
        <v/>
      </c>
      <c r="T1649" s="53" t="str">
        <f t="shared" si="363"/>
        <v/>
      </c>
    </row>
    <row r="1650" spans="1:20">
      <c r="A1650" s="47" t="str">
        <f>IF(archive!E1650="","",archive!E1650)</f>
        <v/>
      </c>
      <c r="B1650" s="48" t="str">
        <f t="shared" si="350"/>
        <v/>
      </c>
      <c r="C1650" s="49" t="str">
        <f>IF(archive!F1650="","",archive!F1650)</f>
        <v/>
      </c>
      <c r="D1650" s="50" t="str">
        <f t="shared" si="351"/>
        <v/>
      </c>
      <c r="E1650" s="50" t="str">
        <f t="shared" si="352"/>
        <v/>
      </c>
      <c r="F1650" s="47" t="str">
        <f>IF(COUNTA(archive!H1650:CI1650)=0,"",COUNTA(archive!H1650:CI1650))</f>
        <v/>
      </c>
      <c r="G1650" s="47" t="str">
        <f>IF(archive!G1650="","",archive!G1650)</f>
        <v/>
      </c>
      <c r="H1650" s="51" t="str">
        <f>IF(archive!CJ1650="","",archive!CJ1650)</f>
        <v/>
      </c>
      <c r="I1650" s="51" t="str">
        <f>IF(archive!CK1650="","",archive!CK1650)</f>
        <v/>
      </c>
      <c r="J1650" s="47" t="str">
        <f t="shared" si="353"/>
        <v/>
      </c>
      <c r="K1650" s="51" t="str">
        <f t="shared" si="354"/>
        <v/>
      </c>
      <c r="L1650" s="52" t="str">
        <f t="shared" si="355"/>
        <v/>
      </c>
      <c r="M1650" s="53" t="str">
        <f t="shared" si="356"/>
        <v/>
      </c>
      <c r="N1650" s="53" t="str">
        <f t="shared" si="357"/>
        <v/>
      </c>
      <c r="O1650" s="53" t="str">
        <f t="shared" si="358"/>
        <v/>
      </c>
      <c r="P1650" s="53" t="str">
        <f t="shared" si="359"/>
        <v/>
      </c>
      <c r="Q1650" s="53" t="str">
        <f t="shared" si="360"/>
        <v/>
      </c>
      <c r="R1650" s="53" t="str">
        <f t="shared" si="361"/>
        <v/>
      </c>
      <c r="S1650" s="53" t="str">
        <f t="shared" si="362"/>
        <v/>
      </c>
      <c r="T1650" s="53" t="str">
        <f t="shared" si="363"/>
        <v/>
      </c>
    </row>
    <row r="1651" spans="1:20">
      <c r="A1651" s="47" t="str">
        <f>IF(archive!E1651="","",archive!E1651)</f>
        <v/>
      </c>
      <c r="B1651" s="48" t="str">
        <f t="shared" si="350"/>
        <v/>
      </c>
      <c r="C1651" s="49" t="str">
        <f>IF(archive!F1651="","",archive!F1651)</f>
        <v/>
      </c>
      <c r="D1651" s="50" t="str">
        <f t="shared" si="351"/>
        <v/>
      </c>
      <c r="E1651" s="50" t="str">
        <f t="shared" si="352"/>
        <v/>
      </c>
      <c r="F1651" s="47" t="str">
        <f>IF(COUNTA(archive!H1651:CI1651)=0,"",COUNTA(archive!H1651:CI1651))</f>
        <v/>
      </c>
      <c r="G1651" s="47" t="str">
        <f>IF(archive!G1651="","",archive!G1651)</f>
        <v/>
      </c>
      <c r="H1651" s="51" t="str">
        <f>IF(archive!CJ1651="","",archive!CJ1651)</f>
        <v/>
      </c>
      <c r="I1651" s="51" t="str">
        <f>IF(archive!CK1651="","",archive!CK1651)</f>
        <v/>
      </c>
      <c r="J1651" s="47" t="str">
        <f t="shared" si="353"/>
        <v/>
      </c>
      <c r="K1651" s="51" t="str">
        <f t="shared" si="354"/>
        <v/>
      </c>
      <c r="L1651" s="52" t="str">
        <f t="shared" si="355"/>
        <v/>
      </c>
      <c r="M1651" s="53" t="str">
        <f t="shared" si="356"/>
        <v/>
      </c>
      <c r="N1651" s="53" t="str">
        <f t="shared" si="357"/>
        <v/>
      </c>
      <c r="O1651" s="53" t="str">
        <f t="shared" si="358"/>
        <v/>
      </c>
      <c r="P1651" s="53" t="str">
        <f t="shared" si="359"/>
        <v/>
      </c>
      <c r="Q1651" s="53" t="str">
        <f t="shared" si="360"/>
        <v/>
      </c>
      <c r="R1651" s="53" t="str">
        <f t="shared" si="361"/>
        <v/>
      </c>
      <c r="S1651" s="53" t="str">
        <f t="shared" si="362"/>
        <v/>
      </c>
      <c r="T1651" s="53" t="str">
        <f t="shared" si="363"/>
        <v/>
      </c>
    </row>
    <row r="1652" spans="1:20">
      <c r="A1652" s="47" t="str">
        <f>IF(archive!E1652="","",archive!E1652)</f>
        <v/>
      </c>
      <c r="B1652" s="48" t="str">
        <f t="shared" si="350"/>
        <v/>
      </c>
      <c r="C1652" s="49" t="str">
        <f>IF(archive!F1652="","",archive!F1652)</f>
        <v/>
      </c>
      <c r="D1652" s="50" t="str">
        <f t="shared" si="351"/>
        <v/>
      </c>
      <c r="E1652" s="50" t="str">
        <f t="shared" si="352"/>
        <v/>
      </c>
      <c r="F1652" s="47" t="str">
        <f>IF(COUNTA(archive!H1652:CI1652)=0,"",COUNTA(archive!H1652:CI1652))</f>
        <v/>
      </c>
      <c r="G1652" s="47" t="str">
        <f>IF(archive!G1652="","",archive!G1652)</f>
        <v/>
      </c>
      <c r="H1652" s="51" t="str">
        <f>IF(archive!CJ1652="","",archive!CJ1652)</f>
        <v/>
      </c>
      <c r="I1652" s="51" t="str">
        <f>IF(archive!CK1652="","",archive!CK1652)</f>
        <v/>
      </c>
      <c r="J1652" s="47" t="str">
        <f t="shared" si="353"/>
        <v/>
      </c>
      <c r="K1652" s="51" t="str">
        <f t="shared" si="354"/>
        <v/>
      </c>
      <c r="L1652" s="52" t="str">
        <f t="shared" si="355"/>
        <v/>
      </c>
      <c r="M1652" s="53" t="str">
        <f t="shared" si="356"/>
        <v/>
      </c>
      <c r="N1652" s="53" t="str">
        <f t="shared" si="357"/>
        <v/>
      </c>
      <c r="O1652" s="53" t="str">
        <f t="shared" si="358"/>
        <v/>
      </c>
      <c r="P1652" s="53" t="str">
        <f t="shared" si="359"/>
        <v/>
      </c>
      <c r="Q1652" s="53" t="str">
        <f t="shared" si="360"/>
        <v/>
      </c>
      <c r="R1652" s="53" t="str">
        <f t="shared" si="361"/>
        <v/>
      </c>
      <c r="S1652" s="53" t="str">
        <f t="shared" si="362"/>
        <v/>
      </c>
      <c r="T1652" s="53" t="str">
        <f t="shared" si="363"/>
        <v/>
      </c>
    </row>
    <row r="1653" spans="1:20">
      <c r="A1653" s="47" t="str">
        <f>IF(archive!E1653="","",archive!E1653)</f>
        <v/>
      </c>
      <c r="B1653" s="48" t="str">
        <f t="shared" si="350"/>
        <v/>
      </c>
      <c r="C1653" s="49" t="str">
        <f>IF(archive!F1653="","",archive!F1653)</f>
        <v/>
      </c>
      <c r="D1653" s="50" t="str">
        <f t="shared" si="351"/>
        <v/>
      </c>
      <c r="E1653" s="50" t="str">
        <f t="shared" si="352"/>
        <v/>
      </c>
      <c r="F1653" s="47" t="str">
        <f>IF(COUNTA(archive!H1653:CI1653)=0,"",COUNTA(archive!H1653:CI1653))</f>
        <v/>
      </c>
      <c r="G1653" s="47" t="str">
        <f>IF(archive!G1653="","",archive!G1653)</f>
        <v/>
      </c>
      <c r="H1653" s="51" t="str">
        <f>IF(archive!CJ1653="","",archive!CJ1653)</f>
        <v/>
      </c>
      <c r="I1653" s="51" t="str">
        <f>IF(archive!CK1653="","",archive!CK1653)</f>
        <v/>
      </c>
      <c r="J1653" s="47" t="str">
        <f t="shared" si="353"/>
        <v/>
      </c>
      <c r="K1653" s="51" t="str">
        <f t="shared" si="354"/>
        <v/>
      </c>
      <c r="L1653" s="52" t="str">
        <f t="shared" si="355"/>
        <v/>
      </c>
      <c r="M1653" s="53" t="str">
        <f t="shared" si="356"/>
        <v/>
      </c>
      <c r="N1653" s="53" t="str">
        <f t="shared" si="357"/>
        <v/>
      </c>
      <c r="O1653" s="53" t="str">
        <f t="shared" si="358"/>
        <v/>
      </c>
      <c r="P1653" s="53" t="str">
        <f t="shared" si="359"/>
        <v/>
      </c>
      <c r="Q1653" s="53" t="str">
        <f t="shared" si="360"/>
        <v/>
      </c>
      <c r="R1653" s="53" t="str">
        <f t="shared" si="361"/>
        <v/>
      </c>
      <c r="S1653" s="53" t="str">
        <f t="shared" si="362"/>
        <v/>
      </c>
      <c r="T1653" s="53" t="str">
        <f t="shared" si="363"/>
        <v/>
      </c>
    </row>
    <row r="1654" spans="1:20">
      <c r="A1654" s="47" t="str">
        <f>IF(archive!E1654="","",archive!E1654)</f>
        <v/>
      </c>
      <c r="B1654" s="48" t="str">
        <f t="shared" si="350"/>
        <v/>
      </c>
      <c r="C1654" s="49" t="str">
        <f>IF(archive!F1654="","",archive!F1654)</f>
        <v/>
      </c>
      <c r="D1654" s="50" t="str">
        <f t="shared" si="351"/>
        <v/>
      </c>
      <c r="E1654" s="50" t="str">
        <f t="shared" si="352"/>
        <v/>
      </c>
      <c r="F1654" s="47" t="str">
        <f>IF(COUNTA(archive!H1654:CI1654)=0,"",COUNTA(archive!H1654:CI1654))</f>
        <v/>
      </c>
      <c r="G1654" s="47" t="str">
        <f>IF(archive!G1654="","",archive!G1654)</f>
        <v/>
      </c>
      <c r="H1654" s="51" t="str">
        <f>IF(archive!CJ1654="","",archive!CJ1654)</f>
        <v/>
      </c>
      <c r="I1654" s="51" t="str">
        <f>IF(archive!CK1654="","",archive!CK1654)</f>
        <v/>
      </c>
      <c r="J1654" s="47" t="str">
        <f t="shared" si="353"/>
        <v/>
      </c>
      <c r="K1654" s="51" t="str">
        <f t="shared" si="354"/>
        <v/>
      </c>
      <c r="L1654" s="52" t="str">
        <f t="shared" si="355"/>
        <v/>
      </c>
      <c r="M1654" s="53" t="str">
        <f t="shared" si="356"/>
        <v/>
      </c>
      <c r="N1654" s="53" t="str">
        <f t="shared" si="357"/>
        <v/>
      </c>
      <c r="O1654" s="53" t="str">
        <f t="shared" si="358"/>
        <v/>
      </c>
      <c r="P1654" s="53" t="str">
        <f t="shared" si="359"/>
        <v/>
      </c>
      <c r="Q1654" s="53" t="str">
        <f t="shared" si="360"/>
        <v/>
      </c>
      <c r="R1654" s="53" t="str">
        <f t="shared" si="361"/>
        <v/>
      </c>
      <c r="S1654" s="53" t="str">
        <f t="shared" si="362"/>
        <v/>
      </c>
      <c r="T1654" s="53" t="str">
        <f t="shared" si="363"/>
        <v/>
      </c>
    </row>
    <row r="1655" spans="1:20">
      <c r="A1655" s="47" t="str">
        <f>IF(archive!E1655="","",archive!E1655)</f>
        <v/>
      </c>
      <c r="B1655" s="48" t="str">
        <f t="shared" si="350"/>
        <v/>
      </c>
      <c r="C1655" s="49" t="str">
        <f>IF(archive!F1655="","",archive!F1655)</f>
        <v/>
      </c>
      <c r="D1655" s="50" t="str">
        <f t="shared" si="351"/>
        <v/>
      </c>
      <c r="E1655" s="50" t="str">
        <f t="shared" si="352"/>
        <v/>
      </c>
      <c r="F1655" s="47" t="str">
        <f>IF(COUNTA(archive!H1655:CI1655)=0,"",COUNTA(archive!H1655:CI1655))</f>
        <v/>
      </c>
      <c r="G1655" s="47" t="str">
        <f>IF(archive!G1655="","",archive!G1655)</f>
        <v/>
      </c>
      <c r="H1655" s="51" t="str">
        <f>IF(archive!CJ1655="","",archive!CJ1655)</f>
        <v/>
      </c>
      <c r="I1655" s="51" t="str">
        <f>IF(archive!CK1655="","",archive!CK1655)</f>
        <v/>
      </c>
      <c r="J1655" s="47" t="str">
        <f t="shared" si="353"/>
        <v/>
      </c>
      <c r="K1655" s="51" t="str">
        <f t="shared" si="354"/>
        <v/>
      </c>
      <c r="L1655" s="52" t="str">
        <f t="shared" si="355"/>
        <v/>
      </c>
      <c r="M1655" s="53" t="str">
        <f t="shared" si="356"/>
        <v/>
      </c>
      <c r="N1655" s="53" t="str">
        <f t="shared" si="357"/>
        <v/>
      </c>
      <c r="O1655" s="53" t="str">
        <f t="shared" si="358"/>
        <v/>
      </c>
      <c r="P1655" s="53" t="str">
        <f t="shared" si="359"/>
        <v/>
      </c>
      <c r="Q1655" s="53" t="str">
        <f t="shared" si="360"/>
        <v/>
      </c>
      <c r="R1655" s="53" t="str">
        <f t="shared" si="361"/>
        <v/>
      </c>
      <c r="S1655" s="53" t="str">
        <f t="shared" si="362"/>
        <v/>
      </c>
      <c r="T1655" s="53" t="str">
        <f t="shared" si="363"/>
        <v/>
      </c>
    </row>
    <row r="1656" spans="1:20">
      <c r="A1656" s="47" t="str">
        <f>IF(archive!E1656="","",archive!E1656)</f>
        <v/>
      </c>
      <c r="B1656" s="48" t="str">
        <f t="shared" si="350"/>
        <v/>
      </c>
      <c r="C1656" s="49" t="str">
        <f>IF(archive!F1656="","",archive!F1656)</f>
        <v/>
      </c>
      <c r="D1656" s="50" t="str">
        <f t="shared" si="351"/>
        <v/>
      </c>
      <c r="E1656" s="50" t="str">
        <f t="shared" si="352"/>
        <v/>
      </c>
      <c r="F1656" s="47" t="str">
        <f>IF(COUNTA(archive!H1656:CI1656)=0,"",COUNTA(archive!H1656:CI1656))</f>
        <v/>
      </c>
      <c r="G1656" s="47" t="str">
        <f>IF(archive!G1656="","",archive!G1656)</f>
        <v/>
      </c>
      <c r="H1656" s="51" t="str">
        <f>IF(archive!CJ1656="","",archive!CJ1656)</f>
        <v/>
      </c>
      <c r="I1656" s="51" t="str">
        <f>IF(archive!CK1656="","",archive!CK1656)</f>
        <v/>
      </c>
      <c r="J1656" s="47" t="str">
        <f t="shared" si="353"/>
        <v/>
      </c>
      <c r="K1656" s="51" t="str">
        <f t="shared" si="354"/>
        <v/>
      </c>
      <c r="L1656" s="52" t="str">
        <f t="shared" si="355"/>
        <v/>
      </c>
      <c r="M1656" s="53" t="str">
        <f t="shared" si="356"/>
        <v/>
      </c>
      <c r="N1656" s="53" t="str">
        <f t="shared" si="357"/>
        <v/>
      </c>
      <c r="O1656" s="53" t="str">
        <f t="shared" si="358"/>
        <v/>
      </c>
      <c r="P1656" s="53" t="str">
        <f t="shared" si="359"/>
        <v/>
      </c>
      <c r="Q1656" s="53" t="str">
        <f t="shared" si="360"/>
        <v/>
      </c>
      <c r="R1656" s="53" t="str">
        <f t="shared" si="361"/>
        <v/>
      </c>
      <c r="S1656" s="53" t="str">
        <f t="shared" si="362"/>
        <v/>
      </c>
      <c r="T1656" s="53" t="str">
        <f t="shared" si="363"/>
        <v/>
      </c>
    </row>
    <row r="1657" spans="1:20">
      <c r="A1657" s="47" t="str">
        <f>IF(archive!E1657="","",archive!E1657)</f>
        <v/>
      </c>
      <c r="B1657" s="48" t="str">
        <f t="shared" si="350"/>
        <v/>
      </c>
      <c r="C1657" s="49" t="str">
        <f>IF(archive!F1657="","",archive!F1657)</f>
        <v/>
      </c>
      <c r="D1657" s="50" t="str">
        <f t="shared" si="351"/>
        <v/>
      </c>
      <c r="E1657" s="50" t="str">
        <f t="shared" si="352"/>
        <v/>
      </c>
      <c r="F1657" s="47" t="str">
        <f>IF(COUNTA(archive!H1657:CI1657)=0,"",COUNTA(archive!H1657:CI1657))</f>
        <v/>
      </c>
      <c r="G1657" s="47" t="str">
        <f>IF(archive!G1657="","",archive!G1657)</f>
        <v/>
      </c>
      <c r="H1657" s="51" t="str">
        <f>IF(archive!CJ1657="","",archive!CJ1657)</f>
        <v/>
      </c>
      <c r="I1657" s="51" t="str">
        <f>IF(archive!CK1657="","",archive!CK1657)</f>
        <v/>
      </c>
      <c r="J1657" s="47" t="str">
        <f t="shared" si="353"/>
        <v/>
      </c>
      <c r="K1657" s="51" t="str">
        <f t="shared" si="354"/>
        <v/>
      </c>
      <c r="L1657" s="52" t="str">
        <f t="shared" si="355"/>
        <v/>
      </c>
      <c r="M1657" s="53" t="str">
        <f t="shared" si="356"/>
        <v/>
      </c>
      <c r="N1657" s="53" t="str">
        <f t="shared" si="357"/>
        <v/>
      </c>
      <c r="O1657" s="53" t="str">
        <f t="shared" si="358"/>
        <v/>
      </c>
      <c r="P1657" s="53" t="str">
        <f t="shared" si="359"/>
        <v/>
      </c>
      <c r="Q1657" s="53" t="str">
        <f t="shared" si="360"/>
        <v/>
      </c>
      <c r="R1657" s="53" t="str">
        <f t="shared" si="361"/>
        <v/>
      </c>
      <c r="S1657" s="53" t="str">
        <f t="shared" si="362"/>
        <v/>
      </c>
      <c r="T1657" s="53" t="str">
        <f t="shared" si="363"/>
        <v/>
      </c>
    </row>
    <row r="1658" spans="1:20">
      <c r="A1658" s="47" t="str">
        <f>IF(archive!E1658="","",archive!E1658)</f>
        <v/>
      </c>
      <c r="B1658" s="48" t="str">
        <f t="shared" si="350"/>
        <v/>
      </c>
      <c r="C1658" s="49" t="str">
        <f>IF(archive!F1658="","",archive!F1658)</f>
        <v/>
      </c>
      <c r="D1658" s="50" t="str">
        <f t="shared" si="351"/>
        <v/>
      </c>
      <c r="E1658" s="50" t="str">
        <f t="shared" si="352"/>
        <v/>
      </c>
      <c r="F1658" s="47" t="str">
        <f>IF(COUNTA(archive!H1658:CI1658)=0,"",COUNTA(archive!H1658:CI1658))</f>
        <v/>
      </c>
      <c r="G1658" s="47" t="str">
        <f>IF(archive!G1658="","",archive!G1658)</f>
        <v/>
      </c>
      <c r="H1658" s="51" t="str">
        <f>IF(archive!CJ1658="","",archive!CJ1658)</f>
        <v/>
      </c>
      <c r="I1658" s="51" t="str">
        <f>IF(archive!CK1658="","",archive!CK1658)</f>
        <v/>
      </c>
      <c r="J1658" s="47" t="str">
        <f t="shared" si="353"/>
        <v/>
      </c>
      <c r="K1658" s="51" t="str">
        <f t="shared" si="354"/>
        <v/>
      </c>
      <c r="L1658" s="52" t="str">
        <f t="shared" si="355"/>
        <v/>
      </c>
      <c r="M1658" s="53" t="str">
        <f t="shared" si="356"/>
        <v/>
      </c>
      <c r="N1658" s="53" t="str">
        <f t="shared" si="357"/>
        <v/>
      </c>
      <c r="O1658" s="53" t="str">
        <f t="shared" si="358"/>
        <v/>
      </c>
      <c r="P1658" s="53" t="str">
        <f t="shared" si="359"/>
        <v/>
      </c>
      <c r="Q1658" s="53" t="str">
        <f t="shared" si="360"/>
        <v/>
      </c>
      <c r="R1658" s="53" t="str">
        <f t="shared" si="361"/>
        <v/>
      </c>
      <c r="S1658" s="53" t="str">
        <f t="shared" si="362"/>
        <v/>
      </c>
      <c r="T1658" s="53" t="str">
        <f t="shared" si="363"/>
        <v/>
      </c>
    </row>
    <row r="1659" spans="1:20">
      <c r="A1659" s="47" t="str">
        <f>IF(archive!E1659="","",archive!E1659)</f>
        <v/>
      </c>
      <c r="B1659" s="48" t="str">
        <f t="shared" si="350"/>
        <v/>
      </c>
      <c r="C1659" s="49" t="str">
        <f>IF(archive!F1659="","",archive!F1659)</f>
        <v/>
      </c>
      <c r="D1659" s="50" t="str">
        <f t="shared" si="351"/>
        <v/>
      </c>
      <c r="E1659" s="50" t="str">
        <f t="shared" si="352"/>
        <v/>
      </c>
      <c r="F1659" s="47" t="str">
        <f>IF(COUNTA(archive!H1659:CI1659)=0,"",COUNTA(archive!H1659:CI1659))</f>
        <v/>
      </c>
      <c r="G1659" s="47" t="str">
        <f>IF(archive!G1659="","",archive!G1659)</f>
        <v/>
      </c>
      <c r="H1659" s="51" t="str">
        <f>IF(archive!CJ1659="","",archive!CJ1659)</f>
        <v/>
      </c>
      <c r="I1659" s="51" t="str">
        <f>IF(archive!CK1659="","",archive!CK1659)</f>
        <v/>
      </c>
      <c r="J1659" s="47" t="str">
        <f t="shared" si="353"/>
        <v/>
      </c>
      <c r="K1659" s="51" t="str">
        <f t="shared" si="354"/>
        <v/>
      </c>
      <c r="L1659" s="52" t="str">
        <f t="shared" si="355"/>
        <v/>
      </c>
      <c r="M1659" s="53" t="str">
        <f t="shared" si="356"/>
        <v/>
      </c>
      <c r="N1659" s="53" t="str">
        <f t="shared" si="357"/>
        <v/>
      </c>
      <c r="O1659" s="53" t="str">
        <f t="shared" si="358"/>
        <v/>
      </c>
      <c r="P1659" s="53" t="str">
        <f t="shared" si="359"/>
        <v/>
      </c>
      <c r="Q1659" s="53" t="str">
        <f t="shared" si="360"/>
        <v/>
      </c>
      <c r="R1659" s="53" t="str">
        <f t="shared" si="361"/>
        <v/>
      </c>
      <c r="S1659" s="53" t="str">
        <f t="shared" si="362"/>
        <v/>
      </c>
      <c r="T1659" s="53" t="str">
        <f t="shared" si="363"/>
        <v/>
      </c>
    </row>
    <row r="1660" spans="1:20">
      <c r="A1660" s="47" t="str">
        <f>IF(archive!E1660="","",archive!E1660)</f>
        <v/>
      </c>
      <c r="B1660" s="48" t="str">
        <f t="shared" si="350"/>
        <v/>
      </c>
      <c r="C1660" s="49" t="str">
        <f>IF(archive!F1660="","",archive!F1660)</f>
        <v/>
      </c>
      <c r="D1660" s="50" t="str">
        <f t="shared" si="351"/>
        <v/>
      </c>
      <c r="E1660" s="50" t="str">
        <f t="shared" si="352"/>
        <v/>
      </c>
      <c r="F1660" s="47" t="str">
        <f>IF(COUNTA(archive!H1660:CI1660)=0,"",COUNTA(archive!H1660:CI1660))</f>
        <v/>
      </c>
      <c r="G1660" s="47" t="str">
        <f>IF(archive!G1660="","",archive!G1660)</f>
        <v/>
      </c>
      <c r="H1660" s="51" t="str">
        <f>IF(archive!CJ1660="","",archive!CJ1660)</f>
        <v/>
      </c>
      <c r="I1660" s="51" t="str">
        <f>IF(archive!CK1660="","",archive!CK1660)</f>
        <v/>
      </c>
      <c r="J1660" s="47" t="str">
        <f t="shared" si="353"/>
        <v/>
      </c>
      <c r="K1660" s="51" t="str">
        <f t="shared" si="354"/>
        <v/>
      </c>
      <c r="L1660" s="52" t="str">
        <f t="shared" si="355"/>
        <v/>
      </c>
      <c r="M1660" s="53" t="str">
        <f t="shared" si="356"/>
        <v/>
      </c>
      <c r="N1660" s="53" t="str">
        <f t="shared" si="357"/>
        <v/>
      </c>
      <c r="O1660" s="53" t="str">
        <f t="shared" si="358"/>
        <v/>
      </c>
      <c r="P1660" s="53" t="str">
        <f t="shared" si="359"/>
        <v/>
      </c>
      <c r="Q1660" s="53" t="str">
        <f t="shared" si="360"/>
        <v/>
      </c>
      <c r="R1660" s="53" t="str">
        <f t="shared" si="361"/>
        <v/>
      </c>
      <c r="S1660" s="53" t="str">
        <f t="shared" si="362"/>
        <v/>
      </c>
      <c r="T1660" s="53" t="str">
        <f t="shared" si="363"/>
        <v/>
      </c>
    </row>
    <row r="1661" spans="1:20">
      <c r="A1661" s="47" t="str">
        <f>IF(archive!E1661="","",archive!E1661)</f>
        <v/>
      </c>
      <c r="B1661" s="48" t="str">
        <f t="shared" si="350"/>
        <v/>
      </c>
      <c r="C1661" s="49" t="str">
        <f>IF(archive!F1661="","",archive!F1661)</f>
        <v/>
      </c>
      <c r="D1661" s="50" t="str">
        <f t="shared" si="351"/>
        <v/>
      </c>
      <c r="E1661" s="50" t="str">
        <f t="shared" si="352"/>
        <v/>
      </c>
      <c r="F1661" s="47" t="str">
        <f>IF(COUNTA(archive!H1661:CI1661)=0,"",COUNTA(archive!H1661:CI1661))</f>
        <v/>
      </c>
      <c r="G1661" s="47" t="str">
        <f>IF(archive!G1661="","",archive!G1661)</f>
        <v/>
      </c>
      <c r="H1661" s="51" t="str">
        <f>IF(archive!CJ1661="","",archive!CJ1661)</f>
        <v/>
      </c>
      <c r="I1661" s="51" t="str">
        <f>IF(archive!CK1661="","",archive!CK1661)</f>
        <v/>
      </c>
      <c r="J1661" s="47" t="str">
        <f t="shared" si="353"/>
        <v/>
      </c>
      <c r="K1661" s="51" t="str">
        <f t="shared" si="354"/>
        <v/>
      </c>
      <c r="L1661" s="52" t="str">
        <f t="shared" si="355"/>
        <v/>
      </c>
      <c r="M1661" s="53" t="str">
        <f t="shared" si="356"/>
        <v/>
      </c>
      <c r="N1661" s="53" t="str">
        <f t="shared" si="357"/>
        <v/>
      </c>
      <c r="O1661" s="53" t="str">
        <f t="shared" si="358"/>
        <v/>
      </c>
      <c r="P1661" s="53" t="str">
        <f t="shared" si="359"/>
        <v/>
      </c>
      <c r="Q1661" s="53" t="str">
        <f t="shared" si="360"/>
        <v/>
      </c>
      <c r="R1661" s="53" t="str">
        <f t="shared" si="361"/>
        <v/>
      </c>
      <c r="S1661" s="53" t="str">
        <f t="shared" si="362"/>
        <v/>
      </c>
      <c r="T1661" s="53" t="str">
        <f t="shared" si="363"/>
        <v/>
      </c>
    </row>
    <row r="1662" spans="1:20">
      <c r="A1662" s="47" t="str">
        <f>IF(archive!E1662="","",archive!E1662)</f>
        <v/>
      </c>
      <c r="B1662" s="48" t="str">
        <f t="shared" si="350"/>
        <v/>
      </c>
      <c r="C1662" s="49" t="str">
        <f>IF(archive!F1662="","",archive!F1662)</f>
        <v/>
      </c>
      <c r="D1662" s="50" t="str">
        <f t="shared" si="351"/>
        <v/>
      </c>
      <c r="E1662" s="50" t="str">
        <f t="shared" si="352"/>
        <v/>
      </c>
      <c r="F1662" s="47" t="str">
        <f>IF(COUNTA(archive!H1662:CI1662)=0,"",COUNTA(archive!H1662:CI1662))</f>
        <v/>
      </c>
      <c r="G1662" s="47" t="str">
        <f>IF(archive!G1662="","",archive!G1662)</f>
        <v/>
      </c>
      <c r="H1662" s="51" t="str">
        <f>IF(archive!CJ1662="","",archive!CJ1662)</f>
        <v/>
      </c>
      <c r="I1662" s="51" t="str">
        <f>IF(archive!CK1662="","",archive!CK1662)</f>
        <v/>
      </c>
      <c r="J1662" s="47" t="str">
        <f t="shared" si="353"/>
        <v/>
      </c>
      <c r="K1662" s="51" t="str">
        <f t="shared" si="354"/>
        <v/>
      </c>
      <c r="L1662" s="52" t="str">
        <f t="shared" si="355"/>
        <v/>
      </c>
      <c r="M1662" s="53" t="str">
        <f t="shared" si="356"/>
        <v/>
      </c>
      <c r="N1662" s="53" t="str">
        <f t="shared" si="357"/>
        <v/>
      </c>
      <c r="O1662" s="53" t="str">
        <f t="shared" si="358"/>
        <v/>
      </c>
      <c r="P1662" s="53" t="str">
        <f t="shared" si="359"/>
        <v/>
      </c>
      <c r="Q1662" s="53" t="str">
        <f t="shared" si="360"/>
        <v/>
      </c>
      <c r="R1662" s="53" t="str">
        <f t="shared" si="361"/>
        <v/>
      </c>
      <c r="S1662" s="53" t="str">
        <f t="shared" si="362"/>
        <v/>
      </c>
      <c r="T1662" s="53" t="str">
        <f t="shared" si="363"/>
        <v/>
      </c>
    </row>
    <row r="1663" spans="1:20">
      <c r="A1663" s="47" t="str">
        <f>IF(archive!E1663="","",archive!E1663)</f>
        <v/>
      </c>
      <c r="B1663" s="48" t="str">
        <f t="shared" si="350"/>
        <v/>
      </c>
      <c r="C1663" s="49" t="str">
        <f>IF(archive!F1663="","",archive!F1663)</f>
        <v/>
      </c>
      <c r="D1663" s="50" t="str">
        <f t="shared" si="351"/>
        <v/>
      </c>
      <c r="E1663" s="50" t="str">
        <f t="shared" si="352"/>
        <v/>
      </c>
      <c r="F1663" s="47" t="str">
        <f>IF(COUNTA(archive!H1663:CI1663)=0,"",COUNTA(archive!H1663:CI1663))</f>
        <v/>
      </c>
      <c r="G1663" s="47" t="str">
        <f>IF(archive!G1663="","",archive!G1663)</f>
        <v/>
      </c>
      <c r="H1663" s="51" t="str">
        <f>IF(archive!CJ1663="","",archive!CJ1663)</f>
        <v/>
      </c>
      <c r="I1663" s="51" t="str">
        <f>IF(archive!CK1663="","",archive!CK1663)</f>
        <v/>
      </c>
      <c r="J1663" s="47" t="str">
        <f t="shared" si="353"/>
        <v/>
      </c>
      <c r="K1663" s="51" t="str">
        <f t="shared" si="354"/>
        <v/>
      </c>
      <c r="L1663" s="52" t="str">
        <f t="shared" si="355"/>
        <v/>
      </c>
      <c r="M1663" s="53" t="str">
        <f t="shared" si="356"/>
        <v/>
      </c>
      <c r="N1663" s="53" t="str">
        <f t="shared" si="357"/>
        <v/>
      </c>
      <c r="O1663" s="53" t="str">
        <f t="shared" si="358"/>
        <v/>
      </c>
      <c r="P1663" s="53" t="str">
        <f t="shared" si="359"/>
        <v/>
      </c>
      <c r="Q1663" s="53" t="str">
        <f t="shared" si="360"/>
        <v/>
      </c>
      <c r="R1663" s="53" t="str">
        <f t="shared" si="361"/>
        <v/>
      </c>
      <c r="S1663" s="53" t="str">
        <f t="shared" si="362"/>
        <v/>
      </c>
      <c r="T1663" s="53" t="str">
        <f t="shared" si="363"/>
        <v/>
      </c>
    </row>
    <row r="1664" spans="1:20">
      <c r="A1664" s="47" t="str">
        <f>IF(archive!E1664="","",archive!E1664)</f>
        <v/>
      </c>
      <c r="B1664" s="48" t="str">
        <f t="shared" si="350"/>
        <v/>
      </c>
      <c r="C1664" s="49" t="str">
        <f>IF(archive!F1664="","",archive!F1664)</f>
        <v/>
      </c>
      <c r="D1664" s="50" t="str">
        <f t="shared" si="351"/>
        <v/>
      </c>
      <c r="E1664" s="50" t="str">
        <f t="shared" si="352"/>
        <v/>
      </c>
      <c r="F1664" s="47" t="str">
        <f>IF(COUNTA(archive!H1664:CI1664)=0,"",COUNTA(archive!H1664:CI1664))</f>
        <v/>
      </c>
      <c r="G1664" s="47" t="str">
        <f>IF(archive!G1664="","",archive!G1664)</f>
        <v/>
      </c>
      <c r="H1664" s="51" t="str">
        <f>IF(archive!CJ1664="","",archive!CJ1664)</f>
        <v/>
      </c>
      <c r="I1664" s="51" t="str">
        <f>IF(archive!CK1664="","",archive!CK1664)</f>
        <v/>
      </c>
      <c r="J1664" s="47" t="str">
        <f t="shared" si="353"/>
        <v/>
      </c>
      <c r="K1664" s="51" t="str">
        <f t="shared" si="354"/>
        <v/>
      </c>
      <c r="L1664" s="52" t="str">
        <f t="shared" si="355"/>
        <v/>
      </c>
      <c r="M1664" s="53" t="str">
        <f t="shared" si="356"/>
        <v/>
      </c>
      <c r="N1664" s="53" t="str">
        <f t="shared" si="357"/>
        <v/>
      </c>
      <c r="O1664" s="53" t="str">
        <f t="shared" si="358"/>
        <v/>
      </c>
      <c r="P1664" s="53" t="str">
        <f t="shared" si="359"/>
        <v/>
      </c>
      <c r="Q1664" s="53" t="str">
        <f t="shared" si="360"/>
        <v/>
      </c>
      <c r="R1664" s="53" t="str">
        <f t="shared" si="361"/>
        <v/>
      </c>
      <c r="S1664" s="53" t="str">
        <f t="shared" si="362"/>
        <v/>
      </c>
      <c r="T1664" s="53" t="str">
        <f t="shared" si="363"/>
        <v/>
      </c>
    </row>
    <row r="1665" spans="1:20">
      <c r="A1665" s="47" t="str">
        <f>IF(archive!E1665="","",archive!E1665)</f>
        <v/>
      </c>
      <c r="B1665" s="48" t="str">
        <f t="shared" si="350"/>
        <v/>
      </c>
      <c r="C1665" s="49" t="str">
        <f>IF(archive!F1665="","",archive!F1665)</f>
        <v/>
      </c>
      <c r="D1665" s="50" t="str">
        <f t="shared" si="351"/>
        <v/>
      </c>
      <c r="E1665" s="50" t="str">
        <f t="shared" si="352"/>
        <v/>
      </c>
      <c r="F1665" s="47" t="str">
        <f>IF(COUNTA(archive!H1665:CI1665)=0,"",COUNTA(archive!H1665:CI1665))</f>
        <v/>
      </c>
      <c r="G1665" s="47" t="str">
        <f>IF(archive!G1665="","",archive!G1665)</f>
        <v/>
      </c>
      <c r="H1665" s="51" t="str">
        <f>IF(archive!CJ1665="","",archive!CJ1665)</f>
        <v/>
      </c>
      <c r="I1665" s="51" t="str">
        <f>IF(archive!CK1665="","",archive!CK1665)</f>
        <v/>
      </c>
      <c r="J1665" s="47" t="str">
        <f t="shared" si="353"/>
        <v/>
      </c>
      <c r="K1665" s="51" t="str">
        <f t="shared" si="354"/>
        <v/>
      </c>
      <c r="L1665" s="52" t="str">
        <f t="shared" si="355"/>
        <v/>
      </c>
      <c r="M1665" s="53" t="str">
        <f t="shared" si="356"/>
        <v/>
      </c>
      <c r="N1665" s="53" t="str">
        <f t="shared" si="357"/>
        <v/>
      </c>
      <c r="O1665" s="53" t="str">
        <f t="shared" si="358"/>
        <v/>
      </c>
      <c r="P1665" s="53" t="str">
        <f t="shared" si="359"/>
        <v/>
      </c>
      <c r="Q1665" s="53" t="str">
        <f t="shared" si="360"/>
        <v/>
      </c>
      <c r="R1665" s="53" t="str">
        <f t="shared" si="361"/>
        <v/>
      </c>
      <c r="S1665" s="53" t="str">
        <f t="shared" si="362"/>
        <v/>
      </c>
      <c r="T1665" s="53" t="str">
        <f t="shared" si="363"/>
        <v/>
      </c>
    </row>
    <row r="1666" spans="1:20">
      <c r="A1666" s="47" t="str">
        <f>IF(archive!E1666="","",archive!E1666)</f>
        <v/>
      </c>
      <c r="B1666" s="48" t="str">
        <f t="shared" si="350"/>
        <v/>
      </c>
      <c r="C1666" s="49" t="str">
        <f>IF(archive!F1666="","",archive!F1666)</f>
        <v/>
      </c>
      <c r="D1666" s="50" t="str">
        <f t="shared" si="351"/>
        <v/>
      </c>
      <c r="E1666" s="50" t="str">
        <f t="shared" si="352"/>
        <v/>
      </c>
      <c r="F1666" s="47" t="str">
        <f>IF(COUNTA(archive!H1666:CI1666)=0,"",COUNTA(archive!H1666:CI1666))</f>
        <v/>
      </c>
      <c r="G1666" s="47" t="str">
        <f>IF(archive!G1666="","",archive!G1666)</f>
        <v/>
      </c>
      <c r="H1666" s="51" t="str">
        <f>IF(archive!CJ1666="","",archive!CJ1666)</f>
        <v/>
      </c>
      <c r="I1666" s="51" t="str">
        <f>IF(archive!CK1666="","",archive!CK1666)</f>
        <v/>
      </c>
      <c r="J1666" s="47" t="str">
        <f t="shared" si="353"/>
        <v/>
      </c>
      <c r="K1666" s="51" t="str">
        <f t="shared" si="354"/>
        <v/>
      </c>
      <c r="L1666" s="52" t="str">
        <f t="shared" si="355"/>
        <v/>
      </c>
      <c r="M1666" s="53" t="str">
        <f t="shared" si="356"/>
        <v/>
      </c>
      <c r="N1666" s="53" t="str">
        <f t="shared" si="357"/>
        <v/>
      </c>
      <c r="O1666" s="53" t="str">
        <f t="shared" si="358"/>
        <v/>
      </c>
      <c r="P1666" s="53" t="str">
        <f t="shared" si="359"/>
        <v/>
      </c>
      <c r="Q1666" s="53" t="str">
        <f t="shared" si="360"/>
        <v/>
      </c>
      <c r="R1666" s="53" t="str">
        <f t="shared" si="361"/>
        <v/>
      </c>
      <c r="S1666" s="53" t="str">
        <f t="shared" si="362"/>
        <v/>
      </c>
      <c r="T1666" s="53" t="str">
        <f t="shared" si="363"/>
        <v/>
      </c>
    </row>
    <row r="1667" spans="1:20">
      <c r="A1667" s="47" t="str">
        <f>IF(archive!E1667="","",archive!E1667)</f>
        <v/>
      </c>
      <c r="B1667" s="48" t="str">
        <f t="shared" si="350"/>
        <v/>
      </c>
      <c r="C1667" s="49" t="str">
        <f>IF(archive!F1667="","",archive!F1667)</f>
        <v/>
      </c>
      <c r="D1667" s="50" t="str">
        <f t="shared" si="351"/>
        <v/>
      </c>
      <c r="E1667" s="50" t="str">
        <f t="shared" si="352"/>
        <v/>
      </c>
      <c r="F1667" s="47" t="str">
        <f>IF(COUNTA(archive!H1667:CI1667)=0,"",COUNTA(archive!H1667:CI1667))</f>
        <v/>
      </c>
      <c r="G1667" s="47" t="str">
        <f>IF(archive!G1667="","",archive!G1667)</f>
        <v/>
      </c>
      <c r="H1667" s="51" t="str">
        <f>IF(archive!CJ1667="","",archive!CJ1667)</f>
        <v/>
      </c>
      <c r="I1667" s="51" t="str">
        <f>IF(archive!CK1667="","",archive!CK1667)</f>
        <v/>
      </c>
      <c r="J1667" s="47" t="str">
        <f t="shared" si="353"/>
        <v/>
      </c>
      <c r="K1667" s="51" t="str">
        <f t="shared" si="354"/>
        <v/>
      </c>
      <c r="L1667" s="52" t="str">
        <f t="shared" si="355"/>
        <v/>
      </c>
      <c r="M1667" s="53" t="str">
        <f t="shared" si="356"/>
        <v/>
      </c>
      <c r="N1667" s="53" t="str">
        <f t="shared" si="357"/>
        <v/>
      </c>
      <c r="O1667" s="53" t="str">
        <f t="shared" si="358"/>
        <v/>
      </c>
      <c r="P1667" s="53" t="str">
        <f t="shared" si="359"/>
        <v/>
      </c>
      <c r="Q1667" s="53" t="str">
        <f t="shared" si="360"/>
        <v/>
      </c>
      <c r="R1667" s="53" t="str">
        <f t="shared" si="361"/>
        <v/>
      </c>
      <c r="S1667" s="53" t="str">
        <f t="shared" si="362"/>
        <v/>
      </c>
      <c r="T1667" s="53" t="str">
        <f t="shared" si="363"/>
        <v/>
      </c>
    </row>
    <row r="1668" spans="1:20">
      <c r="A1668" s="47" t="str">
        <f>IF(archive!E1668="","",archive!E1668)</f>
        <v/>
      </c>
      <c r="B1668" s="48" t="str">
        <f t="shared" ref="B1668:B1731" si="364">IF(C1668="","",VLOOKUP($C1668,Tare,2,0))</f>
        <v/>
      </c>
      <c r="C1668" s="49" t="str">
        <f>IF(archive!F1668="","",archive!F1668)</f>
        <v/>
      </c>
      <c r="D1668" s="50" t="str">
        <f t="shared" ref="D1668:D1731" si="365">IF(C1668="","",C1668+B1668)</f>
        <v/>
      </c>
      <c r="E1668" s="50" t="str">
        <f t="shared" ref="E1668:E1731" si="366">IF(C1668="","",(C1668*0.025)+D1668)</f>
        <v/>
      </c>
      <c r="F1668" s="47" t="str">
        <f>IF(COUNTA(archive!H1668:CI1668)=0,"",COUNTA(archive!H1668:CI1668))</f>
        <v/>
      </c>
      <c r="G1668" s="47" t="str">
        <f>IF(archive!G1668="","",archive!G1668)</f>
        <v/>
      </c>
      <c r="H1668" s="51" t="str">
        <f>IF(archive!CJ1668="","",archive!CJ1668)</f>
        <v/>
      </c>
      <c r="I1668" s="51" t="str">
        <f>IF(archive!CK1668="","",archive!CK1668)</f>
        <v/>
      </c>
      <c r="J1668" s="47" t="str">
        <f t="shared" ref="J1668:J1731" si="367">IF(F1668="","",VLOOKUP(F1668,Valeur_g,2,0))</f>
        <v/>
      </c>
      <c r="K1668" s="51" t="str">
        <f t="shared" ref="K1668:K1731" si="368">IF(C1668="","",D1668+(J1668*I1668))</f>
        <v/>
      </c>
      <c r="L1668" s="52" t="str">
        <f t="shared" ref="L1668:L1731" si="369">IF(C1668="","",IF(K1668&lt;H1668,"Conforme","Non conforme"))</f>
        <v/>
      </c>
      <c r="M1668" s="53" t="str">
        <f t="shared" ref="M1668:M1731" si="370">IF(C1668="","",1)</f>
        <v/>
      </c>
      <c r="N1668" s="53" t="str">
        <f t="shared" ref="N1668:N1731" si="371">IF(L1668="","",COUNTIF(L1668,"Non conforme"))</f>
        <v/>
      </c>
      <c r="O1668" s="53" t="str">
        <f t="shared" ref="O1668:O1731" si="372">IF($C1668="","",IF($C1668=0.25,$G1668,"-"))</f>
        <v/>
      </c>
      <c r="P1668" s="53" t="str">
        <f t="shared" ref="P1668:P1731" si="373">IF($C1668="","",IF($C1668=0.4,$G1668,"-"))</f>
        <v/>
      </c>
      <c r="Q1668" s="53" t="str">
        <f t="shared" ref="Q1668:Q1731" si="374">IF($C1668="","",IF($C1668=0.5,$G1668,"-"))</f>
        <v/>
      </c>
      <c r="R1668" s="53" t="str">
        <f t="shared" ref="R1668:R1731" si="375">IF($C1668="","",IF($C1668=0.6,$G1668,"-"))</f>
        <v/>
      </c>
      <c r="S1668" s="53" t="str">
        <f t="shared" ref="S1668:S1731" si="376">IF($C1668="","",IF($C1668=0.8,$G1668,"-"))</f>
        <v/>
      </c>
      <c r="T1668" s="53" t="str">
        <f t="shared" ref="T1668:T1731" si="377">IF($C1668="","",IF($C1668=1,$G1668,"-"))</f>
        <v/>
      </c>
    </row>
    <row r="1669" spans="1:20">
      <c r="A1669" s="47" t="str">
        <f>IF(archive!E1669="","",archive!E1669)</f>
        <v/>
      </c>
      <c r="B1669" s="48" t="str">
        <f t="shared" si="364"/>
        <v/>
      </c>
      <c r="C1669" s="49" t="str">
        <f>IF(archive!F1669="","",archive!F1669)</f>
        <v/>
      </c>
      <c r="D1669" s="50" t="str">
        <f t="shared" si="365"/>
        <v/>
      </c>
      <c r="E1669" s="50" t="str">
        <f t="shared" si="366"/>
        <v/>
      </c>
      <c r="F1669" s="47" t="str">
        <f>IF(COUNTA(archive!H1669:CI1669)=0,"",COUNTA(archive!H1669:CI1669))</f>
        <v/>
      </c>
      <c r="G1669" s="47" t="str">
        <f>IF(archive!G1669="","",archive!G1669)</f>
        <v/>
      </c>
      <c r="H1669" s="51" t="str">
        <f>IF(archive!CJ1669="","",archive!CJ1669)</f>
        <v/>
      </c>
      <c r="I1669" s="51" t="str">
        <f>IF(archive!CK1669="","",archive!CK1669)</f>
        <v/>
      </c>
      <c r="J1669" s="47" t="str">
        <f t="shared" si="367"/>
        <v/>
      </c>
      <c r="K1669" s="51" t="str">
        <f t="shared" si="368"/>
        <v/>
      </c>
      <c r="L1669" s="52" t="str">
        <f t="shared" si="369"/>
        <v/>
      </c>
      <c r="M1669" s="53" t="str">
        <f t="shared" si="370"/>
        <v/>
      </c>
      <c r="N1669" s="53" t="str">
        <f t="shared" si="371"/>
        <v/>
      </c>
      <c r="O1669" s="53" t="str">
        <f t="shared" si="372"/>
        <v/>
      </c>
      <c r="P1669" s="53" t="str">
        <f t="shared" si="373"/>
        <v/>
      </c>
      <c r="Q1669" s="53" t="str">
        <f t="shared" si="374"/>
        <v/>
      </c>
      <c r="R1669" s="53" t="str">
        <f t="shared" si="375"/>
        <v/>
      </c>
      <c r="S1669" s="53" t="str">
        <f t="shared" si="376"/>
        <v/>
      </c>
      <c r="T1669" s="53" t="str">
        <f t="shared" si="377"/>
        <v/>
      </c>
    </row>
    <row r="1670" spans="1:20">
      <c r="A1670" s="47" t="str">
        <f>IF(archive!E1670="","",archive!E1670)</f>
        <v/>
      </c>
      <c r="B1670" s="48" t="str">
        <f t="shared" si="364"/>
        <v/>
      </c>
      <c r="C1670" s="49" t="str">
        <f>IF(archive!F1670="","",archive!F1670)</f>
        <v/>
      </c>
      <c r="D1670" s="50" t="str">
        <f t="shared" si="365"/>
        <v/>
      </c>
      <c r="E1670" s="50" t="str">
        <f t="shared" si="366"/>
        <v/>
      </c>
      <c r="F1670" s="47" t="str">
        <f>IF(COUNTA(archive!H1670:CI1670)=0,"",COUNTA(archive!H1670:CI1670))</f>
        <v/>
      </c>
      <c r="G1670" s="47" t="str">
        <f>IF(archive!G1670="","",archive!G1670)</f>
        <v/>
      </c>
      <c r="H1670" s="51" t="str">
        <f>IF(archive!CJ1670="","",archive!CJ1670)</f>
        <v/>
      </c>
      <c r="I1670" s="51" t="str">
        <f>IF(archive!CK1670="","",archive!CK1670)</f>
        <v/>
      </c>
      <c r="J1670" s="47" t="str">
        <f t="shared" si="367"/>
        <v/>
      </c>
      <c r="K1670" s="51" t="str">
        <f t="shared" si="368"/>
        <v/>
      </c>
      <c r="L1670" s="52" t="str">
        <f t="shared" si="369"/>
        <v/>
      </c>
      <c r="M1670" s="53" t="str">
        <f t="shared" si="370"/>
        <v/>
      </c>
      <c r="N1670" s="53" t="str">
        <f t="shared" si="371"/>
        <v/>
      </c>
      <c r="O1670" s="53" t="str">
        <f t="shared" si="372"/>
        <v/>
      </c>
      <c r="P1670" s="53" t="str">
        <f t="shared" si="373"/>
        <v/>
      </c>
      <c r="Q1670" s="53" t="str">
        <f t="shared" si="374"/>
        <v/>
      </c>
      <c r="R1670" s="53" t="str">
        <f t="shared" si="375"/>
        <v/>
      </c>
      <c r="S1670" s="53" t="str">
        <f t="shared" si="376"/>
        <v/>
      </c>
      <c r="T1670" s="53" t="str">
        <f t="shared" si="377"/>
        <v/>
      </c>
    </row>
    <row r="1671" spans="1:20">
      <c r="A1671" s="47" t="str">
        <f>IF(archive!E1671="","",archive!E1671)</f>
        <v/>
      </c>
      <c r="B1671" s="48" t="str">
        <f t="shared" si="364"/>
        <v/>
      </c>
      <c r="C1671" s="49" t="str">
        <f>IF(archive!F1671="","",archive!F1671)</f>
        <v/>
      </c>
      <c r="D1671" s="50" t="str">
        <f t="shared" si="365"/>
        <v/>
      </c>
      <c r="E1671" s="50" t="str">
        <f t="shared" si="366"/>
        <v/>
      </c>
      <c r="F1671" s="47" t="str">
        <f>IF(COUNTA(archive!H1671:CI1671)=0,"",COUNTA(archive!H1671:CI1671))</f>
        <v/>
      </c>
      <c r="G1671" s="47" t="str">
        <f>IF(archive!G1671="","",archive!G1671)</f>
        <v/>
      </c>
      <c r="H1671" s="51" t="str">
        <f>IF(archive!CJ1671="","",archive!CJ1671)</f>
        <v/>
      </c>
      <c r="I1671" s="51" t="str">
        <f>IF(archive!CK1671="","",archive!CK1671)</f>
        <v/>
      </c>
      <c r="J1671" s="47" t="str">
        <f t="shared" si="367"/>
        <v/>
      </c>
      <c r="K1671" s="51" t="str">
        <f t="shared" si="368"/>
        <v/>
      </c>
      <c r="L1671" s="52" t="str">
        <f t="shared" si="369"/>
        <v/>
      </c>
      <c r="M1671" s="53" t="str">
        <f t="shared" si="370"/>
        <v/>
      </c>
      <c r="N1671" s="53" t="str">
        <f t="shared" si="371"/>
        <v/>
      </c>
      <c r="O1671" s="53" t="str">
        <f t="shared" si="372"/>
        <v/>
      </c>
      <c r="P1671" s="53" t="str">
        <f t="shared" si="373"/>
        <v/>
      </c>
      <c r="Q1671" s="53" t="str">
        <f t="shared" si="374"/>
        <v/>
      </c>
      <c r="R1671" s="53" t="str">
        <f t="shared" si="375"/>
        <v/>
      </c>
      <c r="S1671" s="53" t="str">
        <f t="shared" si="376"/>
        <v/>
      </c>
      <c r="T1671" s="53" t="str">
        <f t="shared" si="377"/>
        <v/>
      </c>
    </row>
    <row r="1672" spans="1:20">
      <c r="A1672" s="47" t="str">
        <f>IF(archive!E1672="","",archive!E1672)</f>
        <v/>
      </c>
      <c r="B1672" s="48" t="str">
        <f t="shared" si="364"/>
        <v/>
      </c>
      <c r="C1672" s="49" t="str">
        <f>IF(archive!F1672="","",archive!F1672)</f>
        <v/>
      </c>
      <c r="D1672" s="50" t="str">
        <f t="shared" si="365"/>
        <v/>
      </c>
      <c r="E1672" s="50" t="str">
        <f t="shared" si="366"/>
        <v/>
      </c>
      <c r="F1672" s="47" t="str">
        <f>IF(COUNTA(archive!H1672:CI1672)=0,"",COUNTA(archive!H1672:CI1672))</f>
        <v/>
      </c>
      <c r="G1672" s="47" t="str">
        <f>IF(archive!G1672="","",archive!G1672)</f>
        <v/>
      </c>
      <c r="H1672" s="51" t="str">
        <f>IF(archive!CJ1672="","",archive!CJ1672)</f>
        <v/>
      </c>
      <c r="I1672" s="51" t="str">
        <f>IF(archive!CK1672="","",archive!CK1672)</f>
        <v/>
      </c>
      <c r="J1672" s="47" t="str">
        <f t="shared" si="367"/>
        <v/>
      </c>
      <c r="K1672" s="51" t="str">
        <f t="shared" si="368"/>
        <v/>
      </c>
      <c r="L1672" s="52" t="str">
        <f t="shared" si="369"/>
        <v/>
      </c>
      <c r="M1672" s="53" t="str">
        <f t="shared" si="370"/>
        <v/>
      </c>
      <c r="N1672" s="53" t="str">
        <f t="shared" si="371"/>
        <v/>
      </c>
      <c r="O1672" s="53" t="str">
        <f t="shared" si="372"/>
        <v/>
      </c>
      <c r="P1672" s="53" t="str">
        <f t="shared" si="373"/>
        <v/>
      </c>
      <c r="Q1672" s="53" t="str">
        <f t="shared" si="374"/>
        <v/>
      </c>
      <c r="R1672" s="53" t="str">
        <f t="shared" si="375"/>
        <v/>
      </c>
      <c r="S1672" s="53" t="str">
        <f t="shared" si="376"/>
        <v/>
      </c>
      <c r="T1672" s="53" t="str">
        <f t="shared" si="377"/>
        <v/>
      </c>
    </row>
    <row r="1673" spans="1:20">
      <c r="A1673" s="47" t="str">
        <f>IF(archive!E1673="","",archive!E1673)</f>
        <v/>
      </c>
      <c r="B1673" s="48" t="str">
        <f t="shared" si="364"/>
        <v/>
      </c>
      <c r="C1673" s="49" t="str">
        <f>IF(archive!F1673="","",archive!F1673)</f>
        <v/>
      </c>
      <c r="D1673" s="50" t="str">
        <f t="shared" si="365"/>
        <v/>
      </c>
      <c r="E1673" s="50" t="str">
        <f t="shared" si="366"/>
        <v/>
      </c>
      <c r="F1673" s="47" t="str">
        <f>IF(COUNTA(archive!H1673:CI1673)=0,"",COUNTA(archive!H1673:CI1673))</f>
        <v/>
      </c>
      <c r="G1673" s="47" t="str">
        <f>IF(archive!G1673="","",archive!G1673)</f>
        <v/>
      </c>
      <c r="H1673" s="51" t="str">
        <f>IF(archive!CJ1673="","",archive!CJ1673)</f>
        <v/>
      </c>
      <c r="I1673" s="51" t="str">
        <f>IF(archive!CK1673="","",archive!CK1673)</f>
        <v/>
      </c>
      <c r="J1673" s="47" t="str">
        <f t="shared" si="367"/>
        <v/>
      </c>
      <c r="K1673" s="51" t="str">
        <f t="shared" si="368"/>
        <v/>
      </c>
      <c r="L1673" s="52" t="str">
        <f t="shared" si="369"/>
        <v/>
      </c>
      <c r="M1673" s="53" t="str">
        <f t="shared" si="370"/>
        <v/>
      </c>
      <c r="N1673" s="53" t="str">
        <f t="shared" si="371"/>
        <v/>
      </c>
      <c r="O1673" s="53" t="str">
        <f t="shared" si="372"/>
        <v/>
      </c>
      <c r="P1673" s="53" t="str">
        <f t="shared" si="373"/>
        <v/>
      </c>
      <c r="Q1673" s="53" t="str">
        <f t="shared" si="374"/>
        <v/>
      </c>
      <c r="R1673" s="53" t="str">
        <f t="shared" si="375"/>
        <v/>
      </c>
      <c r="S1673" s="53" t="str">
        <f t="shared" si="376"/>
        <v/>
      </c>
      <c r="T1673" s="53" t="str">
        <f t="shared" si="377"/>
        <v/>
      </c>
    </row>
    <row r="1674" spans="1:20">
      <c r="A1674" s="47" t="str">
        <f>IF(archive!E1674="","",archive!E1674)</f>
        <v/>
      </c>
      <c r="B1674" s="48" t="str">
        <f t="shared" si="364"/>
        <v/>
      </c>
      <c r="C1674" s="49" t="str">
        <f>IF(archive!F1674="","",archive!F1674)</f>
        <v/>
      </c>
      <c r="D1674" s="50" t="str">
        <f t="shared" si="365"/>
        <v/>
      </c>
      <c r="E1674" s="50" t="str">
        <f t="shared" si="366"/>
        <v/>
      </c>
      <c r="F1674" s="47" t="str">
        <f>IF(COUNTA(archive!H1674:CI1674)=0,"",COUNTA(archive!H1674:CI1674))</f>
        <v/>
      </c>
      <c r="G1674" s="47" t="str">
        <f>IF(archive!G1674="","",archive!G1674)</f>
        <v/>
      </c>
      <c r="H1674" s="51" t="str">
        <f>IF(archive!CJ1674="","",archive!CJ1674)</f>
        <v/>
      </c>
      <c r="I1674" s="51" t="str">
        <f>IF(archive!CK1674="","",archive!CK1674)</f>
        <v/>
      </c>
      <c r="J1674" s="47" t="str">
        <f t="shared" si="367"/>
        <v/>
      </c>
      <c r="K1674" s="51" t="str">
        <f t="shared" si="368"/>
        <v/>
      </c>
      <c r="L1674" s="52" t="str">
        <f t="shared" si="369"/>
        <v/>
      </c>
      <c r="M1674" s="53" t="str">
        <f t="shared" si="370"/>
        <v/>
      </c>
      <c r="N1674" s="53" t="str">
        <f t="shared" si="371"/>
        <v/>
      </c>
      <c r="O1674" s="53" t="str">
        <f t="shared" si="372"/>
        <v/>
      </c>
      <c r="P1674" s="53" t="str">
        <f t="shared" si="373"/>
        <v/>
      </c>
      <c r="Q1674" s="53" t="str">
        <f t="shared" si="374"/>
        <v/>
      </c>
      <c r="R1674" s="53" t="str">
        <f t="shared" si="375"/>
        <v/>
      </c>
      <c r="S1674" s="53" t="str">
        <f t="shared" si="376"/>
        <v/>
      </c>
      <c r="T1674" s="53" t="str">
        <f t="shared" si="377"/>
        <v/>
      </c>
    </row>
    <row r="1675" spans="1:20">
      <c r="A1675" s="47" t="str">
        <f>IF(archive!E1675="","",archive!E1675)</f>
        <v/>
      </c>
      <c r="B1675" s="48" t="str">
        <f t="shared" si="364"/>
        <v/>
      </c>
      <c r="C1675" s="49" t="str">
        <f>IF(archive!F1675="","",archive!F1675)</f>
        <v/>
      </c>
      <c r="D1675" s="50" t="str">
        <f t="shared" si="365"/>
        <v/>
      </c>
      <c r="E1675" s="50" t="str">
        <f t="shared" si="366"/>
        <v/>
      </c>
      <c r="F1675" s="47" t="str">
        <f>IF(COUNTA(archive!H1675:CI1675)=0,"",COUNTA(archive!H1675:CI1675))</f>
        <v/>
      </c>
      <c r="G1675" s="47" t="str">
        <f>IF(archive!G1675="","",archive!G1675)</f>
        <v/>
      </c>
      <c r="H1675" s="51" t="str">
        <f>IF(archive!CJ1675="","",archive!CJ1675)</f>
        <v/>
      </c>
      <c r="I1675" s="51" t="str">
        <f>IF(archive!CK1675="","",archive!CK1675)</f>
        <v/>
      </c>
      <c r="J1675" s="47" t="str">
        <f t="shared" si="367"/>
        <v/>
      </c>
      <c r="K1675" s="51" t="str">
        <f t="shared" si="368"/>
        <v/>
      </c>
      <c r="L1675" s="52" t="str">
        <f t="shared" si="369"/>
        <v/>
      </c>
      <c r="M1675" s="53" t="str">
        <f t="shared" si="370"/>
        <v/>
      </c>
      <c r="N1675" s="53" t="str">
        <f t="shared" si="371"/>
        <v/>
      </c>
      <c r="O1675" s="53" t="str">
        <f t="shared" si="372"/>
        <v/>
      </c>
      <c r="P1675" s="53" t="str">
        <f t="shared" si="373"/>
        <v/>
      </c>
      <c r="Q1675" s="53" t="str">
        <f t="shared" si="374"/>
        <v/>
      </c>
      <c r="R1675" s="53" t="str">
        <f t="shared" si="375"/>
        <v/>
      </c>
      <c r="S1675" s="53" t="str">
        <f t="shared" si="376"/>
        <v/>
      </c>
      <c r="T1675" s="53" t="str">
        <f t="shared" si="377"/>
        <v/>
      </c>
    </row>
    <row r="1676" spans="1:20">
      <c r="A1676" s="47" t="str">
        <f>IF(archive!E1676="","",archive!E1676)</f>
        <v/>
      </c>
      <c r="B1676" s="48" t="str">
        <f t="shared" si="364"/>
        <v/>
      </c>
      <c r="C1676" s="49" t="str">
        <f>IF(archive!F1676="","",archive!F1676)</f>
        <v/>
      </c>
      <c r="D1676" s="50" t="str">
        <f t="shared" si="365"/>
        <v/>
      </c>
      <c r="E1676" s="50" t="str">
        <f t="shared" si="366"/>
        <v/>
      </c>
      <c r="F1676" s="47" t="str">
        <f>IF(COUNTA(archive!H1676:CI1676)=0,"",COUNTA(archive!H1676:CI1676))</f>
        <v/>
      </c>
      <c r="G1676" s="47" t="str">
        <f>IF(archive!G1676="","",archive!G1676)</f>
        <v/>
      </c>
      <c r="H1676" s="51" t="str">
        <f>IF(archive!CJ1676="","",archive!CJ1676)</f>
        <v/>
      </c>
      <c r="I1676" s="51" t="str">
        <f>IF(archive!CK1676="","",archive!CK1676)</f>
        <v/>
      </c>
      <c r="J1676" s="47" t="str">
        <f t="shared" si="367"/>
        <v/>
      </c>
      <c r="K1676" s="51" t="str">
        <f t="shared" si="368"/>
        <v/>
      </c>
      <c r="L1676" s="52" t="str">
        <f t="shared" si="369"/>
        <v/>
      </c>
      <c r="M1676" s="53" t="str">
        <f t="shared" si="370"/>
        <v/>
      </c>
      <c r="N1676" s="53" t="str">
        <f t="shared" si="371"/>
        <v/>
      </c>
      <c r="O1676" s="53" t="str">
        <f t="shared" si="372"/>
        <v/>
      </c>
      <c r="P1676" s="53" t="str">
        <f t="shared" si="373"/>
        <v/>
      </c>
      <c r="Q1676" s="53" t="str">
        <f t="shared" si="374"/>
        <v/>
      </c>
      <c r="R1676" s="53" t="str">
        <f t="shared" si="375"/>
        <v/>
      </c>
      <c r="S1676" s="53" t="str">
        <f t="shared" si="376"/>
        <v/>
      </c>
      <c r="T1676" s="53" t="str">
        <f t="shared" si="377"/>
        <v/>
      </c>
    </row>
    <row r="1677" spans="1:20">
      <c r="A1677" s="47" t="str">
        <f>IF(archive!E1677="","",archive!E1677)</f>
        <v/>
      </c>
      <c r="B1677" s="48" t="str">
        <f t="shared" si="364"/>
        <v/>
      </c>
      <c r="C1677" s="49" t="str">
        <f>IF(archive!F1677="","",archive!F1677)</f>
        <v/>
      </c>
      <c r="D1677" s="50" t="str">
        <f t="shared" si="365"/>
        <v/>
      </c>
      <c r="E1677" s="50" t="str">
        <f t="shared" si="366"/>
        <v/>
      </c>
      <c r="F1677" s="47" t="str">
        <f>IF(COUNTA(archive!H1677:CI1677)=0,"",COUNTA(archive!H1677:CI1677))</f>
        <v/>
      </c>
      <c r="G1677" s="47" t="str">
        <f>IF(archive!G1677="","",archive!G1677)</f>
        <v/>
      </c>
      <c r="H1677" s="51" t="str">
        <f>IF(archive!CJ1677="","",archive!CJ1677)</f>
        <v/>
      </c>
      <c r="I1677" s="51" t="str">
        <f>IF(archive!CK1677="","",archive!CK1677)</f>
        <v/>
      </c>
      <c r="J1677" s="47" t="str">
        <f t="shared" si="367"/>
        <v/>
      </c>
      <c r="K1677" s="51" t="str">
        <f t="shared" si="368"/>
        <v/>
      </c>
      <c r="L1677" s="52" t="str">
        <f t="shared" si="369"/>
        <v/>
      </c>
      <c r="M1677" s="53" t="str">
        <f t="shared" si="370"/>
        <v/>
      </c>
      <c r="N1677" s="53" t="str">
        <f t="shared" si="371"/>
        <v/>
      </c>
      <c r="O1677" s="53" t="str">
        <f t="shared" si="372"/>
        <v/>
      </c>
      <c r="P1677" s="53" t="str">
        <f t="shared" si="373"/>
        <v/>
      </c>
      <c r="Q1677" s="53" t="str">
        <f t="shared" si="374"/>
        <v/>
      </c>
      <c r="R1677" s="53" t="str">
        <f t="shared" si="375"/>
        <v/>
      </c>
      <c r="S1677" s="53" t="str">
        <f t="shared" si="376"/>
        <v/>
      </c>
      <c r="T1677" s="53" t="str">
        <f t="shared" si="377"/>
        <v/>
      </c>
    </row>
    <row r="1678" spans="1:20">
      <c r="A1678" s="47" t="str">
        <f>IF(archive!E1678="","",archive!E1678)</f>
        <v/>
      </c>
      <c r="B1678" s="48" t="str">
        <f t="shared" si="364"/>
        <v/>
      </c>
      <c r="C1678" s="49" t="str">
        <f>IF(archive!F1678="","",archive!F1678)</f>
        <v/>
      </c>
      <c r="D1678" s="50" t="str">
        <f t="shared" si="365"/>
        <v/>
      </c>
      <c r="E1678" s="50" t="str">
        <f t="shared" si="366"/>
        <v/>
      </c>
      <c r="F1678" s="47" t="str">
        <f>IF(COUNTA(archive!H1678:CI1678)=0,"",COUNTA(archive!H1678:CI1678))</f>
        <v/>
      </c>
      <c r="G1678" s="47" t="str">
        <f>IF(archive!G1678="","",archive!G1678)</f>
        <v/>
      </c>
      <c r="H1678" s="51" t="str">
        <f>IF(archive!CJ1678="","",archive!CJ1678)</f>
        <v/>
      </c>
      <c r="I1678" s="51" t="str">
        <f>IF(archive!CK1678="","",archive!CK1678)</f>
        <v/>
      </c>
      <c r="J1678" s="47" t="str">
        <f t="shared" si="367"/>
        <v/>
      </c>
      <c r="K1678" s="51" t="str">
        <f t="shared" si="368"/>
        <v/>
      </c>
      <c r="L1678" s="52" t="str">
        <f t="shared" si="369"/>
        <v/>
      </c>
      <c r="M1678" s="53" t="str">
        <f t="shared" si="370"/>
        <v/>
      </c>
      <c r="N1678" s="53" t="str">
        <f t="shared" si="371"/>
        <v/>
      </c>
      <c r="O1678" s="53" t="str">
        <f t="shared" si="372"/>
        <v/>
      </c>
      <c r="P1678" s="53" t="str">
        <f t="shared" si="373"/>
        <v/>
      </c>
      <c r="Q1678" s="53" t="str">
        <f t="shared" si="374"/>
        <v/>
      </c>
      <c r="R1678" s="53" t="str">
        <f t="shared" si="375"/>
        <v/>
      </c>
      <c r="S1678" s="53" t="str">
        <f t="shared" si="376"/>
        <v/>
      </c>
      <c r="T1678" s="53" t="str">
        <f t="shared" si="377"/>
        <v/>
      </c>
    </row>
    <row r="1679" spans="1:20">
      <c r="A1679" s="47" t="str">
        <f>IF(archive!E1679="","",archive!E1679)</f>
        <v/>
      </c>
      <c r="B1679" s="48" t="str">
        <f t="shared" si="364"/>
        <v/>
      </c>
      <c r="C1679" s="49" t="str">
        <f>IF(archive!F1679="","",archive!F1679)</f>
        <v/>
      </c>
      <c r="D1679" s="50" t="str">
        <f t="shared" si="365"/>
        <v/>
      </c>
      <c r="E1679" s="50" t="str">
        <f t="shared" si="366"/>
        <v/>
      </c>
      <c r="F1679" s="47" t="str">
        <f>IF(COUNTA(archive!H1679:CI1679)=0,"",COUNTA(archive!H1679:CI1679))</f>
        <v/>
      </c>
      <c r="G1679" s="47" t="str">
        <f>IF(archive!G1679="","",archive!G1679)</f>
        <v/>
      </c>
      <c r="H1679" s="51" t="str">
        <f>IF(archive!CJ1679="","",archive!CJ1679)</f>
        <v/>
      </c>
      <c r="I1679" s="51" t="str">
        <f>IF(archive!CK1679="","",archive!CK1679)</f>
        <v/>
      </c>
      <c r="J1679" s="47" t="str">
        <f t="shared" si="367"/>
        <v/>
      </c>
      <c r="K1679" s="51" t="str">
        <f t="shared" si="368"/>
        <v/>
      </c>
      <c r="L1679" s="52" t="str">
        <f t="shared" si="369"/>
        <v/>
      </c>
      <c r="M1679" s="53" t="str">
        <f t="shared" si="370"/>
        <v/>
      </c>
      <c r="N1679" s="53" t="str">
        <f t="shared" si="371"/>
        <v/>
      </c>
      <c r="O1679" s="53" t="str">
        <f t="shared" si="372"/>
        <v/>
      </c>
      <c r="P1679" s="53" t="str">
        <f t="shared" si="373"/>
        <v/>
      </c>
      <c r="Q1679" s="53" t="str">
        <f t="shared" si="374"/>
        <v/>
      </c>
      <c r="R1679" s="53" t="str">
        <f t="shared" si="375"/>
        <v/>
      </c>
      <c r="S1679" s="53" t="str">
        <f t="shared" si="376"/>
        <v/>
      </c>
      <c r="T1679" s="53" t="str">
        <f t="shared" si="377"/>
        <v/>
      </c>
    </row>
    <row r="1680" spans="1:20">
      <c r="A1680" s="47" t="str">
        <f>IF(archive!E1680="","",archive!E1680)</f>
        <v/>
      </c>
      <c r="B1680" s="48" t="str">
        <f t="shared" si="364"/>
        <v/>
      </c>
      <c r="C1680" s="49" t="str">
        <f>IF(archive!F1680="","",archive!F1680)</f>
        <v/>
      </c>
      <c r="D1680" s="50" t="str">
        <f t="shared" si="365"/>
        <v/>
      </c>
      <c r="E1680" s="50" t="str">
        <f t="shared" si="366"/>
        <v/>
      </c>
      <c r="F1680" s="47" t="str">
        <f>IF(COUNTA(archive!H1680:CI1680)=0,"",COUNTA(archive!H1680:CI1680))</f>
        <v/>
      </c>
      <c r="G1680" s="47" t="str">
        <f>IF(archive!G1680="","",archive!G1680)</f>
        <v/>
      </c>
      <c r="H1680" s="51" t="str">
        <f>IF(archive!CJ1680="","",archive!CJ1680)</f>
        <v/>
      </c>
      <c r="I1680" s="51" t="str">
        <f>IF(archive!CK1680="","",archive!CK1680)</f>
        <v/>
      </c>
      <c r="J1680" s="47" t="str">
        <f t="shared" si="367"/>
        <v/>
      </c>
      <c r="K1680" s="51" t="str">
        <f t="shared" si="368"/>
        <v/>
      </c>
      <c r="L1680" s="52" t="str">
        <f t="shared" si="369"/>
        <v/>
      </c>
      <c r="M1680" s="53" t="str">
        <f t="shared" si="370"/>
        <v/>
      </c>
      <c r="N1680" s="53" t="str">
        <f t="shared" si="371"/>
        <v/>
      </c>
      <c r="O1680" s="53" t="str">
        <f t="shared" si="372"/>
        <v/>
      </c>
      <c r="P1680" s="53" t="str">
        <f t="shared" si="373"/>
        <v/>
      </c>
      <c r="Q1680" s="53" t="str">
        <f t="shared" si="374"/>
        <v/>
      </c>
      <c r="R1680" s="53" t="str">
        <f t="shared" si="375"/>
        <v/>
      </c>
      <c r="S1680" s="53" t="str">
        <f t="shared" si="376"/>
        <v/>
      </c>
      <c r="T1680" s="53" t="str">
        <f t="shared" si="377"/>
        <v/>
      </c>
    </row>
    <row r="1681" spans="1:20">
      <c r="A1681" s="47" t="str">
        <f>IF(archive!E1681="","",archive!E1681)</f>
        <v/>
      </c>
      <c r="B1681" s="48" t="str">
        <f t="shared" si="364"/>
        <v/>
      </c>
      <c r="C1681" s="49" t="str">
        <f>IF(archive!F1681="","",archive!F1681)</f>
        <v/>
      </c>
      <c r="D1681" s="50" t="str">
        <f t="shared" si="365"/>
        <v/>
      </c>
      <c r="E1681" s="50" t="str">
        <f t="shared" si="366"/>
        <v/>
      </c>
      <c r="F1681" s="47" t="str">
        <f>IF(COUNTA(archive!H1681:CI1681)=0,"",COUNTA(archive!H1681:CI1681))</f>
        <v/>
      </c>
      <c r="G1681" s="47" t="str">
        <f>IF(archive!G1681="","",archive!G1681)</f>
        <v/>
      </c>
      <c r="H1681" s="51" t="str">
        <f>IF(archive!CJ1681="","",archive!CJ1681)</f>
        <v/>
      </c>
      <c r="I1681" s="51" t="str">
        <f>IF(archive!CK1681="","",archive!CK1681)</f>
        <v/>
      </c>
      <c r="J1681" s="47" t="str">
        <f t="shared" si="367"/>
        <v/>
      </c>
      <c r="K1681" s="51" t="str">
        <f t="shared" si="368"/>
        <v/>
      </c>
      <c r="L1681" s="52" t="str">
        <f t="shared" si="369"/>
        <v/>
      </c>
      <c r="M1681" s="53" t="str">
        <f t="shared" si="370"/>
        <v/>
      </c>
      <c r="N1681" s="53" t="str">
        <f t="shared" si="371"/>
        <v/>
      </c>
      <c r="O1681" s="53" t="str">
        <f t="shared" si="372"/>
        <v/>
      </c>
      <c r="P1681" s="53" t="str">
        <f t="shared" si="373"/>
        <v/>
      </c>
      <c r="Q1681" s="53" t="str">
        <f t="shared" si="374"/>
        <v/>
      </c>
      <c r="R1681" s="53" t="str">
        <f t="shared" si="375"/>
        <v/>
      </c>
      <c r="S1681" s="53" t="str">
        <f t="shared" si="376"/>
        <v/>
      </c>
      <c r="T1681" s="53" t="str">
        <f t="shared" si="377"/>
        <v/>
      </c>
    </row>
    <row r="1682" spans="1:20">
      <c r="A1682" s="47" t="str">
        <f>IF(archive!E1682="","",archive!E1682)</f>
        <v/>
      </c>
      <c r="B1682" s="48" t="str">
        <f t="shared" si="364"/>
        <v/>
      </c>
      <c r="C1682" s="49" t="str">
        <f>IF(archive!F1682="","",archive!F1682)</f>
        <v/>
      </c>
      <c r="D1682" s="50" t="str">
        <f t="shared" si="365"/>
        <v/>
      </c>
      <c r="E1682" s="50" t="str">
        <f t="shared" si="366"/>
        <v/>
      </c>
      <c r="F1682" s="47" t="str">
        <f>IF(COUNTA(archive!H1682:CI1682)=0,"",COUNTA(archive!H1682:CI1682))</f>
        <v/>
      </c>
      <c r="G1682" s="47" t="str">
        <f>IF(archive!G1682="","",archive!G1682)</f>
        <v/>
      </c>
      <c r="H1682" s="51" t="str">
        <f>IF(archive!CJ1682="","",archive!CJ1682)</f>
        <v/>
      </c>
      <c r="I1682" s="51" t="str">
        <f>IF(archive!CK1682="","",archive!CK1682)</f>
        <v/>
      </c>
      <c r="J1682" s="47" t="str">
        <f t="shared" si="367"/>
        <v/>
      </c>
      <c r="K1682" s="51" t="str">
        <f t="shared" si="368"/>
        <v/>
      </c>
      <c r="L1682" s="52" t="str">
        <f t="shared" si="369"/>
        <v/>
      </c>
      <c r="M1682" s="53" t="str">
        <f t="shared" si="370"/>
        <v/>
      </c>
      <c r="N1682" s="53" t="str">
        <f t="shared" si="371"/>
        <v/>
      </c>
      <c r="O1682" s="53" t="str">
        <f t="shared" si="372"/>
        <v/>
      </c>
      <c r="P1682" s="53" t="str">
        <f t="shared" si="373"/>
        <v/>
      </c>
      <c r="Q1682" s="53" t="str">
        <f t="shared" si="374"/>
        <v/>
      </c>
      <c r="R1682" s="53" t="str">
        <f t="shared" si="375"/>
        <v/>
      </c>
      <c r="S1682" s="53" t="str">
        <f t="shared" si="376"/>
        <v/>
      </c>
      <c r="T1682" s="53" t="str">
        <f t="shared" si="377"/>
        <v/>
      </c>
    </row>
    <row r="1683" spans="1:20">
      <c r="A1683" s="47" t="str">
        <f>IF(archive!E1683="","",archive!E1683)</f>
        <v/>
      </c>
      <c r="B1683" s="48" t="str">
        <f t="shared" si="364"/>
        <v/>
      </c>
      <c r="C1683" s="49" t="str">
        <f>IF(archive!F1683="","",archive!F1683)</f>
        <v/>
      </c>
      <c r="D1683" s="50" t="str">
        <f t="shared" si="365"/>
        <v/>
      </c>
      <c r="E1683" s="50" t="str">
        <f t="shared" si="366"/>
        <v/>
      </c>
      <c r="F1683" s="47" t="str">
        <f>IF(COUNTA(archive!H1683:CI1683)=0,"",COUNTA(archive!H1683:CI1683))</f>
        <v/>
      </c>
      <c r="G1683" s="47" t="str">
        <f>IF(archive!G1683="","",archive!G1683)</f>
        <v/>
      </c>
      <c r="H1683" s="51" t="str">
        <f>IF(archive!CJ1683="","",archive!CJ1683)</f>
        <v/>
      </c>
      <c r="I1683" s="51" t="str">
        <f>IF(archive!CK1683="","",archive!CK1683)</f>
        <v/>
      </c>
      <c r="J1683" s="47" t="str">
        <f t="shared" si="367"/>
        <v/>
      </c>
      <c r="K1683" s="51" t="str">
        <f t="shared" si="368"/>
        <v/>
      </c>
      <c r="L1683" s="52" t="str">
        <f t="shared" si="369"/>
        <v/>
      </c>
      <c r="M1683" s="53" t="str">
        <f t="shared" si="370"/>
        <v/>
      </c>
      <c r="N1683" s="53" t="str">
        <f t="shared" si="371"/>
        <v/>
      </c>
      <c r="O1683" s="53" t="str">
        <f t="shared" si="372"/>
        <v/>
      </c>
      <c r="P1683" s="53" t="str">
        <f t="shared" si="373"/>
        <v/>
      </c>
      <c r="Q1683" s="53" t="str">
        <f t="shared" si="374"/>
        <v/>
      </c>
      <c r="R1683" s="53" t="str">
        <f t="shared" si="375"/>
        <v/>
      </c>
      <c r="S1683" s="53" t="str">
        <f t="shared" si="376"/>
        <v/>
      </c>
      <c r="T1683" s="53" t="str">
        <f t="shared" si="377"/>
        <v/>
      </c>
    </row>
    <row r="1684" spans="1:20">
      <c r="A1684" s="47" t="str">
        <f>IF(archive!E1684="","",archive!E1684)</f>
        <v/>
      </c>
      <c r="B1684" s="48" t="str">
        <f t="shared" si="364"/>
        <v/>
      </c>
      <c r="C1684" s="49" t="str">
        <f>IF(archive!F1684="","",archive!F1684)</f>
        <v/>
      </c>
      <c r="D1684" s="50" t="str">
        <f t="shared" si="365"/>
        <v/>
      </c>
      <c r="E1684" s="50" t="str">
        <f t="shared" si="366"/>
        <v/>
      </c>
      <c r="F1684" s="47" t="str">
        <f>IF(COUNTA(archive!H1684:CI1684)=0,"",COUNTA(archive!H1684:CI1684))</f>
        <v/>
      </c>
      <c r="G1684" s="47" t="str">
        <f>IF(archive!G1684="","",archive!G1684)</f>
        <v/>
      </c>
      <c r="H1684" s="51" t="str">
        <f>IF(archive!CJ1684="","",archive!CJ1684)</f>
        <v/>
      </c>
      <c r="I1684" s="51" t="str">
        <f>IF(archive!CK1684="","",archive!CK1684)</f>
        <v/>
      </c>
      <c r="J1684" s="47" t="str">
        <f t="shared" si="367"/>
        <v/>
      </c>
      <c r="K1684" s="51" t="str">
        <f t="shared" si="368"/>
        <v/>
      </c>
      <c r="L1684" s="52" t="str">
        <f t="shared" si="369"/>
        <v/>
      </c>
      <c r="M1684" s="53" t="str">
        <f t="shared" si="370"/>
        <v/>
      </c>
      <c r="N1684" s="53" t="str">
        <f t="shared" si="371"/>
        <v/>
      </c>
      <c r="O1684" s="53" t="str">
        <f t="shared" si="372"/>
        <v/>
      </c>
      <c r="P1684" s="53" t="str">
        <f t="shared" si="373"/>
        <v/>
      </c>
      <c r="Q1684" s="53" t="str">
        <f t="shared" si="374"/>
        <v/>
      </c>
      <c r="R1684" s="53" t="str">
        <f t="shared" si="375"/>
        <v/>
      </c>
      <c r="S1684" s="53" t="str">
        <f t="shared" si="376"/>
        <v/>
      </c>
      <c r="T1684" s="53" t="str">
        <f t="shared" si="377"/>
        <v/>
      </c>
    </row>
    <row r="1685" spans="1:20">
      <c r="A1685" s="47" t="str">
        <f>IF(archive!E1685="","",archive!E1685)</f>
        <v/>
      </c>
      <c r="B1685" s="48" t="str">
        <f t="shared" si="364"/>
        <v/>
      </c>
      <c r="C1685" s="49" t="str">
        <f>IF(archive!F1685="","",archive!F1685)</f>
        <v/>
      </c>
      <c r="D1685" s="50" t="str">
        <f t="shared" si="365"/>
        <v/>
      </c>
      <c r="E1685" s="50" t="str">
        <f t="shared" si="366"/>
        <v/>
      </c>
      <c r="F1685" s="47" t="str">
        <f>IF(COUNTA(archive!H1685:CI1685)=0,"",COUNTA(archive!H1685:CI1685))</f>
        <v/>
      </c>
      <c r="G1685" s="47" t="str">
        <f>IF(archive!G1685="","",archive!G1685)</f>
        <v/>
      </c>
      <c r="H1685" s="51" t="str">
        <f>IF(archive!CJ1685="","",archive!CJ1685)</f>
        <v/>
      </c>
      <c r="I1685" s="51" t="str">
        <f>IF(archive!CK1685="","",archive!CK1685)</f>
        <v/>
      </c>
      <c r="J1685" s="47" t="str">
        <f t="shared" si="367"/>
        <v/>
      </c>
      <c r="K1685" s="51" t="str">
        <f t="shared" si="368"/>
        <v/>
      </c>
      <c r="L1685" s="52" t="str">
        <f t="shared" si="369"/>
        <v/>
      </c>
      <c r="M1685" s="53" t="str">
        <f t="shared" si="370"/>
        <v/>
      </c>
      <c r="N1685" s="53" t="str">
        <f t="shared" si="371"/>
        <v/>
      </c>
      <c r="O1685" s="53" t="str">
        <f t="shared" si="372"/>
        <v/>
      </c>
      <c r="P1685" s="53" t="str">
        <f t="shared" si="373"/>
        <v/>
      </c>
      <c r="Q1685" s="53" t="str">
        <f t="shared" si="374"/>
        <v/>
      </c>
      <c r="R1685" s="53" t="str">
        <f t="shared" si="375"/>
        <v/>
      </c>
      <c r="S1685" s="53" t="str">
        <f t="shared" si="376"/>
        <v/>
      </c>
      <c r="T1685" s="53" t="str">
        <f t="shared" si="377"/>
        <v/>
      </c>
    </row>
    <row r="1686" spans="1:20">
      <c r="A1686" s="47" t="str">
        <f>IF(archive!E1686="","",archive!E1686)</f>
        <v/>
      </c>
      <c r="B1686" s="48" t="str">
        <f t="shared" si="364"/>
        <v/>
      </c>
      <c r="C1686" s="49" t="str">
        <f>IF(archive!F1686="","",archive!F1686)</f>
        <v/>
      </c>
      <c r="D1686" s="50" t="str">
        <f t="shared" si="365"/>
        <v/>
      </c>
      <c r="E1686" s="50" t="str">
        <f t="shared" si="366"/>
        <v/>
      </c>
      <c r="F1686" s="47" t="str">
        <f>IF(COUNTA(archive!H1686:CI1686)=0,"",COUNTA(archive!H1686:CI1686))</f>
        <v/>
      </c>
      <c r="G1686" s="47" t="str">
        <f>IF(archive!G1686="","",archive!G1686)</f>
        <v/>
      </c>
      <c r="H1686" s="51" t="str">
        <f>IF(archive!CJ1686="","",archive!CJ1686)</f>
        <v/>
      </c>
      <c r="I1686" s="51" t="str">
        <f>IF(archive!CK1686="","",archive!CK1686)</f>
        <v/>
      </c>
      <c r="J1686" s="47" t="str">
        <f t="shared" si="367"/>
        <v/>
      </c>
      <c r="K1686" s="51" t="str">
        <f t="shared" si="368"/>
        <v/>
      </c>
      <c r="L1686" s="52" t="str">
        <f t="shared" si="369"/>
        <v/>
      </c>
      <c r="M1686" s="53" t="str">
        <f t="shared" si="370"/>
        <v/>
      </c>
      <c r="N1686" s="53" t="str">
        <f t="shared" si="371"/>
        <v/>
      </c>
      <c r="O1686" s="53" t="str">
        <f t="shared" si="372"/>
        <v/>
      </c>
      <c r="P1686" s="53" t="str">
        <f t="shared" si="373"/>
        <v/>
      </c>
      <c r="Q1686" s="53" t="str">
        <f t="shared" si="374"/>
        <v/>
      </c>
      <c r="R1686" s="53" t="str">
        <f t="shared" si="375"/>
        <v/>
      </c>
      <c r="S1686" s="53" t="str">
        <f t="shared" si="376"/>
        <v/>
      </c>
      <c r="T1686" s="53" t="str">
        <f t="shared" si="377"/>
        <v/>
      </c>
    </row>
    <row r="1687" spans="1:20">
      <c r="A1687" s="47" t="str">
        <f>IF(archive!E1687="","",archive!E1687)</f>
        <v/>
      </c>
      <c r="B1687" s="48" t="str">
        <f t="shared" si="364"/>
        <v/>
      </c>
      <c r="C1687" s="49" t="str">
        <f>IF(archive!F1687="","",archive!F1687)</f>
        <v/>
      </c>
      <c r="D1687" s="50" t="str">
        <f t="shared" si="365"/>
        <v/>
      </c>
      <c r="E1687" s="50" t="str">
        <f t="shared" si="366"/>
        <v/>
      </c>
      <c r="F1687" s="47" t="str">
        <f>IF(COUNTA(archive!H1687:CI1687)=0,"",COUNTA(archive!H1687:CI1687))</f>
        <v/>
      </c>
      <c r="G1687" s="47" t="str">
        <f>IF(archive!G1687="","",archive!G1687)</f>
        <v/>
      </c>
      <c r="H1687" s="51" t="str">
        <f>IF(archive!CJ1687="","",archive!CJ1687)</f>
        <v/>
      </c>
      <c r="I1687" s="51" t="str">
        <f>IF(archive!CK1687="","",archive!CK1687)</f>
        <v/>
      </c>
      <c r="J1687" s="47" t="str">
        <f t="shared" si="367"/>
        <v/>
      </c>
      <c r="K1687" s="51" t="str">
        <f t="shared" si="368"/>
        <v/>
      </c>
      <c r="L1687" s="52" t="str">
        <f t="shared" si="369"/>
        <v/>
      </c>
      <c r="M1687" s="53" t="str">
        <f t="shared" si="370"/>
        <v/>
      </c>
      <c r="N1687" s="53" t="str">
        <f t="shared" si="371"/>
        <v/>
      </c>
      <c r="O1687" s="53" t="str">
        <f t="shared" si="372"/>
        <v/>
      </c>
      <c r="P1687" s="53" t="str">
        <f t="shared" si="373"/>
        <v/>
      </c>
      <c r="Q1687" s="53" t="str">
        <f t="shared" si="374"/>
        <v/>
      </c>
      <c r="R1687" s="53" t="str">
        <f t="shared" si="375"/>
        <v/>
      </c>
      <c r="S1687" s="53" t="str">
        <f t="shared" si="376"/>
        <v/>
      </c>
      <c r="T1687" s="53" t="str">
        <f t="shared" si="377"/>
        <v/>
      </c>
    </row>
    <row r="1688" spans="1:20">
      <c r="A1688" s="47" t="str">
        <f>IF(archive!E1688="","",archive!E1688)</f>
        <v/>
      </c>
      <c r="B1688" s="48" t="str">
        <f t="shared" si="364"/>
        <v/>
      </c>
      <c r="C1688" s="49" t="str">
        <f>IF(archive!F1688="","",archive!F1688)</f>
        <v/>
      </c>
      <c r="D1688" s="50" t="str">
        <f t="shared" si="365"/>
        <v/>
      </c>
      <c r="E1688" s="50" t="str">
        <f t="shared" si="366"/>
        <v/>
      </c>
      <c r="F1688" s="47" t="str">
        <f>IF(COUNTA(archive!H1688:CI1688)=0,"",COUNTA(archive!H1688:CI1688))</f>
        <v/>
      </c>
      <c r="G1688" s="47" t="str">
        <f>IF(archive!G1688="","",archive!G1688)</f>
        <v/>
      </c>
      <c r="H1688" s="51" t="str">
        <f>IF(archive!CJ1688="","",archive!CJ1688)</f>
        <v/>
      </c>
      <c r="I1688" s="51" t="str">
        <f>IF(archive!CK1688="","",archive!CK1688)</f>
        <v/>
      </c>
      <c r="J1688" s="47" t="str">
        <f t="shared" si="367"/>
        <v/>
      </c>
      <c r="K1688" s="51" t="str">
        <f t="shared" si="368"/>
        <v/>
      </c>
      <c r="L1688" s="52" t="str">
        <f t="shared" si="369"/>
        <v/>
      </c>
      <c r="M1688" s="53" t="str">
        <f t="shared" si="370"/>
        <v/>
      </c>
      <c r="N1688" s="53" t="str">
        <f t="shared" si="371"/>
        <v/>
      </c>
      <c r="O1688" s="53" t="str">
        <f t="shared" si="372"/>
        <v/>
      </c>
      <c r="P1688" s="53" t="str">
        <f t="shared" si="373"/>
        <v/>
      </c>
      <c r="Q1688" s="53" t="str">
        <f t="shared" si="374"/>
        <v/>
      </c>
      <c r="R1688" s="53" t="str">
        <f t="shared" si="375"/>
        <v/>
      </c>
      <c r="S1688" s="53" t="str">
        <f t="shared" si="376"/>
        <v/>
      </c>
      <c r="T1688" s="53" t="str">
        <f t="shared" si="377"/>
        <v/>
      </c>
    </row>
    <row r="1689" spans="1:20">
      <c r="A1689" s="47" t="str">
        <f>IF(archive!E1689="","",archive!E1689)</f>
        <v/>
      </c>
      <c r="B1689" s="48" t="str">
        <f t="shared" si="364"/>
        <v/>
      </c>
      <c r="C1689" s="49" t="str">
        <f>IF(archive!F1689="","",archive!F1689)</f>
        <v/>
      </c>
      <c r="D1689" s="50" t="str">
        <f t="shared" si="365"/>
        <v/>
      </c>
      <c r="E1689" s="50" t="str">
        <f t="shared" si="366"/>
        <v/>
      </c>
      <c r="F1689" s="47" t="str">
        <f>IF(COUNTA(archive!H1689:CI1689)=0,"",COUNTA(archive!H1689:CI1689))</f>
        <v/>
      </c>
      <c r="G1689" s="47" t="str">
        <f>IF(archive!G1689="","",archive!G1689)</f>
        <v/>
      </c>
      <c r="H1689" s="51" t="str">
        <f>IF(archive!CJ1689="","",archive!CJ1689)</f>
        <v/>
      </c>
      <c r="I1689" s="51" t="str">
        <f>IF(archive!CK1689="","",archive!CK1689)</f>
        <v/>
      </c>
      <c r="J1689" s="47" t="str">
        <f t="shared" si="367"/>
        <v/>
      </c>
      <c r="K1689" s="51" t="str">
        <f t="shared" si="368"/>
        <v/>
      </c>
      <c r="L1689" s="52" t="str">
        <f t="shared" si="369"/>
        <v/>
      </c>
      <c r="M1689" s="53" t="str">
        <f t="shared" si="370"/>
        <v/>
      </c>
      <c r="N1689" s="53" t="str">
        <f t="shared" si="371"/>
        <v/>
      </c>
      <c r="O1689" s="53" t="str">
        <f t="shared" si="372"/>
        <v/>
      </c>
      <c r="P1689" s="53" t="str">
        <f t="shared" si="373"/>
        <v/>
      </c>
      <c r="Q1689" s="53" t="str">
        <f t="shared" si="374"/>
        <v/>
      </c>
      <c r="R1689" s="53" t="str">
        <f t="shared" si="375"/>
        <v/>
      </c>
      <c r="S1689" s="53" t="str">
        <f t="shared" si="376"/>
        <v/>
      </c>
      <c r="T1689" s="53" t="str">
        <f t="shared" si="377"/>
        <v/>
      </c>
    </row>
    <row r="1690" spans="1:20">
      <c r="A1690" s="47" t="str">
        <f>IF(archive!E1690="","",archive!E1690)</f>
        <v/>
      </c>
      <c r="B1690" s="48" t="str">
        <f t="shared" si="364"/>
        <v/>
      </c>
      <c r="C1690" s="49" t="str">
        <f>IF(archive!F1690="","",archive!F1690)</f>
        <v/>
      </c>
      <c r="D1690" s="50" t="str">
        <f t="shared" si="365"/>
        <v/>
      </c>
      <c r="E1690" s="50" t="str">
        <f t="shared" si="366"/>
        <v/>
      </c>
      <c r="F1690" s="47" t="str">
        <f>IF(COUNTA(archive!H1690:CI1690)=0,"",COUNTA(archive!H1690:CI1690))</f>
        <v/>
      </c>
      <c r="G1690" s="47" t="str">
        <f>IF(archive!G1690="","",archive!G1690)</f>
        <v/>
      </c>
      <c r="H1690" s="51" t="str">
        <f>IF(archive!CJ1690="","",archive!CJ1690)</f>
        <v/>
      </c>
      <c r="I1690" s="51" t="str">
        <f>IF(archive!CK1690="","",archive!CK1690)</f>
        <v/>
      </c>
      <c r="J1690" s="47" t="str">
        <f t="shared" si="367"/>
        <v/>
      </c>
      <c r="K1690" s="51" t="str">
        <f t="shared" si="368"/>
        <v/>
      </c>
      <c r="L1690" s="52" t="str">
        <f t="shared" si="369"/>
        <v/>
      </c>
      <c r="M1690" s="53" t="str">
        <f t="shared" si="370"/>
        <v/>
      </c>
      <c r="N1690" s="53" t="str">
        <f t="shared" si="371"/>
        <v/>
      </c>
      <c r="O1690" s="53" t="str">
        <f t="shared" si="372"/>
        <v/>
      </c>
      <c r="P1690" s="53" t="str">
        <f t="shared" si="373"/>
        <v/>
      </c>
      <c r="Q1690" s="53" t="str">
        <f t="shared" si="374"/>
        <v/>
      </c>
      <c r="R1690" s="53" t="str">
        <f t="shared" si="375"/>
        <v/>
      </c>
      <c r="S1690" s="53" t="str">
        <f t="shared" si="376"/>
        <v/>
      </c>
      <c r="T1690" s="53" t="str">
        <f t="shared" si="377"/>
        <v/>
      </c>
    </row>
    <row r="1691" spans="1:20">
      <c r="A1691" s="47" t="str">
        <f>IF(archive!E1691="","",archive!E1691)</f>
        <v/>
      </c>
      <c r="B1691" s="48" t="str">
        <f t="shared" si="364"/>
        <v/>
      </c>
      <c r="C1691" s="49" t="str">
        <f>IF(archive!F1691="","",archive!F1691)</f>
        <v/>
      </c>
      <c r="D1691" s="50" t="str">
        <f t="shared" si="365"/>
        <v/>
      </c>
      <c r="E1691" s="50" t="str">
        <f t="shared" si="366"/>
        <v/>
      </c>
      <c r="F1691" s="47" t="str">
        <f>IF(COUNTA(archive!H1691:CI1691)=0,"",COUNTA(archive!H1691:CI1691))</f>
        <v/>
      </c>
      <c r="G1691" s="47" t="str">
        <f>IF(archive!G1691="","",archive!G1691)</f>
        <v/>
      </c>
      <c r="H1691" s="51" t="str">
        <f>IF(archive!CJ1691="","",archive!CJ1691)</f>
        <v/>
      </c>
      <c r="I1691" s="51" t="str">
        <f>IF(archive!CK1691="","",archive!CK1691)</f>
        <v/>
      </c>
      <c r="J1691" s="47" t="str">
        <f t="shared" si="367"/>
        <v/>
      </c>
      <c r="K1691" s="51" t="str">
        <f t="shared" si="368"/>
        <v/>
      </c>
      <c r="L1691" s="52" t="str">
        <f t="shared" si="369"/>
        <v/>
      </c>
      <c r="M1691" s="53" t="str">
        <f t="shared" si="370"/>
        <v/>
      </c>
      <c r="N1691" s="53" t="str">
        <f t="shared" si="371"/>
        <v/>
      </c>
      <c r="O1691" s="53" t="str">
        <f t="shared" si="372"/>
        <v/>
      </c>
      <c r="P1691" s="53" t="str">
        <f t="shared" si="373"/>
        <v/>
      </c>
      <c r="Q1691" s="53" t="str">
        <f t="shared" si="374"/>
        <v/>
      </c>
      <c r="R1691" s="53" t="str">
        <f t="shared" si="375"/>
        <v/>
      </c>
      <c r="S1691" s="53" t="str">
        <f t="shared" si="376"/>
        <v/>
      </c>
      <c r="T1691" s="53" t="str">
        <f t="shared" si="377"/>
        <v/>
      </c>
    </row>
    <row r="1692" spans="1:20">
      <c r="A1692" s="47" t="str">
        <f>IF(archive!E1692="","",archive!E1692)</f>
        <v/>
      </c>
      <c r="B1692" s="48" t="str">
        <f t="shared" si="364"/>
        <v/>
      </c>
      <c r="C1692" s="49" t="str">
        <f>IF(archive!F1692="","",archive!F1692)</f>
        <v/>
      </c>
      <c r="D1692" s="50" t="str">
        <f t="shared" si="365"/>
        <v/>
      </c>
      <c r="E1692" s="50" t="str">
        <f t="shared" si="366"/>
        <v/>
      </c>
      <c r="F1692" s="47" t="str">
        <f>IF(COUNTA(archive!H1692:CI1692)=0,"",COUNTA(archive!H1692:CI1692))</f>
        <v/>
      </c>
      <c r="G1692" s="47" t="str">
        <f>IF(archive!G1692="","",archive!G1692)</f>
        <v/>
      </c>
      <c r="H1692" s="51" t="str">
        <f>IF(archive!CJ1692="","",archive!CJ1692)</f>
        <v/>
      </c>
      <c r="I1692" s="51" t="str">
        <f>IF(archive!CK1692="","",archive!CK1692)</f>
        <v/>
      </c>
      <c r="J1692" s="47" t="str">
        <f t="shared" si="367"/>
        <v/>
      </c>
      <c r="K1692" s="51" t="str">
        <f t="shared" si="368"/>
        <v/>
      </c>
      <c r="L1692" s="52" t="str">
        <f t="shared" si="369"/>
        <v/>
      </c>
      <c r="M1692" s="53" t="str">
        <f t="shared" si="370"/>
        <v/>
      </c>
      <c r="N1692" s="53" t="str">
        <f t="shared" si="371"/>
        <v/>
      </c>
      <c r="O1692" s="53" t="str">
        <f t="shared" si="372"/>
        <v/>
      </c>
      <c r="P1692" s="53" t="str">
        <f t="shared" si="373"/>
        <v/>
      </c>
      <c r="Q1692" s="53" t="str">
        <f t="shared" si="374"/>
        <v/>
      </c>
      <c r="R1692" s="53" t="str">
        <f t="shared" si="375"/>
        <v/>
      </c>
      <c r="S1692" s="53" t="str">
        <f t="shared" si="376"/>
        <v/>
      </c>
      <c r="T1692" s="53" t="str">
        <f t="shared" si="377"/>
        <v/>
      </c>
    </row>
    <row r="1693" spans="1:20">
      <c r="A1693" s="47" t="str">
        <f>IF(archive!E1693="","",archive!E1693)</f>
        <v/>
      </c>
      <c r="B1693" s="48" t="str">
        <f t="shared" si="364"/>
        <v/>
      </c>
      <c r="C1693" s="49" t="str">
        <f>IF(archive!F1693="","",archive!F1693)</f>
        <v/>
      </c>
      <c r="D1693" s="50" t="str">
        <f t="shared" si="365"/>
        <v/>
      </c>
      <c r="E1693" s="50" t="str">
        <f t="shared" si="366"/>
        <v/>
      </c>
      <c r="F1693" s="47" t="str">
        <f>IF(COUNTA(archive!H1693:CI1693)=0,"",COUNTA(archive!H1693:CI1693))</f>
        <v/>
      </c>
      <c r="G1693" s="47" t="str">
        <f>IF(archive!G1693="","",archive!G1693)</f>
        <v/>
      </c>
      <c r="H1693" s="51" t="str">
        <f>IF(archive!CJ1693="","",archive!CJ1693)</f>
        <v/>
      </c>
      <c r="I1693" s="51" t="str">
        <f>IF(archive!CK1693="","",archive!CK1693)</f>
        <v/>
      </c>
      <c r="J1693" s="47" t="str">
        <f t="shared" si="367"/>
        <v/>
      </c>
      <c r="K1693" s="51" t="str">
        <f t="shared" si="368"/>
        <v/>
      </c>
      <c r="L1693" s="52" t="str">
        <f t="shared" si="369"/>
        <v/>
      </c>
      <c r="M1693" s="53" t="str">
        <f t="shared" si="370"/>
        <v/>
      </c>
      <c r="N1693" s="53" t="str">
        <f t="shared" si="371"/>
        <v/>
      </c>
      <c r="O1693" s="53" t="str">
        <f t="shared" si="372"/>
        <v/>
      </c>
      <c r="P1693" s="53" t="str">
        <f t="shared" si="373"/>
        <v/>
      </c>
      <c r="Q1693" s="53" t="str">
        <f t="shared" si="374"/>
        <v/>
      </c>
      <c r="R1693" s="53" t="str">
        <f t="shared" si="375"/>
        <v/>
      </c>
      <c r="S1693" s="53" t="str">
        <f t="shared" si="376"/>
        <v/>
      </c>
      <c r="T1693" s="53" t="str">
        <f t="shared" si="377"/>
        <v/>
      </c>
    </row>
    <row r="1694" spans="1:20">
      <c r="A1694" s="47" t="str">
        <f>IF(archive!E1694="","",archive!E1694)</f>
        <v/>
      </c>
      <c r="B1694" s="48" t="str">
        <f t="shared" si="364"/>
        <v/>
      </c>
      <c r="C1694" s="49" t="str">
        <f>IF(archive!F1694="","",archive!F1694)</f>
        <v/>
      </c>
      <c r="D1694" s="50" t="str">
        <f t="shared" si="365"/>
        <v/>
      </c>
      <c r="E1694" s="50" t="str">
        <f t="shared" si="366"/>
        <v/>
      </c>
      <c r="F1694" s="47" t="str">
        <f>IF(COUNTA(archive!H1694:CI1694)=0,"",COUNTA(archive!H1694:CI1694))</f>
        <v/>
      </c>
      <c r="G1694" s="47" t="str">
        <f>IF(archive!G1694="","",archive!G1694)</f>
        <v/>
      </c>
      <c r="H1694" s="51" t="str">
        <f>IF(archive!CJ1694="","",archive!CJ1694)</f>
        <v/>
      </c>
      <c r="I1694" s="51" t="str">
        <f>IF(archive!CK1694="","",archive!CK1694)</f>
        <v/>
      </c>
      <c r="J1694" s="47" t="str">
        <f t="shared" si="367"/>
        <v/>
      </c>
      <c r="K1694" s="51" t="str">
        <f t="shared" si="368"/>
        <v/>
      </c>
      <c r="L1694" s="52" t="str">
        <f t="shared" si="369"/>
        <v/>
      </c>
      <c r="M1694" s="53" t="str">
        <f t="shared" si="370"/>
        <v/>
      </c>
      <c r="N1694" s="53" t="str">
        <f t="shared" si="371"/>
        <v/>
      </c>
      <c r="O1694" s="53" t="str">
        <f t="shared" si="372"/>
        <v/>
      </c>
      <c r="P1694" s="53" t="str">
        <f t="shared" si="373"/>
        <v/>
      </c>
      <c r="Q1694" s="53" t="str">
        <f t="shared" si="374"/>
        <v/>
      </c>
      <c r="R1694" s="53" t="str">
        <f t="shared" si="375"/>
        <v/>
      </c>
      <c r="S1694" s="53" t="str">
        <f t="shared" si="376"/>
        <v/>
      </c>
      <c r="T1694" s="53" t="str">
        <f t="shared" si="377"/>
        <v/>
      </c>
    </row>
    <row r="1695" spans="1:20">
      <c r="A1695" s="47" t="str">
        <f>IF(archive!E1695="","",archive!E1695)</f>
        <v/>
      </c>
      <c r="B1695" s="48" t="str">
        <f t="shared" si="364"/>
        <v/>
      </c>
      <c r="C1695" s="49" t="str">
        <f>IF(archive!F1695="","",archive!F1695)</f>
        <v/>
      </c>
      <c r="D1695" s="50" t="str">
        <f t="shared" si="365"/>
        <v/>
      </c>
      <c r="E1695" s="50" t="str">
        <f t="shared" si="366"/>
        <v/>
      </c>
      <c r="F1695" s="47" t="str">
        <f>IF(COUNTA(archive!H1695:CI1695)=0,"",COUNTA(archive!H1695:CI1695))</f>
        <v/>
      </c>
      <c r="G1695" s="47" t="str">
        <f>IF(archive!G1695="","",archive!G1695)</f>
        <v/>
      </c>
      <c r="H1695" s="51" t="str">
        <f>IF(archive!CJ1695="","",archive!CJ1695)</f>
        <v/>
      </c>
      <c r="I1695" s="51" t="str">
        <f>IF(archive!CK1695="","",archive!CK1695)</f>
        <v/>
      </c>
      <c r="J1695" s="47" t="str">
        <f t="shared" si="367"/>
        <v/>
      </c>
      <c r="K1695" s="51" t="str">
        <f t="shared" si="368"/>
        <v/>
      </c>
      <c r="L1695" s="52" t="str">
        <f t="shared" si="369"/>
        <v/>
      </c>
      <c r="M1695" s="53" t="str">
        <f t="shared" si="370"/>
        <v/>
      </c>
      <c r="N1695" s="53" t="str">
        <f t="shared" si="371"/>
        <v/>
      </c>
      <c r="O1695" s="53" t="str">
        <f t="shared" si="372"/>
        <v/>
      </c>
      <c r="P1695" s="53" t="str">
        <f t="shared" si="373"/>
        <v/>
      </c>
      <c r="Q1695" s="53" t="str">
        <f t="shared" si="374"/>
        <v/>
      </c>
      <c r="R1695" s="53" t="str">
        <f t="shared" si="375"/>
        <v/>
      </c>
      <c r="S1695" s="53" t="str">
        <f t="shared" si="376"/>
        <v/>
      </c>
      <c r="T1695" s="53" t="str">
        <f t="shared" si="377"/>
        <v/>
      </c>
    </row>
    <row r="1696" spans="1:20">
      <c r="A1696" s="47" t="str">
        <f>IF(archive!E1696="","",archive!E1696)</f>
        <v/>
      </c>
      <c r="B1696" s="48" t="str">
        <f t="shared" si="364"/>
        <v/>
      </c>
      <c r="C1696" s="49" t="str">
        <f>IF(archive!F1696="","",archive!F1696)</f>
        <v/>
      </c>
      <c r="D1696" s="50" t="str">
        <f t="shared" si="365"/>
        <v/>
      </c>
      <c r="E1696" s="50" t="str">
        <f t="shared" si="366"/>
        <v/>
      </c>
      <c r="F1696" s="47" t="str">
        <f>IF(COUNTA(archive!H1696:CI1696)=0,"",COUNTA(archive!H1696:CI1696))</f>
        <v/>
      </c>
      <c r="G1696" s="47" t="str">
        <f>IF(archive!G1696="","",archive!G1696)</f>
        <v/>
      </c>
      <c r="H1696" s="51" t="str">
        <f>IF(archive!CJ1696="","",archive!CJ1696)</f>
        <v/>
      </c>
      <c r="I1696" s="51" t="str">
        <f>IF(archive!CK1696="","",archive!CK1696)</f>
        <v/>
      </c>
      <c r="J1696" s="47" t="str">
        <f t="shared" si="367"/>
        <v/>
      </c>
      <c r="K1696" s="51" t="str">
        <f t="shared" si="368"/>
        <v/>
      </c>
      <c r="L1696" s="52" t="str">
        <f t="shared" si="369"/>
        <v/>
      </c>
      <c r="M1696" s="53" t="str">
        <f t="shared" si="370"/>
        <v/>
      </c>
      <c r="N1696" s="53" t="str">
        <f t="shared" si="371"/>
        <v/>
      </c>
      <c r="O1696" s="53" t="str">
        <f t="shared" si="372"/>
        <v/>
      </c>
      <c r="P1696" s="53" t="str">
        <f t="shared" si="373"/>
        <v/>
      </c>
      <c r="Q1696" s="53" t="str">
        <f t="shared" si="374"/>
        <v/>
      </c>
      <c r="R1696" s="53" t="str">
        <f t="shared" si="375"/>
        <v/>
      </c>
      <c r="S1696" s="53" t="str">
        <f t="shared" si="376"/>
        <v/>
      </c>
      <c r="T1696" s="53" t="str">
        <f t="shared" si="377"/>
        <v/>
      </c>
    </row>
    <row r="1697" spans="1:20">
      <c r="A1697" s="47" t="str">
        <f>IF(archive!E1697="","",archive!E1697)</f>
        <v/>
      </c>
      <c r="B1697" s="48" t="str">
        <f t="shared" si="364"/>
        <v/>
      </c>
      <c r="C1697" s="49" t="str">
        <f>IF(archive!F1697="","",archive!F1697)</f>
        <v/>
      </c>
      <c r="D1697" s="50" t="str">
        <f t="shared" si="365"/>
        <v/>
      </c>
      <c r="E1697" s="50" t="str">
        <f t="shared" si="366"/>
        <v/>
      </c>
      <c r="F1697" s="47" t="str">
        <f>IF(COUNTA(archive!H1697:CI1697)=0,"",COUNTA(archive!H1697:CI1697))</f>
        <v/>
      </c>
      <c r="G1697" s="47" t="str">
        <f>IF(archive!G1697="","",archive!G1697)</f>
        <v/>
      </c>
      <c r="H1697" s="51" t="str">
        <f>IF(archive!CJ1697="","",archive!CJ1697)</f>
        <v/>
      </c>
      <c r="I1697" s="51" t="str">
        <f>IF(archive!CK1697="","",archive!CK1697)</f>
        <v/>
      </c>
      <c r="J1697" s="47" t="str">
        <f t="shared" si="367"/>
        <v/>
      </c>
      <c r="K1697" s="51" t="str">
        <f t="shared" si="368"/>
        <v/>
      </c>
      <c r="L1697" s="52" t="str">
        <f t="shared" si="369"/>
        <v/>
      </c>
      <c r="M1697" s="53" t="str">
        <f t="shared" si="370"/>
        <v/>
      </c>
      <c r="N1697" s="53" t="str">
        <f t="shared" si="371"/>
        <v/>
      </c>
      <c r="O1697" s="53" t="str">
        <f t="shared" si="372"/>
        <v/>
      </c>
      <c r="P1697" s="53" t="str">
        <f t="shared" si="373"/>
        <v/>
      </c>
      <c r="Q1697" s="53" t="str">
        <f t="shared" si="374"/>
        <v/>
      </c>
      <c r="R1697" s="53" t="str">
        <f t="shared" si="375"/>
        <v/>
      </c>
      <c r="S1697" s="53" t="str">
        <f t="shared" si="376"/>
        <v/>
      </c>
      <c r="T1697" s="53" t="str">
        <f t="shared" si="377"/>
        <v/>
      </c>
    </row>
    <row r="1698" spans="1:20">
      <c r="A1698" s="47" t="str">
        <f>IF(archive!E1698="","",archive!E1698)</f>
        <v/>
      </c>
      <c r="B1698" s="48" t="str">
        <f t="shared" si="364"/>
        <v/>
      </c>
      <c r="C1698" s="49" t="str">
        <f>IF(archive!F1698="","",archive!F1698)</f>
        <v/>
      </c>
      <c r="D1698" s="50" t="str">
        <f t="shared" si="365"/>
        <v/>
      </c>
      <c r="E1698" s="50" t="str">
        <f t="shared" si="366"/>
        <v/>
      </c>
      <c r="F1698" s="47" t="str">
        <f>IF(COUNTA(archive!H1698:CI1698)=0,"",COUNTA(archive!H1698:CI1698))</f>
        <v/>
      </c>
      <c r="G1698" s="47" t="str">
        <f>IF(archive!G1698="","",archive!G1698)</f>
        <v/>
      </c>
      <c r="H1698" s="51" t="str">
        <f>IF(archive!CJ1698="","",archive!CJ1698)</f>
        <v/>
      </c>
      <c r="I1698" s="51" t="str">
        <f>IF(archive!CK1698="","",archive!CK1698)</f>
        <v/>
      </c>
      <c r="J1698" s="47" t="str">
        <f t="shared" si="367"/>
        <v/>
      </c>
      <c r="K1698" s="51" t="str">
        <f t="shared" si="368"/>
        <v/>
      </c>
      <c r="L1698" s="52" t="str">
        <f t="shared" si="369"/>
        <v/>
      </c>
      <c r="M1698" s="53" t="str">
        <f t="shared" si="370"/>
        <v/>
      </c>
      <c r="N1698" s="53" t="str">
        <f t="shared" si="371"/>
        <v/>
      </c>
      <c r="O1698" s="53" t="str">
        <f t="shared" si="372"/>
        <v/>
      </c>
      <c r="P1698" s="53" t="str">
        <f t="shared" si="373"/>
        <v/>
      </c>
      <c r="Q1698" s="53" t="str">
        <f t="shared" si="374"/>
        <v/>
      </c>
      <c r="R1698" s="53" t="str">
        <f t="shared" si="375"/>
        <v/>
      </c>
      <c r="S1698" s="53" t="str">
        <f t="shared" si="376"/>
        <v/>
      </c>
      <c r="T1698" s="53" t="str">
        <f t="shared" si="377"/>
        <v/>
      </c>
    </row>
    <row r="1699" spans="1:20">
      <c r="A1699" s="47" t="str">
        <f>IF(archive!E1699="","",archive!E1699)</f>
        <v/>
      </c>
      <c r="B1699" s="48" t="str">
        <f t="shared" si="364"/>
        <v/>
      </c>
      <c r="C1699" s="49" t="str">
        <f>IF(archive!F1699="","",archive!F1699)</f>
        <v/>
      </c>
      <c r="D1699" s="50" t="str">
        <f t="shared" si="365"/>
        <v/>
      </c>
      <c r="E1699" s="50" t="str">
        <f t="shared" si="366"/>
        <v/>
      </c>
      <c r="F1699" s="47" t="str">
        <f>IF(COUNTA(archive!H1699:CI1699)=0,"",COUNTA(archive!H1699:CI1699))</f>
        <v/>
      </c>
      <c r="G1699" s="47" t="str">
        <f>IF(archive!G1699="","",archive!G1699)</f>
        <v/>
      </c>
      <c r="H1699" s="51" t="str">
        <f>IF(archive!CJ1699="","",archive!CJ1699)</f>
        <v/>
      </c>
      <c r="I1699" s="51" t="str">
        <f>IF(archive!CK1699="","",archive!CK1699)</f>
        <v/>
      </c>
      <c r="J1699" s="47" t="str">
        <f t="shared" si="367"/>
        <v/>
      </c>
      <c r="K1699" s="51" t="str">
        <f t="shared" si="368"/>
        <v/>
      </c>
      <c r="L1699" s="52" t="str">
        <f t="shared" si="369"/>
        <v/>
      </c>
      <c r="M1699" s="53" t="str">
        <f t="shared" si="370"/>
        <v/>
      </c>
      <c r="N1699" s="53" t="str">
        <f t="shared" si="371"/>
        <v/>
      </c>
      <c r="O1699" s="53" t="str">
        <f t="shared" si="372"/>
        <v/>
      </c>
      <c r="P1699" s="53" t="str">
        <f t="shared" si="373"/>
        <v/>
      </c>
      <c r="Q1699" s="53" t="str">
        <f t="shared" si="374"/>
        <v/>
      </c>
      <c r="R1699" s="53" t="str">
        <f t="shared" si="375"/>
        <v/>
      </c>
      <c r="S1699" s="53" t="str">
        <f t="shared" si="376"/>
        <v/>
      </c>
      <c r="T1699" s="53" t="str">
        <f t="shared" si="377"/>
        <v/>
      </c>
    </row>
    <row r="1700" spans="1:20">
      <c r="A1700" s="47" t="str">
        <f>IF(archive!E1700="","",archive!E1700)</f>
        <v/>
      </c>
      <c r="B1700" s="48" t="str">
        <f t="shared" si="364"/>
        <v/>
      </c>
      <c r="C1700" s="49" t="str">
        <f>IF(archive!F1700="","",archive!F1700)</f>
        <v/>
      </c>
      <c r="D1700" s="50" t="str">
        <f t="shared" si="365"/>
        <v/>
      </c>
      <c r="E1700" s="50" t="str">
        <f t="shared" si="366"/>
        <v/>
      </c>
      <c r="F1700" s="47" t="str">
        <f>IF(COUNTA(archive!H1700:CI1700)=0,"",COUNTA(archive!H1700:CI1700))</f>
        <v/>
      </c>
      <c r="G1700" s="47" t="str">
        <f>IF(archive!G1700="","",archive!G1700)</f>
        <v/>
      </c>
      <c r="H1700" s="51" t="str">
        <f>IF(archive!CJ1700="","",archive!CJ1700)</f>
        <v/>
      </c>
      <c r="I1700" s="51" t="str">
        <f>IF(archive!CK1700="","",archive!CK1700)</f>
        <v/>
      </c>
      <c r="J1700" s="47" t="str">
        <f t="shared" si="367"/>
        <v/>
      </c>
      <c r="K1700" s="51" t="str">
        <f t="shared" si="368"/>
        <v/>
      </c>
      <c r="L1700" s="52" t="str">
        <f t="shared" si="369"/>
        <v/>
      </c>
      <c r="M1700" s="53" t="str">
        <f t="shared" si="370"/>
        <v/>
      </c>
      <c r="N1700" s="53" t="str">
        <f t="shared" si="371"/>
        <v/>
      </c>
      <c r="O1700" s="53" t="str">
        <f t="shared" si="372"/>
        <v/>
      </c>
      <c r="P1700" s="53" t="str">
        <f t="shared" si="373"/>
        <v/>
      </c>
      <c r="Q1700" s="53" t="str">
        <f t="shared" si="374"/>
        <v/>
      </c>
      <c r="R1700" s="53" t="str">
        <f t="shared" si="375"/>
        <v/>
      </c>
      <c r="S1700" s="53" t="str">
        <f t="shared" si="376"/>
        <v/>
      </c>
      <c r="T1700" s="53" t="str">
        <f t="shared" si="377"/>
        <v/>
      </c>
    </row>
    <row r="1701" spans="1:20">
      <c r="A1701" s="47" t="str">
        <f>IF(archive!E1701="","",archive!E1701)</f>
        <v/>
      </c>
      <c r="B1701" s="48" t="str">
        <f t="shared" si="364"/>
        <v/>
      </c>
      <c r="C1701" s="49" t="str">
        <f>IF(archive!F1701="","",archive!F1701)</f>
        <v/>
      </c>
      <c r="D1701" s="50" t="str">
        <f t="shared" si="365"/>
        <v/>
      </c>
      <c r="E1701" s="50" t="str">
        <f t="shared" si="366"/>
        <v/>
      </c>
      <c r="F1701" s="47" t="str">
        <f>IF(COUNTA(archive!H1701:CI1701)=0,"",COUNTA(archive!H1701:CI1701))</f>
        <v/>
      </c>
      <c r="G1701" s="47" t="str">
        <f>IF(archive!G1701="","",archive!G1701)</f>
        <v/>
      </c>
      <c r="H1701" s="51" t="str">
        <f>IF(archive!CJ1701="","",archive!CJ1701)</f>
        <v/>
      </c>
      <c r="I1701" s="51" t="str">
        <f>IF(archive!CK1701="","",archive!CK1701)</f>
        <v/>
      </c>
      <c r="J1701" s="47" t="str">
        <f t="shared" si="367"/>
        <v/>
      </c>
      <c r="K1701" s="51" t="str">
        <f t="shared" si="368"/>
        <v/>
      </c>
      <c r="L1701" s="52" t="str">
        <f t="shared" si="369"/>
        <v/>
      </c>
      <c r="M1701" s="53" t="str">
        <f t="shared" si="370"/>
        <v/>
      </c>
      <c r="N1701" s="53" t="str">
        <f t="shared" si="371"/>
        <v/>
      </c>
      <c r="O1701" s="53" t="str">
        <f t="shared" si="372"/>
        <v/>
      </c>
      <c r="P1701" s="53" t="str">
        <f t="shared" si="373"/>
        <v/>
      </c>
      <c r="Q1701" s="53" t="str">
        <f t="shared" si="374"/>
        <v/>
      </c>
      <c r="R1701" s="53" t="str">
        <f t="shared" si="375"/>
        <v/>
      </c>
      <c r="S1701" s="53" t="str">
        <f t="shared" si="376"/>
        <v/>
      </c>
      <c r="T1701" s="53" t="str">
        <f t="shared" si="377"/>
        <v/>
      </c>
    </row>
    <row r="1702" spans="1:20">
      <c r="A1702" s="47" t="str">
        <f>IF(archive!E1702="","",archive!E1702)</f>
        <v/>
      </c>
      <c r="B1702" s="48" t="str">
        <f t="shared" si="364"/>
        <v/>
      </c>
      <c r="C1702" s="49" t="str">
        <f>IF(archive!F1702="","",archive!F1702)</f>
        <v/>
      </c>
      <c r="D1702" s="50" t="str">
        <f t="shared" si="365"/>
        <v/>
      </c>
      <c r="E1702" s="50" t="str">
        <f t="shared" si="366"/>
        <v/>
      </c>
      <c r="F1702" s="47" t="str">
        <f>IF(COUNTA(archive!H1702:CI1702)=0,"",COUNTA(archive!H1702:CI1702))</f>
        <v/>
      </c>
      <c r="G1702" s="47" t="str">
        <f>IF(archive!G1702="","",archive!G1702)</f>
        <v/>
      </c>
      <c r="H1702" s="51" t="str">
        <f>IF(archive!CJ1702="","",archive!CJ1702)</f>
        <v/>
      </c>
      <c r="I1702" s="51" t="str">
        <f>IF(archive!CK1702="","",archive!CK1702)</f>
        <v/>
      </c>
      <c r="J1702" s="47" t="str">
        <f t="shared" si="367"/>
        <v/>
      </c>
      <c r="K1702" s="51" t="str">
        <f t="shared" si="368"/>
        <v/>
      </c>
      <c r="L1702" s="52" t="str">
        <f t="shared" si="369"/>
        <v/>
      </c>
      <c r="M1702" s="53" t="str">
        <f t="shared" si="370"/>
        <v/>
      </c>
      <c r="N1702" s="53" t="str">
        <f t="shared" si="371"/>
        <v/>
      </c>
      <c r="O1702" s="53" t="str">
        <f t="shared" si="372"/>
        <v/>
      </c>
      <c r="P1702" s="53" t="str">
        <f t="shared" si="373"/>
        <v/>
      </c>
      <c r="Q1702" s="53" t="str">
        <f t="shared" si="374"/>
        <v/>
      </c>
      <c r="R1702" s="53" t="str">
        <f t="shared" si="375"/>
        <v/>
      </c>
      <c r="S1702" s="53" t="str">
        <f t="shared" si="376"/>
        <v/>
      </c>
      <c r="T1702" s="53" t="str">
        <f t="shared" si="377"/>
        <v/>
      </c>
    </row>
    <row r="1703" spans="1:20">
      <c r="A1703" s="47" t="str">
        <f>IF(archive!E1703="","",archive!E1703)</f>
        <v/>
      </c>
      <c r="B1703" s="48" t="str">
        <f t="shared" si="364"/>
        <v/>
      </c>
      <c r="C1703" s="49" t="str">
        <f>IF(archive!F1703="","",archive!F1703)</f>
        <v/>
      </c>
      <c r="D1703" s="50" t="str">
        <f t="shared" si="365"/>
        <v/>
      </c>
      <c r="E1703" s="50" t="str">
        <f t="shared" si="366"/>
        <v/>
      </c>
      <c r="F1703" s="47" t="str">
        <f>IF(COUNTA(archive!H1703:CI1703)=0,"",COUNTA(archive!H1703:CI1703))</f>
        <v/>
      </c>
      <c r="G1703" s="47" t="str">
        <f>IF(archive!G1703="","",archive!G1703)</f>
        <v/>
      </c>
      <c r="H1703" s="51" t="str">
        <f>IF(archive!CJ1703="","",archive!CJ1703)</f>
        <v/>
      </c>
      <c r="I1703" s="51" t="str">
        <f>IF(archive!CK1703="","",archive!CK1703)</f>
        <v/>
      </c>
      <c r="J1703" s="47" t="str">
        <f t="shared" si="367"/>
        <v/>
      </c>
      <c r="K1703" s="51" t="str">
        <f t="shared" si="368"/>
        <v/>
      </c>
      <c r="L1703" s="52" t="str">
        <f t="shared" si="369"/>
        <v/>
      </c>
      <c r="M1703" s="53" t="str">
        <f t="shared" si="370"/>
        <v/>
      </c>
      <c r="N1703" s="53" t="str">
        <f t="shared" si="371"/>
        <v/>
      </c>
      <c r="O1703" s="53" t="str">
        <f t="shared" si="372"/>
        <v/>
      </c>
      <c r="P1703" s="53" t="str">
        <f t="shared" si="373"/>
        <v/>
      </c>
      <c r="Q1703" s="53" t="str">
        <f t="shared" si="374"/>
        <v/>
      </c>
      <c r="R1703" s="53" t="str">
        <f t="shared" si="375"/>
        <v/>
      </c>
      <c r="S1703" s="53" t="str">
        <f t="shared" si="376"/>
        <v/>
      </c>
      <c r="T1703" s="53" t="str">
        <f t="shared" si="377"/>
        <v/>
      </c>
    </row>
    <row r="1704" spans="1:20">
      <c r="A1704" s="47" t="str">
        <f>IF(archive!E1704="","",archive!E1704)</f>
        <v/>
      </c>
      <c r="B1704" s="48" t="str">
        <f t="shared" si="364"/>
        <v/>
      </c>
      <c r="C1704" s="49" t="str">
        <f>IF(archive!F1704="","",archive!F1704)</f>
        <v/>
      </c>
      <c r="D1704" s="50" t="str">
        <f t="shared" si="365"/>
        <v/>
      </c>
      <c r="E1704" s="50" t="str">
        <f t="shared" si="366"/>
        <v/>
      </c>
      <c r="F1704" s="47" t="str">
        <f>IF(COUNTA(archive!H1704:CI1704)=0,"",COUNTA(archive!H1704:CI1704))</f>
        <v/>
      </c>
      <c r="G1704" s="47" t="str">
        <f>IF(archive!G1704="","",archive!G1704)</f>
        <v/>
      </c>
      <c r="H1704" s="51" t="str">
        <f>IF(archive!CJ1704="","",archive!CJ1704)</f>
        <v/>
      </c>
      <c r="I1704" s="51" t="str">
        <f>IF(archive!CK1704="","",archive!CK1704)</f>
        <v/>
      </c>
      <c r="J1704" s="47" t="str">
        <f t="shared" si="367"/>
        <v/>
      </c>
      <c r="K1704" s="51" t="str">
        <f t="shared" si="368"/>
        <v/>
      </c>
      <c r="L1704" s="52" t="str">
        <f t="shared" si="369"/>
        <v/>
      </c>
      <c r="M1704" s="53" t="str">
        <f t="shared" si="370"/>
        <v/>
      </c>
      <c r="N1704" s="53" t="str">
        <f t="shared" si="371"/>
        <v/>
      </c>
      <c r="O1704" s="53" t="str">
        <f t="shared" si="372"/>
        <v/>
      </c>
      <c r="P1704" s="53" t="str">
        <f t="shared" si="373"/>
        <v/>
      </c>
      <c r="Q1704" s="53" t="str">
        <f t="shared" si="374"/>
        <v/>
      </c>
      <c r="R1704" s="53" t="str">
        <f t="shared" si="375"/>
        <v/>
      </c>
      <c r="S1704" s="53" t="str">
        <f t="shared" si="376"/>
        <v/>
      </c>
      <c r="T1704" s="53" t="str">
        <f t="shared" si="377"/>
        <v/>
      </c>
    </row>
    <row r="1705" spans="1:20">
      <c r="A1705" s="47" t="str">
        <f>IF(archive!E1705="","",archive!E1705)</f>
        <v/>
      </c>
      <c r="B1705" s="48" t="str">
        <f t="shared" si="364"/>
        <v/>
      </c>
      <c r="C1705" s="49" t="str">
        <f>IF(archive!F1705="","",archive!F1705)</f>
        <v/>
      </c>
      <c r="D1705" s="50" t="str">
        <f t="shared" si="365"/>
        <v/>
      </c>
      <c r="E1705" s="50" t="str">
        <f t="shared" si="366"/>
        <v/>
      </c>
      <c r="F1705" s="47" t="str">
        <f>IF(COUNTA(archive!H1705:CI1705)=0,"",COUNTA(archive!H1705:CI1705))</f>
        <v/>
      </c>
      <c r="G1705" s="47" t="str">
        <f>IF(archive!G1705="","",archive!G1705)</f>
        <v/>
      </c>
      <c r="H1705" s="51" t="str">
        <f>IF(archive!CJ1705="","",archive!CJ1705)</f>
        <v/>
      </c>
      <c r="I1705" s="51" t="str">
        <f>IF(archive!CK1705="","",archive!CK1705)</f>
        <v/>
      </c>
      <c r="J1705" s="47" t="str">
        <f t="shared" si="367"/>
        <v/>
      </c>
      <c r="K1705" s="51" t="str">
        <f t="shared" si="368"/>
        <v/>
      </c>
      <c r="L1705" s="52" t="str">
        <f t="shared" si="369"/>
        <v/>
      </c>
      <c r="M1705" s="53" t="str">
        <f t="shared" si="370"/>
        <v/>
      </c>
      <c r="N1705" s="53" t="str">
        <f t="shared" si="371"/>
        <v/>
      </c>
      <c r="O1705" s="53" t="str">
        <f t="shared" si="372"/>
        <v/>
      </c>
      <c r="P1705" s="53" t="str">
        <f t="shared" si="373"/>
        <v/>
      </c>
      <c r="Q1705" s="53" t="str">
        <f t="shared" si="374"/>
        <v/>
      </c>
      <c r="R1705" s="53" t="str">
        <f t="shared" si="375"/>
        <v/>
      </c>
      <c r="S1705" s="53" t="str">
        <f t="shared" si="376"/>
        <v/>
      </c>
      <c r="T1705" s="53" t="str">
        <f t="shared" si="377"/>
        <v/>
      </c>
    </row>
    <row r="1706" spans="1:20">
      <c r="A1706" s="47" t="str">
        <f>IF(archive!E1706="","",archive!E1706)</f>
        <v/>
      </c>
      <c r="B1706" s="48" t="str">
        <f t="shared" si="364"/>
        <v/>
      </c>
      <c r="C1706" s="49" t="str">
        <f>IF(archive!F1706="","",archive!F1706)</f>
        <v/>
      </c>
      <c r="D1706" s="50" t="str">
        <f t="shared" si="365"/>
        <v/>
      </c>
      <c r="E1706" s="50" t="str">
        <f t="shared" si="366"/>
        <v/>
      </c>
      <c r="F1706" s="47" t="str">
        <f>IF(COUNTA(archive!H1706:CI1706)=0,"",COUNTA(archive!H1706:CI1706))</f>
        <v/>
      </c>
      <c r="G1706" s="47" t="str">
        <f>IF(archive!G1706="","",archive!G1706)</f>
        <v/>
      </c>
      <c r="H1706" s="51" t="str">
        <f>IF(archive!CJ1706="","",archive!CJ1706)</f>
        <v/>
      </c>
      <c r="I1706" s="51" t="str">
        <f>IF(archive!CK1706="","",archive!CK1706)</f>
        <v/>
      </c>
      <c r="J1706" s="47" t="str">
        <f t="shared" si="367"/>
        <v/>
      </c>
      <c r="K1706" s="51" t="str">
        <f t="shared" si="368"/>
        <v/>
      </c>
      <c r="L1706" s="52" t="str">
        <f t="shared" si="369"/>
        <v/>
      </c>
      <c r="M1706" s="53" t="str">
        <f t="shared" si="370"/>
        <v/>
      </c>
      <c r="N1706" s="53" t="str">
        <f t="shared" si="371"/>
        <v/>
      </c>
      <c r="O1706" s="53" t="str">
        <f t="shared" si="372"/>
        <v/>
      </c>
      <c r="P1706" s="53" t="str">
        <f t="shared" si="373"/>
        <v/>
      </c>
      <c r="Q1706" s="53" t="str">
        <f t="shared" si="374"/>
        <v/>
      </c>
      <c r="R1706" s="53" t="str">
        <f t="shared" si="375"/>
        <v/>
      </c>
      <c r="S1706" s="53" t="str">
        <f t="shared" si="376"/>
        <v/>
      </c>
      <c r="T1706" s="53" t="str">
        <f t="shared" si="377"/>
        <v/>
      </c>
    </row>
    <row r="1707" spans="1:20">
      <c r="A1707" s="47" t="str">
        <f>IF(archive!E1707="","",archive!E1707)</f>
        <v/>
      </c>
      <c r="B1707" s="48" t="str">
        <f t="shared" si="364"/>
        <v/>
      </c>
      <c r="C1707" s="49" t="str">
        <f>IF(archive!F1707="","",archive!F1707)</f>
        <v/>
      </c>
      <c r="D1707" s="50" t="str">
        <f t="shared" si="365"/>
        <v/>
      </c>
      <c r="E1707" s="50" t="str">
        <f t="shared" si="366"/>
        <v/>
      </c>
      <c r="F1707" s="47" t="str">
        <f>IF(COUNTA(archive!H1707:CI1707)=0,"",COUNTA(archive!H1707:CI1707))</f>
        <v/>
      </c>
      <c r="G1707" s="47" t="str">
        <f>IF(archive!G1707="","",archive!G1707)</f>
        <v/>
      </c>
      <c r="H1707" s="51" t="str">
        <f>IF(archive!CJ1707="","",archive!CJ1707)</f>
        <v/>
      </c>
      <c r="I1707" s="51" t="str">
        <f>IF(archive!CK1707="","",archive!CK1707)</f>
        <v/>
      </c>
      <c r="J1707" s="47" t="str">
        <f t="shared" si="367"/>
        <v/>
      </c>
      <c r="K1707" s="51" t="str">
        <f t="shared" si="368"/>
        <v/>
      </c>
      <c r="L1707" s="52" t="str">
        <f t="shared" si="369"/>
        <v/>
      </c>
      <c r="M1707" s="53" t="str">
        <f t="shared" si="370"/>
        <v/>
      </c>
      <c r="N1707" s="53" t="str">
        <f t="shared" si="371"/>
        <v/>
      </c>
      <c r="O1707" s="53" t="str">
        <f t="shared" si="372"/>
        <v/>
      </c>
      <c r="P1707" s="53" t="str">
        <f t="shared" si="373"/>
        <v/>
      </c>
      <c r="Q1707" s="53" t="str">
        <f t="shared" si="374"/>
        <v/>
      </c>
      <c r="R1707" s="53" t="str">
        <f t="shared" si="375"/>
        <v/>
      </c>
      <c r="S1707" s="53" t="str">
        <f t="shared" si="376"/>
        <v/>
      </c>
      <c r="T1707" s="53" t="str">
        <f t="shared" si="377"/>
        <v/>
      </c>
    </row>
    <row r="1708" spans="1:20">
      <c r="A1708" s="47" t="str">
        <f>IF(archive!E1708="","",archive!E1708)</f>
        <v/>
      </c>
      <c r="B1708" s="48" t="str">
        <f t="shared" si="364"/>
        <v/>
      </c>
      <c r="C1708" s="49" t="str">
        <f>IF(archive!F1708="","",archive!F1708)</f>
        <v/>
      </c>
      <c r="D1708" s="50" t="str">
        <f t="shared" si="365"/>
        <v/>
      </c>
      <c r="E1708" s="50" t="str">
        <f t="shared" si="366"/>
        <v/>
      </c>
      <c r="F1708" s="47" t="str">
        <f>IF(COUNTA(archive!H1708:CI1708)=0,"",COUNTA(archive!H1708:CI1708))</f>
        <v/>
      </c>
      <c r="G1708" s="47" t="str">
        <f>IF(archive!G1708="","",archive!G1708)</f>
        <v/>
      </c>
      <c r="H1708" s="51" t="str">
        <f>IF(archive!CJ1708="","",archive!CJ1708)</f>
        <v/>
      </c>
      <c r="I1708" s="51" t="str">
        <f>IF(archive!CK1708="","",archive!CK1708)</f>
        <v/>
      </c>
      <c r="J1708" s="47" t="str">
        <f t="shared" si="367"/>
        <v/>
      </c>
      <c r="K1708" s="51" t="str">
        <f t="shared" si="368"/>
        <v/>
      </c>
      <c r="L1708" s="52" t="str">
        <f t="shared" si="369"/>
        <v/>
      </c>
      <c r="M1708" s="53" t="str">
        <f t="shared" si="370"/>
        <v/>
      </c>
      <c r="N1708" s="53" t="str">
        <f t="shared" si="371"/>
        <v/>
      </c>
      <c r="O1708" s="53" t="str">
        <f t="shared" si="372"/>
        <v/>
      </c>
      <c r="P1708" s="53" t="str">
        <f t="shared" si="373"/>
        <v/>
      </c>
      <c r="Q1708" s="53" t="str">
        <f t="shared" si="374"/>
        <v/>
      </c>
      <c r="R1708" s="53" t="str">
        <f t="shared" si="375"/>
        <v/>
      </c>
      <c r="S1708" s="53" t="str">
        <f t="shared" si="376"/>
        <v/>
      </c>
      <c r="T1708" s="53" t="str">
        <f t="shared" si="377"/>
        <v/>
      </c>
    </row>
    <row r="1709" spans="1:20">
      <c r="A1709" s="47" t="str">
        <f>IF(archive!E1709="","",archive!E1709)</f>
        <v/>
      </c>
      <c r="B1709" s="48" t="str">
        <f t="shared" si="364"/>
        <v/>
      </c>
      <c r="C1709" s="49" t="str">
        <f>IF(archive!F1709="","",archive!F1709)</f>
        <v/>
      </c>
      <c r="D1709" s="50" t="str">
        <f t="shared" si="365"/>
        <v/>
      </c>
      <c r="E1709" s="50" t="str">
        <f t="shared" si="366"/>
        <v/>
      </c>
      <c r="F1709" s="47" t="str">
        <f>IF(COUNTA(archive!H1709:CI1709)=0,"",COUNTA(archive!H1709:CI1709))</f>
        <v/>
      </c>
      <c r="G1709" s="47" t="str">
        <f>IF(archive!G1709="","",archive!G1709)</f>
        <v/>
      </c>
      <c r="H1709" s="51" t="str">
        <f>IF(archive!CJ1709="","",archive!CJ1709)</f>
        <v/>
      </c>
      <c r="I1709" s="51" t="str">
        <f>IF(archive!CK1709="","",archive!CK1709)</f>
        <v/>
      </c>
      <c r="J1709" s="47" t="str">
        <f t="shared" si="367"/>
        <v/>
      </c>
      <c r="K1709" s="51" t="str">
        <f t="shared" si="368"/>
        <v/>
      </c>
      <c r="L1709" s="52" t="str">
        <f t="shared" si="369"/>
        <v/>
      </c>
      <c r="M1709" s="53" t="str">
        <f t="shared" si="370"/>
        <v/>
      </c>
      <c r="N1709" s="53" t="str">
        <f t="shared" si="371"/>
        <v/>
      </c>
      <c r="O1709" s="53" t="str">
        <f t="shared" si="372"/>
        <v/>
      </c>
      <c r="P1709" s="53" t="str">
        <f t="shared" si="373"/>
        <v/>
      </c>
      <c r="Q1709" s="53" t="str">
        <f t="shared" si="374"/>
        <v/>
      </c>
      <c r="R1709" s="53" t="str">
        <f t="shared" si="375"/>
        <v/>
      </c>
      <c r="S1709" s="53" t="str">
        <f t="shared" si="376"/>
        <v/>
      </c>
      <c r="T1709" s="53" t="str">
        <f t="shared" si="377"/>
        <v/>
      </c>
    </row>
    <row r="1710" spans="1:20">
      <c r="A1710" s="47" t="str">
        <f>IF(archive!E1710="","",archive!E1710)</f>
        <v/>
      </c>
      <c r="B1710" s="48" t="str">
        <f t="shared" si="364"/>
        <v/>
      </c>
      <c r="C1710" s="49" t="str">
        <f>IF(archive!F1710="","",archive!F1710)</f>
        <v/>
      </c>
      <c r="D1710" s="50" t="str">
        <f t="shared" si="365"/>
        <v/>
      </c>
      <c r="E1710" s="50" t="str">
        <f t="shared" si="366"/>
        <v/>
      </c>
      <c r="F1710" s="47" t="str">
        <f>IF(COUNTA(archive!H1710:CI1710)=0,"",COUNTA(archive!H1710:CI1710))</f>
        <v/>
      </c>
      <c r="G1710" s="47" t="str">
        <f>IF(archive!G1710="","",archive!G1710)</f>
        <v/>
      </c>
      <c r="H1710" s="51" t="str">
        <f>IF(archive!CJ1710="","",archive!CJ1710)</f>
        <v/>
      </c>
      <c r="I1710" s="51" t="str">
        <f>IF(archive!CK1710="","",archive!CK1710)</f>
        <v/>
      </c>
      <c r="J1710" s="47" t="str">
        <f t="shared" si="367"/>
        <v/>
      </c>
      <c r="K1710" s="51" t="str">
        <f t="shared" si="368"/>
        <v/>
      </c>
      <c r="L1710" s="52" t="str">
        <f t="shared" si="369"/>
        <v/>
      </c>
      <c r="M1710" s="53" t="str">
        <f t="shared" si="370"/>
        <v/>
      </c>
      <c r="N1710" s="53" t="str">
        <f t="shared" si="371"/>
        <v/>
      </c>
      <c r="O1710" s="53" t="str">
        <f t="shared" si="372"/>
        <v/>
      </c>
      <c r="P1710" s="53" t="str">
        <f t="shared" si="373"/>
        <v/>
      </c>
      <c r="Q1710" s="53" t="str">
        <f t="shared" si="374"/>
        <v/>
      </c>
      <c r="R1710" s="53" t="str">
        <f t="shared" si="375"/>
        <v/>
      </c>
      <c r="S1710" s="53" t="str">
        <f t="shared" si="376"/>
        <v/>
      </c>
      <c r="T1710" s="53" t="str">
        <f t="shared" si="377"/>
        <v/>
      </c>
    </row>
    <row r="1711" spans="1:20">
      <c r="A1711" s="47" t="str">
        <f>IF(archive!E1711="","",archive!E1711)</f>
        <v/>
      </c>
      <c r="B1711" s="48" t="str">
        <f t="shared" si="364"/>
        <v/>
      </c>
      <c r="C1711" s="49" t="str">
        <f>IF(archive!F1711="","",archive!F1711)</f>
        <v/>
      </c>
      <c r="D1711" s="50" t="str">
        <f t="shared" si="365"/>
        <v/>
      </c>
      <c r="E1711" s="50" t="str">
        <f t="shared" si="366"/>
        <v/>
      </c>
      <c r="F1711" s="47" t="str">
        <f>IF(COUNTA(archive!H1711:CI1711)=0,"",COUNTA(archive!H1711:CI1711))</f>
        <v/>
      </c>
      <c r="G1711" s="47" t="str">
        <f>IF(archive!G1711="","",archive!G1711)</f>
        <v/>
      </c>
      <c r="H1711" s="51" t="str">
        <f>IF(archive!CJ1711="","",archive!CJ1711)</f>
        <v/>
      </c>
      <c r="I1711" s="51" t="str">
        <f>IF(archive!CK1711="","",archive!CK1711)</f>
        <v/>
      </c>
      <c r="J1711" s="47" t="str">
        <f t="shared" si="367"/>
        <v/>
      </c>
      <c r="K1711" s="51" t="str">
        <f t="shared" si="368"/>
        <v/>
      </c>
      <c r="L1711" s="52" t="str">
        <f t="shared" si="369"/>
        <v/>
      </c>
      <c r="M1711" s="53" t="str">
        <f t="shared" si="370"/>
        <v/>
      </c>
      <c r="N1711" s="53" t="str">
        <f t="shared" si="371"/>
        <v/>
      </c>
      <c r="O1711" s="53" t="str">
        <f t="shared" si="372"/>
        <v/>
      </c>
      <c r="P1711" s="53" t="str">
        <f t="shared" si="373"/>
        <v/>
      </c>
      <c r="Q1711" s="53" t="str">
        <f t="shared" si="374"/>
        <v/>
      </c>
      <c r="R1711" s="53" t="str">
        <f t="shared" si="375"/>
        <v/>
      </c>
      <c r="S1711" s="53" t="str">
        <f t="shared" si="376"/>
        <v/>
      </c>
      <c r="T1711" s="53" t="str">
        <f t="shared" si="377"/>
        <v/>
      </c>
    </row>
    <row r="1712" spans="1:20">
      <c r="A1712" s="47" t="str">
        <f>IF(archive!E1712="","",archive!E1712)</f>
        <v/>
      </c>
      <c r="B1712" s="48" t="str">
        <f t="shared" si="364"/>
        <v/>
      </c>
      <c r="C1712" s="49" t="str">
        <f>IF(archive!F1712="","",archive!F1712)</f>
        <v/>
      </c>
      <c r="D1712" s="50" t="str">
        <f t="shared" si="365"/>
        <v/>
      </c>
      <c r="E1712" s="50" t="str">
        <f t="shared" si="366"/>
        <v/>
      </c>
      <c r="F1712" s="47" t="str">
        <f>IF(COUNTA(archive!H1712:CI1712)=0,"",COUNTA(archive!H1712:CI1712))</f>
        <v/>
      </c>
      <c r="G1712" s="47" t="str">
        <f>IF(archive!G1712="","",archive!G1712)</f>
        <v/>
      </c>
      <c r="H1712" s="51" t="str">
        <f>IF(archive!CJ1712="","",archive!CJ1712)</f>
        <v/>
      </c>
      <c r="I1712" s="51" t="str">
        <f>IF(archive!CK1712="","",archive!CK1712)</f>
        <v/>
      </c>
      <c r="J1712" s="47" t="str">
        <f t="shared" si="367"/>
        <v/>
      </c>
      <c r="K1712" s="51" t="str">
        <f t="shared" si="368"/>
        <v/>
      </c>
      <c r="L1712" s="52" t="str">
        <f t="shared" si="369"/>
        <v/>
      </c>
      <c r="M1712" s="53" t="str">
        <f t="shared" si="370"/>
        <v/>
      </c>
      <c r="N1712" s="53" t="str">
        <f t="shared" si="371"/>
        <v/>
      </c>
      <c r="O1712" s="53" t="str">
        <f t="shared" si="372"/>
        <v/>
      </c>
      <c r="P1712" s="53" t="str">
        <f t="shared" si="373"/>
        <v/>
      </c>
      <c r="Q1712" s="53" t="str">
        <f t="shared" si="374"/>
        <v/>
      </c>
      <c r="R1712" s="53" t="str">
        <f t="shared" si="375"/>
        <v/>
      </c>
      <c r="S1712" s="53" t="str">
        <f t="shared" si="376"/>
        <v/>
      </c>
      <c r="T1712" s="53" t="str">
        <f t="shared" si="377"/>
        <v/>
      </c>
    </row>
    <row r="1713" spans="1:20">
      <c r="A1713" s="47" t="str">
        <f>IF(archive!E1713="","",archive!E1713)</f>
        <v/>
      </c>
      <c r="B1713" s="48" t="str">
        <f t="shared" si="364"/>
        <v/>
      </c>
      <c r="C1713" s="49" t="str">
        <f>IF(archive!F1713="","",archive!F1713)</f>
        <v/>
      </c>
      <c r="D1713" s="50" t="str">
        <f t="shared" si="365"/>
        <v/>
      </c>
      <c r="E1713" s="50" t="str">
        <f t="shared" si="366"/>
        <v/>
      </c>
      <c r="F1713" s="47" t="str">
        <f>IF(COUNTA(archive!H1713:CI1713)=0,"",COUNTA(archive!H1713:CI1713))</f>
        <v/>
      </c>
      <c r="G1713" s="47" t="str">
        <f>IF(archive!G1713="","",archive!G1713)</f>
        <v/>
      </c>
      <c r="H1713" s="51" t="str">
        <f>IF(archive!CJ1713="","",archive!CJ1713)</f>
        <v/>
      </c>
      <c r="I1713" s="51" t="str">
        <f>IF(archive!CK1713="","",archive!CK1713)</f>
        <v/>
      </c>
      <c r="J1713" s="47" t="str">
        <f t="shared" si="367"/>
        <v/>
      </c>
      <c r="K1713" s="51" t="str">
        <f t="shared" si="368"/>
        <v/>
      </c>
      <c r="L1713" s="52" t="str">
        <f t="shared" si="369"/>
        <v/>
      </c>
      <c r="M1713" s="53" t="str">
        <f t="shared" si="370"/>
        <v/>
      </c>
      <c r="N1713" s="53" t="str">
        <f t="shared" si="371"/>
        <v/>
      </c>
      <c r="O1713" s="53" t="str">
        <f t="shared" si="372"/>
        <v/>
      </c>
      <c r="P1713" s="53" t="str">
        <f t="shared" si="373"/>
        <v/>
      </c>
      <c r="Q1713" s="53" t="str">
        <f t="shared" si="374"/>
        <v/>
      </c>
      <c r="R1713" s="53" t="str">
        <f t="shared" si="375"/>
        <v/>
      </c>
      <c r="S1713" s="53" t="str">
        <f t="shared" si="376"/>
        <v/>
      </c>
      <c r="T1713" s="53" t="str">
        <f t="shared" si="377"/>
        <v/>
      </c>
    </row>
    <row r="1714" spans="1:20">
      <c r="A1714" s="47" t="str">
        <f>IF(archive!E1714="","",archive!E1714)</f>
        <v/>
      </c>
      <c r="B1714" s="48" t="str">
        <f t="shared" si="364"/>
        <v/>
      </c>
      <c r="C1714" s="49" t="str">
        <f>IF(archive!F1714="","",archive!F1714)</f>
        <v/>
      </c>
      <c r="D1714" s="50" t="str">
        <f t="shared" si="365"/>
        <v/>
      </c>
      <c r="E1714" s="50" t="str">
        <f t="shared" si="366"/>
        <v/>
      </c>
      <c r="F1714" s="47" t="str">
        <f>IF(COUNTA(archive!H1714:CI1714)=0,"",COUNTA(archive!H1714:CI1714))</f>
        <v/>
      </c>
      <c r="G1714" s="47" t="str">
        <f>IF(archive!G1714="","",archive!G1714)</f>
        <v/>
      </c>
      <c r="H1714" s="51" t="str">
        <f>IF(archive!CJ1714="","",archive!CJ1714)</f>
        <v/>
      </c>
      <c r="I1714" s="51" t="str">
        <f>IF(archive!CK1714="","",archive!CK1714)</f>
        <v/>
      </c>
      <c r="J1714" s="47" t="str">
        <f t="shared" si="367"/>
        <v/>
      </c>
      <c r="K1714" s="51" t="str">
        <f t="shared" si="368"/>
        <v/>
      </c>
      <c r="L1714" s="52" t="str">
        <f t="shared" si="369"/>
        <v/>
      </c>
      <c r="M1714" s="53" t="str">
        <f t="shared" si="370"/>
        <v/>
      </c>
      <c r="N1714" s="53" t="str">
        <f t="shared" si="371"/>
        <v/>
      </c>
      <c r="O1714" s="53" t="str">
        <f t="shared" si="372"/>
        <v/>
      </c>
      <c r="P1714" s="53" t="str">
        <f t="shared" si="373"/>
        <v/>
      </c>
      <c r="Q1714" s="53" t="str">
        <f t="shared" si="374"/>
        <v/>
      </c>
      <c r="R1714" s="53" t="str">
        <f t="shared" si="375"/>
        <v/>
      </c>
      <c r="S1714" s="53" t="str">
        <f t="shared" si="376"/>
        <v/>
      </c>
      <c r="T1714" s="53" t="str">
        <f t="shared" si="377"/>
        <v/>
      </c>
    </row>
    <row r="1715" spans="1:20">
      <c r="A1715" s="47" t="str">
        <f>IF(archive!E1715="","",archive!E1715)</f>
        <v/>
      </c>
      <c r="B1715" s="48" t="str">
        <f t="shared" si="364"/>
        <v/>
      </c>
      <c r="C1715" s="49" t="str">
        <f>IF(archive!F1715="","",archive!F1715)</f>
        <v/>
      </c>
      <c r="D1715" s="50" t="str">
        <f t="shared" si="365"/>
        <v/>
      </c>
      <c r="E1715" s="50" t="str">
        <f t="shared" si="366"/>
        <v/>
      </c>
      <c r="F1715" s="47" t="str">
        <f>IF(COUNTA(archive!H1715:CI1715)=0,"",COUNTA(archive!H1715:CI1715))</f>
        <v/>
      </c>
      <c r="G1715" s="47" t="str">
        <f>IF(archive!G1715="","",archive!G1715)</f>
        <v/>
      </c>
      <c r="H1715" s="51" t="str">
        <f>IF(archive!CJ1715="","",archive!CJ1715)</f>
        <v/>
      </c>
      <c r="I1715" s="51" t="str">
        <f>IF(archive!CK1715="","",archive!CK1715)</f>
        <v/>
      </c>
      <c r="J1715" s="47" t="str">
        <f t="shared" si="367"/>
        <v/>
      </c>
      <c r="K1715" s="51" t="str">
        <f t="shared" si="368"/>
        <v/>
      </c>
      <c r="L1715" s="52" t="str">
        <f t="shared" si="369"/>
        <v/>
      </c>
      <c r="M1715" s="53" t="str">
        <f t="shared" si="370"/>
        <v/>
      </c>
      <c r="N1715" s="53" t="str">
        <f t="shared" si="371"/>
        <v/>
      </c>
      <c r="O1715" s="53" t="str">
        <f t="shared" si="372"/>
        <v/>
      </c>
      <c r="P1715" s="53" t="str">
        <f t="shared" si="373"/>
        <v/>
      </c>
      <c r="Q1715" s="53" t="str">
        <f t="shared" si="374"/>
        <v/>
      </c>
      <c r="R1715" s="53" t="str">
        <f t="shared" si="375"/>
        <v/>
      </c>
      <c r="S1715" s="53" t="str">
        <f t="shared" si="376"/>
        <v/>
      </c>
      <c r="T1715" s="53" t="str">
        <f t="shared" si="377"/>
        <v/>
      </c>
    </row>
    <row r="1716" spans="1:20">
      <c r="A1716" s="47" t="str">
        <f>IF(archive!E1716="","",archive!E1716)</f>
        <v/>
      </c>
      <c r="B1716" s="48" t="str">
        <f t="shared" si="364"/>
        <v/>
      </c>
      <c r="C1716" s="49" t="str">
        <f>IF(archive!F1716="","",archive!F1716)</f>
        <v/>
      </c>
      <c r="D1716" s="50" t="str">
        <f t="shared" si="365"/>
        <v/>
      </c>
      <c r="E1716" s="50" t="str">
        <f t="shared" si="366"/>
        <v/>
      </c>
      <c r="F1716" s="47" t="str">
        <f>IF(COUNTA(archive!H1716:CI1716)=0,"",COUNTA(archive!H1716:CI1716))</f>
        <v/>
      </c>
      <c r="G1716" s="47" t="str">
        <f>IF(archive!G1716="","",archive!G1716)</f>
        <v/>
      </c>
      <c r="H1716" s="51" t="str">
        <f>IF(archive!CJ1716="","",archive!CJ1716)</f>
        <v/>
      </c>
      <c r="I1716" s="51" t="str">
        <f>IF(archive!CK1716="","",archive!CK1716)</f>
        <v/>
      </c>
      <c r="J1716" s="47" t="str">
        <f t="shared" si="367"/>
        <v/>
      </c>
      <c r="K1716" s="51" t="str">
        <f t="shared" si="368"/>
        <v/>
      </c>
      <c r="L1716" s="52" t="str">
        <f t="shared" si="369"/>
        <v/>
      </c>
      <c r="M1716" s="53" t="str">
        <f t="shared" si="370"/>
        <v/>
      </c>
      <c r="N1716" s="53" t="str">
        <f t="shared" si="371"/>
        <v/>
      </c>
      <c r="O1716" s="53" t="str">
        <f t="shared" si="372"/>
        <v/>
      </c>
      <c r="P1716" s="53" t="str">
        <f t="shared" si="373"/>
        <v/>
      </c>
      <c r="Q1716" s="53" t="str">
        <f t="shared" si="374"/>
        <v/>
      </c>
      <c r="R1716" s="53" t="str">
        <f t="shared" si="375"/>
        <v/>
      </c>
      <c r="S1716" s="53" t="str">
        <f t="shared" si="376"/>
        <v/>
      </c>
      <c r="T1716" s="53" t="str">
        <f t="shared" si="377"/>
        <v/>
      </c>
    </row>
    <row r="1717" spans="1:20">
      <c r="A1717" s="47" t="str">
        <f>IF(archive!E1717="","",archive!E1717)</f>
        <v/>
      </c>
      <c r="B1717" s="48" t="str">
        <f t="shared" si="364"/>
        <v/>
      </c>
      <c r="C1717" s="49" t="str">
        <f>IF(archive!F1717="","",archive!F1717)</f>
        <v/>
      </c>
      <c r="D1717" s="50" t="str">
        <f t="shared" si="365"/>
        <v/>
      </c>
      <c r="E1717" s="50" t="str">
        <f t="shared" si="366"/>
        <v/>
      </c>
      <c r="F1717" s="47" t="str">
        <f>IF(COUNTA(archive!H1717:CI1717)=0,"",COUNTA(archive!H1717:CI1717))</f>
        <v/>
      </c>
      <c r="G1717" s="47" t="str">
        <f>IF(archive!G1717="","",archive!G1717)</f>
        <v/>
      </c>
      <c r="H1717" s="51" t="str">
        <f>IF(archive!CJ1717="","",archive!CJ1717)</f>
        <v/>
      </c>
      <c r="I1717" s="51" t="str">
        <f>IF(archive!CK1717="","",archive!CK1717)</f>
        <v/>
      </c>
      <c r="J1717" s="47" t="str">
        <f t="shared" si="367"/>
        <v/>
      </c>
      <c r="K1717" s="51" t="str">
        <f t="shared" si="368"/>
        <v/>
      </c>
      <c r="L1717" s="52" t="str">
        <f t="shared" si="369"/>
        <v/>
      </c>
      <c r="M1717" s="53" t="str">
        <f t="shared" si="370"/>
        <v/>
      </c>
      <c r="N1717" s="53" t="str">
        <f t="shared" si="371"/>
        <v/>
      </c>
      <c r="O1717" s="53" t="str">
        <f t="shared" si="372"/>
        <v/>
      </c>
      <c r="P1717" s="53" t="str">
        <f t="shared" si="373"/>
        <v/>
      </c>
      <c r="Q1717" s="53" t="str">
        <f t="shared" si="374"/>
        <v/>
      </c>
      <c r="R1717" s="53" t="str">
        <f t="shared" si="375"/>
        <v/>
      </c>
      <c r="S1717" s="53" t="str">
        <f t="shared" si="376"/>
        <v/>
      </c>
      <c r="T1717" s="53" t="str">
        <f t="shared" si="377"/>
        <v/>
      </c>
    </row>
    <row r="1718" spans="1:20">
      <c r="A1718" s="47" t="str">
        <f>IF(archive!E1718="","",archive!E1718)</f>
        <v/>
      </c>
      <c r="B1718" s="48" t="str">
        <f t="shared" si="364"/>
        <v/>
      </c>
      <c r="C1718" s="49" t="str">
        <f>IF(archive!F1718="","",archive!F1718)</f>
        <v/>
      </c>
      <c r="D1718" s="50" t="str">
        <f t="shared" si="365"/>
        <v/>
      </c>
      <c r="E1718" s="50" t="str">
        <f t="shared" si="366"/>
        <v/>
      </c>
      <c r="F1718" s="47" t="str">
        <f>IF(COUNTA(archive!H1718:CI1718)=0,"",COUNTA(archive!H1718:CI1718))</f>
        <v/>
      </c>
      <c r="G1718" s="47" t="str">
        <f>IF(archive!G1718="","",archive!G1718)</f>
        <v/>
      </c>
      <c r="H1718" s="51" t="str">
        <f>IF(archive!CJ1718="","",archive!CJ1718)</f>
        <v/>
      </c>
      <c r="I1718" s="51" t="str">
        <f>IF(archive!CK1718="","",archive!CK1718)</f>
        <v/>
      </c>
      <c r="J1718" s="47" t="str">
        <f t="shared" si="367"/>
        <v/>
      </c>
      <c r="K1718" s="51" t="str">
        <f t="shared" si="368"/>
        <v/>
      </c>
      <c r="L1718" s="52" t="str">
        <f t="shared" si="369"/>
        <v/>
      </c>
      <c r="M1718" s="53" t="str">
        <f t="shared" si="370"/>
        <v/>
      </c>
      <c r="N1718" s="53" t="str">
        <f t="shared" si="371"/>
        <v/>
      </c>
      <c r="O1718" s="53" t="str">
        <f t="shared" si="372"/>
        <v/>
      </c>
      <c r="P1718" s="53" t="str">
        <f t="shared" si="373"/>
        <v/>
      </c>
      <c r="Q1718" s="53" t="str">
        <f t="shared" si="374"/>
        <v/>
      </c>
      <c r="R1718" s="53" t="str">
        <f t="shared" si="375"/>
        <v/>
      </c>
      <c r="S1718" s="53" t="str">
        <f t="shared" si="376"/>
        <v/>
      </c>
      <c r="T1718" s="53" t="str">
        <f t="shared" si="377"/>
        <v/>
      </c>
    </row>
    <row r="1719" spans="1:20">
      <c r="A1719" s="47" t="str">
        <f>IF(archive!E1719="","",archive!E1719)</f>
        <v/>
      </c>
      <c r="B1719" s="48" t="str">
        <f t="shared" si="364"/>
        <v/>
      </c>
      <c r="C1719" s="49" t="str">
        <f>IF(archive!F1719="","",archive!F1719)</f>
        <v/>
      </c>
      <c r="D1719" s="50" t="str">
        <f t="shared" si="365"/>
        <v/>
      </c>
      <c r="E1719" s="50" t="str">
        <f t="shared" si="366"/>
        <v/>
      </c>
      <c r="F1719" s="47" t="str">
        <f>IF(COUNTA(archive!H1719:CI1719)=0,"",COUNTA(archive!H1719:CI1719))</f>
        <v/>
      </c>
      <c r="G1719" s="47" t="str">
        <f>IF(archive!G1719="","",archive!G1719)</f>
        <v/>
      </c>
      <c r="H1719" s="51" t="str">
        <f>IF(archive!CJ1719="","",archive!CJ1719)</f>
        <v/>
      </c>
      <c r="I1719" s="51" t="str">
        <f>IF(archive!CK1719="","",archive!CK1719)</f>
        <v/>
      </c>
      <c r="J1719" s="47" t="str">
        <f t="shared" si="367"/>
        <v/>
      </c>
      <c r="K1719" s="51" t="str">
        <f t="shared" si="368"/>
        <v/>
      </c>
      <c r="L1719" s="52" t="str">
        <f t="shared" si="369"/>
        <v/>
      </c>
      <c r="M1719" s="53" t="str">
        <f t="shared" si="370"/>
        <v/>
      </c>
      <c r="N1719" s="53" t="str">
        <f t="shared" si="371"/>
        <v/>
      </c>
      <c r="O1719" s="53" t="str">
        <f t="shared" si="372"/>
        <v/>
      </c>
      <c r="P1719" s="53" t="str">
        <f t="shared" si="373"/>
        <v/>
      </c>
      <c r="Q1719" s="53" t="str">
        <f t="shared" si="374"/>
        <v/>
      </c>
      <c r="R1719" s="53" t="str">
        <f t="shared" si="375"/>
        <v/>
      </c>
      <c r="S1719" s="53" t="str">
        <f t="shared" si="376"/>
        <v/>
      </c>
      <c r="T1719" s="53" t="str">
        <f t="shared" si="377"/>
        <v/>
      </c>
    </row>
    <row r="1720" spans="1:20">
      <c r="A1720" s="47" t="str">
        <f>IF(archive!E1720="","",archive!E1720)</f>
        <v/>
      </c>
      <c r="B1720" s="48" t="str">
        <f t="shared" si="364"/>
        <v/>
      </c>
      <c r="C1720" s="49" t="str">
        <f>IF(archive!F1720="","",archive!F1720)</f>
        <v/>
      </c>
      <c r="D1720" s="50" t="str">
        <f t="shared" si="365"/>
        <v/>
      </c>
      <c r="E1720" s="50" t="str">
        <f t="shared" si="366"/>
        <v/>
      </c>
      <c r="F1720" s="47" t="str">
        <f>IF(COUNTA(archive!H1720:CI1720)=0,"",COUNTA(archive!H1720:CI1720))</f>
        <v/>
      </c>
      <c r="G1720" s="47" t="str">
        <f>IF(archive!G1720="","",archive!G1720)</f>
        <v/>
      </c>
      <c r="H1720" s="51" t="str">
        <f>IF(archive!CJ1720="","",archive!CJ1720)</f>
        <v/>
      </c>
      <c r="I1720" s="51" t="str">
        <f>IF(archive!CK1720="","",archive!CK1720)</f>
        <v/>
      </c>
      <c r="J1720" s="47" t="str">
        <f t="shared" si="367"/>
        <v/>
      </c>
      <c r="K1720" s="51" t="str">
        <f t="shared" si="368"/>
        <v/>
      </c>
      <c r="L1720" s="52" t="str">
        <f t="shared" si="369"/>
        <v/>
      </c>
      <c r="M1720" s="53" t="str">
        <f t="shared" si="370"/>
        <v/>
      </c>
      <c r="N1720" s="53" t="str">
        <f t="shared" si="371"/>
        <v/>
      </c>
      <c r="O1720" s="53" t="str">
        <f t="shared" si="372"/>
        <v/>
      </c>
      <c r="P1720" s="53" t="str">
        <f t="shared" si="373"/>
        <v/>
      </c>
      <c r="Q1720" s="53" t="str">
        <f t="shared" si="374"/>
        <v/>
      </c>
      <c r="R1720" s="53" t="str">
        <f t="shared" si="375"/>
        <v/>
      </c>
      <c r="S1720" s="53" t="str">
        <f t="shared" si="376"/>
        <v/>
      </c>
      <c r="T1720" s="53" t="str">
        <f t="shared" si="377"/>
        <v/>
      </c>
    </row>
    <row r="1721" spans="1:20">
      <c r="A1721" s="47" t="str">
        <f>IF(archive!E1721="","",archive!E1721)</f>
        <v/>
      </c>
      <c r="B1721" s="48" t="str">
        <f t="shared" si="364"/>
        <v/>
      </c>
      <c r="C1721" s="49" t="str">
        <f>IF(archive!F1721="","",archive!F1721)</f>
        <v/>
      </c>
      <c r="D1721" s="50" t="str">
        <f t="shared" si="365"/>
        <v/>
      </c>
      <c r="E1721" s="50" t="str">
        <f t="shared" si="366"/>
        <v/>
      </c>
      <c r="F1721" s="47" t="str">
        <f>IF(COUNTA(archive!H1721:CI1721)=0,"",COUNTA(archive!H1721:CI1721))</f>
        <v/>
      </c>
      <c r="G1721" s="47" t="str">
        <f>IF(archive!G1721="","",archive!G1721)</f>
        <v/>
      </c>
      <c r="H1721" s="51" t="str">
        <f>IF(archive!CJ1721="","",archive!CJ1721)</f>
        <v/>
      </c>
      <c r="I1721" s="51" t="str">
        <f>IF(archive!CK1721="","",archive!CK1721)</f>
        <v/>
      </c>
      <c r="J1721" s="47" t="str">
        <f t="shared" si="367"/>
        <v/>
      </c>
      <c r="K1721" s="51" t="str">
        <f t="shared" si="368"/>
        <v/>
      </c>
      <c r="L1721" s="52" t="str">
        <f t="shared" si="369"/>
        <v/>
      </c>
      <c r="M1721" s="53" t="str">
        <f t="shared" si="370"/>
        <v/>
      </c>
      <c r="N1721" s="53" t="str">
        <f t="shared" si="371"/>
        <v/>
      </c>
      <c r="O1721" s="53" t="str">
        <f t="shared" si="372"/>
        <v/>
      </c>
      <c r="P1721" s="53" t="str">
        <f t="shared" si="373"/>
        <v/>
      </c>
      <c r="Q1721" s="53" t="str">
        <f t="shared" si="374"/>
        <v/>
      </c>
      <c r="R1721" s="53" t="str">
        <f t="shared" si="375"/>
        <v/>
      </c>
      <c r="S1721" s="53" t="str">
        <f t="shared" si="376"/>
        <v/>
      </c>
      <c r="T1721" s="53" t="str">
        <f t="shared" si="377"/>
        <v/>
      </c>
    </row>
    <row r="1722" spans="1:20">
      <c r="A1722" s="47" t="str">
        <f>IF(archive!E1722="","",archive!E1722)</f>
        <v/>
      </c>
      <c r="B1722" s="48" t="str">
        <f t="shared" si="364"/>
        <v/>
      </c>
      <c r="C1722" s="49" t="str">
        <f>IF(archive!F1722="","",archive!F1722)</f>
        <v/>
      </c>
      <c r="D1722" s="50" t="str">
        <f t="shared" si="365"/>
        <v/>
      </c>
      <c r="E1722" s="50" t="str">
        <f t="shared" si="366"/>
        <v/>
      </c>
      <c r="F1722" s="47" t="str">
        <f>IF(COUNTA(archive!H1722:CI1722)=0,"",COUNTA(archive!H1722:CI1722))</f>
        <v/>
      </c>
      <c r="G1722" s="47" t="str">
        <f>IF(archive!G1722="","",archive!G1722)</f>
        <v/>
      </c>
      <c r="H1722" s="51" t="str">
        <f>IF(archive!CJ1722="","",archive!CJ1722)</f>
        <v/>
      </c>
      <c r="I1722" s="51" t="str">
        <f>IF(archive!CK1722="","",archive!CK1722)</f>
        <v/>
      </c>
      <c r="J1722" s="47" t="str">
        <f t="shared" si="367"/>
        <v/>
      </c>
      <c r="K1722" s="51" t="str">
        <f t="shared" si="368"/>
        <v/>
      </c>
      <c r="L1722" s="52" t="str">
        <f t="shared" si="369"/>
        <v/>
      </c>
      <c r="M1722" s="53" t="str">
        <f t="shared" si="370"/>
        <v/>
      </c>
      <c r="N1722" s="53" t="str">
        <f t="shared" si="371"/>
        <v/>
      </c>
      <c r="O1722" s="53" t="str">
        <f t="shared" si="372"/>
        <v/>
      </c>
      <c r="P1722" s="53" t="str">
        <f t="shared" si="373"/>
        <v/>
      </c>
      <c r="Q1722" s="53" t="str">
        <f t="shared" si="374"/>
        <v/>
      </c>
      <c r="R1722" s="53" t="str">
        <f t="shared" si="375"/>
        <v/>
      </c>
      <c r="S1722" s="53" t="str">
        <f t="shared" si="376"/>
        <v/>
      </c>
      <c r="T1722" s="53" t="str">
        <f t="shared" si="377"/>
        <v/>
      </c>
    </row>
    <row r="1723" spans="1:20">
      <c r="A1723" s="47" t="str">
        <f>IF(archive!E1723="","",archive!E1723)</f>
        <v/>
      </c>
      <c r="B1723" s="48" t="str">
        <f t="shared" si="364"/>
        <v/>
      </c>
      <c r="C1723" s="49" t="str">
        <f>IF(archive!F1723="","",archive!F1723)</f>
        <v/>
      </c>
      <c r="D1723" s="50" t="str">
        <f t="shared" si="365"/>
        <v/>
      </c>
      <c r="E1723" s="50" t="str">
        <f t="shared" si="366"/>
        <v/>
      </c>
      <c r="F1723" s="47" t="str">
        <f>IF(COUNTA(archive!H1723:CI1723)=0,"",COUNTA(archive!H1723:CI1723))</f>
        <v/>
      </c>
      <c r="G1723" s="47" t="str">
        <f>IF(archive!G1723="","",archive!G1723)</f>
        <v/>
      </c>
      <c r="H1723" s="51" t="str">
        <f>IF(archive!CJ1723="","",archive!CJ1723)</f>
        <v/>
      </c>
      <c r="I1723" s="51" t="str">
        <f>IF(archive!CK1723="","",archive!CK1723)</f>
        <v/>
      </c>
      <c r="J1723" s="47" t="str">
        <f t="shared" si="367"/>
        <v/>
      </c>
      <c r="K1723" s="51" t="str">
        <f t="shared" si="368"/>
        <v/>
      </c>
      <c r="L1723" s="52" t="str">
        <f t="shared" si="369"/>
        <v/>
      </c>
      <c r="M1723" s="53" t="str">
        <f t="shared" si="370"/>
        <v/>
      </c>
      <c r="N1723" s="53" t="str">
        <f t="shared" si="371"/>
        <v/>
      </c>
      <c r="O1723" s="53" t="str">
        <f t="shared" si="372"/>
        <v/>
      </c>
      <c r="P1723" s="53" t="str">
        <f t="shared" si="373"/>
        <v/>
      </c>
      <c r="Q1723" s="53" t="str">
        <f t="shared" si="374"/>
        <v/>
      </c>
      <c r="R1723" s="53" t="str">
        <f t="shared" si="375"/>
        <v/>
      </c>
      <c r="S1723" s="53" t="str">
        <f t="shared" si="376"/>
        <v/>
      </c>
      <c r="T1723" s="53" t="str">
        <f t="shared" si="377"/>
        <v/>
      </c>
    </row>
    <row r="1724" spans="1:20">
      <c r="A1724" s="47" t="str">
        <f>IF(archive!E1724="","",archive!E1724)</f>
        <v/>
      </c>
      <c r="B1724" s="48" t="str">
        <f t="shared" si="364"/>
        <v/>
      </c>
      <c r="C1724" s="49" t="str">
        <f>IF(archive!F1724="","",archive!F1724)</f>
        <v/>
      </c>
      <c r="D1724" s="50" t="str">
        <f t="shared" si="365"/>
        <v/>
      </c>
      <c r="E1724" s="50" t="str">
        <f t="shared" si="366"/>
        <v/>
      </c>
      <c r="F1724" s="47" t="str">
        <f>IF(COUNTA(archive!H1724:CI1724)=0,"",COUNTA(archive!H1724:CI1724))</f>
        <v/>
      </c>
      <c r="G1724" s="47" t="str">
        <f>IF(archive!G1724="","",archive!G1724)</f>
        <v/>
      </c>
      <c r="H1724" s="51" t="str">
        <f>IF(archive!CJ1724="","",archive!CJ1724)</f>
        <v/>
      </c>
      <c r="I1724" s="51" t="str">
        <f>IF(archive!CK1724="","",archive!CK1724)</f>
        <v/>
      </c>
      <c r="J1724" s="47" t="str">
        <f t="shared" si="367"/>
        <v/>
      </c>
      <c r="K1724" s="51" t="str">
        <f t="shared" si="368"/>
        <v/>
      </c>
      <c r="L1724" s="52" t="str">
        <f t="shared" si="369"/>
        <v/>
      </c>
      <c r="M1724" s="53" t="str">
        <f t="shared" si="370"/>
        <v/>
      </c>
      <c r="N1724" s="53" t="str">
        <f t="shared" si="371"/>
        <v/>
      </c>
      <c r="O1724" s="53" t="str">
        <f t="shared" si="372"/>
        <v/>
      </c>
      <c r="P1724" s="53" t="str">
        <f t="shared" si="373"/>
        <v/>
      </c>
      <c r="Q1724" s="53" t="str">
        <f t="shared" si="374"/>
        <v/>
      </c>
      <c r="R1724" s="53" t="str">
        <f t="shared" si="375"/>
        <v/>
      </c>
      <c r="S1724" s="53" t="str">
        <f t="shared" si="376"/>
        <v/>
      </c>
      <c r="T1724" s="53" t="str">
        <f t="shared" si="377"/>
        <v/>
      </c>
    </row>
    <row r="1725" spans="1:20">
      <c r="A1725" s="47" t="str">
        <f>IF(archive!E1725="","",archive!E1725)</f>
        <v/>
      </c>
      <c r="B1725" s="48" t="str">
        <f t="shared" si="364"/>
        <v/>
      </c>
      <c r="C1725" s="49" t="str">
        <f>IF(archive!F1725="","",archive!F1725)</f>
        <v/>
      </c>
      <c r="D1725" s="50" t="str">
        <f t="shared" si="365"/>
        <v/>
      </c>
      <c r="E1725" s="50" t="str">
        <f t="shared" si="366"/>
        <v/>
      </c>
      <c r="F1725" s="47" t="str">
        <f>IF(COUNTA(archive!H1725:CI1725)=0,"",COUNTA(archive!H1725:CI1725))</f>
        <v/>
      </c>
      <c r="G1725" s="47" t="str">
        <f>IF(archive!G1725="","",archive!G1725)</f>
        <v/>
      </c>
      <c r="H1725" s="51" t="str">
        <f>IF(archive!CJ1725="","",archive!CJ1725)</f>
        <v/>
      </c>
      <c r="I1725" s="51" t="str">
        <f>IF(archive!CK1725="","",archive!CK1725)</f>
        <v/>
      </c>
      <c r="J1725" s="47" t="str">
        <f t="shared" si="367"/>
        <v/>
      </c>
      <c r="K1725" s="51" t="str">
        <f t="shared" si="368"/>
        <v/>
      </c>
      <c r="L1725" s="52" t="str">
        <f t="shared" si="369"/>
        <v/>
      </c>
      <c r="M1725" s="53" t="str">
        <f t="shared" si="370"/>
        <v/>
      </c>
      <c r="N1725" s="53" t="str">
        <f t="shared" si="371"/>
        <v/>
      </c>
      <c r="O1725" s="53" t="str">
        <f t="shared" si="372"/>
        <v/>
      </c>
      <c r="P1725" s="53" t="str">
        <f t="shared" si="373"/>
        <v/>
      </c>
      <c r="Q1725" s="53" t="str">
        <f t="shared" si="374"/>
        <v/>
      </c>
      <c r="R1725" s="53" t="str">
        <f t="shared" si="375"/>
        <v/>
      </c>
      <c r="S1725" s="53" t="str">
        <f t="shared" si="376"/>
        <v/>
      </c>
      <c r="T1725" s="53" t="str">
        <f t="shared" si="377"/>
        <v/>
      </c>
    </row>
    <row r="1726" spans="1:20">
      <c r="A1726" s="47" t="str">
        <f>IF(archive!E1726="","",archive!E1726)</f>
        <v/>
      </c>
      <c r="B1726" s="48" t="str">
        <f t="shared" si="364"/>
        <v/>
      </c>
      <c r="C1726" s="49" t="str">
        <f>IF(archive!F1726="","",archive!F1726)</f>
        <v/>
      </c>
      <c r="D1726" s="50" t="str">
        <f t="shared" si="365"/>
        <v/>
      </c>
      <c r="E1726" s="50" t="str">
        <f t="shared" si="366"/>
        <v/>
      </c>
      <c r="F1726" s="47" t="str">
        <f>IF(COUNTA(archive!H1726:CI1726)=0,"",COUNTA(archive!H1726:CI1726))</f>
        <v/>
      </c>
      <c r="G1726" s="47" t="str">
        <f>IF(archive!G1726="","",archive!G1726)</f>
        <v/>
      </c>
      <c r="H1726" s="51" t="str">
        <f>IF(archive!CJ1726="","",archive!CJ1726)</f>
        <v/>
      </c>
      <c r="I1726" s="51" t="str">
        <f>IF(archive!CK1726="","",archive!CK1726)</f>
        <v/>
      </c>
      <c r="J1726" s="47" t="str">
        <f t="shared" si="367"/>
        <v/>
      </c>
      <c r="K1726" s="51" t="str">
        <f t="shared" si="368"/>
        <v/>
      </c>
      <c r="L1726" s="52" t="str">
        <f t="shared" si="369"/>
        <v/>
      </c>
      <c r="M1726" s="53" t="str">
        <f t="shared" si="370"/>
        <v/>
      </c>
      <c r="N1726" s="53" t="str">
        <f t="shared" si="371"/>
        <v/>
      </c>
      <c r="O1726" s="53" t="str">
        <f t="shared" si="372"/>
        <v/>
      </c>
      <c r="P1726" s="53" t="str">
        <f t="shared" si="373"/>
        <v/>
      </c>
      <c r="Q1726" s="53" t="str">
        <f t="shared" si="374"/>
        <v/>
      </c>
      <c r="R1726" s="53" t="str">
        <f t="shared" si="375"/>
        <v/>
      </c>
      <c r="S1726" s="53" t="str">
        <f t="shared" si="376"/>
        <v/>
      </c>
      <c r="T1726" s="53" t="str">
        <f t="shared" si="377"/>
        <v/>
      </c>
    </row>
    <row r="1727" spans="1:20">
      <c r="A1727" s="47" t="str">
        <f>IF(archive!E1727="","",archive!E1727)</f>
        <v/>
      </c>
      <c r="B1727" s="48" t="str">
        <f t="shared" si="364"/>
        <v/>
      </c>
      <c r="C1727" s="49" t="str">
        <f>IF(archive!F1727="","",archive!F1727)</f>
        <v/>
      </c>
      <c r="D1727" s="50" t="str">
        <f t="shared" si="365"/>
        <v/>
      </c>
      <c r="E1727" s="50" t="str">
        <f t="shared" si="366"/>
        <v/>
      </c>
      <c r="F1727" s="47" t="str">
        <f>IF(COUNTA(archive!H1727:CI1727)=0,"",COUNTA(archive!H1727:CI1727))</f>
        <v/>
      </c>
      <c r="G1727" s="47" t="str">
        <f>IF(archive!G1727="","",archive!G1727)</f>
        <v/>
      </c>
      <c r="H1727" s="51" t="str">
        <f>IF(archive!CJ1727="","",archive!CJ1727)</f>
        <v/>
      </c>
      <c r="I1727" s="51" t="str">
        <f>IF(archive!CK1727="","",archive!CK1727)</f>
        <v/>
      </c>
      <c r="J1727" s="47" t="str">
        <f t="shared" si="367"/>
        <v/>
      </c>
      <c r="K1727" s="51" t="str">
        <f t="shared" si="368"/>
        <v/>
      </c>
      <c r="L1727" s="52" t="str">
        <f t="shared" si="369"/>
        <v/>
      </c>
      <c r="M1727" s="53" t="str">
        <f t="shared" si="370"/>
        <v/>
      </c>
      <c r="N1727" s="53" t="str">
        <f t="shared" si="371"/>
        <v/>
      </c>
      <c r="O1727" s="53" t="str">
        <f t="shared" si="372"/>
        <v/>
      </c>
      <c r="P1727" s="53" t="str">
        <f t="shared" si="373"/>
        <v/>
      </c>
      <c r="Q1727" s="53" t="str">
        <f t="shared" si="374"/>
        <v/>
      </c>
      <c r="R1727" s="53" t="str">
        <f t="shared" si="375"/>
        <v/>
      </c>
      <c r="S1727" s="53" t="str">
        <f t="shared" si="376"/>
        <v/>
      </c>
      <c r="T1727" s="53" t="str">
        <f t="shared" si="377"/>
        <v/>
      </c>
    </row>
    <row r="1728" spans="1:20">
      <c r="A1728" s="47" t="str">
        <f>IF(archive!E1728="","",archive!E1728)</f>
        <v/>
      </c>
      <c r="B1728" s="48" t="str">
        <f t="shared" si="364"/>
        <v/>
      </c>
      <c r="C1728" s="49" t="str">
        <f>IF(archive!F1728="","",archive!F1728)</f>
        <v/>
      </c>
      <c r="D1728" s="50" t="str">
        <f t="shared" si="365"/>
        <v/>
      </c>
      <c r="E1728" s="50" t="str">
        <f t="shared" si="366"/>
        <v/>
      </c>
      <c r="F1728" s="47" t="str">
        <f>IF(COUNTA(archive!H1728:CI1728)=0,"",COUNTA(archive!H1728:CI1728))</f>
        <v/>
      </c>
      <c r="G1728" s="47" t="str">
        <f>IF(archive!G1728="","",archive!G1728)</f>
        <v/>
      </c>
      <c r="H1728" s="51" t="str">
        <f>IF(archive!CJ1728="","",archive!CJ1728)</f>
        <v/>
      </c>
      <c r="I1728" s="51" t="str">
        <f>IF(archive!CK1728="","",archive!CK1728)</f>
        <v/>
      </c>
      <c r="J1728" s="47" t="str">
        <f t="shared" si="367"/>
        <v/>
      </c>
      <c r="K1728" s="51" t="str">
        <f t="shared" si="368"/>
        <v/>
      </c>
      <c r="L1728" s="52" t="str">
        <f t="shared" si="369"/>
        <v/>
      </c>
      <c r="M1728" s="53" t="str">
        <f t="shared" si="370"/>
        <v/>
      </c>
      <c r="N1728" s="53" t="str">
        <f t="shared" si="371"/>
        <v/>
      </c>
      <c r="O1728" s="53" t="str">
        <f t="shared" si="372"/>
        <v/>
      </c>
      <c r="P1728" s="53" t="str">
        <f t="shared" si="373"/>
        <v/>
      </c>
      <c r="Q1728" s="53" t="str">
        <f t="shared" si="374"/>
        <v/>
      </c>
      <c r="R1728" s="53" t="str">
        <f t="shared" si="375"/>
        <v/>
      </c>
      <c r="S1728" s="53" t="str">
        <f t="shared" si="376"/>
        <v/>
      </c>
      <c r="T1728" s="53" t="str">
        <f t="shared" si="377"/>
        <v/>
      </c>
    </row>
    <row r="1729" spans="1:20">
      <c r="A1729" s="47" t="str">
        <f>IF(archive!E1729="","",archive!E1729)</f>
        <v/>
      </c>
      <c r="B1729" s="48" t="str">
        <f t="shared" si="364"/>
        <v/>
      </c>
      <c r="C1729" s="49" t="str">
        <f>IF(archive!F1729="","",archive!F1729)</f>
        <v/>
      </c>
      <c r="D1729" s="50" t="str">
        <f t="shared" si="365"/>
        <v/>
      </c>
      <c r="E1729" s="50" t="str">
        <f t="shared" si="366"/>
        <v/>
      </c>
      <c r="F1729" s="47" t="str">
        <f>IF(COUNTA(archive!H1729:CI1729)=0,"",COUNTA(archive!H1729:CI1729))</f>
        <v/>
      </c>
      <c r="G1729" s="47" t="str">
        <f>IF(archive!G1729="","",archive!G1729)</f>
        <v/>
      </c>
      <c r="H1729" s="51" t="str">
        <f>IF(archive!CJ1729="","",archive!CJ1729)</f>
        <v/>
      </c>
      <c r="I1729" s="51" t="str">
        <f>IF(archive!CK1729="","",archive!CK1729)</f>
        <v/>
      </c>
      <c r="J1729" s="47" t="str">
        <f t="shared" si="367"/>
        <v/>
      </c>
      <c r="K1729" s="51" t="str">
        <f t="shared" si="368"/>
        <v/>
      </c>
      <c r="L1729" s="52" t="str">
        <f t="shared" si="369"/>
        <v/>
      </c>
      <c r="M1729" s="53" t="str">
        <f t="shared" si="370"/>
        <v/>
      </c>
      <c r="N1729" s="53" t="str">
        <f t="shared" si="371"/>
        <v/>
      </c>
      <c r="O1729" s="53" t="str">
        <f t="shared" si="372"/>
        <v/>
      </c>
      <c r="P1729" s="53" t="str">
        <f t="shared" si="373"/>
        <v/>
      </c>
      <c r="Q1729" s="53" t="str">
        <f t="shared" si="374"/>
        <v/>
      </c>
      <c r="R1729" s="53" t="str">
        <f t="shared" si="375"/>
        <v/>
      </c>
      <c r="S1729" s="53" t="str">
        <f t="shared" si="376"/>
        <v/>
      </c>
      <c r="T1729" s="53" t="str">
        <f t="shared" si="377"/>
        <v/>
      </c>
    </row>
    <row r="1730" spans="1:20">
      <c r="A1730" s="47" t="str">
        <f>IF(archive!E1730="","",archive!E1730)</f>
        <v/>
      </c>
      <c r="B1730" s="48" t="str">
        <f t="shared" si="364"/>
        <v/>
      </c>
      <c r="C1730" s="49" t="str">
        <f>IF(archive!F1730="","",archive!F1730)</f>
        <v/>
      </c>
      <c r="D1730" s="50" t="str">
        <f t="shared" si="365"/>
        <v/>
      </c>
      <c r="E1730" s="50" t="str">
        <f t="shared" si="366"/>
        <v/>
      </c>
      <c r="F1730" s="47" t="str">
        <f>IF(COUNTA(archive!H1730:CI1730)=0,"",COUNTA(archive!H1730:CI1730))</f>
        <v/>
      </c>
      <c r="G1730" s="47" t="str">
        <f>IF(archive!G1730="","",archive!G1730)</f>
        <v/>
      </c>
      <c r="H1730" s="51" t="str">
        <f>IF(archive!CJ1730="","",archive!CJ1730)</f>
        <v/>
      </c>
      <c r="I1730" s="51" t="str">
        <f>IF(archive!CK1730="","",archive!CK1730)</f>
        <v/>
      </c>
      <c r="J1730" s="47" t="str">
        <f t="shared" si="367"/>
        <v/>
      </c>
      <c r="K1730" s="51" t="str">
        <f t="shared" si="368"/>
        <v/>
      </c>
      <c r="L1730" s="52" t="str">
        <f t="shared" si="369"/>
        <v/>
      </c>
      <c r="M1730" s="53" t="str">
        <f t="shared" si="370"/>
        <v/>
      </c>
      <c r="N1730" s="53" t="str">
        <f t="shared" si="371"/>
        <v/>
      </c>
      <c r="O1730" s="53" t="str">
        <f t="shared" si="372"/>
        <v/>
      </c>
      <c r="P1730" s="53" t="str">
        <f t="shared" si="373"/>
        <v/>
      </c>
      <c r="Q1730" s="53" t="str">
        <f t="shared" si="374"/>
        <v/>
      </c>
      <c r="R1730" s="53" t="str">
        <f t="shared" si="375"/>
        <v/>
      </c>
      <c r="S1730" s="53" t="str">
        <f t="shared" si="376"/>
        <v/>
      </c>
      <c r="T1730" s="53" t="str">
        <f t="shared" si="377"/>
        <v/>
      </c>
    </row>
    <row r="1731" spans="1:20">
      <c r="A1731" s="47" t="str">
        <f>IF(archive!E1731="","",archive!E1731)</f>
        <v/>
      </c>
      <c r="B1731" s="48" t="str">
        <f t="shared" si="364"/>
        <v/>
      </c>
      <c r="C1731" s="49" t="str">
        <f>IF(archive!F1731="","",archive!F1731)</f>
        <v/>
      </c>
      <c r="D1731" s="50" t="str">
        <f t="shared" si="365"/>
        <v/>
      </c>
      <c r="E1731" s="50" t="str">
        <f t="shared" si="366"/>
        <v/>
      </c>
      <c r="F1731" s="47" t="str">
        <f>IF(COUNTA(archive!H1731:CI1731)=0,"",COUNTA(archive!H1731:CI1731))</f>
        <v/>
      </c>
      <c r="G1731" s="47" t="str">
        <f>IF(archive!G1731="","",archive!G1731)</f>
        <v/>
      </c>
      <c r="H1731" s="51" t="str">
        <f>IF(archive!CJ1731="","",archive!CJ1731)</f>
        <v/>
      </c>
      <c r="I1731" s="51" t="str">
        <f>IF(archive!CK1731="","",archive!CK1731)</f>
        <v/>
      </c>
      <c r="J1731" s="47" t="str">
        <f t="shared" si="367"/>
        <v/>
      </c>
      <c r="K1731" s="51" t="str">
        <f t="shared" si="368"/>
        <v/>
      </c>
      <c r="L1731" s="52" t="str">
        <f t="shared" si="369"/>
        <v/>
      </c>
      <c r="M1731" s="53" t="str">
        <f t="shared" si="370"/>
        <v/>
      </c>
      <c r="N1731" s="53" t="str">
        <f t="shared" si="371"/>
        <v/>
      </c>
      <c r="O1731" s="53" t="str">
        <f t="shared" si="372"/>
        <v/>
      </c>
      <c r="P1731" s="53" t="str">
        <f t="shared" si="373"/>
        <v/>
      </c>
      <c r="Q1731" s="53" t="str">
        <f t="shared" si="374"/>
        <v/>
      </c>
      <c r="R1731" s="53" t="str">
        <f t="shared" si="375"/>
        <v/>
      </c>
      <c r="S1731" s="53" t="str">
        <f t="shared" si="376"/>
        <v/>
      </c>
      <c r="T1731" s="53" t="str">
        <f t="shared" si="377"/>
        <v/>
      </c>
    </row>
    <row r="1732" spans="1:20">
      <c r="A1732" s="47" t="str">
        <f>IF(archive!E1732="","",archive!E1732)</f>
        <v/>
      </c>
      <c r="B1732" s="48" t="str">
        <f t="shared" ref="B1732:B1795" si="378">IF(C1732="","",VLOOKUP($C1732,Tare,2,0))</f>
        <v/>
      </c>
      <c r="C1732" s="49" t="str">
        <f>IF(archive!F1732="","",archive!F1732)</f>
        <v/>
      </c>
      <c r="D1732" s="50" t="str">
        <f t="shared" ref="D1732:D1795" si="379">IF(C1732="","",C1732+B1732)</f>
        <v/>
      </c>
      <c r="E1732" s="50" t="str">
        <f t="shared" ref="E1732:E1795" si="380">IF(C1732="","",(C1732*0.025)+D1732)</f>
        <v/>
      </c>
      <c r="F1732" s="47" t="str">
        <f>IF(COUNTA(archive!H1732:CI1732)=0,"",COUNTA(archive!H1732:CI1732))</f>
        <v/>
      </c>
      <c r="G1732" s="47" t="str">
        <f>IF(archive!G1732="","",archive!G1732)</f>
        <v/>
      </c>
      <c r="H1732" s="51" t="str">
        <f>IF(archive!CJ1732="","",archive!CJ1732)</f>
        <v/>
      </c>
      <c r="I1732" s="51" t="str">
        <f>IF(archive!CK1732="","",archive!CK1732)</f>
        <v/>
      </c>
      <c r="J1732" s="47" t="str">
        <f t="shared" ref="J1732:J1795" si="381">IF(F1732="","",VLOOKUP(F1732,Valeur_g,2,0))</f>
        <v/>
      </c>
      <c r="K1732" s="51" t="str">
        <f t="shared" ref="K1732:K1795" si="382">IF(C1732="","",D1732+(J1732*I1732))</f>
        <v/>
      </c>
      <c r="L1732" s="52" t="str">
        <f t="shared" ref="L1732:L1795" si="383">IF(C1732="","",IF(K1732&lt;H1732,"Conforme","Non conforme"))</f>
        <v/>
      </c>
      <c r="M1732" s="53" t="str">
        <f t="shared" ref="M1732:M1795" si="384">IF(C1732="","",1)</f>
        <v/>
      </c>
      <c r="N1732" s="53" t="str">
        <f t="shared" ref="N1732:N1795" si="385">IF(L1732="","",COUNTIF(L1732,"Non conforme"))</f>
        <v/>
      </c>
      <c r="O1732" s="53" t="str">
        <f t="shared" ref="O1732:O1795" si="386">IF($C1732="","",IF($C1732=0.25,$G1732,"-"))</f>
        <v/>
      </c>
      <c r="P1732" s="53" t="str">
        <f t="shared" ref="P1732:P1795" si="387">IF($C1732="","",IF($C1732=0.4,$G1732,"-"))</f>
        <v/>
      </c>
      <c r="Q1732" s="53" t="str">
        <f t="shared" ref="Q1732:Q1795" si="388">IF($C1732="","",IF($C1732=0.5,$G1732,"-"))</f>
        <v/>
      </c>
      <c r="R1732" s="53" t="str">
        <f t="shared" ref="R1732:R1795" si="389">IF($C1732="","",IF($C1732=0.6,$G1732,"-"))</f>
        <v/>
      </c>
      <c r="S1732" s="53" t="str">
        <f t="shared" ref="S1732:S1795" si="390">IF($C1732="","",IF($C1732=0.8,$G1732,"-"))</f>
        <v/>
      </c>
      <c r="T1732" s="53" t="str">
        <f t="shared" ref="T1732:T1795" si="391">IF($C1732="","",IF($C1732=1,$G1732,"-"))</f>
        <v/>
      </c>
    </row>
    <row r="1733" spans="1:20">
      <c r="A1733" s="47" t="str">
        <f>IF(archive!E1733="","",archive!E1733)</f>
        <v/>
      </c>
      <c r="B1733" s="48" t="str">
        <f t="shared" si="378"/>
        <v/>
      </c>
      <c r="C1733" s="49" t="str">
        <f>IF(archive!F1733="","",archive!F1733)</f>
        <v/>
      </c>
      <c r="D1733" s="50" t="str">
        <f t="shared" si="379"/>
        <v/>
      </c>
      <c r="E1733" s="50" t="str">
        <f t="shared" si="380"/>
        <v/>
      </c>
      <c r="F1733" s="47" t="str">
        <f>IF(COUNTA(archive!H1733:CI1733)=0,"",COUNTA(archive!H1733:CI1733))</f>
        <v/>
      </c>
      <c r="G1733" s="47" t="str">
        <f>IF(archive!G1733="","",archive!G1733)</f>
        <v/>
      </c>
      <c r="H1733" s="51" t="str">
        <f>IF(archive!CJ1733="","",archive!CJ1733)</f>
        <v/>
      </c>
      <c r="I1733" s="51" t="str">
        <f>IF(archive!CK1733="","",archive!CK1733)</f>
        <v/>
      </c>
      <c r="J1733" s="47" t="str">
        <f t="shared" si="381"/>
        <v/>
      </c>
      <c r="K1733" s="51" t="str">
        <f t="shared" si="382"/>
        <v/>
      </c>
      <c r="L1733" s="52" t="str">
        <f t="shared" si="383"/>
        <v/>
      </c>
      <c r="M1733" s="53" t="str">
        <f t="shared" si="384"/>
        <v/>
      </c>
      <c r="N1733" s="53" t="str">
        <f t="shared" si="385"/>
        <v/>
      </c>
      <c r="O1733" s="53" t="str">
        <f t="shared" si="386"/>
        <v/>
      </c>
      <c r="P1733" s="53" t="str">
        <f t="shared" si="387"/>
        <v/>
      </c>
      <c r="Q1733" s="53" t="str">
        <f t="shared" si="388"/>
        <v/>
      </c>
      <c r="R1733" s="53" t="str">
        <f t="shared" si="389"/>
        <v/>
      </c>
      <c r="S1733" s="53" t="str">
        <f t="shared" si="390"/>
        <v/>
      </c>
      <c r="T1733" s="53" t="str">
        <f t="shared" si="391"/>
        <v/>
      </c>
    </row>
    <row r="1734" spans="1:20">
      <c r="A1734" s="47" t="str">
        <f>IF(archive!E1734="","",archive!E1734)</f>
        <v/>
      </c>
      <c r="B1734" s="48" t="str">
        <f t="shared" si="378"/>
        <v/>
      </c>
      <c r="C1734" s="49" t="str">
        <f>IF(archive!F1734="","",archive!F1734)</f>
        <v/>
      </c>
      <c r="D1734" s="50" t="str">
        <f t="shared" si="379"/>
        <v/>
      </c>
      <c r="E1734" s="50" t="str">
        <f t="shared" si="380"/>
        <v/>
      </c>
      <c r="F1734" s="47" t="str">
        <f>IF(COUNTA(archive!H1734:CI1734)=0,"",COUNTA(archive!H1734:CI1734))</f>
        <v/>
      </c>
      <c r="G1734" s="47" t="str">
        <f>IF(archive!G1734="","",archive!G1734)</f>
        <v/>
      </c>
      <c r="H1734" s="51" t="str">
        <f>IF(archive!CJ1734="","",archive!CJ1734)</f>
        <v/>
      </c>
      <c r="I1734" s="51" t="str">
        <f>IF(archive!CK1734="","",archive!CK1734)</f>
        <v/>
      </c>
      <c r="J1734" s="47" t="str">
        <f t="shared" si="381"/>
        <v/>
      </c>
      <c r="K1734" s="51" t="str">
        <f t="shared" si="382"/>
        <v/>
      </c>
      <c r="L1734" s="52" t="str">
        <f t="shared" si="383"/>
        <v/>
      </c>
      <c r="M1734" s="53" t="str">
        <f t="shared" si="384"/>
        <v/>
      </c>
      <c r="N1734" s="53" t="str">
        <f t="shared" si="385"/>
        <v/>
      </c>
      <c r="O1734" s="53" t="str">
        <f t="shared" si="386"/>
        <v/>
      </c>
      <c r="P1734" s="53" t="str">
        <f t="shared" si="387"/>
        <v/>
      </c>
      <c r="Q1734" s="53" t="str">
        <f t="shared" si="388"/>
        <v/>
      </c>
      <c r="R1734" s="53" t="str">
        <f t="shared" si="389"/>
        <v/>
      </c>
      <c r="S1734" s="53" t="str">
        <f t="shared" si="390"/>
        <v/>
      </c>
      <c r="T1734" s="53" t="str">
        <f t="shared" si="391"/>
        <v/>
      </c>
    </row>
    <row r="1735" spans="1:20">
      <c r="A1735" s="47" t="str">
        <f>IF(archive!E1735="","",archive!E1735)</f>
        <v/>
      </c>
      <c r="B1735" s="48" t="str">
        <f t="shared" si="378"/>
        <v/>
      </c>
      <c r="C1735" s="49" t="str">
        <f>IF(archive!F1735="","",archive!F1735)</f>
        <v/>
      </c>
      <c r="D1735" s="50" t="str">
        <f t="shared" si="379"/>
        <v/>
      </c>
      <c r="E1735" s="50" t="str">
        <f t="shared" si="380"/>
        <v/>
      </c>
      <c r="F1735" s="47" t="str">
        <f>IF(COUNTA(archive!H1735:CI1735)=0,"",COUNTA(archive!H1735:CI1735))</f>
        <v/>
      </c>
      <c r="G1735" s="47" t="str">
        <f>IF(archive!G1735="","",archive!G1735)</f>
        <v/>
      </c>
      <c r="H1735" s="51" t="str">
        <f>IF(archive!CJ1735="","",archive!CJ1735)</f>
        <v/>
      </c>
      <c r="I1735" s="51" t="str">
        <f>IF(archive!CK1735="","",archive!CK1735)</f>
        <v/>
      </c>
      <c r="J1735" s="47" t="str">
        <f t="shared" si="381"/>
        <v/>
      </c>
      <c r="K1735" s="51" t="str">
        <f t="shared" si="382"/>
        <v/>
      </c>
      <c r="L1735" s="52" t="str">
        <f t="shared" si="383"/>
        <v/>
      </c>
      <c r="M1735" s="53" t="str">
        <f t="shared" si="384"/>
        <v/>
      </c>
      <c r="N1735" s="53" t="str">
        <f t="shared" si="385"/>
        <v/>
      </c>
      <c r="O1735" s="53" t="str">
        <f t="shared" si="386"/>
        <v/>
      </c>
      <c r="P1735" s="53" t="str">
        <f t="shared" si="387"/>
        <v/>
      </c>
      <c r="Q1735" s="53" t="str">
        <f t="shared" si="388"/>
        <v/>
      </c>
      <c r="R1735" s="53" t="str">
        <f t="shared" si="389"/>
        <v/>
      </c>
      <c r="S1735" s="53" t="str">
        <f t="shared" si="390"/>
        <v/>
      </c>
      <c r="T1735" s="53" t="str">
        <f t="shared" si="391"/>
        <v/>
      </c>
    </row>
    <row r="1736" spans="1:20">
      <c r="A1736" s="47" t="str">
        <f>IF(archive!E1736="","",archive!E1736)</f>
        <v/>
      </c>
      <c r="B1736" s="48" t="str">
        <f t="shared" si="378"/>
        <v/>
      </c>
      <c r="C1736" s="49" t="str">
        <f>IF(archive!F1736="","",archive!F1736)</f>
        <v/>
      </c>
      <c r="D1736" s="50" t="str">
        <f t="shared" si="379"/>
        <v/>
      </c>
      <c r="E1736" s="50" t="str">
        <f t="shared" si="380"/>
        <v/>
      </c>
      <c r="F1736" s="47" t="str">
        <f>IF(COUNTA(archive!H1736:CI1736)=0,"",COUNTA(archive!H1736:CI1736))</f>
        <v/>
      </c>
      <c r="G1736" s="47" t="str">
        <f>IF(archive!G1736="","",archive!G1736)</f>
        <v/>
      </c>
      <c r="H1736" s="51" t="str">
        <f>IF(archive!CJ1736="","",archive!CJ1736)</f>
        <v/>
      </c>
      <c r="I1736" s="51" t="str">
        <f>IF(archive!CK1736="","",archive!CK1736)</f>
        <v/>
      </c>
      <c r="J1736" s="47" t="str">
        <f t="shared" si="381"/>
        <v/>
      </c>
      <c r="K1736" s="51" t="str">
        <f t="shared" si="382"/>
        <v/>
      </c>
      <c r="L1736" s="52" t="str">
        <f t="shared" si="383"/>
        <v/>
      </c>
      <c r="M1736" s="53" t="str">
        <f t="shared" si="384"/>
        <v/>
      </c>
      <c r="N1736" s="53" t="str">
        <f t="shared" si="385"/>
        <v/>
      </c>
      <c r="O1736" s="53" t="str">
        <f t="shared" si="386"/>
        <v/>
      </c>
      <c r="P1736" s="53" t="str">
        <f t="shared" si="387"/>
        <v/>
      </c>
      <c r="Q1736" s="53" t="str">
        <f t="shared" si="388"/>
        <v/>
      </c>
      <c r="R1736" s="53" t="str">
        <f t="shared" si="389"/>
        <v/>
      </c>
      <c r="S1736" s="53" t="str">
        <f t="shared" si="390"/>
        <v/>
      </c>
      <c r="T1736" s="53" t="str">
        <f t="shared" si="391"/>
        <v/>
      </c>
    </row>
    <row r="1737" spans="1:20">
      <c r="A1737" s="47" t="str">
        <f>IF(archive!E1737="","",archive!E1737)</f>
        <v/>
      </c>
      <c r="B1737" s="48" t="str">
        <f t="shared" si="378"/>
        <v/>
      </c>
      <c r="C1737" s="49" t="str">
        <f>IF(archive!F1737="","",archive!F1737)</f>
        <v/>
      </c>
      <c r="D1737" s="50" t="str">
        <f t="shared" si="379"/>
        <v/>
      </c>
      <c r="E1737" s="50" t="str">
        <f t="shared" si="380"/>
        <v/>
      </c>
      <c r="F1737" s="47" t="str">
        <f>IF(COUNTA(archive!H1737:CI1737)=0,"",COUNTA(archive!H1737:CI1737))</f>
        <v/>
      </c>
      <c r="G1737" s="47" t="str">
        <f>IF(archive!G1737="","",archive!G1737)</f>
        <v/>
      </c>
      <c r="H1737" s="51" t="str">
        <f>IF(archive!CJ1737="","",archive!CJ1737)</f>
        <v/>
      </c>
      <c r="I1737" s="51" t="str">
        <f>IF(archive!CK1737="","",archive!CK1737)</f>
        <v/>
      </c>
      <c r="J1737" s="47" t="str">
        <f t="shared" si="381"/>
        <v/>
      </c>
      <c r="K1737" s="51" t="str">
        <f t="shared" si="382"/>
        <v/>
      </c>
      <c r="L1737" s="52" t="str">
        <f t="shared" si="383"/>
        <v/>
      </c>
      <c r="M1737" s="53" t="str">
        <f t="shared" si="384"/>
        <v/>
      </c>
      <c r="N1737" s="53" t="str">
        <f t="shared" si="385"/>
        <v/>
      </c>
      <c r="O1737" s="53" t="str">
        <f t="shared" si="386"/>
        <v/>
      </c>
      <c r="P1737" s="53" t="str">
        <f t="shared" si="387"/>
        <v/>
      </c>
      <c r="Q1737" s="53" t="str">
        <f t="shared" si="388"/>
        <v/>
      </c>
      <c r="R1737" s="53" t="str">
        <f t="shared" si="389"/>
        <v/>
      </c>
      <c r="S1737" s="53" t="str">
        <f t="shared" si="390"/>
        <v/>
      </c>
      <c r="T1737" s="53" t="str">
        <f t="shared" si="391"/>
        <v/>
      </c>
    </row>
    <row r="1738" spans="1:20">
      <c r="A1738" s="47" t="str">
        <f>IF(archive!E1738="","",archive!E1738)</f>
        <v/>
      </c>
      <c r="B1738" s="48" t="str">
        <f t="shared" si="378"/>
        <v/>
      </c>
      <c r="C1738" s="49" t="str">
        <f>IF(archive!F1738="","",archive!F1738)</f>
        <v/>
      </c>
      <c r="D1738" s="50" t="str">
        <f t="shared" si="379"/>
        <v/>
      </c>
      <c r="E1738" s="50" t="str">
        <f t="shared" si="380"/>
        <v/>
      </c>
      <c r="F1738" s="47" t="str">
        <f>IF(COUNTA(archive!H1738:CI1738)=0,"",COUNTA(archive!H1738:CI1738))</f>
        <v/>
      </c>
      <c r="G1738" s="47" t="str">
        <f>IF(archive!G1738="","",archive!G1738)</f>
        <v/>
      </c>
      <c r="H1738" s="51" t="str">
        <f>IF(archive!CJ1738="","",archive!CJ1738)</f>
        <v/>
      </c>
      <c r="I1738" s="51" t="str">
        <f>IF(archive!CK1738="","",archive!CK1738)</f>
        <v/>
      </c>
      <c r="J1738" s="47" t="str">
        <f t="shared" si="381"/>
        <v/>
      </c>
      <c r="K1738" s="51" t="str">
        <f t="shared" si="382"/>
        <v/>
      </c>
      <c r="L1738" s="52" t="str">
        <f t="shared" si="383"/>
        <v/>
      </c>
      <c r="M1738" s="53" t="str">
        <f t="shared" si="384"/>
        <v/>
      </c>
      <c r="N1738" s="53" t="str">
        <f t="shared" si="385"/>
        <v/>
      </c>
      <c r="O1738" s="53" t="str">
        <f t="shared" si="386"/>
        <v/>
      </c>
      <c r="P1738" s="53" t="str">
        <f t="shared" si="387"/>
        <v/>
      </c>
      <c r="Q1738" s="53" t="str">
        <f t="shared" si="388"/>
        <v/>
      </c>
      <c r="R1738" s="53" t="str">
        <f t="shared" si="389"/>
        <v/>
      </c>
      <c r="S1738" s="53" t="str">
        <f t="shared" si="390"/>
        <v/>
      </c>
      <c r="T1738" s="53" t="str">
        <f t="shared" si="391"/>
        <v/>
      </c>
    </row>
    <row r="1739" spans="1:20">
      <c r="A1739" s="47" t="str">
        <f>IF(archive!E1739="","",archive!E1739)</f>
        <v/>
      </c>
      <c r="B1739" s="48" t="str">
        <f t="shared" si="378"/>
        <v/>
      </c>
      <c r="C1739" s="49" t="str">
        <f>IF(archive!F1739="","",archive!F1739)</f>
        <v/>
      </c>
      <c r="D1739" s="50" t="str">
        <f t="shared" si="379"/>
        <v/>
      </c>
      <c r="E1739" s="50" t="str">
        <f t="shared" si="380"/>
        <v/>
      </c>
      <c r="F1739" s="47" t="str">
        <f>IF(COUNTA(archive!H1739:CI1739)=0,"",COUNTA(archive!H1739:CI1739))</f>
        <v/>
      </c>
      <c r="G1739" s="47" t="str">
        <f>IF(archive!G1739="","",archive!G1739)</f>
        <v/>
      </c>
      <c r="H1739" s="51" t="str">
        <f>IF(archive!CJ1739="","",archive!CJ1739)</f>
        <v/>
      </c>
      <c r="I1739" s="51" t="str">
        <f>IF(archive!CK1739="","",archive!CK1739)</f>
        <v/>
      </c>
      <c r="J1739" s="47" t="str">
        <f t="shared" si="381"/>
        <v/>
      </c>
      <c r="K1739" s="51" t="str">
        <f t="shared" si="382"/>
        <v/>
      </c>
      <c r="L1739" s="52" t="str">
        <f t="shared" si="383"/>
        <v/>
      </c>
      <c r="M1739" s="53" t="str">
        <f t="shared" si="384"/>
        <v/>
      </c>
      <c r="N1739" s="53" t="str">
        <f t="shared" si="385"/>
        <v/>
      </c>
      <c r="O1739" s="53" t="str">
        <f t="shared" si="386"/>
        <v/>
      </c>
      <c r="P1739" s="53" t="str">
        <f t="shared" si="387"/>
        <v/>
      </c>
      <c r="Q1739" s="53" t="str">
        <f t="shared" si="388"/>
        <v/>
      </c>
      <c r="R1739" s="53" t="str">
        <f t="shared" si="389"/>
        <v/>
      </c>
      <c r="S1739" s="53" t="str">
        <f t="shared" si="390"/>
        <v/>
      </c>
      <c r="T1739" s="53" t="str">
        <f t="shared" si="391"/>
        <v/>
      </c>
    </row>
    <row r="1740" spans="1:20">
      <c r="A1740" s="47" t="str">
        <f>IF(archive!E1740="","",archive!E1740)</f>
        <v/>
      </c>
      <c r="B1740" s="48" t="str">
        <f t="shared" si="378"/>
        <v/>
      </c>
      <c r="C1740" s="49" t="str">
        <f>IF(archive!F1740="","",archive!F1740)</f>
        <v/>
      </c>
      <c r="D1740" s="50" t="str">
        <f t="shared" si="379"/>
        <v/>
      </c>
      <c r="E1740" s="50" t="str">
        <f t="shared" si="380"/>
        <v/>
      </c>
      <c r="F1740" s="47" t="str">
        <f>IF(COUNTA(archive!H1740:CI1740)=0,"",COUNTA(archive!H1740:CI1740))</f>
        <v/>
      </c>
      <c r="G1740" s="47" t="str">
        <f>IF(archive!G1740="","",archive!G1740)</f>
        <v/>
      </c>
      <c r="H1740" s="51" t="str">
        <f>IF(archive!CJ1740="","",archive!CJ1740)</f>
        <v/>
      </c>
      <c r="I1740" s="51" t="str">
        <f>IF(archive!CK1740="","",archive!CK1740)</f>
        <v/>
      </c>
      <c r="J1740" s="47" t="str">
        <f t="shared" si="381"/>
        <v/>
      </c>
      <c r="K1740" s="51" t="str">
        <f t="shared" si="382"/>
        <v/>
      </c>
      <c r="L1740" s="52" t="str">
        <f t="shared" si="383"/>
        <v/>
      </c>
      <c r="M1740" s="53" t="str">
        <f t="shared" si="384"/>
        <v/>
      </c>
      <c r="N1740" s="53" t="str">
        <f t="shared" si="385"/>
        <v/>
      </c>
      <c r="O1740" s="53" t="str">
        <f t="shared" si="386"/>
        <v/>
      </c>
      <c r="P1740" s="53" t="str">
        <f t="shared" si="387"/>
        <v/>
      </c>
      <c r="Q1740" s="53" t="str">
        <f t="shared" si="388"/>
        <v/>
      </c>
      <c r="R1740" s="53" t="str">
        <f t="shared" si="389"/>
        <v/>
      </c>
      <c r="S1740" s="53" t="str">
        <f t="shared" si="390"/>
        <v/>
      </c>
      <c r="T1740" s="53" t="str">
        <f t="shared" si="391"/>
        <v/>
      </c>
    </row>
    <row r="1741" spans="1:20">
      <c r="A1741" s="47" t="str">
        <f>IF(archive!E1741="","",archive!E1741)</f>
        <v/>
      </c>
      <c r="B1741" s="48" t="str">
        <f t="shared" si="378"/>
        <v/>
      </c>
      <c r="C1741" s="49" t="str">
        <f>IF(archive!F1741="","",archive!F1741)</f>
        <v/>
      </c>
      <c r="D1741" s="50" t="str">
        <f t="shared" si="379"/>
        <v/>
      </c>
      <c r="E1741" s="50" t="str">
        <f t="shared" si="380"/>
        <v/>
      </c>
      <c r="F1741" s="47" t="str">
        <f>IF(COUNTA(archive!H1741:CI1741)=0,"",COUNTA(archive!H1741:CI1741))</f>
        <v/>
      </c>
      <c r="G1741" s="47" t="str">
        <f>IF(archive!G1741="","",archive!G1741)</f>
        <v/>
      </c>
      <c r="H1741" s="51" t="str">
        <f>IF(archive!CJ1741="","",archive!CJ1741)</f>
        <v/>
      </c>
      <c r="I1741" s="51" t="str">
        <f>IF(archive!CK1741="","",archive!CK1741)</f>
        <v/>
      </c>
      <c r="J1741" s="47" t="str">
        <f t="shared" si="381"/>
        <v/>
      </c>
      <c r="K1741" s="51" t="str">
        <f t="shared" si="382"/>
        <v/>
      </c>
      <c r="L1741" s="52" t="str">
        <f t="shared" si="383"/>
        <v/>
      </c>
      <c r="M1741" s="53" t="str">
        <f t="shared" si="384"/>
        <v/>
      </c>
      <c r="N1741" s="53" t="str">
        <f t="shared" si="385"/>
        <v/>
      </c>
      <c r="O1741" s="53" t="str">
        <f t="shared" si="386"/>
        <v/>
      </c>
      <c r="P1741" s="53" t="str">
        <f t="shared" si="387"/>
        <v/>
      </c>
      <c r="Q1741" s="53" t="str">
        <f t="shared" si="388"/>
        <v/>
      </c>
      <c r="R1741" s="53" t="str">
        <f t="shared" si="389"/>
        <v/>
      </c>
      <c r="S1741" s="53" t="str">
        <f t="shared" si="390"/>
        <v/>
      </c>
      <c r="T1741" s="53" t="str">
        <f t="shared" si="391"/>
        <v/>
      </c>
    </row>
    <row r="1742" spans="1:20">
      <c r="A1742" s="47" t="str">
        <f>IF(archive!E1742="","",archive!E1742)</f>
        <v/>
      </c>
      <c r="B1742" s="48" t="str">
        <f t="shared" si="378"/>
        <v/>
      </c>
      <c r="C1742" s="49" t="str">
        <f>IF(archive!F1742="","",archive!F1742)</f>
        <v/>
      </c>
      <c r="D1742" s="50" t="str">
        <f t="shared" si="379"/>
        <v/>
      </c>
      <c r="E1742" s="50" t="str">
        <f t="shared" si="380"/>
        <v/>
      </c>
      <c r="F1742" s="47" t="str">
        <f>IF(COUNTA(archive!H1742:CI1742)=0,"",COUNTA(archive!H1742:CI1742))</f>
        <v/>
      </c>
      <c r="G1742" s="47" t="str">
        <f>IF(archive!G1742="","",archive!G1742)</f>
        <v/>
      </c>
      <c r="H1742" s="51" t="str">
        <f>IF(archive!CJ1742="","",archive!CJ1742)</f>
        <v/>
      </c>
      <c r="I1742" s="51" t="str">
        <f>IF(archive!CK1742="","",archive!CK1742)</f>
        <v/>
      </c>
      <c r="J1742" s="47" t="str">
        <f t="shared" si="381"/>
        <v/>
      </c>
      <c r="K1742" s="51" t="str">
        <f t="shared" si="382"/>
        <v/>
      </c>
      <c r="L1742" s="52" t="str">
        <f t="shared" si="383"/>
        <v/>
      </c>
      <c r="M1742" s="53" t="str">
        <f t="shared" si="384"/>
        <v/>
      </c>
      <c r="N1742" s="53" t="str">
        <f t="shared" si="385"/>
        <v/>
      </c>
      <c r="O1742" s="53" t="str">
        <f t="shared" si="386"/>
        <v/>
      </c>
      <c r="P1742" s="53" t="str">
        <f t="shared" si="387"/>
        <v/>
      </c>
      <c r="Q1742" s="53" t="str">
        <f t="shared" si="388"/>
        <v/>
      </c>
      <c r="R1742" s="53" t="str">
        <f t="shared" si="389"/>
        <v/>
      </c>
      <c r="S1742" s="53" t="str">
        <f t="shared" si="390"/>
        <v/>
      </c>
      <c r="T1742" s="53" t="str">
        <f t="shared" si="391"/>
        <v/>
      </c>
    </row>
    <row r="1743" spans="1:20">
      <c r="A1743" s="47" t="str">
        <f>IF(archive!E1743="","",archive!E1743)</f>
        <v/>
      </c>
      <c r="B1743" s="48" t="str">
        <f t="shared" si="378"/>
        <v/>
      </c>
      <c r="C1743" s="49" t="str">
        <f>IF(archive!F1743="","",archive!F1743)</f>
        <v/>
      </c>
      <c r="D1743" s="50" t="str">
        <f t="shared" si="379"/>
        <v/>
      </c>
      <c r="E1743" s="50" t="str">
        <f t="shared" si="380"/>
        <v/>
      </c>
      <c r="F1743" s="47" t="str">
        <f>IF(COUNTA(archive!H1743:CI1743)=0,"",COUNTA(archive!H1743:CI1743))</f>
        <v/>
      </c>
      <c r="G1743" s="47" t="str">
        <f>IF(archive!G1743="","",archive!G1743)</f>
        <v/>
      </c>
      <c r="H1743" s="51" t="str">
        <f>IF(archive!CJ1743="","",archive!CJ1743)</f>
        <v/>
      </c>
      <c r="I1743" s="51" t="str">
        <f>IF(archive!CK1743="","",archive!CK1743)</f>
        <v/>
      </c>
      <c r="J1743" s="47" t="str">
        <f t="shared" si="381"/>
        <v/>
      </c>
      <c r="K1743" s="51" t="str">
        <f t="shared" si="382"/>
        <v/>
      </c>
      <c r="L1743" s="52" t="str">
        <f t="shared" si="383"/>
        <v/>
      </c>
      <c r="M1743" s="53" t="str">
        <f t="shared" si="384"/>
        <v/>
      </c>
      <c r="N1743" s="53" t="str">
        <f t="shared" si="385"/>
        <v/>
      </c>
      <c r="O1743" s="53" t="str">
        <f t="shared" si="386"/>
        <v/>
      </c>
      <c r="P1743" s="53" t="str">
        <f t="shared" si="387"/>
        <v/>
      </c>
      <c r="Q1743" s="53" t="str">
        <f t="shared" si="388"/>
        <v/>
      </c>
      <c r="R1743" s="53" t="str">
        <f t="shared" si="389"/>
        <v/>
      </c>
      <c r="S1743" s="53" t="str">
        <f t="shared" si="390"/>
        <v/>
      </c>
      <c r="T1743" s="53" t="str">
        <f t="shared" si="391"/>
        <v/>
      </c>
    </row>
    <row r="1744" spans="1:20">
      <c r="A1744" s="47" t="str">
        <f>IF(archive!E1744="","",archive!E1744)</f>
        <v/>
      </c>
      <c r="B1744" s="48" t="str">
        <f t="shared" si="378"/>
        <v/>
      </c>
      <c r="C1744" s="49" t="str">
        <f>IF(archive!F1744="","",archive!F1744)</f>
        <v/>
      </c>
      <c r="D1744" s="50" t="str">
        <f t="shared" si="379"/>
        <v/>
      </c>
      <c r="E1744" s="50" t="str">
        <f t="shared" si="380"/>
        <v/>
      </c>
      <c r="F1744" s="47" t="str">
        <f>IF(COUNTA(archive!H1744:CI1744)=0,"",COUNTA(archive!H1744:CI1744))</f>
        <v/>
      </c>
      <c r="G1744" s="47" t="str">
        <f>IF(archive!G1744="","",archive!G1744)</f>
        <v/>
      </c>
      <c r="H1744" s="51" t="str">
        <f>IF(archive!CJ1744="","",archive!CJ1744)</f>
        <v/>
      </c>
      <c r="I1744" s="51" t="str">
        <f>IF(archive!CK1744="","",archive!CK1744)</f>
        <v/>
      </c>
      <c r="J1744" s="47" t="str">
        <f t="shared" si="381"/>
        <v/>
      </c>
      <c r="K1744" s="51" t="str">
        <f t="shared" si="382"/>
        <v/>
      </c>
      <c r="L1744" s="52" t="str">
        <f t="shared" si="383"/>
        <v/>
      </c>
      <c r="M1744" s="53" t="str">
        <f t="shared" si="384"/>
        <v/>
      </c>
      <c r="N1744" s="53" t="str">
        <f t="shared" si="385"/>
        <v/>
      </c>
      <c r="O1744" s="53" t="str">
        <f t="shared" si="386"/>
        <v/>
      </c>
      <c r="P1744" s="53" t="str">
        <f t="shared" si="387"/>
        <v/>
      </c>
      <c r="Q1744" s="53" t="str">
        <f t="shared" si="388"/>
        <v/>
      </c>
      <c r="R1744" s="53" t="str">
        <f t="shared" si="389"/>
        <v/>
      </c>
      <c r="S1744" s="53" t="str">
        <f t="shared" si="390"/>
        <v/>
      </c>
      <c r="T1744" s="53" t="str">
        <f t="shared" si="391"/>
        <v/>
      </c>
    </row>
    <row r="1745" spans="1:20">
      <c r="A1745" s="47" t="str">
        <f>IF(archive!E1745="","",archive!E1745)</f>
        <v/>
      </c>
      <c r="B1745" s="48" t="str">
        <f t="shared" si="378"/>
        <v/>
      </c>
      <c r="C1745" s="49" t="str">
        <f>IF(archive!F1745="","",archive!F1745)</f>
        <v/>
      </c>
      <c r="D1745" s="50" t="str">
        <f t="shared" si="379"/>
        <v/>
      </c>
      <c r="E1745" s="50" t="str">
        <f t="shared" si="380"/>
        <v/>
      </c>
      <c r="F1745" s="47" t="str">
        <f>IF(COUNTA(archive!H1745:CI1745)=0,"",COUNTA(archive!H1745:CI1745))</f>
        <v/>
      </c>
      <c r="G1745" s="47" t="str">
        <f>IF(archive!G1745="","",archive!G1745)</f>
        <v/>
      </c>
      <c r="H1745" s="51" t="str">
        <f>IF(archive!CJ1745="","",archive!CJ1745)</f>
        <v/>
      </c>
      <c r="I1745" s="51" t="str">
        <f>IF(archive!CK1745="","",archive!CK1745)</f>
        <v/>
      </c>
      <c r="J1745" s="47" t="str">
        <f t="shared" si="381"/>
        <v/>
      </c>
      <c r="K1745" s="51" t="str">
        <f t="shared" si="382"/>
        <v/>
      </c>
      <c r="L1745" s="52" t="str">
        <f t="shared" si="383"/>
        <v/>
      </c>
      <c r="M1745" s="53" t="str">
        <f t="shared" si="384"/>
        <v/>
      </c>
      <c r="N1745" s="53" t="str">
        <f t="shared" si="385"/>
        <v/>
      </c>
      <c r="O1745" s="53" t="str">
        <f t="shared" si="386"/>
        <v/>
      </c>
      <c r="P1745" s="53" t="str">
        <f t="shared" si="387"/>
        <v/>
      </c>
      <c r="Q1745" s="53" t="str">
        <f t="shared" si="388"/>
        <v/>
      </c>
      <c r="R1745" s="53" t="str">
        <f t="shared" si="389"/>
        <v/>
      </c>
      <c r="S1745" s="53" t="str">
        <f t="shared" si="390"/>
        <v/>
      </c>
      <c r="T1745" s="53" t="str">
        <f t="shared" si="391"/>
        <v/>
      </c>
    </row>
    <row r="1746" spans="1:20">
      <c r="A1746" s="47" t="str">
        <f>IF(archive!E1746="","",archive!E1746)</f>
        <v/>
      </c>
      <c r="B1746" s="48" t="str">
        <f t="shared" si="378"/>
        <v/>
      </c>
      <c r="C1746" s="49" t="str">
        <f>IF(archive!F1746="","",archive!F1746)</f>
        <v/>
      </c>
      <c r="D1746" s="50" t="str">
        <f t="shared" si="379"/>
        <v/>
      </c>
      <c r="E1746" s="50" t="str">
        <f t="shared" si="380"/>
        <v/>
      </c>
      <c r="F1746" s="47" t="str">
        <f>IF(COUNTA(archive!H1746:CI1746)=0,"",COUNTA(archive!H1746:CI1746))</f>
        <v/>
      </c>
      <c r="G1746" s="47" t="str">
        <f>IF(archive!G1746="","",archive!G1746)</f>
        <v/>
      </c>
      <c r="H1746" s="51" t="str">
        <f>IF(archive!CJ1746="","",archive!CJ1746)</f>
        <v/>
      </c>
      <c r="I1746" s="51" t="str">
        <f>IF(archive!CK1746="","",archive!CK1746)</f>
        <v/>
      </c>
      <c r="J1746" s="47" t="str">
        <f t="shared" si="381"/>
        <v/>
      </c>
      <c r="K1746" s="51" t="str">
        <f t="shared" si="382"/>
        <v/>
      </c>
      <c r="L1746" s="52" t="str">
        <f t="shared" si="383"/>
        <v/>
      </c>
      <c r="M1746" s="53" t="str">
        <f t="shared" si="384"/>
        <v/>
      </c>
      <c r="N1746" s="53" t="str">
        <f t="shared" si="385"/>
        <v/>
      </c>
      <c r="O1746" s="53" t="str">
        <f t="shared" si="386"/>
        <v/>
      </c>
      <c r="P1746" s="53" t="str">
        <f t="shared" si="387"/>
        <v/>
      </c>
      <c r="Q1746" s="53" t="str">
        <f t="shared" si="388"/>
        <v/>
      </c>
      <c r="R1746" s="53" t="str">
        <f t="shared" si="389"/>
        <v/>
      </c>
      <c r="S1746" s="53" t="str">
        <f t="shared" si="390"/>
        <v/>
      </c>
      <c r="T1746" s="53" t="str">
        <f t="shared" si="391"/>
        <v/>
      </c>
    </row>
    <row r="1747" spans="1:20">
      <c r="A1747" s="47" t="str">
        <f>IF(archive!E1747="","",archive!E1747)</f>
        <v/>
      </c>
      <c r="B1747" s="48" t="str">
        <f t="shared" si="378"/>
        <v/>
      </c>
      <c r="C1747" s="49" t="str">
        <f>IF(archive!F1747="","",archive!F1747)</f>
        <v/>
      </c>
      <c r="D1747" s="50" t="str">
        <f t="shared" si="379"/>
        <v/>
      </c>
      <c r="E1747" s="50" t="str">
        <f t="shared" si="380"/>
        <v/>
      </c>
      <c r="F1747" s="47" t="str">
        <f>IF(COUNTA(archive!H1747:CI1747)=0,"",COUNTA(archive!H1747:CI1747))</f>
        <v/>
      </c>
      <c r="G1747" s="47" t="str">
        <f>IF(archive!G1747="","",archive!G1747)</f>
        <v/>
      </c>
      <c r="H1747" s="51" t="str">
        <f>IF(archive!CJ1747="","",archive!CJ1747)</f>
        <v/>
      </c>
      <c r="I1747" s="51" t="str">
        <f>IF(archive!CK1747="","",archive!CK1747)</f>
        <v/>
      </c>
      <c r="J1747" s="47" t="str">
        <f t="shared" si="381"/>
        <v/>
      </c>
      <c r="K1747" s="51" t="str">
        <f t="shared" si="382"/>
        <v/>
      </c>
      <c r="L1747" s="52" t="str">
        <f t="shared" si="383"/>
        <v/>
      </c>
      <c r="M1747" s="53" t="str">
        <f t="shared" si="384"/>
        <v/>
      </c>
      <c r="N1747" s="53" t="str">
        <f t="shared" si="385"/>
        <v/>
      </c>
      <c r="O1747" s="53" t="str">
        <f t="shared" si="386"/>
        <v/>
      </c>
      <c r="P1747" s="53" t="str">
        <f t="shared" si="387"/>
        <v/>
      </c>
      <c r="Q1747" s="53" t="str">
        <f t="shared" si="388"/>
        <v/>
      </c>
      <c r="R1747" s="53" t="str">
        <f t="shared" si="389"/>
        <v/>
      </c>
      <c r="S1747" s="53" t="str">
        <f t="shared" si="390"/>
        <v/>
      </c>
      <c r="T1747" s="53" t="str">
        <f t="shared" si="391"/>
        <v/>
      </c>
    </row>
    <row r="1748" spans="1:20">
      <c r="A1748" s="47" t="str">
        <f>IF(archive!E1748="","",archive!E1748)</f>
        <v/>
      </c>
      <c r="B1748" s="48" t="str">
        <f t="shared" si="378"/>
        <v/>
      </c>
      <c r="C1748" s="49" t="str">
        <f>IF(archive!F1748="","",archive!F1748)</f>
        <v/>
      </c>
      <c r="D1748" s="50" t="str">
        <f t="shared" si="379"/>
        <v/>
      </c>
      <c r="E1748" s="50" t="str">
        <f t="shared" si="380"/>
        <v/>
      </c>
      <c r="F1748" s="47" t="str">
        <f>IF(COUNTA(archive!H1748:CI1748)=0,"",COUNTA(archive!H1748:CI1748))</f>
        <v/>
      </c>
      <c r="G1748" s="47" t="str">
        <f>IF(archive!G1748="","",archive!G1748)</f>
        <v/>
      </c>
      <c r="H1748" s="51" t="str">
        <f>IF(archive!CJ1748="","",archive!CJ1748)</f>
        <v/>
      </c>
      <c r="I1748" s="51" t="str">
        <f>IF(archive!CK1748="","",archive!CK1748)</f>
        <v/>
      </c>
      <c r="J1748" s="47" t="str">
        <f t="shared" si="381"/>
        <v/>
      </c>
      <c r="K1748" s="51" t="str">
        <f t="shared" si="382"/>
        <v/>
      </c>
      <c r="L1748" s="52" t="str">
        <f t="shared" si="383"/>
        <v/>
      </c>
      <c r="M1748" s="53" t="str">
        <f t="shared" si="384"/>
        <v/>
      </c>
      <c r="N1748" s="53" t="str">
        <f t="shared" si="385"/>
        <v/>
      </c>
      <c r="O1748" s="53" t="str">
        <f t="shared" si="386"/>
        <v/>
      </c>
      <c r="P1748" s="53" t="str">
        <f t="shared" si="387"/>
        <v/>
      </c>
      <c r="Q1748" s="53" t="str">
        <f t="shared" si="388"/>
        <v/>
      </c>
      <c r="R1748" s="53" t="str">
        <f t="shared" si="389"/>
        <v/>
      </c>
      <c r="S1748" s="53" t="str">
        <f t="shared" si="390"/>
        <v/>
      </c>
      <c r="T1748" s="53" t="str">
        <f t="shared" si="391"/>
        <v/>
      </c>
    </row>
    <row r="1749" spans="1:20">
      <c r="A1749" s="47" t="str">
        <f>IF(archive!E1749="","",archive!E1749)</f>
        <v/>
      </c>
      <c r="B1749" s="48" t="str">
        <f t="shared" si="378"/>
        <v/>
      </c>
      <c r="C1749" s="49" t="str">
        <f>IF(archive!F1749="","",archive!F1749)</f>
        <v/>
      </c>
      <c r="D1749" s="50" t="str">
        <f t="shared" si="379"/>
        <v/>
      </c>
      <c r="E1749" s="50" t="str">
        <f t="shared" si="380"/>
        <v/>
      </c>
      <c r="F1749" s="47" t="str">
        <f>IF(COUNTA(archive!H1749:CI1749)=0,"",COUNTA(archive!H1749:CI1749))</f>
        <v/>
      </c>
      <c r="G1749" s="47" t="str">
        <f>IF(archive!G1749="","",archive!G1749)</f>
        <v/>
      </c>
      <c r="H1749" s="51" t="str">
        <f>IF(archive!CJ1749="","",archive!CJ1749)</f>
        <v/>
      </c>
      <c r="I1749" s="51" t="str">
        <f>IF(archive!CK1749="","",archive!CK1749)</f>
        <v/>
      </c>
      <c r="J1749" s="47" t="str">
        <f t="shared" si="381"/>
        <v/>
      </c>
      <c r="K1749" s="51" t="str">
        <f t="shared" si="382"/>
        <v/>
      </c>
      <c r="L1749" s="52" t="str">
        <f t="shared" si="383"/>
        <v/>
      </c>
      <c r="M1749" s="53" t="str">
        <f t="shared" si="384"/>
        <v/>
      </c>
      <c r="N1749" s="53" t="str">
        <f t="shared" si="385"/>
        <v/>
      </c>
      <c r="O1749" s="53" t="str">
        <f t="shared" si="386"/>
        <v/>
      </c>
      <c r="P1749" s="53" t="str">
        <f t="shared" si="387"/>
        <v/>
      </c>
      <c r="Q1749" s="53" t="str">
        <f t="shared" si="388"/>
        <v/>
      </c>
      <c r="R1749" s="53" t="str">
        <f t="shared" si="389"/>
        <v/>
      </c>
      <c r="S1749" s="53" t="str">
        <f t="shared" si="390"/>
        <v/>
      </c>
      <c r="T1749" s="53" t="str">
        <f t="shared" si="391"/>
        <v/>
      </c>
    </row>
    <row r="1750" spans="1:20">
      <c r="A1750" s="47" t="str">
        <f>IF(archive!E1750="","",archive!E1750)</f>
        <v/>
      </c>
      <c r="B1750" s="48" t="str">
        <f t="shared" si="378"/>
        <v/>
      </c>
      <c r="C1750" s="49" t="str">
        <f>IF(archive!F1750="","",archive!F1750)</f>
        <v/>
      </c>
      <c r="D1750" s="50" t="str">
        <f t="shared" si="379"/>
        <v/>
      </c>
      <c r="E1750" s="50" t="str">
        <f t="shared" si="380"/>
        <v/>
      </c>
      <c r="F1750" s="47" t="str">
        <f>IF(COUNTA(archive!H1750:CI1750)=0,"",COUNTA(archive!H1750:CI1750))</f>
        <v/>
      </c>
      <c r="G1750" s="47" t="str">
        <f>IF(archive!G1750="","",archive!G1750)</f>
        <v/>
      </c>
      <c r="H1750" s="51" t="str">
        <f>IF(archive!CJ1750="","",archive!CJ1750)</f>
        <v/>
      </c>
      <c r="I1750" s="51" t="str">
        <f>IF(archive!CK1750="","",archive!CK1750)</f>
        <v/>
      </c>
      <c r="J1750" s="47" t="str">
        <f t="shared" si="381"/>
        <v/>
      </c>
      <c r="K1750" s="51" t="str">
        <f t="shared" si="382"/>
        <v/>
      </c>
      <c r="L1750" s="52" t="str">
        <f t="shared" si="383"/>
        <v/>
      </c>
      <c r="M1750" s="53" t="str">
        <f t="shared" si="384"/>
        <v/>
      </c>
      <c r="N1750" s="53" t="str">
        <f t="shared" si="385"/>
        <v/>
      </c>
      <c r="O1750" s="53" t="str">
        <f t="shared" si="386"/>
        <v/>
      </c>
      <c r="P1750" s="53" t="str">
        <f t="shared" si="387"/>
        <v/>
      </c>
      <c r="Q1750" s="53" t="str">
        <f t="shared" si="388"/>
        <v/>
      </c>
      <c r="R1750" s="53" t="str">
        <f t="shared" si="389"/>
        <v/>
      </c>
      <c r="S1750" s="53" t="str">
        <f t="shared" si="390"/>
        <v/>
      </c>
      <c r="T1750" s="53" t="str">
        <f t="shared" si="391"/>
        <v/>
      </c>
    </row>
    <row r="1751" spans="1:20">
      <c r="A1751" s="47" t="str">
        <f>IF(archive!E1751="","",archive!E1751)</f>
        <v/>
      </c>
      <c r="B1751" s="48" t="str">
        <f t="shared" si="378"/>
        <v/>
      </c>
      <c r="C1751" s="49" t="str">
        <f>IF(archive!F1751="","",archive!F1751)</f>
        <v/>
      </c>
      <c r="D1751" s="50" t="str">
        <f t="shared" si="379"/>
        <v/>
      </c>
      <c r="E1751" s="50" t="str">
        <f t="shared" si="380"/>
        <v/>
      </c>
      <c r="F1751" s="47" t="str">
        <f>IF(COUNTA(archive!H1751:CI1751)=0,"",COUNTA(archive!H1751:CI1751))</f>
        <v/>
      </c>
      <c r="G1751" s="47" t="str">
        <f>IF(archive!G1751="","",archive!G1751)</f>
        <v/>
      </c>
      <c r="H1751" s="51" t="str">
        <f>IF(archive!CJ1751="","",archive!CJ1751)</f>
        <v/>
      </c>
      <c r="I1751" s="51" t="str">
        <f>IF(archive!CK1751="","",archive!CK1751)</f>
        <v/>
      </c>
      <c r="J1751" s="47" t="str">
        <f t="shared" si="381"/>
        <v/>
      </c>
      <c r="K1751" s="51" t="str">
        <f t="shared" si="382"/>
        <v/>
      </c>
      <c r="L1751" s="52" t="str">
        <f t="shared" si="383"/>
        <v/>
      </c>
      <c r="M1751" s="53" t="str">
        <f t="shared" si="384"/>
        <v/>
      </c>
      <c r="N1751" s="53" t="str">
        <f t="shared" si="385"/>
        <v/>
      </c>
      <c r="O1751" s="53" t="str">
        <f t="shared" si="386"/>
        <v/>
      </c>
      <c r="P1751" s="53" t="str">
        <f t="shared" si="387"/>
        <v/>
      </c>
      <c r="Q1751" s="53" t="str">
        <f t="shared" si="388"/>
        <v/>
      </c>
      <c r="R1751" s="53" t="str">
        <f t="shared" si="389"/>
        <v/>
      </c>
      <c r="S1751" s="53" t="str">
        <f t="shared" si="390"/>
        <v/>
      </c>
      <c r="T1751" s="53" t="str">
        <f t="shared" si="391"/>
        <v/>
      </c>
    </row>
    <row r="1752" spans="1:20">
      <c r="A1752" s="47" t="str">
        <f>IF(archive!E1752="","",archive!E1752)</f>
        <v/>
      </c>
      <c r="B1752" s="48" t="str">
        <f t="shared" si="378"/>
        <v/>
      </c>
      <c r="C1752" s="49" t="str">
        <f>IF(archive!F1752="","",archive!F1752)</f>
        <v/>
      </c>
      <c r="D1752" s="50" t="str">
        <f t="shared" si="379"/>
        <v/>
      </c>
      <c r="E1752" s="50" t="str">
        <f t="shared" si="380"/>
        <v/>
      </c>
      <c r="F1752" s="47" t="str">
        <f>IF(COUNTA(archive!H1752:CI1752)=0,"",COUNTA(archive!H1752:CI1752))</f>
        <v/>
      </c>
      <c r="G1752" s="47" t="str">
        <f>IF(archive!G1752="","",archive!G1752)</f>
        <v/>
      </c>
      <c r="H1752" s="51" t="str">
        <f>IF(archive!CJ1752="","",archive!CJ1752)</f>
        <v/>
      </c>
      <c r="I1752" s="51" t="str">
        <f>IF(archive!CK1752="","",archive!CK1752)</f>
        <v/>
      </c>
      <c r="J1752" s="47" t="str">
        <f t="shared" si="381"/>
        <v/>
      </c>
      <c r="K1752" s="51" t="str">
        <f t="shared" si="382"/>
        <v/>
      </c>
      <c r="L1752" s="52" t="str">
        <f t="shared" si="383"/>
        <v/>
      </c>
      <c r="M1752" s="53" t="str">
        <f t="shared" si="384"/>
        <v/>
      </c>
      <c r="N1752" s="53" t="str">
        <f t="shared" si="385"/>
        <v/>
      </c>
      <c r="O1752" s="53" t="str">
        <f t="shared" si="386"/>
        <v/>
      </c>
      <c r="P1752" s="53" t="str">
        <f t="shared" si="387"/>
        <v/>
      </c>
      <c r="Q1752" s="53" t="str">
        <f t="shared" si="388"/>
        <v/>
      </c>
      <c r="R1752" s="53" t="str">
        <f t="shared" si="389"/>
        <v/>
      </c>
      <c r="S1752" s="53" t="str">
        <f t="shared" si="390"/>
        <v/>
      </c>
      <c r="T1752" s="53" t="str">
        <f t="shared" si="391"/>
        <v/>
      </c>
    </row>
    <row r="1753" spans="1:20">
      <c r="A1753" s="47" t="str">
        <f>IF(archive!E1753="","",archive!E1753)</f>
        <v/>
      </c>
      <c r="B1753" s="48" t="str">
        <f t="shared" si="378"/>
        <v/>
      </c>
      <c r="C1753" s="49" t="str">
        <f>IF(archive!F1753="","",archive!F1753)</f>
        <v/>
      </c>
      <c r="D1753" s="50" t="str">
        <f t="shared" si="379"/>
        <v/>
      </c>
      <c r="E1753" s="50" t="str">
        <f t="shared" si="380"/>
        <v/>
      </c>
      <c r="F1753" s="47" t="str">
        <f>IF(COUNTA(archive!H1753:CI1753)=0,"",COUNTA(archive!H1753:CI1753))</f>
        <v/>
      </c>
      <c r="G1753" s="47" t="str">
        <f>IF(archive!G1753="","",archive!G1753)</f>
        <v/>
      </c>
      <c r="H1753" s="51" t="str">
        <f>IF(archive!CJ1753="","",archive!CJ1753)</f>
        <v/>
      </c>
      <c r="I1753" s="51" t="str">
        <f>IF(archive!CK1753="","",archive!CK1753)</f>
        <v/>
      </c>
      <c r="J1753" s="47" t="str">
        <f t="shared" si="381"/>
        <v/>
      </c>
      <c r="K1753" s="51" t="str">
        <f t="shared" si="382"/>
        <v/>
      </c>
      <c r="L1753" s="52" t="str">
        <f t="shared" si="383"/>
        <v/>
      </c>
      <c r="M1753" s="53" t="str">
        <f t="shared" si="384"/>
        <v/>
      </c>
      <c r="N1753" s="53" t="str">
        <f t="shared" si="385"/>
        <v/>
      </c>
      <c r="O1753" s="53" t="str">
        <f t="shared" si="386"/>
        <v/>
      </c>
      <c r="P1753" s="53" t="str">
        <f t="shared" si="387"/>
        <v/>
      </c>
      <c r="Q1753" s="53" t="str">
        <f t="shared" si="388"/>
        <v/>
      </c>
      <c r="R1753" s="53" t="str">
        <f t="shared" si="389"/>
        <v/>
      </c>
      <c r="S1753" s="53" t="str">
        <f t="shared" si="390"/>
        <v/>
      </c>
      <c r="T1753" s="53" t="str">
        <f t="shared" si="391"/>
        <v/>
      </c>
    </row>
    <row r="1754" spans="1:20">
      <c r="A1754" s="47" t="str">
        <f>IF(archive!E1754="","",archive!E1754)</f>
        <v/>
      </c>
      <c r="B1754" s="48" t="str">
        <f t="shared" si="378"/>
        <v/>
      </c>
      <c r="C1754" s="49" t="str">
        <f>IF(archive!F1754="","",archive!F1754)</f>
        <v/>
      </c>
      <c r="D1754" s="50" t="str">
        <f t="shared" si="379"/>
        <v/>
      </c>
      <c r="E1754" s="50" t="str">
        <f t="shared" si="380"/>
        <v/>
      </c>
      <c r="F1754" s="47" t="str">
        <f>IF(COUNTA(archive!H1754:CI1754)=0,"",COUNTA(archive!H1754:CI1754))</f>
        <v/>
      </c>
      <c r="G1754" s="47" t="str">
        <f>IF(archive!G1754="","",archive!G1754)</f>
        <v/>
      </c>
      <c r="H1754" s="51" t="str">
        <f>IF(archive!CJ1754="","",archive!CJ1754)</f>
        <v/>
      </c>
      <c r="I1754" s="51" t="str">
        <f>IF(archive!CK1754="","",archive!CK1754)</f>
        <v/>
      </c>
      <c r="J1754" s="47" t="str">
        <f t="shared" si="381"/>
        <v/>
      </c>
      <c r="K1754" s="51" t="str">
        <f t="shared" si="382"/>
        <v/>
      </c>
      <c r="L1754" s="52" t="str">
        <f t="shared" si="383"/>
        <v/>
      </c>
      <c r="M1754" s="53" t="str">
        <f t="shared" si="384"/>
        <v/>
      </c>
      <c r="N1754" s="53" t="str">
        <f t="shared" si="385"/>
        <v/>
      </c>
      <c r="O1754" s="53" t="str">
        <f t="shared" si="386"/>
        <v/>
      </c>
      <c r="P1754" s="53" t="str">
        <f t="shared" si="387"/>
        <v/>
      </c>
      <c r="Q1754" s="53" t="str">
        <f t="shared" si="388"/>
        <v/>
      </c>
      <c r="R1754" s="53" t="str">
        <f t="shared" si="389"/>
        <v/>
      </c>
      <c r="S1754" s="53" t="str">
        <f t="shared" si="390"/>
        <v/>
      </c>
      <c r="T1754" s="53" t="str">
        <f t="shared" si="391"/>
        <v/>
      </c>
    </row>
    <row r="1755" spans="1:20">
      <c r="A1755" s="47" t="str">
        <f>IF(archive!E1755="","",archive!E1755)</f>
        <v/>
      </c>
      <c r="B1755" s="48" t="str">
        <f t="shared" si="378"/>
        <v/>
      </c>
      <c r="C1755" s="49" t="str">
        <f>IF(archive!F1755="","",archive!F1755)</f>
        <v/>
      </c>
      <c r="D1755" s="50" t="str">
        <f t="shared" si="379"/>
        <v/>
      </c>
      <c r="E1755" s="50" t="str">
        <f t="shared" si="380"/>
        <v/>
      </c>
      <c r="F1755" s="47" t="str">
        <f>IF(COUNTA(archive!H1755:CI1755)=0,"",COUNTA(archive!H1755:CI1755))</f>
        <v/>
      </c>
      <c r="G1755" s="47" t="str">
        <f>IF(archive!G1755="","",archive!G1755)</f>
        <v/>
      </c>
      <c r="H1755" s="51" t="str">
        <f>IF(archive!CJ1755="","",archive!CJ1755)</f>
        <v/>
      </c>
      <c r="I1755" s="51" t="str">
        <f>IF(archive!CK1755="","",archive!CK1755)</f>
        <v/>
      </c>
      <c r="J1755" s="47" t="str">
        <f t="shared" si="381"/>
        <v/>
      </c>
      <c r="K1755" s="51" t="str">
        <f t="shared" si="382"/>
        <v/>
      </c>
      <c r="L1755" s="52" t="str">
        <f t="shared" si="383"/>
        <v/>
      </c>
      <c r="M1755" s="53" t="str">
        <f t="shared" si="384"/>
        <v/>
      </c>
      <c r="N1755" s="53" t="str">
        <f t="shared" si="385"/>
        <v/>
      </c>
      <c r="O1755" s="53" t="str">
        <f t="shared" si="386"/>
        <v/>
      </c>
      <c r="P1755" s="53" t="str">
        <f t="shared" si="387"/>
        <v/>
      </c>
      <c r="Q1755" s="53" t="str">
        <f t="shared" si="388"/>
        <v/>
      </c>
      <c r="R1755" s="53" t="str">
        <f t="shared" si="389"/>
        <v/>
      </c>
      <c r="S1755" s="53" t="str">
        <f t="shared" si="390"/>
        <v/>
      </c>
      <c r="T1755" s="53" t="str">
        <f t="shared" si="391"/>
        <v/>
      </c>
    </row>
    <row r="1756" spans="1:20">
      <c r="A1756" s="47" t="str">
        <f>IF(archive!E1756="","",archive!E1756)</f>
        <v/>
      </c>
      <c r="B1756" s="48" t="str">
        <f t="shared" si="378"/>
        <v/>
      </c>
      <c r="C1756" s="49" t="str">
        <f>IF(archive!F1756="","",archive!F1756)</f>
        <v/>
      </c>
      <c r="D1756" s="50" t="str">
        <f t="shared" si="379"/>
        <v/>
      </c>
      <c r="E1756" s="50" t="str">
        <f t="shared" si="380"/>
        <v/>
      </c>
      <c r="F1756" s="47" t="str">
        <f>IF(COUNTA(archive!H1756:CI1756)=0,"",COUNTA(archive!H1756:CI1756))</f>
        <v/>
      </c>
      <c r="G1756" s="47" t="str">
        <f>IF(archive!G1756="","",archive!G1756)</f>
        <v/>
      </c>
      <c r="H1756" s="51" t="str">
        <f>IF(archive!CJ1756="","",archive!CJ1756)</f>
        <v/>
      </c>
      <c r="I1756" s="51" t="str">
        <f>IF(archive!CK1756="","",archive!CK1756)</f>
        <v/>
      </c>
      <c r="J1756" s="47" t="str">
        <f t="shared" si="381"/>
        <v/>
      </c>
      <c r="K1756" s="51" t="str">
        <f t="shared" si="382"/>
        <v/>
      </c>
      <c r="L1756" s="52" t="str">
        <f t="shared" si="383"/>
        <v/>
      </c>
      <c r="M1756" s="53" t="str">
        <f t="shared" si="384"/>
        <v/>
      </c>
      <c r="N1756" s="53" t="str">
        <f t="shared" si="385"/>
        <v/>
      </c>
      <c r="O1756" s="53" t="str">
        <f t="shared" si="386"/>
        <v/>
      </c>
      <c r="P1756" s="53" t="str">
        <f t="shared" si="387"/>
        <v/>
      </c>
      <c r="Q1756" s="53" t="str">
        <f t="shared" si="388"/>
        <v/>
      </c>
      <c r="R1756" s="53" t="str">
        <f t="shared" si="389"/>
        <v/>
      </c>
      <c r="S1756" s="53" t="str">
        <f t="shared" si="390"/>
        <v/>
      </c>
      <c r="T1756" s="53" t="str">
        <f t="shared" si="391"/>
        <v/>
      </c>
    </row>
    <row r="1757" spans="1:20">
      <c r="A1757" s="47" t="str">
        <f>IF(archive!E1757="","",archive!E1757)</f>
        <v/>
      </c>
      <c r="B1757" s="48" t="str">
        <f t="shared" si="378"/>
        <v/>
      </c>
      <c r="C1757" s="49" t="str">
        <f>IF(archive!F1757="","",archive!F1757)</f>
        <v/>
      </c>
      <c r="D1757" s="50" t="str">
        <f t="shared" si="379"/>
        <v/>
      </c>
      <c r="E1757" s="50" t="str">
        <f t="shared" si="380"/>
        <v/>
      </c>
      <c r="F1757" s="47" t="str">
        <f>IF(COUNTA(archive!H1757:CI1757)=0,"",COUNTA(archive!H1757:CI1757))</f>
        <v/>
      </c>
      <c r="G1757" s="47" t="str">
        <f>IF(archive!G1757="","",archive!G1757)</f>
        <v/>
      </c>
      <c r="H1757" s="51" t="str">
        <f>IF(archive!CJ1757="","",archive!CJ1757)</f>
        <v/>
      </c>
      <c r="I1757" s="51" t="str">
        <f>IF(archive!CK1757="","",archive!CK1757)</f>
        <v/>
      </c>
      <c r="J1757" s="47" t="str">
        <f t="shared" si="381"/>
        <v/>
      </c>
      <c r="K1757" s="51" t="str">
        <f t="shared" si="382"/>
        <v/>
      </c>
      <c r="L1757" s="52" t="str">
        <f t="shared" si="383"/>
        <v/>
      </c>
      <c r="M1757" s="53" t="str">
        <f t="shared" si="384"/>
        <v/>
      </c>
      <c r="N1757" s="53" t="str">
        <f t="shared" si="385"/>
        <v/>
      </c>
      <c r="O1757" s="53" t="str">
        <f t="shared" si="386"/>
        <v/>
      </c>
      <c r="P1757" s="53" t="str">
        <f t="shared" si="387"/>
        <v/>
      </c>
      <c r="Q1757" s="53" t="str">
        <f t="shared" si="388"/>
        <v/>
      </c>
      <c r="R1757" s="53" t="str">
        <f t="shared" si="389"/>
        <v/>
      </c>
      <c r="S1757" s="53" t="str">
        <f t="shared" si="390"/>
        <v/>
      </c>
      <c r="T1757" s="53" t="str">
        <f t="shared" si="391"/>
        <v/>
      </c>
    </row>
    <row r="1758" spans="1:20">
      <c r="A1758" s="47" t="str">
        <f>IF(archive!E1758="","",archive!E1758)</f>
        <v/>
      </c>
      <c r="B1758" s="48" t="str">
        <f t="shared" si="378"/>
        <v/>
      </c>
      <c r="C1758" s="49" t="str">
        <f>IF(archive!F1758="","",archive!F1758)</f>
        <v/>
      </c>
      <c r="D1758" s="50" t="str">
        <f t="shared" si="379"/>
        <v/>
      </c>
      <c r="E1758" s="50" t="str">
        <f t="shared" si="380"/>
        <v/>
      </c>
      <c r="F1758" s="47" t="str">
        <f>IF(COUNTA(archive!H1758:CI1758)=0,"",COUNTA(archive!H1758:CI1758))</f>
        <v/>
      </c>
      <c r="G1758" s="47" t="str">
        <f>IF(archive!G1758="","",archive!G1758)</f>
        <v/>
      </c>
      <c r="H1758" s="51" t="str">
        <f>IF(archive!CJ1758="","",archive!CJ1758)</f>
        <v/>
      </c>
      <c r="I1758" s="51" t="str">
        <f>IF(archive!CK1758="","",archive!CK1758)</f>
        <v/>
      </c>
      <c r="J1758" s="47" t="str">
        <f t="shared" si="381"/>
        <v/>
      </c>
      <c r="K1758" s="51" t="str">
        <f t="shared" si="382"/>
        <v/>
      </c>
      <c r="L1758" s="52" t="str">
        <f t="shared" si="383"/>
        <v/>
      </c>
      <c r="M1758" s="53" t="str">
        <f t="shared" si="384"/>
        <v/>
      </c>
      <c r="N1758" s="53" t="str">
        <f t="shared" si="385"/>
        <v/>
      </c>
      <c r="O1758" s="53" t="str">
        <f t="shared" si="386"/>
        <v/>
      </c>
      <c r="P1758" s="53" t="str">
        <f t="shared" si="387"/>
        <v/>
      </c>
      <c r="Q1758" s="53" t="str">
        <f t="shared" si="388"/>
        <v/>
      </c>
      <c r="R1758" s="53" t="str">
        <f t="shared" si="389"/>
        <v/>
      </c>
      <c r="S1758" s="53" t="str">
        <f t="shared" si="390"/>
        <v/>
      </c>
      <c r="T1758" s="53" t="str">
        <f t="shared" si="391"/>
        <v/>
      </c>
    </row>
    <row r="1759" spans="1:20">
      <c r="A1759" s="47" t="str">
        <f>IF(archive!E1759="","",archive!E1759)</f>
        <v/>
      </c>
      <c r="B1759" s="48" t="str">
        <f t="shared" si="378"/>
        <v/>
      </c>
      <c r="C1759" s="49" t="str">
        <f>IF(archive!F1759="","",archive!F1759)</f>
        <v/>
      </c>
      <c r="D1759" s="50" t="str">
        <f t="shared" si="379"/>
        <v/>
      </c>
      <c r="E1759" s="50" t="str">
        <f t="shared" si="380"/>
        <v/>
      </c>
      <c r="F1759" s="47" t="str">
        <f>IF(COUNTA(archive!H1759:CI1759)=0,"",COUNTA(archive!H1759:CI1759))</f>
        <v/>
      </c>
      <c r="G1759" s="47" t="str">
        <f>IF(archive!G1759="","",archive!G1759)</f>
        <v/>
      </c>
      <c r="H1759" s="51" t="str">
        <f>IF(archive!CJ1759="","",archive!CJ1759)</f>
        <v/>
      </c>
      <c r="I1759" s="51" t="str">
        <f>IF(archive!CK1759="","",archive!CK1759)</f>
        <v/>
      </c>
      <c r="J1759" s="47" t="str">
        <f t="shared" si="381"/>
        <v/>
      </c>
      <c r="K1759" s="51" t="str">
        <f t="shared" si="382"/>
        <v/>
      </c>
      <c r="L1759" s="52" t="str">
        <f t="shared" si="383"/>
        <v/>
      </c>
      <c r="M1759" s="53" t="str">
        <f t="shared" si="384"/>
        <v/>
      </c>
      <c r="N1759" s="53" t="str">
        <f t="shared" si="385"/>
        <v/>
      </c>
      <c r="O1759" s="53" t="str">
        <f t="shared" si="386"/>
        <v/>
      </c>
      <c r="P1759" s="53" t="str">
        <f t="shared" si="387"/>
        <v/>
      </c>
      <c r="Q1759" s="53" t="str">
        <f t="shared" si="388"/>
        <v/>
      </c>
      <c r="R1759" s="53" t="str">
        <f t="shared" si="389"/>
        <v/>
      </c>
      <c r="S1759" s="53" t="str">
        <f t="shared" si="390"/>
        <v/>
      </c>
      <c r="T1759" s="53" t="str">
        <f t="shared" si="391"/>
        <v/>
      </c>
    </row>
    <row r="1760" spans="1:20">
      <c r="A1760" s="47" t="str">
        <f>IF(archive!E1760="","",archive!E1760)</f>
        <v/>
      </c>
      <c r="B1760" s="48" t="str">
        <f t="shared" si="378"/>
        <v/>
      </c>
      <c r="C1760" s="49" t="str">
        <f>IF(archive!F1760="","",archive!F1760)</f>
        <v/>
      </c>
      <c r="D1760" s="50" t="str">
        <f t="shared" si="379"/>
        <v/>
      </c>
      <c r="E1760" s="50" t="str">
        <f t="shared" si="380"/>
        <v/>
      </c>
      <c r="F1760" s="47" t="str">
        <f>IF(COUNTA(archive!H1760:CI1760)=0,"",COUNTA(archive!H1760:CI1760))</f>
        <v/>
      </c>
      <c r="G1760" s="47" t="str">
        <f>IF(archive!G1760="","",archive!G1760)</f>
        <v/>
      </c>
      <c r="H1760" s="51" t="str">
        <f>IF(archive!CJ1760="","",archive!CJ1760)</f>
        <v/>
      </c>
      <c r="I1760" s="51" t="str">
        <f>IF(archive!CK1760="","",archive!CK1760)</f>
        <v/>
      </c>
      <c r="J1760" s="47" t="str">
        <f t="shared" si="381"/>
        <v/>
      </c>
      <c r="K1760" s="51" t="str">
        <f t="shared" si="382"/>
        <v/>
      </c>
      <c r="L1760" s="52" t="str">
        <f t="shared" si="383"/>
        <v/>
      </c>
      <c r="M1760" s="53" t="str">
        <f t="shared" si="384"/>
        <v/>
      </c>
      <c r="N1760" s="53" t="str">
        <f t="shared" si="385"/>
        <v/>
      </c>
      <c r="O1760" s="53" t="str">
        <f t="shared" si="386"/>
        <v/>
      </c>
      <c r="P1760" s="53" t="str">
        <f t="shared" si="387"/>
        <v/>
      </c>
      <c r="Q1760" s="53" t="str">
        <f t="shared" si="388"/>
        <v/>
      </c>
      <c r="R1760" s="53" t="str">
        <f t="shared" si="389"/>
        <v/>
      </c>
      <c r="S1760" s="53" t="str">
        <f t="shared" si="390"/>
        <v/>
      </c>
      <c r="T1760" s="53" t="str">
        <f t="shared" si="391"/>
        <v/>
      </c>
    </row>
    <row r="1761" spans="1:20">
      <c r="A1761" s="47" t="str">
        <f>IF(archive!E1761="","",archive!E1761)</f>
        <v/>
      </c>
      <c r="B1761" s="48" t="str">
        <f t="shared" si="378"/>
        <v/>
      </c>
      <c r="C1761" s="49" t="str">
        <f>IF(archive!F1761="","",archive!F1761)</f>
        <v/>
      </c>
      <c r="D1761" s="50" t="str">
        <f t="shared" si="379"/>
        <v/>
      </c>
      <c r="E1761" s="50" t="str">
        <f t="shared" si="380"/>
        <v/>
      </c>
      <c r="F1761" s="47" t="str">
        <f>IF(COUNTA(archive!H1761:CI1761)=0,"",COUNTA(archive!H1761:CI1761))</f>
        <v/>
      </c>
      <c r="G1761" s="47" t="str">
        <f>IF(archive!G1761="","",archive!G1761)</f>
        <v/>
      </c>
      <c r="H1761" s="51" t="str">
        <f>IF(archive!CJ1761="","",archive!CJ1761)</f>
        <v/>
      </c>
      <c r="I1761" s="51" t="str">
        <f>IF(archive!CK1761="","",archive!CK1761)</f>
        <v/>
      </c>
      <c r="J1761" s="47" t="str">
        <f t="shared" si="381"/>
        <v/>
      </c>
      <c r="K1761" s="51" t="str">
        <f t="shared" si="382"/>
        <v/>
      </c>
      <c r="L1761" s="52" t="str">
        <f t="shared" si="383"/>
        <v/>
      </c>
      <c r="M1761" s="53" t="str">
        <f t="shared" si="384"/>
        <v/>
      </c>
      <c r="N1761" s="53" t="str">
        <f t="shared" si="385"/>
        <v/>
      </c>
      <c r="O1761" s="53" t="str">
        <f t="shared" si="386"/>
        <v/>
      </c>
      <c r="P1761" s="53" t="str">
        <f t="shared" si="387"/>
        <v/>
      </c>
      <c r="Q1761" s="53" t="str">
        <f t="shared" si="388"/>
        <v/>
      </c>
      <c r="R1761" s="53" t="str">
        <f t="shared" si="389"/>
        <v/>
      </c>
      <c r="S1761" s="53" t="str">
        <f t="shared" si="390"/>
        <v/>
      </c>
      <c r="T1761" s="53" t="str">
        <f t="shared" si="391"/>
        <v/>
      </c>
    </row>
    <row r="1762" spans="1:20">
      <c r="A1762" s="47" t="str">
        <f>IF(archive!E1762="","",archive!E1762)</f>
        <v/>
      </c>
      <c r="B1762" s="48" t="str">
        <f t="shared" si="378"/>
        <v/>
      </c>
      <c r="C1762" s="49" t="str">
        <f>IF(archive!F1762="","",archive!F1762)</f>
        <v/>
      </c>
      <c r="D1762" s="50" t="str">
        <f t="shared" si="379"/>
        <v/>
      </c>
      <c r="E1762" s="50" t="str">
        <f t="shared" si="380"/>
        <v/>
      </c>
      <c r="F1762" s="47" t="str">
        <f>IF(COUNTA(archive!H1762:CI1762)=0,"",COUNTA(archive!H1762:CI1762))</f>
        <v/>
      </c>
      <c r="G1762" s="47" t="str">
        <f>IF(archive!G1762="","",archive!G1762)</f>
        <v/>
      </c>
      <c r="H1762" s="51" t="str">
        <f>IF(archive!CJ1762="","",archive!CJ1762)</f>
        <v/>
      </c>
      <c r="I1762" s="51" t="str">
        <f>IF(archive!CK1762="","",archive!CK1762)</f>
        <v/>
      </c>
      <c r="J1762" s="47" t="str">
        <f t="shared" si="381"/>
        <v/>
      </c>
      <c r="K1762" s="51" t="str">
        <f t="shared" si="382"/>
        <v/>
      </c>
      <c r="L1762" s="52" t="str">
        <f t="shared" si="383"/>
        <v/>
      </c>
      <c r="M1762" s="53" t="str">
        <f t="shared" si="384"/>
        <v/>
      </c>
      <c r="N1762" s="53" t="str">
        <f t="shared" si="385"/>
        <v/>
      </c>
      <c r="O1762" s="53" t="str">
        <f t="shared" si="386"/>
        <v/>
      </c>
      <c r="P1762" s="53" t="str">
        <f t="shared" si="387"/>
        <v/>
      </c>
      <c r="Q1762" s="53" t="str">
        <f t="shared" si="388"/>
        <v/>
      </c>
      <c r="R1762" s="53" t="str">
        <f t="shared" si="389"/>
        <v/>
      </c>
      <c r="S1762" s="53" t="str">
        <f t="shared" si="390"/>
        <v/>
      </c>
      <c r="T1762" s="53" t="str">
        <f t="shared" si="391"/>
        <v/>
      </c>
    </row>
    <row r="1763" spans="1:20">
      <c r="A1763" s="47" t="str">
        <f>IF(archive!E1763="","",archive!E1763)</f>
        <v/>
      </c>
      <c r="B1763" s="48" t="str">
        <f t="shared" si="378"/>
        <v/>
      </c>
      <c r="C1763" s="49" t="str">
        <f>IF(archive!F1763="","",archive!F1763)</f>
        <v/>
      </c>
      <c r="D1763" s="50" t="str">
        <f t="shared" si="379"/>
        <v/>
      </c>
      <c r="E1763" s="50" t="str">
        <f t="shared" si="380"/>
        <v/>
      </c>
      <c r="F1763" s="47" t="str">
        <f>IF(COUNTA(archive!H1763:CI1763)=0,"",COUNTA(archive!H1763:CI1763))</f>
        <v/>
      </c>
      <c r="G1763" s="47" t="str">
        <f>IF(archive!G1763="","",archive!G1763)</f>
        <v/>
      </c>
      <c r="H1763" s="51" t="str">
        <f>IF(archive!CJ1763="","",archive!CJ1763)</f>
        <v/>
      </c>
      <c r="I1763" s="51" t="str">
        <f>IF(archive!CK1763="","",archive!CK1763)</f>
        <v/>
      </c>
      <c r="J1763" s="47" t="str">
        <f t="shared" si="381"/>
        <v/>
      </c>
      <c r="K1763" s="51" t="str">
        <f t="shared" si="382"/>
        <v/>
      </c>
      <c r="L1763" s="52" t="str">
        <f t="shared" si="383"/>
        <v/>
      </c>
      <c r="M1763" s="53" t="str">
        <f t="shared" si="384"/>
        <v/>
      </c>
      <c r="N1763" s="53" t="str">
        <f t="shared" si="385"/>
        <v/>
      </c>
      <c r="O1763" s="53" t="str">
        <f t="shared" si="386"/>
        <v/>
      </c>
      <c r="P1763" s="53" t="str">
        <f t="shared" si="387"/>
        <v/>
      </c>
      <c r="Q1763" s="53" t="str">
        <f t="shared" si="388"/>
        <v/>
      </c>
      <c r="R1763" s="53" t="str">
        <f t="shared" si="389"/>
        <v/>
      </c>
      <c r="S1763" s="53" t="str">
        <f t="shared" si="390"/>
        <v/>
      </c>
      <c r="T1763" s="53" t="str">
        <f t="shared" si="391"/>
        <v/>
      </c>
    </row>
    <row r="1764" spans="1:20">
      <c r="A1764" s="47" t="str">
        <f>IF(archive!E1764="","",archive!E1764)</f>
        <v/>
      </c>
      <c r="B1764" s="48" t="str">
        <f t="shared" si="378"/>
        <v/>
      </c>
      <c r="C1764" s="49" t="str">
        <f>IF(archive!F1764="","",archive!F1764)</f>
        <v/>
      </c>
      <c r="D1764" s="50" t="str">
        <f t="shared" si="379"/>
        <v/>
      </c>
      <c r="E1764" s="50" t="str">
        <f t="shared" si="380"/>
        <v/>
      </c>
      <c r="F1764" s="47" t="str">
        <f>IF(COUNTA(archive!H1764:CI1764)=0,"",COUNTA(archive!H1764:CI1764))</f>
        <v/>
      </c>
      <c r="G1764" s="47" t="str">
        <f>IF(archive!G1764="","",archive!G1764)</f>
        <v/>
      </c>
      <c r="H1764" s="51" t="str">
        <f>IF(archive!CJ1764="","",archive!CJ1764)</f>
        <v/>
      </c>
      <c r="I1764" s="51" t="str">
        <f>IF(archive!CK1764="","",archive!CK1764)</f>
        <v/>
      </c>
      <c r="J1764" s="47" t="str">
        <f t="shared" si="381"/>
        <v/>
      </c>
      <c r="K1764" s="51" t="str">
        <f t="shared" si="382"/>
        <v/>
      </c>
      <c r="L1764" s="52" t="str">
        <f t="shared" si="383"/>
        <v/>
      </c>
      <c r="M1764" s="53" t="str">
        <f t="shared" si="384"/>
        <v/>
      </c>
      <c r="N1764" s="53" t="str">
        <f t="shared" si="385"/>
        <v/>
      </c>
      <c r="O1764" s="53" t="str">
        <f t="shared" si="386"/>
        <v/>
      </c>
      <c r="P1764" s="53" t="str">
        <f t="shared" si="387"/>
        <v/>
      </c>
      <c r="Q1764" s="53" t="str">
        <f t="shared" si="388"/>
        <v/>
      </c>
      <c r="R1764" s="53" t="str">
        <f t="shared" si="389"/>
        <v/>
      </c>
      <c r="S1764" s="53" t="str">
        <f t="shared" si="390"/>
        <v/>
      </c>
      <c r="T1764" s="53" t="str">
        <f t="shared" si="391"/>
        <v/>
      </c>
    </row>
    <row r="1765" spans="1:20">
      <c r="A1765" s="47" t="str">
        <f>IF(archive!E1765="","",archive!E1765)</f>
        <v/>
      </c>
      <c r="B1765" s="48" t="str">
        <f t="shared" si="378"/>
        <v/>
      </c>
      <c r="C1765" s="49" t="str">
        <f>IF(archive!F1765="","",archive!F1765)</f>
        <v/>
      </c>
      <c r="D1765" s="50" t="str">
        <f t="shared" si="379"/>
        <v/>
      </c>
      <c r="E1765" s="50" t="str">
        <f t="shared" si="380"/>
        <v/>
      </c>
      <c r="F1765" s="47" t="str">
        <f>IF(COUNTA(archive!H1765:CI1765)=0,"",COUNTA(archive!H1765:CI1765))</f>
        <v/>
      </c>
      <c r="G1765" s="47" t="str">
        <f>IF(archive!G1765="","",archive!G1765)</f>
        <v/>
      </c>
      <c r="H1765" s="51" t="str">
        <f>IF(archive!CJ1765="","",archive!CJ1765)</f>
        <v/>
      </c>
      <c r="I1765" s="51" t="str">
        <f>IF(archive!CK1765="","",archive!CK1765)</f>
        <v/>
      </c>
      <c r="J1765" s="47" t="str">
        <f t="shared" si="381"/>
        <v/>
      </c>
      <c r="K1765" s="51" t="str">
        <f t="shared" si="382"/>
        <v/>
      </c>
      <c r="L1765" s="52" t="str">
        <f t="shared" si="383"/>
        <v/>
      </c>
      <c r="M1765" s="53" t="str">
        <f t="shared" si="384"/>
        <v/>
      </c>
      <c r="N1765" s="53" t="str">
        <f t="shared" si="385"/>
        <v/>
      </c>
      <c r="O1765" s="53" t="str">
        <f t="shared" si="386"/>
        <v/>
      </c>
      <c r="P1765" s="53" t="str">
        <f t="shared" si="387"/>
        <v/>
      </c>
      <c r="Q1765" s="53" t="str">
        <f t="shared" si="388"/>
        <v/>
      </c>
      <c r="R1765" s="53" t="str">
        <f t="shared" si="389"/>
        <v/>
      </c>
      <c r="S1765" s="53" t="str">
        <f t="shared" si="390"/>
        <v/>
      </c>
      <c r="T1765" s="53" t="str">
        <f t="shared" si="391"/>
        <v/>
      </c>
    </row>
    <row r="1766" spans="1:20">
      <c r="A1766" s="47" t="str">
        <f>IF(archive!E1766="","",archive!E1766)</f>
        <v/>
      </c>
      <c r="B1766" s="48" t="str">
        <f t="shared" si="378"/>
        <v/>
      </c>
      <c r="C1766" s="49" t="str">
        <f>IF(archive!F1766="","",archive!F1766)</f>
        <v/>
      </c>
      <c r="D1766" s="50" t="str">
        <f t="shared" si="379"/>
        <v/>
      </c>
      <c r="E1766" s="50" t="str">
        <f t="shared" si="380"/>
        <v/>
      </c>
      <c r="F1766" s="47" t="str">
        <f>IF(COUNTA(archive!H1766:CI1766)=0,"",COUNTA(archive!H1766:CI1766))</f>
        <v/>
      </c>
      <c r="G1766" s="47" t="str">
        <f>IF(archive!G1766="","",archive!G1766)</f>
        <v/>
      </c>
      <c r="H1766" s="51" t="str">
        <f>IF(archive!CJ1766="","",archive!CJ1766)</f>
        <v/>
      </c>
      <c r="I1766" s="51" t="str">
        <f>IF(archive!CK1766="","",archive!CK1766)</f>
        <v/>
      </c>
      <c r="J1766" s="47" t="str">
        <f t="shared" si="381"/>
        <v/>
      </c>
      <c r="K1766" s="51" t="str">
        <f t="shared" si="382"/>
        <v/>
      </c>
      <c r="L1766" s="52" t="str">
        <f t="shared" si="383"/>
        <v/>
      </c>
      <c r="M1766" s="53" t="str">
        <f t="shared" si="384"/>
        <v/>
      </c>
      <c r="N1766" s="53" t="str">
        <f t="shared" si="385"/>
        <v/>
      </c>
      <c r="O1766" s="53" t="str">
        <f t="shared" si="386"/>
        <v/>
      </c>
      <c r="P1766" s="53" t="str">
        <f t="shared" si="387"/>
        <v/>
      </c>
      <c r="Q1766" s="53" t="str">
        <f t="shared" si="388"/>
        <v/>
      </c>
      <c r="R1766" s="53" t="str">
        <f t="shared" si="389"/>
        <v/>
      </c>
      <c r="S1766" s="53" t="str">
        <f t="shared" si="390"/>
        <v/>
      </c>
      <c r="T1766" s="53" t="str">
        <f t="shared" si="391"/>
        <v/>
      </c>
    </row>
    <row r="1767" spans="1:20">
      <c r="A1767" s="47" t="str">
        <f>IF(archive!E1767="","",archive!E1767)</f>
        <v/>
      </c>
      <c r="B1767" s="48" t="str">
        <f t="shared" si="378"/>
        <v/>
      </c>
      <c r="C1767" s="49" t="str">
        <f>IF(archive!F1767="","",archive!F1767)</f>
        <v/>
      </c>
      <c r="D1767" s="50" t="str">
        <f t="shared" si="379"/>
        <v/>
      </c>
      <c r="E1767" s="50" t="str">
        <f t="shared" si="380"/>
        <v/>
      </c>
      <c r="F1767" s="47" t="str">
        <f>IF(COUNTA(archive!H1767:CI1767)=0,"",COUNTA(archive!H1767:CI1767))</f>
        <v/>
      </c>
      <c r="G1767" s="47" t="str">
        <f>IF(archive!G1767="","",archive!G1767)</f>
        <v/>
      </c>
      <c r="H1767" s="51" t="str">
        <f>IF(archive!CJ1767="","",archive!CJ1767)</f>
        <v/>
      </c>
      <c r="I1767" s="51" t="str">
        <f>IF(archive!CK1767="","",archive!CK1767)</f>
        <v/>
      </c>
      <c r="J1767" s="47" t="str">
        <f t="shared" si="381"/>
        <v/>
      </c>
      <c r="K1767" s="51" t="str">
        <f t="shared" si="382"/>
        <v/>
      </c>
      <c r="L1767" s="52" t="str">
        <f t="shared" si="383"/>
        <v/>
      </c>
      <c r="M1767" s="53" t="str">
        <f t="shared" si="384"/>
        <v/>
      </c>
      <c r="N1767" s="53" t="str">
        <f t="shared" si="385"/>
        <v/>
      </c>
      <c r="O1767" s="53" t="str">
        <f t="shared" si="386"/>
        <v/>
      </c>
      <c r="P1767" s="53" t="str">
        <f t="shared" si="387"/>
        <v/>
      </c>
      <c r="Q1767" s="53" t="str">
        <f t="shared" si="388"/>
        <v/>
      </c>
      <c r="R1767" s="53" t="str">
        <f t="shared" si="389"/>
        <v/>
      </c>
      <c r="S1767" s="53" t="str">
        <f t="shared" si="390"/>
        <v/>
      </c>
      <c r="T1767" s="53" t="str">
        <f t="shared" si="391"/>
        <v/>
      </c>
    </row>
    <row r="1768" spans="1:20">
      <c r="A1768" s="47" t="str">
        <f>IF(archive!E1768="","",archive!E1768)</f>
        <v/>
      </c>
      <c r="B1768" s="48" t="str">
        <f t="shared" si="378"/>
        <v/>
      </c>
      <c r="C1768" s="49" t="str">
        <f>IF(archive!F1768="","",archive!F1768)</f>
        <v/>
      </c>
      <c r="D1768" s="50" t="str">
        <f t="shared" si="379"/>
        <v/>
      </c>
      <c r="E1768" s="50" t="str">
        <f t="shared" si="380"/>
        <v/>
      </c>
      <c r="F1768" s="47" t="str">
        <f>IF(COUNTA(archive!H1768:CI1768)=0,"",COUNTA(archive!H1768:CI1768))</f>
        <v/>
      </c>
      <c r="G1768" s="47" t="str">
        <f>IF(archive!G1768="","",archive!G1768)</f>
        <v/>
      </c>
      <c r="H1768" s="51" t="str">
        <f>IF(archive!CJ1768="","",archive!CJ1768)</f>
        <v/>
      </c>
      <c r="I1768" s="51" t="str">
        <f>IF(archive!CK1768="","",archive!CK1768)</f>
        <v/>
      </c>
      <c r="J1768" s="47" t="str">
        <f t="shared" si="381"/>
        <v/>
      </c>
      <c r="K1768" s="51" t="str">
        <f t="shared" si="382"/>
        <v/>
      </c>
      <c r="L1768" s="52" t="str">
        <f t="shared" si="383"/>
        <v/>
      </c>
      <c r="M1768" s="53" t="str">
        <f t="shared" si="384"/>
        <v/>
      </c>
      <c r="N1768" s="53" t="str">
        <f t="shared" si="385"/>
        <v/>
      </c>
      <c r="O1768" s="53" t="str">
        <f t="shared" si="386"/>
        <v/>
      </c>
      <c r="P1768" s="53" t="str">
        <f t="shared" si="387"/>
        <v/>
      </c>
      <c r="Q1768" s="53" t="str">
        <f t="shared" si="388"/>
        <v/>
      </c>
      <c r="R1768" s="53" t="str">
        <f t="shared" si="389"/>
        <v/>
      </c>
      <c r="S1768" s="53" t="str">
        <f t="shared" si="390"/>
        <v/>
      </c>
      <c r="T1768" s="53" t="str">
        <f t="shared" si="391"/>
        <v/>
      </c>
    </row>
    <row r="1769" spans="1:20">
      <c r="A1769" s="47" t="str">
        <f>IF(archive!E1769="","",archive!E1769)</f>
        <v/>
      </c>
      <c r="B1769" s="48" t="str">
        <f t="shared" si="378"/>
        <v/>
      </c>
      <c r="C1769" s="49" t="str">
        <f>IF(archive!F1769="","",archive!F1769)</f>
        <v/>
      </c>
      <c r="D1769" s="50" t="str">
        <f t="shared" si="379"/>
        <v/>
      </c>
      <c r="E1769" s="50" t="str">
        <f t="shared" si="380"/>
        <v/>
      </c>
      <c r="F1769" s="47" t="str">
        <f>IF(COUNTA(archive!H1769:CI1769)=0,"",COUNTA(archive!H1769:CI1769))</f>
        <v/>
      </c>
      <c r="G1769" s="47" t="str">
        <f>IF(archive!G1769="","",archive!G1769)</f>
        <v/>
      </c>
      <c r="H1769" s="51" t="str">
        <f>IF(archive!CJ1769="","",archive!CJ1769)</f>
        <v/>
      </c>
      <c r="I1769" s="51" t="str">
        <f>IF(archive!CK1769="","",archive!CK1769)</f>
        <v/>
      </c>
      <c r="J1769" s="47" t="str">
        <f t="shared" si="381"/>
        <v/>
      </c>
      <c r="K1769" s="51" t="str">
        <f t="shared" si="382"/>
        <v/>
      </c>
      <c r="L1769" s="52" t="str">
        <f t="shared" si="383"/>
        <v/>
      </c>
      <c r="M1769" s="53" t="str">
        <f t="shared" si="384"/>
        <v/>
      </c>
      <c r="N1769" s="53" t="str">
        <f t="shared" si="385"/>
        <v/>
      </c>
      <c r="O1769" s="53" t="str">
        <f t="shared" si="386"/>
        <v/>
      </c>
      <c r="P1769" s="53" t="str">
        <f t="shared" si="387"/>
        <v/>
      </c>
      <c r="Q1769" s="53" t="str">
        <f t="shared" si="388"/>
        <v/>
      </c>
      <c r="R1769" s="53" t="str">
        <f t="shared" si="389"/>
        <v/>
      </c>
      <c r="S1769" s="53" t="str">
        <f t="shared" si="390"/>
        <v/>
      </c>
      <c r="T1769" s="53" t="str">
        <f t="shared" si="391"/>
        <v/>
      </c>
    </row>
    <row r="1770" spans="1:20">
      <c r="A1770" s="47" t="str">
        <f>IF(archive!E1770="","",archive!E1770)</f>
        <v/>
      </c>
      <c r="B1770" s="48" t="str">
        <f t="shared" si="378"/>
        <v/>
      </c>
      <c r="C1770" s="49" t="str">
        <f>IF(archive!F1770="","",archive!F1770)</f>
        <v/>
      </c>
      <c r="D1770" s="50" t="str">
        <f t="shared" si="379"/>
        <v/>
      </c>
      <c r="E1770" s="50" t="str">
        <f t="shared" si="380"/>
        <v/>
      </c>
      <c r="F1770" s="47" t="str">
        <f>IF(COUNTA(archive!H1770:CI1770)=0,"",COUNTA(archive!H1770:CI1770))</f>
        <v/>
      </c>
      <c r="G1770" s="47" t="str">
        <f>IF(archive!G1770="","",archive!G1770)</f>
        <v/>
      </c>
      <c r="H1770" s="51" t="str">
        <f>IF(archive!CJ1770="","",archive!CJ1770)</f>
        <v/>
      </c>
      <c r="I1770" s="51" t="str">
        <f>IF(archive!CK1770="","",archive!CK1770)</f>
        <v/>
      </c>
      <c r="J1770" s="47" t="str">
        <f t="shared" si="381"/>
        <v/>
      </c>
      <c r="K1770" s="51" t="str">
        <f t="shared" si="382"/>
        <v/>
      </c>
      <c r="L1770" s="52" t="str">
        <f t="shared" si="383"/>
        <v/>
      </c>
      <c r="M1770" s="53" t="str">
        <f t="shared" si="384"/>
        <v/>
      </c>
      <c r="N1770" s="53" t="str">
        <f t="shared" si="385"/>
        <v/>
      </c>
      <c r="O1770" s="53" t="str">
        <f t="shared" si="386"/>
        <v/>
      </c>
      <c r="P1770" s="53" t="str">
        <f t="shared" si="387"/>
        <v/>
      </c>
      <c r="Q1770" s="53" t="str">
        <f t="shared" si="388"/>
        <v/>
      </c>
      <c r="R1770" s="53" t="str">
        <f t="shared" si="389"/>
        <v/>
      </c>
      <c r="S1770" s="53" t="str">
        <f t="shared" si="390"/>
        <v/>
      </c>
      <c r="T1770" s="53" t="str">
        <f t="shared" si="391"/>
        <v/>
      </c>
    </row>
    <row r="1771" spans="1:20">
      <c r="A1771" s="47" t="str">
        <f>IF(archive!E1771="","",archive!E1771)</f>
        <v/>
      </c>
      <c r="B1771" s="48" t="str">
        <f t="shared" si="378"/>
        <v/>
      </c>
      <c r="C1771" s="49" t="str">
        <f>IF(archive!F1771="","",archive!F1771)</f>
        <v/>
      </c>
      <c r="D1771" s="50" t="str">
        <f t="shared" si="379"/>
        <v/>
      </c>
      <c r="E1771" s="50" t="str">
        <f t="shared" si="380"/>
        <v/>
      </c>
      <c r="F1771" s="47" t="str">
        <f>IF(COUNTA(archive!H1771:CI1771)=0,"",COUNTA(archive!H1771:CI1771))</f>
        <v/>
      </c>
      <c r="G1771" s="47" t="str">
        <f>IF(archive!G1771="","",archive!G1771)</f>
        <v/>
      </c>
      <c r="H1771" s="51" t="str">
        <f>IF(archive!CJ1771="","",archive!CJ1771)</f>
        <v/>
      </c>
      <c r="I1771" s="51" t="str">
        <f>IF(archive!CK1771="","",archive!CK1771)</f>
        <v/>
      </c>
      <c r="J1771" s="47" t="str">
        <f t="shared" si="381"/>
        <v/>
      </c>
      <c r="K1771" s="51" t="str">
        <f t="shared" si="382"/>
        <v/>
      </c>
      <c r="L1771" s="52" t="str">
        <f t="shared" si="383"/>
        <v/>
      </c>
      <c r="M1771" s="53" t="str">
        <f t="shared" si="384"/>
        <v/>
      </c>
      <c r="N1771" s="53" t="str">
        <f t="shared" si="385"/>
        <v/>
      </c>
      <c r="O1771" s="53" t="str">
        <f t="shared" si="386"/>
        <v/>
      </c>
      <c r="P1771" s="53" t="str">
        <f t="shared" si="387"/>
        <v/>
      </c>
      <c r="Q1771" s="53" t="str">
        <f t="shared" si="388"/>
        <v/>
      </c>
      <c r="R1771" s="53" t="str">
        <f t="shared" si="389"/>
        <v/>
      </c>
      <c r="S1771" s="53" t="str">
        <f t="shared" si="390"/>
        <v/>
      </c>
      <c r="T1771" s="53" t="str">
        <f t="shared" si="391"/>
        <v/>
      </c>
    </row>
    <row r="1772" spans="1:20">
      <c r="A1772" s="47" t="str">
        <f>IF(archive!E1772="","",archive!E1772)</f>
        <v/>
      </c>
      <c r="B1772" s="48" t="str">
        <f t="shared" si="378"/>
        <v/>
      </c>
      <c r="C1772" s="49" t="str">
        <f>IF(archive!F1772="","",archive!F1772)</f>
        <v/>
      </c>
      <c r="D1772" s="50" t="str">
        <f t="shared" si="379"/>
        <v/>
      </c>
      <c r="E1772" s="50" t="str">
        <f t="shared" si="380"/>
        <v/>
      </c>
      <c r="F1772" s="47" t="str">
        <f>IF(COUNTA(archive!H1772:CI1772)=0,"",COUNTA(archive!H1772:CI1772))</f>
        <v/>
      </c>
      <c r="G1772" s="47" t="str">
        <f>IF(archive!G1772="","",archive!G1772)</f>
        <v/>
      </c>
      <c r="H1772" s="51" t="str">
        <f>IF(archive!CJ1772="","",archive!CJ1772)</f>
        <v/>
      </c>
      <c r="I1772" s="51" t="str">
        <f>IF(archive!CK1772="","",archive!CK1772)</f>
        <v/>
      </c>
      <c r="J1772" s="47" t="str">
        <f t="shared" si="381"/>
        <v/>
      </c>
      <c r="K1772" s="51" t="str">
        <f t="shared" si="382"/>
        <v/>
      </c>
      <c r="L1772" s="52" t="str">
        <f t="shared" si="383"/>
        <v/>
      </c>
      <c r="M1772" s="53" t="str">
        <f t="shared" si="384"/>
        <v/>
      </c>
      <c r="N1772" s="53" t="str">
        <f t="shared" si="385"/>
        <v/>
      </c>
      <c r="O1772" s="53" t="str">
        <f t="shared" si="386"/>
        <v/>
      </c>
      <c r="P1772" s="53" t="str">
        <f t="shared" si="387"/>
        <v/>
      </c>
      <c r="Q1772" s="53" t="str">
        <f t="shared" si="388"/>
        <v/>
      </c>
      <c r="R1772" s="53" t="str">
        <f t="shared" si="389"/>
        <v/>
      </c>
      <c r="S1772" s="53" t="str">
        <f t="shared" si="390"/>
        <v/>
      </c>
      <c r="T1772" s="53" t="str">
        <f t="shared" si="391"/>
        <v/>
      </c>
    </row>
    <row r="1773" spans="1:20">
      <c r="A1773" s="47" t="str">
        <f>IF(archive!E1773="","",archive!E1773)</f>
        <v/>
      </c>
      <c r="B1773" s="48" t="str">
        <f t="shared" si="378"/>
        <v/>
      </c>
      <c r="C1773" s="49" t="str">
        <f>IF(archive!F1773="","",archive!F1773)</f>
        <v/>
      </c>
      <c r="D1773" s="50" t="str">
        <f t="shared" si="379"/>
        <v/>
      </c>
      <c r="E1773" s="50" t="str">
        <f t="shared" si="380"/>
        <v/>
      </c>
      <c r="F1773" s="47" t="str">
        <f>IF(COUNTA(archive!H1773:CI1773)=0,"",COUNTA(archive!H1773:CI1773))</f>
        <v/>
      </c>
      <c r="G1773" s="47" t="str">
        <f>IF(archive!G1773="","",archive!G1773)</f>
        <v/>
      </c>
      <c r="H1773" s="51" t="str">
        <f>IF(archive!CJ1773="","",archive!CJ1773)</f>
        <v/>
      </c>
      <c r="I1773" s="51" t="str">
        <f>IF(archive!CK1773="","",archive!CK1773)</f>
        <v/>
      </c>
      <c r="J1773" s="47" t="str">
        <f t="shared" si="381"/>
        <v/>
      </c>
      <c r="K1773" s="51" t="str">
        <f t="shared" si="382"/>
        <v/>
      </c>
      <c r="L1773" s="52" t="str">
        <f t="shared" si="383"/>
        <v/>
      </c>
      <c r="M1773" s="53" t="str">
        <f t="shared" si="384"/>
        <v/>
      </c>
      <c r="N1773" s="53" t="str">
        <f t="shared" si="385"/>
        <v/>
      </c>
      <c r="O1773" s="53" t="str">
        <f t="shared" si="386"/>
        <v/>
      </c>
      <c r="P1773" s="53" t="str">
        <f t="shared" si="387"/>
        <v/>
      </c>
      <c r="Q1773" s="53" t="str">
        <f t="shared" si="388"/>
        <v/>
      </c>
      <c r="R1773" s="53" t="str">
        <f t="shared" si="389"/>
        <v/>
      </c>
      <c r="S1773" s="53" t="str">
        <f t="shared" si="390"/>
        <v/>
      </c>
      <c r="T1773" s="53" t="str">
        <f t="shared" si="391"/>
        <v/>
      </c>
    </row>
    <row r="1774" spans="1:20">
      <c r="A1774" s="47" t="str">
        <f>IF(archive!E1774="","",archive!E1774)</f>
        <v/>
      </c>
      <c r="B1774" s="48" t="str">
        <f t="shared" si="378"/>
        <v/>
      </c>
      <c r="C1774" s="49" t="str">
        <f>IF(archive!F1774="","",archive!F1774)</f>
        <v/>
      </c>
      <c r="D1774" s="50" t="str">
        <f t="shared" si="379"/>
        <v/>
      </c>
      <c r="E1774" s="50" t="str">
        <f t="shared" si="380"/>
        <v/>
      </c>
      <c r="F1774" s="47" t="str">
        <f>IF(COUNTA(archive!H1774:CI1774)=0,"",COUNTA(archive!H1774:CI1774))</f>
        <v/>
      </c>
      <c r="G1774" s="47" t="str">
        <f>IF(archive!G1774="","",archive!G1774)</f>
        <v/>
      </c>
      <c r="H1774" s="51" t="str">
        <f>IF(archive!CJ1774="","",archive!CJ1774)</f>
        <v/>
      </c>
      <c r="I1774" s="51" t="str">
        <f>IF(archive!CK1774="","",archive!CK1774)</f>
        <v/>
      </c>
      <c r="J1774" s="47" t="str">
        <f t="shared" si="381"/>
        <v/>
      </c>
      <c r="K1774" s="51" t="str">
        <f t="shared" si="382"/>
        <v/>
      </c>
      <c r="L1774" s="52" t="str">
        <f t="shared" si="383"/>
        <v/>
      </c>
      <c r="M1774" s="53" t="str">
        <f t="shared" si="384"/>
        <v/>
      </c>
      <c r="N1774" s="53" t="str">
        <f t="shared" si="385"/>
        <v/>
      </c>
      <c r="O1774" s="53" t="str">
        <f t="shared" si="386"/>
        <v/>
      </c>
      <c r="P1774" s="53" t="str">
        <f t="shared" si="387"/>
        <v/>
      </c>
      <c r="Q1774" s="53" t="str">
        <f t="shared" si="388"/>
        <v/>
      </c>
      <c r="R1774" s="53" t="str">
        <f t="shared" si="389"/>
        <v/>
      </c>
      <c r="S1774" s="53" t="str">
        <f t="shared" si="390"/>
        <v/>
      </c>
      <c r="T1774" s="53" t="str">
        <f t="shared" si="391"/>
        <v/>
      </c>
    </row>
    <row r="1775" spans="1:20">
      <c r="A1775" s="47" t="str">
        <f>IF(archive!E1775="","",archive!E1775)</f>
        <v/>
      </c>
      <c r="B1775" s="48" t="str">
        <f t="shared" si="378"/>
        <v/>
      </c>
      <c r="C1775" s="49" t="str">
        <f>IF(archive!F1775="","",archive!F1775)</f>
        <v/>
      </c>
      <c r="D1775" s="50" t="str">
        <f t="shared" si="379"/>
        <v/>
      </c>
      <c r="E1775" s="50" t="str">
        <f t="shared" si="380"/>
        <v/>
      </c>
      <c r="F1775" s="47" t="str">
        <f>IF(COUNTA(archive!H1775:CI1775)=0,"",COUNTA(archive!H1775:CI1775))</f>
        <v/>
      </c>
      <c r="G1775" s="47" t="str">
        <f>IF(archive!G1775="","",archive!G1775)</f>
        <v/>
      </c>
      <c r="H1775" s="51" t="str">
        <f>IF(archive!CJ1775="","",archive!CJ1775)</f>
        <v/>
      </c>
      <c r="I1775" s="51" t="str">
        <f>IF(archive!CK1775="","",archive!CK1775)</f>
        <v/>
      </c>
      <c r="J1775" s="47" t="str">
        <f t="shared" si="381"/>
        <v/>
      </c>
      <c r="K1775" s="51" t="str">
        <f t="shared" si="382"/>
        <v/>
      </c>
      <c r="L1775" s="52" t="str">
        <f t="shared" si="383"/>
        <v/>
      </c>
      <c r="M1775" s="53" t="str">
        <f t="shared" si="384"/>
        <v/>
      </c>
      <c r="N1775" s="53" t="str">
        <f t="shared" si="385"/>
        <v/>
      </c>
      <c r="O1775" s="53" t="str">
        <f t="shared" si="386"/>
        <v/>
      </c>
      <c r="P1775" s="53" t="str">
        <f t="shared" si="387"/>
        <v/>
      </c>
      <c r="Q1775" s="53" t="str">
        <f t="shared" si="388"/>
        <v/>
      </c>
      <c r="R1775" s="53" t="str">
        <f t="shared" si="389"/>
        <v/>
      </c>
      <c r="S1775" s="53" t="str">
        <f t="shared" si="390"/>
        <v/>
      </c>
      <c r="T1775" s="53" t="str">
        <f t="shared" si="391"/>
        <v/>
      </c>
    </row>
    <row r="1776" spans="1:20">
      <c r="A1776" s="47" t="str">
        <f>IF(archive!E1776="","",archive!E1776)</f>
        <v/>
      </c>
      <c r="B1776" s="48" t="str">
        <f t="shared" si="378"/>
        <v/>
      </c>
      <c r="C1776" s="49" t="str">
        <f>IF(archive!F1776="","",archive!F1776)</f>
        <v/>
      </c>
      <c r="D1776" s="50" t="str">
        <f t="shared" si="379"/>
        <v/>
      </c>
      <c r="E1776" s="50" t="str">
        <f t="shared" si="380"/>
        <v/>
      </c>
      <c r="F1776" s="47" t="str">
        <f>IF(COUNTA(archive!H1776:CI1776)=0,"",COUNTA(archive!H1776:CI1776))</f>
        <v/>
      </c>
      <c r="G1776" s="47" t="str">
        <f>IF(archive!G1776="","",archive!G1776)</f>
        <v/>
      </c>
      <c r="H1776" s="51" t="str">
        <f>IF(archive!CJ1776="","",archive!CJ1776)</f>
        <v/>
      </c>
      <c r="I1776" s="51" t="str">
        <f>IF(archive!CK1776="","",archive!CK1776)</f>
        <v/>
      </c>
      <c r="J1776" s="47" t="str">
        <f t="shared" si="381"/>
        <v/>
      </c>
      <c r="K1776" s="51" t="str">
        <f t="shared" si="382"/>
        <v/>
      </c>
      <c r="L1776" s="52" t="str">
        <f t="shared" si="383"/>
        <v/>
      </c>
      <c r="M1776" s="53" t="str">
        <f t="shared" si="384"/>
        <v/>
      </c>
      <c r="N1776" s="53" t="str">
        <f t="shared" si="385"/>
        <v/>
      </c>
      <c r="O1776" s="53" t="str">
        <f t="shared" si="386"/>
        <v/>
      </c>
      <c r="P1776" s="53" t="str">
        <f t="shared" si="387"/>
        <v/>
      </c>
      <c r="Q1776" s="53" t="str">
        <f t="shared" si="388"/>
        <v/>
      </c>
      <c r="R1776" s="53" t="str">
        <f t="shared" si="389"/>
        <v/>
      </c>
      <c r="S1776" s="53" t="str">
        <f t="shared" si="390"/>
        <v/>
      </c>
      <c r="T1776" s="53" t="str">
        <f t="shared" si="391"/>
        <v/>
      </c>
    </row>
    <row r="1777" spans="1:20">
      <c r="A1777" s="47" t="str">
        <f>IF(archive!E1777="","",archive!E1777)</f>
        <v/>
      </c>
      <c r="B1777" s="48" t="str">
        <f t="shared" si="378"/>
        <v/>
      </c>
      <c r="C1777" s="49" t="str">
        <f>IF(archive!F1777="","",archive!F1777)</f>
        <v/>
      </c>
      <c r="D1777" s="50" t="str">
        <f t="shared" si="379"/>
        <v/>
      </c>
      <c r="E1777" s="50" t="str">
        <f t="shared" si="380"/>
        <v/>
      </c>
      <c r="F1777" s="47" t="str">
        <f>IF(COUNTA(archive!H1777:CI1777)=0,"",COUNTA(archive!H1777:CI1777))</f>
        <v/>
      </c>
      <c r="G1777" s="47" t="str">
        <f>IF(archive!G1777="","",archive!G1777)</f>
        <v/>
      </c>
      <c r="H1777" s="51" t="str">
        <f>IF(archive!CJ1777="","",archive!CJ1777)</f>
        <v/>
      </c>
      <c r="I1777" s="51" t="str">
        <f>IF(archive!CK1777="","",archive!CK1777)</f>
        <v/>
      </c>
      <c r="J1777" s="47" t="str">
        <f t="shared" si="381"/>
        <v/>
      </c>
      <c r="K1777" s="51" t="str">
        <f t="shared" si="382"/>
        <v/>
      </c>
      <c r="L1777" s="52" t="str">
        <f t="shared" si="383"/>
        <v/>
      </c>
      <c r="M1777" s="53" t="str">
        <f t="shared" si="384"/>
        <v/>
      </c>
      <c r="N1777" s="53" t="str">
        <f t="shared" si="385"/>
        <v/>
      </c>
      <c r="O1777" s="53" t="str">
        <f t="shared" si="386"/>
        <v/>
      </c>
      <c r="P1777" s="53" t="str">
        <f t="shared" si="387"/>
        <v/>
      </c>
      <c r="Q1777" s="53" t="str">
        <f t="shared" si="388"/>
        <v/>
      </c>
      <c r="R1777" s="53" t="str">
        <f t="shared" si="389"/>
        <v/>
      </c>
      <c r="S1777" s="53" t="str">
        <f t="shared" si="390"/>
        <v/>
      </c>
      <c r="T1777" s="53" t="str">
        <f t="shared" si="391"/>
        <v/>
      </c>
    </row>
    <row r="1778" spans="1:20">
      <c r="A1778" s="47" t="str">
        <f>IF(archive!E1778="","",archive!E1778)</f>
        <v/>
      </c>
      <c r="B1778" s="48" t="str">
        <f t="shared" si="378"/>
        <v/>
      </c>
      <c r="C1778" s="49" t="str">
        <f>IF(archive!F1778="","",archive!F1778)</f>
        <v/>
      </c>
      <c r="D1778" s="50" t="str">
        <f t="shared" si="379"/>
        <v/>
      </c>
      <c r="E1778" s="50" t="str">
        <f t="shared" si="380"/>
        <v/>
      </c>
      <c r="F1778" s="47" t="str">
        <f>IF(COUNTA(archive!H1778:CI1778)=0,"",COUNTA(archive!H1778:CI1778))</f>
        <v/>
      </c>
      <c r="G1778" s="47" t="str">
        <f>IF(archive!G1778="","",archive!G1778)</f>
        <v/>
      </c>
      <c r="H1778" s="51" t="str">
        <f>IF(archive!CJ1778="","",archive!CJ1778)</f>
        <v/>
      </c>
      <c r="I1778" s="51" t="str">
        <f>IF(archive!CK1778="","",archive!CK1778)</f>
        <v/>
      </c>
      <c r="J1778" s="47" t="str">
        <f t="shared" si="381"/>
        <v/>
      </c>
      <c r="K1778" s="51" t="str">
        <f t="shared" si="382"/>
        <v/>
      </c>
      <c r="L1778" s="52" t="str">
        <f t="shared" si="383"/>
        <v/>
      </c>
      <c r="M1778" s="53" t="str">
        <f t="shared" si="384"/>
        <v/>
      </c>
      <c r="N1778" s="53" t="str">
        <f t="shared" si="385"/>
        <v/>
      </c>
      <c r="O1778" s="53" t="str">
        <f t="shared" si="386"/>
        <v/>
      </c>
      <c r="P1778" s="53" t="str">
        <f t="shared" si="387"/>
        <v/>
      </c>
      <c r="Q1778" s="53" t="str">
        <f t="shared" si="388"/>
        <v/>
      </c>
      <c r="R1778" s="53" t="str">
        <f t="shared" si="389"/>
        <v/>
      </c>
      <c r="S1778" s="53" t="str">
        <f t="shared" si="390"/>
        <v/>
      </c>
      <c r="T1778" s="53" t="str">
        <f t="shared" si="391"/>
        <v/>
      </c>
    </row>
    <row r="1779" spans="1:20">
      <c r="A1779" s="47" t="str">
        <f>IF(archive!E1779="","",archive!E1779)</f>
        <v/>
      </c>
      <c r="B1779" s="48" t="str">
        <f t="shared" si="378"/>
        <v/>
      </c>
      <c r="C1779" s="49" t="str">
        <f>IF(archive!F1779="","",archive!F1779)</f>
        <v/>
      </c>
      <c r="D1779" s="50" t="str">
        <f t="shared" si="379"/>
        <v/>
      </c>
      <c r="E1779" s="50" t="str">
        <f t="shared" si="380"/>
        <v/>
      </c>
      <c r="F1779" s="47" t="str">
        <f>IF(COUNTA(archive!H1779:CI1779)=0,"",COUNTA(archive!H1779:CI1779))</f>
        <v/>
      </c>
      <c r="G1779" s="47" t="str">
        <f>IF(archive!G1779="","",archive!G1779)</f>
        <v/>
      </c>
      <c r="H1779" s="51" t="str">
        <f>IF(archive!CJ1779="","",archive!CJ1779)</f>
        <v/>
      </c>
      <c r="I1779" s="51" t="str">
        <f>IF(archive!CK1779="","",archive!CK1779)</f>
        <v/>
      </c>
      <c r="J1779" s="47" t="str">
        <f t="shared" si="381"/>
        <v/>
      </c>
      <c r="K1779" s="51" t="str">
        <f t="shared" si="382"/>
        <v/>
      </c>
      <c r="L1779" s="52" t="str">
        <f t="shared" si="383"/>
        <v/>
      </c>
      <c r="M1779" s="53" t="str">
        <f t="shared" si="384"/>
        <v/>
      </c>
      <c r="N1779" s="53" t="str">
        <f t="shared" si="385"/>
        <v/>
      </c>
      <c r="O1779" s="53" t="str">
        <f t="shared" si="386"/>
        <v/>
      </c>
      <c r="P1779" s="53" t="str">
        <f t="shared" si="387"/>
        <v/>
      </c>
      <c r="Q1779" s="53" t="str">
        <f t="shared" si="388"/>
        <v/>
      </c>
      <c r="R1779" s="53" t="str">
        <f t="shared" si="389"/>
        <v/>
      </c>
      <c r="S1779" s="53" t="str">
        <f t="shared" si="390"/>
        <v/>
      </c>
      <c r="T1779" s="53" t="str">
        <f t="shared" si="391"/>
        <v/>
      </c>
    </row>
    <row r="1780" spans="1:20">
      <c r="A1780" s="47" t="str">
        <f>IF(archive!E1780="","",archive!E1780)</f>
        <v/>
      </c>
      <c r="B1780" s="48" t="str">
        <f t="shared" si="378"/>
        <v/>
      </c>
      <c r="C1780" s="49" t="str">
        <f>IF(archive!F1780="","",archive!F1780)</f>
        <v/>
      </c>
      <c r="D1780" s="50" t="str">
        <f t="shared" si="379"/>
        <v/>
      </c>
      <c r="E1780" s="50" t="str">
        <f t="shared" si="380"/>
        <v/>
      </c>
      <c r="F1780" s="47" t="str">
        <f>IF(COUNTA(archive!H1780:CI1780)=0,"",COUNTA(archive!H1780:CI1780))</f>
        <v/>
      </c>
      <c r="G1780" s="47" t="str">
        <f>IF(archive!G1780="","",archive!G1780)</f>
        <v/>
      </c>
      <c r="H1780" s="51" t="str">
        <f>IF(archive!CJ1780="","",archive!CJ1780)</f>
        <v/>
      </c>
      <c r="I1780" s="51" t="str">
        <f>IF(archive!CK1780="","",archive!CK1780)</f>
        <v/>
      </c>
      <c r="J1780" s="47" t="str">
        <f t="shared" si="381"/>
        <v/>
      </c>
      <c r="K1780" s="51" t="str">
        <f t="shared" si="382"/>
        <v/>
      </c>
      <c r="L1780" s="52" t="str">
        <f t="shared" si="383"/>
        <v/>
      </c>
      <c r="M1780" s="53" t="str">
        <f t="shared" si="384"/>
        <v/>
      </c>
      <c r="N1780" s="53" t="str">
        <f t="shared" si="385"/>
        <v/>
      </c>
      <c r="O1780" s="53" t="str">
        <f t="shared" si="386"/>
        <v/>
      </c>
      <c r="P1780" s="53" t="str">
        <f t="shared" si="387"/>
        <v/>
      </c>
      <c r="Q1780" s="53" t="str">
        <f t="shared" si="388"/>
        <v/>
      </c>
      <c r="R1780" s="53" t="str">
        <f t="shared" si="389"/>
        <v/>
      </c>
      <c r="S1780" s="53" t="str">
        <f t="shared" si="390"/>
        <v/>
      </c>
      <c r="T1780" s="53" t="str">
        <f t="shared" si="391"/>
        <v/>
      </c>
    </row>
    <row r="1781" spans="1:20">
      <c r="A1781" s="47" t="str">
        <f>IF(archive!E1781="","",archive!E1781)</f>
        <v/>
      </c>
      <c r="B1781" s="48" t="str">
        <f t="shared" si="378"/>
        <v/>
      </c>
      <c r="C1781" s="49" t="str">
        <f>IF(archive!F1781="","",archive!F1781)</f>
        <v/>
      </c>
      <c r="D1781" s="50" t="str">
        <f t="shared" si="379"/>
        <v/>
      </c>
      <c r="E1781" s="50" t="str">
        <f t="shared" si="380"/>
        <v/>
      </c>
      <c r="F1781" s="47" t="str">
        <f>IF(COUNTA(archive!H1781:CI1781)=0,"",COUNTA(archive!H1781:CI1781))</f>
        <v/>
      </c>
      <c r="G1781" s="47" t="str">
        <f>IF(archive!G1781="","",archive!G1781)</f>
        <v/>
      </c>
      <c r="H1781" s="51" t="str">
        <f>IF(archive!CJ1781="","",archive!CJ1781)</f>
        <v/>
      </c>
      <c r="I1781" s="51" t="str">
        <f>IF(archive!CK1781="","",archive!CK1781)</f>
        <v/>
      </c>
      <c r="J1781" s="47" t="str">
        <f t="shared" si="381"/>
        <v/>
      </c>
      <c r="K1781" s="51" t="str">
        <f t="shared" si="382"/>
        <v/>
      </c>
      <c r="L1781" s="52" t="str">
        <f t="shared" si="383"/>
        <v/>
      </c>
      <c r="M1781" s="53" t="str">
        <f t="shared" si="384"/>
        <v/>
      </c>
      <c r="N1781" s="53" t="str">
        <f t="shared" si="385"/>
        <v/>
      </c>
      <c r="O1781" s="53" t="str">
        <f t="shared" si="386"/>
        <v/>
      </c>
      <c r="P1781" s="53" t="str">
        <f t="shared" si="387"/>
        <v/>
      </c>
      <c r="Q1781" s="53" t="str">
        <f t="shared" si="388"/>
        <v/>
      </c>
      <c r="R1781" s="53" t="str">
        <f t="shared" si="389"/>
        <v/>
      </c>
      <c r="S1781" s="53" t="str">
        <f t="shared" si="390"/>
        <v/>
      </c>
      <c r="T1781" s="53" t="str">
        <f t="shared" si="391"/>
        <v/>
      </c>
    </row>
    <row r="1782" spans="1:20">
      <c r="A1782" s="47" t="str">
        <f>IF(archive!E1782="","",archive!E1782)</f>
        <v/>
      </c>
      <c r="B1782" s="48" t="str">
        <f t="shared" si="378"/>
        <v/>
      </c>
      <c r="C1782" s="49" t="str">
        <f>IF(archive!F1782="","",archive!F1782)</f>
        <v/>
      </c>
      <c r="D1782" s="50" t="str">
        <f t="shared" si="379"/>
        <v/>
      </c>
      <c r="E1782" s="50" t="str">
        <f t="shared" si="380"/>
        <v/>
      </c>
      <c r="F1782" s="47" t="str">
        <f>IF(COUNTA(archive!H1782:CI1782)=0,"",COUNTA(archive!H1782:CI1782))</f>
        <v/>
      </c>
      <c r="G1782" s="47" t="str">
        <f>IF(archive!G1782="","",archive!G1782)</f>
        <v/>
      </c>
      <c r="H1782" s="51" t="str">
        <f>IF(archive!CJ1782="","",archive!CJ1782)</f>
        <v/>
      </c>
      <c r="I1782" s="51" t="str">
        <f>IF(archive!CK1782="","",archive!CK1782)</f>
        <v/>
      </c>
      <c r="J1782" s="47" t="str">
        <f t="shared" si="381"/>
        <v/>
      </c>
      <c r="K1782" s="51" t="str">
        <f t="shared" si="382"/>
        <v/>
      </c>
      <c r="L1782" s="52" t="str">
        <f t="shared" si="383"/>
        <v/>
      </c>
      <c r="M1782" s="53" t="str">
        <f t="shared" si="384"/>
        <v/>
      </c>
      <c r="N1782" s="53" t="str">
        <f t="shared" si="385"/>
        <v/>
      </c>
      <c r="O1782" s="53" t="str">
        <f t="shared" si="386"/>
        <v/>
      </c>
      <c r="P1782" s="53" t="str">
        <f t="shared" si="387"/>
        <v/>
      </c>
      <c r="Q1782" s="53" t="str">
        <f t="shared" si="388"/>
        <v/>
      </c>
      <c r="R1782" s="53" t="str">
        <f t="shared" si="389"/>
        <v/>
      </c>
      <c r="S1782" s="53" t="str">
        <f t="shared" si="390"/>
        <v/>
      </c>
      <c r="T1782" s="53" t="str">
        <f t="shared" si="391"/>
        <v/>
      </c>
    </row>
    <row r="1783" spans="1:20">
      <c r="A1783" s="47" t="str">
        <f>IF(archive!E1783="","",archive!E1783)</f>
        <v/>
      </c>
      <c r="B1783" s="48" t="str">
        <f t="shared" si="378"/>
        <v/>
      </c>
      <c r="C1783" s="49" t="str">
        <f>IF(archive!F1783="","",archive!F1783)</f>
        <v/>
      </c>
      <c r="D1783" s="50" t="str">
        <f t="shared" si="379"/>
        <v/>
      </c>
      <c r="E1783" s="50" t="str">
        <f t="shared" si="380"/>
        <v/>
      </c>
      <c r="F1783" s="47" t="str">
        <f>IF(COUNTA(archive!H1783:CI1783)=0,"",COUNTA(archive!H1783:CI1783))</f>
        <v/>
      </c>
      <c r="G1783" s="47" t="str">
        <f>IF(archive!G1783="","",archive!G1783)</f>
        <v/>
      </c>
      <c r="H1783" s="51" t="str">
        <f>IF(archive!CJ1783="","",archive!CJ1783)</f>
        <v/>
      </c>
      <c r="I1783" s="51" t="str">
        <f>IF(archive!CK1783="","",archive!CK1783)</f>
        <v/>
      </c>
      <c r="J1783" s="47" t="str">
        <f t="shared" si="381"/>
        <v/>
      </c>
      <c r="K1783" s="51" t="str">
        <f t="shared" si="382"/>
        <v/>
      </c>
      <c r="L1783" s="52" t="str">
        <f t="shared" si="383"/>
        <v/>
      </c>
      <c r="M1783" s="53" t="str">
        <f t="shared" si="384"/>
        <v/>
      </c>
      <c r="N1783" s="53" t="str">
        <f t="shared" si="385"/>
        <v/>
      </c>
      <c r="O1783" s="53" t="str">
        <f t="shared" si="386"/>
        <v/>
      </c>
      <c r="P1783" s="53" t="str">
        <f t="shared" si="387"/>
        <v/>
      </c>
      <c r="Q1783" s="53" t="str">
        <f t="shared" si="388"/>
        <v/>
      </c>
      <c r="R1783" s="53" t="str">
        <f t="shared" si="389"/>
        <v/>
      </c>
      <c r="S1783" s="53" t="str">
        <f t="shared" si="390"/>
        <v/>
      </c>
      <c r="T1783" s="53" t="str">
        <f t="shared" si="391"/>
        <v/>
      </c>
    </row>
    <row r="1784" spans="1:20">
      <c r="A1784" s="47" t="str">
        <f>IF(archive!E1784="","",archive!E1784)</f>
        <v/>
      </c>
      <c r="B1784" s="48" t="str">
        <f t="shared" si="378"/>
        <v/>
      </c>
      <c r="C1784" s="49" t="str">
        <f>IF(archive!F1784="","",archive!F1784)</f>
        <v/>
      </c>
      <c r="D1784" s="50" t="str">
        <f t="shared" si="379"/>
        <v/>
      </c>
      <c r="E1784" s="50" t="str">
        <f t="shared" si="380"/>
        <v/>
      </c>
      <c r="F1784" s="47" t="str">
        <f>IF(COUNTA(archive!H1784:CI1784)=0,"",COUNTA(archive!H1784:CI1784))</f>
        <v/>
      </c>
      <c r="G1784" s="47" t="str">
        <f>IF(archive!G1784="","",archive!G1784)</f>
        <v/>
      </c>
      <c r="H1784" s="51" t="str">
        <f>IF(archive!CJ1784="","",archive!CJ1784)</f>
        <v/>
      </c>
      <c r="I1784" s="51" t="str">
        <f>IF(archive!CK1784="","",archive!CK1784)</f>
        <v/>
      </c>
      <c r="J1784" s="47" t="str">
        <f t="shared" si="381"/>
        <v/>
      </c>
      <c r="K1784" s="51" t="str">
        <f t="shared" si="382"/>
        <v/>
      </c>
      <c r="L1784" s="52" t="str">
        <f t="shared" si="383"/>
        <v/>
      </c>
      <c r="M1784" s="53" t="str">
        <f t="shared" si="384"/>
        <v/>
      </c>
      <c r="N1784" s="53" t="str">
        <f t="shared" si="385"/>
        <v/>
      </c>
      <c r="O1784" s="53" t="str">
        <f t="shared" si="386"/>
        <v/>
      </c>
      <c r="P1784" s="53" t="str">
        <f t="shared" si="387"/>
        <v/>
      </c>
      <c r="Q1784" s="53" t="str">
        <f t="shared" si="388"/>
        <v/>
      </c>
      <c r="R1784" s="53" t="str">
        <f t="shared" si="389"/>
        <v/>
      </c>
      <c r="S1784" s="53" t="str">
        <f t="shared" si="390"/>
        <v/>
      </c>
      <c r="T1784" s="53" t="str">
        <f t="shared" si="391"/>
        <v/>
      </c>
    </row>
    <row r="1785" spans="1:20">
      <c r="A1785" s="47" t="str">
        <f>IF(archive!E1785="","",archive!E1785)</f>
        <v/>
      </c>
      <c r="B1785" s="48" t="str">
        <f t="shared" si="378"/>
        <v/>
      </c>
      <c r="C1785" s="49" t="str">
        <f>IF(archive!F1785="","",archive!F1785)</f>
        <v/>
      </c>
      <c r="D1785" s="50" t="str">
        <f t="shared" si="379"/>
        <v/>
      </c>
      <c r="E1785" s="50" t="str">
        <f t="shared" si="380"/>
        <v/>
      </c>
      <c r="F1785" s="47" t="str">
        <f>IF(COUNTA(archive!H1785:CI1785)=0,"",COUNTA(archive!H1785:CI1785))</f>
        <v/>
      </c>
      <c r="G1785" s="47" t="str">
        <f>IF(archive!G1785="","",archive!G1785)</f>
        <v/>
      </c>
      <c r="H1785" s="51" t="str">
        <f>IF(archive!CJ1785="","",archive!CJ1785)</f>
        <v/>
      </c>
      <c r="I1785" s="51" t="str">
        <f>IF(archive!CK1785="","",archive!CK1785)</f>
        <v/>
      </c>
      <c r="J1785" s="47" t="str">
        <f t="shared" si="381"/>
        <v/>
      </c>
      <c r="K1785" s="51" t="str">
        <f t="shared" si="382"/>
        <v/>
      </c>
      <c r="L1785" s="52" t="str">
        <f t="shared" si="383"/>
        <v/>
      </c>
      <c r="M1785" s="53" t="str">
        <f t="shared" si="384"/>
        <v/>
      </c>
      <c r="N1785" s="53" t="str">
        <f t="shared" si="385"/>
        <v/>
      </c>
      <c r="O1785" s="53" t="str">
        <f t="shared" si="386"/>
        <v/>
      </c>
      <c r="P1785" s="53" t="str">
        <f t="shared" si="387"/>
        <v/>
      </c>
      <c r="Q1785" s="53" t="str">
        <f t="shared" si="388"/>
        <v/>
      </c>
      <c r="R1785" s="53" t="str">
        <f t="shared" si="389"/>
        <v/>
      </c>
      <c r="S1785" s="53" t="str">
        <f t="shared" si="390"/>
        <v/>
      </c>
      <c r="T1785" s="53" t="str">
        <f t="shared" si="391"/>
        <v/>
      </c>
    </row>
    <row r="1786" spans="1:20">
      <c r="A1786" s="47" t="str">
        <f>IF(archive!E1786="","",archive!E1786)</f>
        <v/>
      </c>
      <c r="B1786" s="48" t="str">
        <f t="shared" si="378"/>
        <v/>
      </c>
      <c r="C1786" s="49" t="str">
        <f>IF(archive!F1786="","",archive!F1786)</f>
        <v/>
      </c>
      <c r="D1786" s="50" t="str">
        <f t="shared" si="379"/>
        <v/>
      </c>
      <c r="E1786" s="50" t="str">
        <f t="shared" si="380"/>
        <v/>
      </c>
      <c r="F1786" s="47" t="str">
        <f>IF(COUNTA(archive!H1786:CI1786)=0,"",COUNTA(archive!H1786:CI1786))</f>
        <v/>
      </c>
      <c r="G1786" s="47" t="str">
        <f>IF(archive!G1786="","",archive!G1786)</f>
        <v/>
      </c>
      <c r="H1786" s="51" t="str">
        <f>IF(archive!CJ1786="","",archive!CJ1786)</f>
        <v/>
      </c>
      <c r="I1786" s="51" t="str">
        <f>IF(archive!CK1786="","",archive!CK1786)</f>
        <v/>
      </c>
      <c r="J1786" s="47" t="str">
        <f t="shared" si="381"/>
        <v/>
      </c>
      <c r="K1786" s="51" t="str">
        <f t="shared" si="382"/>
        <v/>
      </c>
      <c r="L1786" s="52" t="str">
        <f t="shared" si="383"/>
        <v/>
      </c>
      <c r="M1786" s="53" t="str">
        <f t="shared" si="384"/>
        <v/>
      </c>
      <c r="N1786" s="53" t="str">
        <f t="shared" si="385"/>
        <v/>
      </c>
      <c r="O1786" s="53" t="str">
        <f t="shared" si="386"/>
        <v/>
      </c>
      <c r="P1786" s="53" t="str">
        <f t="shared" si="387"/>
        <v/>
      </c>
      <c r="Q1786" s="53" t="str">
        <f t="shared" si="388"/>
        <v/>
      </c>
      <c r="R1786" s="53" t="str">
        <f t="shared" si="389"/>
        <v/>
      </c>
      <c r="S1786" s="53" t="str">
        <f t="shared" si="390"/>
        <v/>
      </c>
      <c r="T1786" s="53" t="str">
        <f t="shared" si="391"/>
        <v/>
      </c>
    </row>
    <row r="1787" spans="1:20">
      <c r="A1787" s="47" t="str">
        <f>IF(archive!E1787="","",archive!E1787)</f>
        <v/>
      </c>
      <c r="B1787" s="48" t="str">
        <f t="shared" si="378"/>
        <v/>
      </c>
      <c r="C1787" s="49" t="str">
        <f>IF(archive!F1787="","",archive!F1787)</f>
        <v/>
      </c>
      <c r="D1787" s="50" t="str">
        <f t="shared" si="379"/>
        <v/>
      </c>
      <c r="E1787" s="50" t="str">
        <f t="shared" si="380"/>
        <v/>
      </c>
      <c r="F1787" s="47" t="str">
        <f>IF(COUNTA(archive!H1787:CI1787)=0,"",COUNTA(archive!H1787:CI1787))</f>
        <v/>
      </c>
      <c r="G1787" s="47" t="str">
        <f>IF(archive!G1787="","",archive!G1787)</f>
        <v/>
      </c>
      <c r="H1787" s="51" t="str">
        <f>IF(archive!CJ1787="","",archive!CJ1787)</f>
        <v/>
      </c>
      <c r="I1787" s="51" t="str">
        <f>IF(archive!CK1787="","",archive!CK1787)</f>
        <v/>
      </c>
      <c r="J1787" s="47" t="str">
        <f t="shared" si="381"/>
        <v/>
      </c>
      <c r="K1787" s="51" t="str">
        <f t="shared" si="382"/>
        <v/>
      </c>
      <c r="L1787" s="52" t="str">
        <f t="shared" si="383"/>
        <v/>
      </c>
      <c r="M1787" s="53" t="str">
        <f t="shared" si="384"/>
        <v/>
      </c>
      <c r="N1787" s="53" t="str">
        <f t="shared" si="385"/>
        <v/>
      </c>
      <c r="O1787" s="53" t="str">
        <f t="shared" si="386"/>
        <v/>
      </c>
      <c r="P1787" s="53" t="str">
        <f t="shared" si="387"/>
        <v/>
      </c>
      <c r="Q1787" s="53" t="str">
        <f t="shared" si="388"/>
        <v/>
      </c>
      <c r="R1787" s="53" t="str">
        <f t="shared" si="389"/>
        <v/>
      </c>
      <c r="S1787" s="53" t="str">
        <f t="shared" si="390"/>
        <v/>
      </c>
      <c r="T1787" s="53" t="str">
        <f t="shared" si="391"/>
        <v/>
      </c>
    </row>
    <row r="1788" spans="1:20">
      <c r="A1788" s="47" t="str">
        <f>IF(archive!E1788="","",archive!E1788)</f>
        <v/>
      </c>
      <c r="B1788" s="48" t="str">
        <f t="shared" si="378"/>
        <v/>
      </c>
      <c r="C1788" s="49" t="str">
        <f>IF(archive!F1788="","",archive!F1788)</f>
        <v/>
      </c>
      <c r="D1788" s="50" t="str">
        <f t="shared" si="379"/>
        <v/>
      </c>
      <c r="E1788" s="50" t="str">
        <f t="shared" si="380"/>
        <v/>
      </c>
      <c r="F1788" s="47" t="str">
        <f>IF(COUNTA(archive!H1788:CI1788)=0,"",COUNTA(archive!H1788:CI1788))</f>
        <v/>
      </c>
      <c r="G1788" s="47" t="str">
        <f>IF(archive!G1788="","",archive!G1788)</f>
        <v/>
      </c>
      <c r="H1788" s="51" t="str">
        <f>IF(archive!CJ1788="","",archive!CJ1788)</f>
        <v/>
      </c>
      <c r="I1788" s="51" t="str">
        <f>IF(archive!CK1788="","",archive!CK1788)</f>
        <v/>
      </c>
      <c r="J1788" s="47" t="str">
        <f t="shared" si="381"/>
        <v/>
      </c>
      <c r="K1788" s="51" t="str">
        <f t="shared" si="382"/>
        <v/>
      </c>
      <c r="L1788" s="52" t="str">
        <f t="shared" si="383"/>
        <v/>
      </c>
      <c r="M1788" s="53" t="str">
        <f t="shared" si="384"/>
        <v/>
      </c>
      <c r="N1788" s="53" t="str">
        <f t="shared" si="385"/>
        <v/>
      </c>
      <c r="O1788" s="53" t="str">
        <f t="shared" si="386"/>
        <v/>
      </c>
      <c r="P1788" s="53" t="str">
        <f t="shared" si="387"/>
        <v/>
      </c>
      <c r="Q1788" s="53" t="str">
        <f t="shared" si="388"/>
        <v/>
      </c>
      <c r="R1788" s="53" t="str">
        <f t="shared" si="389"/>
        <v/>
      </c>
      <c r="S1788" s="53" t="str">
        <f t="shared" si="390"/>
        <v/>
      </c>
      <c r="T1788" s="53" t="str">
        <f t="shared" si="391"/>
        <v/>
      </c>
    </row>
    <row r="1789" spans="1:20">
      <c r="A1789" s="47" t="str">
        <f>IF(archive!E1789="","",archive!E1789)</f>
        <v/>
      </c>
      <c r="B1789" s="48" t="str">
        <f t="shared" si="378"/>
        <v/>
      </c>
      <c r="C1789" s="49" t="str">
        <f>IF(archive!F1789="","",archive!F1789)</f>
        <v/>
      </c>
      <c r="D1789" s="50" t="str">
        <f t="shared" si="379"/>
        <v/>
      </c>
      <c r="E1789" s="50" t="str">
        <f t="shared" si="380"/>
        <v/>
      </c>
      <c r="F1789" s="47" t="str">
        <f>IF(COUNTA(archive!H1789:CI1789)=0,"",COUNTA(archive!H1789:CI1789))</f>
        <v/>
      </c>
      <c r="G1789" s="47" t="str">
        <f>IF(archive!G1789="","",archive!G1789)</f>
        <v/>
      </c>
      <c r="H1789" s="51" t="str">
        <f>IF(archive!CJ1789="","",archive!CJ1789)</f>
        <v/>
      </c>
      <c r="I1789" s="51" t="str">
        <f>IF(archive!CK1789="","",archive!CK1789)</f>
        <v/>
      </c>
      <c r="J1789" s="47" t="str">
        <f t="shared" si="381"/>
        <v/>
      </c>
      <c r="K1789" s="51" t="str">
        <f t="shared" si="382"/>
        <v/>
      </c>
      <c r="L1789" s="52" t="str">
        <f t="shared" si="383"/>
        <v/>
      </c>
      <c r="M1789" s="53" t="str">
        <f t="shared" si="384"/>
        <v/>
      </c>
      <c r="N1789" s="53" t="str">
        <f t="shared" si="385"/>
        <v/>
      </c>
      <c r="O1789" s="53" t="str">
        <f t="shared" si="386"/>
        <v/>
      </c>
      <c r="P1789" s="53" t="str">
        <f t="shared" si="387"/>
        <v/>
      </c>
      <c r="Q1789" s="53" t="str">
        <f t="shared" si="388"/>
        <v/>
      </c>
      <c r="R1789" s="53" t="str">
        <f t="shared" si="389"/>
        <v/>
      </c>
      <c r="S1789" s="53" t="str">
        <f t="shared" si="390"/>
        <v/>
      </c>
      <c r="T1789" s="53" t="str">
        <f t="shared" si="391"/>
        <v/>
      </c>
    </row>
    <row r="1790" spans="1:20">
      <c r="A1790" s="47" t="str">
        <f>IF(archive!E1790="","",archive!E1790)</f>
        <v/>
      </c>
      <c r="B1790" s="48" t="str">
        <f t="shared" si="378"/>
        <v/>
      </c>
      <c r="C1790" s="49" t="str">
        <f>IF(archive!F1790="","",archive!F1790)</f>
        <v/>
      </c>
      <c r="D1790" s="50" t="str">
        <f t="shared" si="379"/>
        <v/>
      </c>
      <c r="E1790" s="50" t="str">
        <f t="shared" si="380"/>
        <v/>
      </c>
      <c r="F1790" s="47" t="str">
        <f>IF(COUNTA(archive!H1790:CI1790)=0,"",COUNTA(archive!H1790:CI1790))</f>
        <v/>
      </c>
      <c r="G1790" s="47" t="str">
        <f>IF(archive!G1790="","",archive!G1790)</f>
        <v/>
      </c>
      <c r="H1790" s="51" t="str">
        <f>IF(archive!CJ1790="","",archive!CJ1790)</f>
        <v/>
      </c>
      <c r="I1790" s="51" t="str">
        <f>IF(archive!CK1790="","",archive!CK1790)</f>
        <v/>
      </c>
      <c r="J1790" s="47" t="str">
        <f t="shared" si="381"/>
        <v/>
      </c>
      <c r="K1790" s="51" t="str">
        <f t="shared" si="382"/>
        <v/>
      </c>
      <c r="L1790" s="52" t="str">
        <f t="shared" si="383"/>
        <v/>
      </c>
      <c r="M1790" s="53" t="str">
        <f t="shared" si="384"/>
        <v/>
      </c>
      <c r="N1790" s="53" t="str">
        <f t="shared" si="385"/>
        <v/>
      </c>
      <c r="O1790" s="53" t="str">
        <f t="shared" si="386"/>
        <v/>
      </c>
      <c r="P1790" s="53" t="str">
        <f t="shared" si="387"/>
        <v/>
      </c>
      <c r="Q1790" s="53" t="str">
        <f t="shared" si="388"/>
        <v/>
      </c>
      <c r="R1790" s="53" t="str">
        <f t="shared" si="389"/>
        <v/>
      </c>
      <c r="S1790" s="53" t="str">
        <f t="shared" si="390"/>
        <v/>
      </c>
      <c r="T1790" s="53" t="str">
        <f t="shared" si="391"/>
        <v/>
      </c>
    </row>
    <row r="1791" spans="1:20">
      <c r="A1791" s="47" t="str">
        <f>IF(archive!E1791="","",archive!E1791)</f>
        <v/>
      </c>
      <c r="B1791" s="48" t="str">
        <f t="shared" si="378"/>
        <v/>
      </c>
      <c r="C1791" s="49" t="str">
        <f>IF(archive!F1791="","",archive!F1791)</f>
        <v/>
      </c>
      <c r="D1791" s="50" t="str">
        <f t="shared" si="379"/>
        <v/>
      </c>
      <c r="E1791" s="50" t="str">
        <f t="shared" si="380"/>
        <v/>
      </c>
      <c r="F1791" s="47" t="str">
        <f>IF(COUNTA(archive!H1791:CI1791)=0,"",COUNTA(archive!H1791:CI1791))</f>
        <v/>
      </c>
      <c r="G1791" s="47" t="str">
        <f>IF(archive!G1791="","",archive!G1791)</f>
        <v/>
      </c>
      <c r="H1791" s="51" t="str">
        <f>IF(archive!CJ1791="","",archive!CJ1791)</f>
        <v/>
      </c>
      <c r="I1791" s="51" t="str">
        <f>IF(archive!CK1791="","",archive!CK1791)</f>
        <v/>
      </c>
      <c r="J1791" s="47" t="str">
        <f t="shared" si="381"/>
        <v/>
      </c>
      <c r="K1791" s="51" t="str">
        <f t="shared" si="382"/>
        <v/>
      </c>
      <c r="L1791" s="52" t="str">
        <f t="shared" si="383"/>
        <v/>
      </c>
      <c r="M1791" s="53" t="str">
        <f t="shared" si="384"/>
        <v/>
      </c>
      <c r="N1791" s="53" t="str">
        <f t="shared" si="385"/>
        <v/>
      </c>
      <c r="O1791" s="53" t="str">
        <f t="shared" si="386"/>
        <v/>
      </c>
      <c r="P1791" s="53" t="str">
        <f t="shared" si="387"/>
        <v/>
      </c>
      <c r="Q1791" s="53" t="str">
        <f t="shared" si="388"/>
        <v/>
      </c>
      <c r="R1791" s="53" t="str">
        <f t="shared" si="389"/>
        <v/>
      </c>
      <c r="S1791" s="53" t="str">
        <f t="shared" si="390"/>
        <v/>
      </c>
      <c r="T1791" s="53" t="str">
        <f t="shared" si="391"/>
        <v/>
      </c>
    </row>
    <row r="1792" spans="1:20">
      <c r="A1792" s="47" t="str">
        <f>IF(archive!E1792="","",archive!E1792)</f>
        <v/>
      </c>
      <c r="B1792" s="48" t="str">
        <f t="shared" si="378"/>
        <v/>
      </c>
      <c r="C1792" s="49" t="str">
        <f>IF(archive!F1792="","",archive!F1792)</f>
        <v/>
      </c>
      <c r="D1792" s="50" t="str">
        <f t="shared" si="379"/>
        <v/>
      </c>
      <c r="E1792" s="50" t="str">
        <f t="shared" si="380"/>
        <v/>
      </c>
      <c r="F1792" s="47" t="str">
        <f>IF(COUNTA(archive!H1792:CI1792)=0,"",COUNTA(archive!H1792:CI1792))</f>
        <v/>
      </c>
      <c r="G1792" s="47" t="str">
        <f>IF(archive!G1792="","",archive!G1792)</f>
        <v/>
      </c>
      <c r="H1792" s="51" t="str">
        <f>IF(archive!CJ1792="","",archive!CJ1792)</f>
        <v/>
      </c>
      <c r="I1792" s="51" t="str">
        <f>IF(archive!CK1792="","",archive!CK1792)</f>
        <v/>
      </c>
      <c r="J1792" s="47" t="str">
        <f t="shared" si="381"/>
        <v/>
      </c>
      <c r="K1792" s="51" t="str">
        <f t="shared" si="382"/>
        <v/>
      </c>
      <c r="L1792" s="52" t="str">
        <f t="shared" si="383"/>
        <v/>
      </c>
      <c r="M1792" s="53" t="str">
        <f t="shared" si="384"/>
        <v/>
      </c>
      <c r="N1792" s="53" t="str">
        <f t="shared" si="385"/>
        <v/>
      </c>
      <c r="O1792" s="53" t="str">
        <f t="shared" si="386"/>
        <v/>
      </c>
      <c r="P1792" s="53" t="str">
        <f t="shared" si="387"/>
        <v/>
      </c>
      <c r="Q1792" s="53" t="str">
        <f t="shared" si="388"/>
        <v/>
      </c>
      <c r="R1792" s="53" t="str">
        <f t="shared" si="389"/>
        <v/>
      </c>
      <c r="S1792" s="53" t="str">
        <f t="shared" si="390"/>
        <v/>
      </c>
      <c r="T1792" s="53" t="str">
        <f t="shared" si="391"/>
        <v/>
      </c>
    </row>
    <row r="1793" spans="1:20">
      <c r="A1793" s="47" t="str">
        <f>IF(archive!E1793="","",archive!E1793)</f>
        <v/>
      </c>
      <c r="B1793" s="48" t="str">
        <f t="shared" si="378"/>
        <v/>
      </c>
      <c r="C1793" s="49" t="str">
        <f>IF(archive!F1793="","",archive!F1793)</f>
        <v/>
      </c>
      <c r="D1793" s="50" t="str">
        <f t="shared" si="379"/>
        <v/>
      </c>
      <c r="E1793" s="50" t="str">
        <f t="shared" si="380"/>
        <v/>
      </c>
      <c r="F1793" s="47" t="str">
        <f>IF(COUNTA(archive!H1793:CI1793)=0,"",COUNTA(archive!H1793:CI1793))</f>
        <v/>
      </c>
      <c r="G1793" s="47" t="str">
        <f>IF(archive!G1793="","",archive!G1793)</f>
        <v/>
      </c>
      <c r="H1793" s="51" t="str">
        <f>IF(archive!CJ1793="","",archive!CJ1793)</f>
        <v/>
      </c>
      <c r="I1793" s="51" t="str">
        <f>IF(archive!CK1793="","",archive!CK1793)</f>
        <v/>
      </c>
      <c r="J1793" s="47" t="str">
        <f t="shared" si="381"/>
        <v/>
      </c>
      <c r="K1793" s="51" t="str">
        <f t="shared" si="382"/>
        <v/>
      </c>
      <c r="L1793" s="52" t="str">
        <f t="shared" si="383"/>
        <v/>
      </c>
      <c r="M1793" s="53" t="str">
        <f t="shared" si="384"/>
        <v/>
      </c>
      <c r="N1793" s="53" t="str">
        <f t="shared" si="385"/>
        <v/>
      </c>
      <c r="O1793" s="53" t="str">
        <f t="shared" si="386"/>
        <v/>
      </c>
      <c r="P1793" s="53" t="str">
        <f t="shared" si="387"/>
        <v/>
      </c>
      <c r="Q1793" s="53" t="str">
        <f t="shared" si="388"/>
        <v/>
      </c>
      <c r="R1793" s="53" t="str">
        <f t="shared" si="389"/>
        <v/>
      </c>
      <c r="S1793" s="53" t="str">
        <f t="shared" si="390"/>
        <v/>
      </c>
      <c r="T1793" s="53" t="str">
        <f t="shared" si="391"/>
        <v/>
      </c>
    </row>
    <row r="1794" spans="1:20">
      <c r="A1794" s="47" t="str">
        <f>IF(archive!E1794="","",archive!E1794)</f>
        <v/>
      </c>
      <c r="B1794" s="48" t="str">
        <f t="shared" si="378"/>
        <v/>
      </c>
      <c r="C1794" s="49" t="str">
        <f>IF(archive!F1794="","",archive!F1794)</f>
        <v/>
      </c>
      <c r="D1794" s="50" t="str">
        <f t="shared" si="379"/>
        <v/>
      </c>
      <c r="E1794" s="50" t="str">
        <f t="shared" si="380"/>
        <v/>
      </c>
      <c r="F1794" s="47" t="str">
        <f>IF(COUNTA(archive!H1794:CI1794)=0,"",COUNTA(archive!H1794:CI1794))</f>
        <v/>
      </c>
      <c r="G1794" s="47" t="str">
        <f>IF(archive!G1794="","",archive!G1794)</f>
        <v/>
      </c>
      <c r="H1794" s="51" t="str">
        <f>IF(archive!CJ1794="","",archive!CJ1794)</f>
        <v/>
      </c>
      <c r="I1794" s="51" t="str">
        <f>IF(archive!CK1794="","",archive!CK1794)</f>
        <v/>
      </c>
      <c r="J1794" s="47" t="str">
        <f t="shared" si="381"/>
        <v/>
      </c>
      <c r="K1794" s="51" t="str">
        <f t="shared" si="382"/>
        <v/>
      </c>
      <c r="L1794" s="52" t="str">
        <f t="shared" si="383"/>
        <v/>
      </c>
      <c r="M1794" s="53" t="str">
        <f t="shared" si="384"/>
        <v/>
      </c>
      <c r="N1794" s="53" t="str">
        <f t="shared" si="385"/>
        <v/>
      </c>
      <c r="O1794" s="53" t="str">
        <f t="shared" si="386"/>
        <v/>
      </c>
      <c r="P1794" s="53" t="str">
        <f t="shared" si="387"/>
        <v/>
      </c>
      <c r="Q1794" s="53" t="str">
        <f t="shared" si="388"/>
        <v/>
      </c>
      <c r="R1794" s="53" t="str">
        <f t="shared" si="389"/>
        <v/>
      </c>
      <c r="S1794" s="53" t="str">
        <f t="shared" si="390"/>
        <v/>
      </c>
      <c r="T1794" s="53" t="str">
        <f t="shared" si="391"/>
        <v/>
      </c>
    </row>
    <row r="1795" spans="1:20">
      <c r="A1795" s="47" t="str">
        <f>IF(archive!E1795="","",archive!E1795)</f>
        <v/>
      </c>
      <c r="B1795" s="48" t="str">
        <f t="shared" si="378"/>
        <v/>
      </c>
      <c r="C1795" s="49" t="str">
        <f>IF(archive!F1795="","",archive!F1795)</f>
        <v/>
      </c>
      <c r="D1795" s="50" t="str">
        <f t="shared" si="379"/>
        <v/>
      </c>
      <c r="E1795" s="50" t="str">
        <f t="shared" si="380"/>
        <v/>
      </c>
      <c r="F1795" s="47" t="str">
        <f>IF(COUNTA(archive!H1795:CI1795)=0,"",COUNTA(archive!H1795:CI1795))</f>
        <v/>
      </c>
      <c r="G1795" s="47" t="str">
        <f>IF(archive!G1795="","",archive!G1795)</f>
        <v/>
      </c>
      <c r="H1795" s="51" t="str">
        <f>IF(archive!CJ1795="","",archive!CJ1795)</f>
        <v/>
      </c>
      <c r="I1795" s="51" t="str">
        <f>IF(archive!CK1795="","",archive!CK1795)</f>
        <v/>
      </c>
      <c r="J1795" s="47" t="str">
        <f t="shared" si="381"/>
        <v/>
      </c>
      <c r="K1795" s="51" t="str">
        <f t="shared" si="382"/>
        <v/>
      </c>
      <c r="L1795" s="52" t="str">
        <f t="shared" si="383"/>
        <v/>
      </c>
      <c r="M1795" s="53" t="str">
        <f t="shared" si="384"/>
        <v/>
      </c>
      <c r="N1795" s="53" t="str">
        <f t="shared" si="385"/>
        <v/>
      </c>
      <c r="O1795" s="53" t="str">
        <f t="shared" si="386"/>
        <v/>
      </c>
      <c r="P1795" s="53" t="str">
        <f t="shared" si="387"/>
        <v/>
      </c>
      <c r="Q1795" s="53" t="str">
        <f t="shared" si="388"/>
        <v/>
      </c>
      <c r="R1795" s="53" t="str">
        <f t="shared" si="389"/>
        <v/>
      </c>
      <c r="S1795" s="53" t="str">
        <f t="shared" si="390"/>
        <v/>
      </c>
      <c r="T1795" s="53" t="str">
        <f t="shared" si="391"/>
        <v/>
      </c>
    </row>
    <row r="1796" spans="1:20">
      <c r="A1796" s="47" t="str">
        <f>IF(archive!E1796="","",archive!E1796)</f>
        <v/>
      </c>
      <c r="B1796" s="48" t="str">
        <f t="shared" ref="B1796:B1859" si="392">IF(C1796="","",VLOOKUP($C1796,Tare,2,0))</f>
        <v/>
      </c>
      <c r="C1796" s="49" t="str">
        <f>IF(archive!F1796="","",archive!F1796)</f>
        <v/>
      </c>
      <c r="D1796" s="50" t="str">
        <f t="shared" ref="D1796:D1859" si="393">IF(C1796="","",C1796+B1796)</f>
        <v/>
      </c>
      <c r="E1796" s="50" t="str">
        <f t="shared" ref="E1796:E1859" si="394">IF(C1796="","",(C1796*0.025)+D1796)</f>
        <v/>
      </c>
      <c r="F1796" s="47" t="str">
        <f>IF(COUNTA(archive!H1796:CI1796)=0,"",COUNTA(archive!H1796:CI1796))</f>
        <v/>
      </c>
      <c r="G1796" s="47" t="str">
        <f>IF(archive!G1796="","",archive!G1796)</f>
        <v/>
      </c>
      <c r="H1796" s="51" t="str">
        <f>IF(archive!CJ1796="","",archive!CJ1796)</f>
        <v/>
      </c>
      <c r="I1796" s="51" t="str">
        <f>IF(archive!CK1796="","",archive!CK1796)</f>
        <v/>
      </c>
      <c r="J1796" s="47" t="str">
        <f t="shared" ref="J1796:J1859" si="395">IF(F1796="","",VLOOKUP(F1796,Valeur_g,2,0))</f>
        <v/>
      </c>
      <c r="K1796" s="51" t="str">
        <f t="shared" ref="K1796:K1859" si="396">IF(C1796="","",D1796+(J1796*I1796))</f>
        <v/>
      </c>
      <c r="L1796" s="52" t="str">
        <f t="shared" ref="L1796:L1859" si="397">IF(C1796="","",IF(K1796&lt;H1796,"Conforme","Non conforme"))</f>
        <v/>
      </c>
      <c r="M1796" s="53" t="str">
        <f t="shared" ref="M1796:M1859" si="398">IF(C1796="","",1)</f>
        <v/>
      </c>
      <c r="N1796" s="53" t="str">
        <f t="shared" ref="N1796:N1859" si="399">IF(L1796="","",COUNTIF(L1796,"Non conforme"))</f>
        <v/>
      </c>
      <c r="O1796" s="53" t="str">
        <f t="shared" ref="O1796:O1859" si="400">IF($C1796="","",IF($C1796=0.25,$G1796,"-"))</f>
        <v/>
      </c>
      <c r="P1796" s="53" t="str">
        <f t="shared" ref="P1796:P1859" si="401">IF($C1796="","",IF($C1796=0.4,$G1796,"-"))</f>
        <v/>
      </c>
      <c r="Q1796" s="53" t="str">
        <f t="shared" ref="Q1796:Q1859" si="402">IF($C1796="","",IF($C1796=0.5,$G1796,"-"))</f>
        <v/>
      </c>
      <c r="R1796" s="53" t="str">
        <f t="shared" ref="R1796:R1859" si="403">IF($C1796="","",IF($C1796=0.6,$G1796,"-"))</f>
        <v/>
      </c>
      <c r="S1796" s="53" t="str">
        <f t="shared" ref="S1796:S1859" si="404">IF($C1796="","",IF($C1796=0.8,$G1796,"-"))</f>
        <v/>
      </c>
      <c r="T1796" s="53" t="str">
        <f t="shared" ref="T1796:T1859" si="405">IF($C1796="","",IF($C1796=1,$G1796,"-"))</f>
        <v/>
      </c>
    </row>
    <row r="1797" spans="1:20">
      <c r="A1797" s="47" t="str">
        <f>IF(archive!E1797="","",archive!E1797)</f>
        <v/>
      </c>
      <c r="B1797" s="48" t="str">
        <f t="shared" si="392"/>
        <v/>
      </c>
      <c r="C1797" s="49" t="str">
        <f>IF(archive!F1797="","",archive!F1797)</f>
        <v/>
      </c>
      <c r="D1797" s="50" t="str">
        <f t="shared" si="393"/>
        <v/>
      </c>
      <c r="E1797" s="50" t="str">
        <f t="shared" si="394"/>
        <v/>
      </c>
      <c r="F1797" s="47" t="str">
        <f>IF(COUNTA(archive!H1797:CI1797)=0,"",COUNTA(archive!H1797:CI1797))</f>
        <v/>
      </c>
      <c r="G1797" s="47" t="str">
        <f>IF(archive!G1797="","",archive!G1797)</f>
        <v/>
      </c>
      <c r="H1797" s="51" t="str">
        <f>IF(archive!CJ1797="","",archive!CJ1797)</f>
        <v/>
      </c>
      <c r="I1797" s="51" t="str">
        <f>IF(archive!CK1797="","",archive!CK1797)</f>
        <v/>
      </c>
      <c r="J1797" s="47" t="str">
        <f t="shared" si="395"/>
        <v/>
      </c>
      <c r="K1797" s="51" t="str">
        <f t="shared" si="396"/>
        <v/>
      </c>
      <c r="L1797" s="52" t="str">
        <f t="shared" si="397"/>
        <v/>
      </c>
      <c r="M1797" s="53" t="str">
        <f t="shared" si="398"/>
        <v/>
      </c>
      <c r="N1797" s="53" t="str">
        <f t="shared" si="399"/>
        <v/>
      </c>
      <c r="O1797" s="53" t="str">
        <f t="shared" si="400"/>
        <v/>
      </c>
      <c r="P1797" s="53" t="str">
        <f t="shared" si="401"/>
        <v/>
      </c>
      <c r="Q1797" s="53" t="str">
        <f t="shared" si="402"/>
        <v/>
      </c>
      <c r="R1797" s="53" t="str">
        <f t="shared" si="403"/>
        <v/>
      </c>
      <c r="S1797" s="53" t="str">
        <f t="shared" si="404"/>
        <v/>
      </c>
      <c r="T1797" s="53" t="str">
        <f t="shared" si="405"/>
        <v/>
      </c>
    </row>
    <row r="1798" spans="1:20">
      <c r="A1798" s="47" t="str">
        <f>IF(archive!E1798="","",archive!E1798)</f>
        <v/>
      </c>
      <c r="B1798" s="48" t="str">
        <f t="shared" si="392"/>
        <v/>
      </c>
      <c r="C1798" s="49" t="str">
        <f>IF(archive!F1798="","",archive!F1798)</f>
        <v/>
      </c>
      <c r="D1798" s="50" t="str">
        <f t="shared" si="393"/>
        <v/>
      </c>
      <c r="E1798" s="50" t="str">
        <f t="shared" si="394"/>
        <v/>
      </c>
      <c r="F1798" s="47" t="str">
        <f>IF(COUNTA(archive!H1798:CI1798)=0,"",COUNTA(archive!H1798:CI1798))</f>
        <v/>
      </c>
      <c r="G1798" s="47" t="str">
        <f>IF(archive!G1798="","",archive!G1798)</f>
        <v/>
      </c>
      <c r="H1798" s="51" t="str">
        <f>IF(archive!CJ1798="","",archive!CJ1798)</f>
        <v/>
      </c>
      <c r="I1798" s="51" t="str">
        <f>IF(archive!CK1798="","",archive!CK1798)</f>
        <v/>
      </c>
      <c r="J1798" s="47" t="str">
        <f t="shared" si="395"/>
        <v/>
      </c>
      <c r="K1798" s="51" t="str">
        <f t="shared" si="396"/>
        <v/>
      </c>
      <c r="L1798" s="52" t="str">
        <f t="shared" si="397"/>
        <v/>
      </c>
      <c r="M1798" s="53" t="str">
        <f t="shared" si="398"/>
        <v/>
      </c>
      <c r="N1798" s="53" t="str">
        <f t="shared" si="399"/>
        <v/>
      </c>
      <c r="O1798" s="53" t="str">
        <f t="shared" si="400"/>
        <v/>
      </c>
      <c r="P1798" s="53" t="str">
        <f t="shared" si="401"/>
        <v/>
      </c>
      <c r="Q1798" s="53" t="str">
        <f t="shared" si="402"/>
        <v/>
      </c>
      <c r="R1798" s="53" t="str">
        <f t="shared" si="403"/>
        <v/>
      </c>
      <c r="S1798" s="53" t="str">
        <f t="shared" si="404"/>
        <v/>
      </c>
      <c r="T1798" s="53" t="str">
        <f t="shared" si="405"/>
        <v/>
      </c>
    </row>
    <row r="1799" spans="1:20">
      <c r="A1799" s="47" t="str">
        <f>IF(archive!E1799="","",archive!E1799)</f>
        <v/>
      </c>
      <c r="B1799" s="48" t="str">
        <f t="shared" si="392"/>
        <v/>
      </c>
      <c r="C1799" s="49" t="str">
        <f>IF(archive!F1799="","",archive!F1799)</f>
        <v/>
      </c>
      <c r="D1799" s="50" t="str">
        <f t="shared" si="393"/>
        <v/>
      </c>
      <c r="E1799" s="50" t="str">
        <f t="shared" si="394"/>
        <v/>
      </c>
      <c r="F1799" s="47" t="str">
        <f>IF(COUNTA(archive!H1799:CI1799)=0,"",COUNTA(archive!H1799:CI1799))</f>
        <v/>
      </c>
      <c r="G1799" s="47" t="str">
        <f>IF(archive!G1799="","",archive!G1799)</f>
        <v/>
      </c>
      <c r="H1799" s="51" t="str">
        <f>IF(archive!CJ1799="","",archive!CJ1799)</f>
        <v/>
      </c>
      <c r="I1799" s="51" t="str">
        <f>IF(archive!CK1799="","",archive!CK1799)</f>
        <v/>
      </c>
      <c r="J1799" s="47" t="str">
        <f t="shared" si="395"/>
        <v/>
      </c>
      <c r="K1799" s="51" t="str">
        <f t="shared" si="396"/>
        <v/>
      </c>
      <c r="L1799" s="52" t="str">
        <f t="shared" si="397"/>
        <v/>
      </c>
      <c r="M1799" s="53" t="str">
        <f t="shared" si="398"/>
        <v/>
      </c>
      <c r="N1799" s="53" t="str">
        <f t="shared" si="399"/>
        <v/>
      </c>
      <c r="O1799" s="53" t="str">
        <f t="shared" si="400"/>
        <v/>
      </c>
      <c r="P1799" s="53" t="str">
        <f t="shared" si="401"/>
        <v/>
      </c>
      <c r="Q1799" s="53" t="str">
        <f t="shared" si="402"/>
        <v/>
      </c>
      <c r="R1799" s="53" t="str">
        <f t="shared" si="403"/>
        <v/>
      </c>
      <c r="S1799" s="53" t="str">
        <f t="shared" si="404"/>
        <v/>
      </c>
      <c r="T1799" s="53" t="str">
        <f t="shared" si="405"/>
        <v/>
      </c>
    </row>
    <row r="1800" spans="1:20">
      <c r="A1800" s="47" t="str">
        <f>IF(archive!E1800="","",archive!E1800)</f>
        <v/>
      </c>
      <c r="B1800" s="48" t="str">
        <f t="shared" si="392"/>
        <v/>
      </c>
      <c r="C1800" s="49" t="str">
        <f>IF(archive!F1800="","",archive!F1800)</f>
        <v/>
      </c>
      <c r="D1800" s="50" t="str">
        <f t="shared" si="393"/>
        <v/>
      </c>
      <c r="E1800" s="50" t="str">
        <f t="shared" si="394"/>
        <v/>
      </c>
      <c r="F1800" s="47" t="str">
        <f>IF(COUNTA(archive!H1800:CI1800)=0,"",COUNTA(archive!H1800:CI1800))</f>
        <v/>
      </c>
      <c r="G1800" s="47" t="str">
        <f>IF(archive!G1800="","",archive!G1800)</f>
        <v/>
      </c>
      <c r="H1800" s="51" t="str">
        <f>IF(archive!CJ1800="","",archive!CJ1800)</f>
        <v/>
      </c>
      <c r="I1800" s="51" t="str">
        <f>IF(archive!CK1800="","",archive!CK1800)</f>
        <v/>
      </c>
      <c r="J1800" s="47" t="str">
        <f t="shared" si="395"/>
        <v/>
      </c>
      <c r="K1800" s="51" t="str">
        <f t="shared" si="396"/>
        <v/>
      </c>
      <c r="L1800" s="52" t="str">
        <f t="shared" si="397"/>
        <v/>
      </c>
      <c r="M1800" s="53" t="str">
        <f t="shared" si="398"/>
        <v/>
      </c>
      <c r="N1800" s="53" t="str">
        <f t="shared" si="399"/>
        <v/>
      </c>
      <c r="O1800" s="53" t="str">
        <f t="shared" si="400"/>
        <v/>
      </c>
      <c r="P1800" s="53" t="str">
        <f t="shared" si="401"/>
        <v/>
      </c>
      <c r="Q1800" s="53" t="str">
        <f t="shared" si="402"/>
        <v/>
      </c>
      <c r="R1800" s="53" t="str">
        <f t="shared" si="403"/>
        <v/>
      </c>
      <c r="S1800" s="53" t="str">
        <f t="shared" si="404"/>
        <v/>
      </c>
      <c r="T1800" s="53" t="str">
        <f t="shared" si="405"/>
        <v/>
      </c>
    </row>
    <row r="1801" spans="1:20">
      <c r="A1801" s="47" t="str">
        <f>IF(archive!E1801="","",archive!E1801)</f>
        <v/>
      </c>
      <c r="B1801" s="48" t="str">
        <f t="shared" si="392"/>
        <v/>
      </c>
      <c r="C1801" s="49" t="str">
        <f>IF(archive!F1801="","",archive!F1801)</f>
        <v/>
      </c>
      <c r="D1801" s="50" t="str">
        <f t="shared" si="393"/>
        <v/>
      </c>
      <c r="E1801" s="50" t="str">
        <f t="shared" si="394"/>
        <v/>
      </c>
      <c r="F1801" s="47" t="str">
        <f>IF(COUNTA(archive!H1801:CI1801)=0,"",COUNTA(archive!H1801:CI1801))</f>
        <v/>
      </c>
      <c r="G1801" s="47" t="str">
        <f>IF(archive!G1801="","",archive!G1801)</f>
        <v/>
      </c>
      <c r="H1801" s="51" t="str">
        <f>IF(archive!CJ1801="","",archive!CJ1801)</f>
        <v/>
      </c>
      <c r="I1801" s="51" t="str">
        <f>IF(archive!CK1801="","",archive!CK1801)</f>
        <v/>
      </c>
      <c r="J1801" s="47" t="str">
        <f t="shared" si="395"/>
        <v/>
      </c>
      <c r="K1801" s="51" t="str">
        <f t="shared" si="396"/>
        <v/>
      </c>
      <c r="L1801" s="52" t="str">
        <f t="shared" si="397"/>
        <v/>
      </c>
      <c r="M1801" s="53" t="str">
        <f t="shared" si="398"/>
        <v/>
      </c>
      <c r="N1801" s="53" t="str">
        <f t="shared" si="399"/>
        <v/>
      </c>
      <c r="O1801" s="53" t="str">
        <f t="shared" si="400"/>
        <v/>
      </c>
      <c r="P1801" s="53" t="str">
        <f t="shared" si="401"/>
        <v/>
      </c>
      <c r="Q1801" s="53" t="str">
        <f t="shared" si="402"/>
        <v/>
      </c>
      <c r="R1801" s="53" t="str">
        <f t="shared" si="403"/>
        <v/>
      </c>
      <c r="S1801" s="53" t="str">
        <f t="shared" si="404"/>
        <v/>
      </c>
      <c r="T1801" s="53" t="str">
        <f t="shared" si="405"/>
        <v/>
      </c>
    </row>
    <row r="1802" spans="1:20">
      <c r="A1802" s="47" t="str">
        <f>IF(archive!E1802="","",archive!E1802)</f>
        <v/>
      </c>
      <c r="B1802" s="48" t="str">
        <f t="shared" si="392"/>
        <v/>
      </c>
      <c r="C1802" s="49" t="str">
        <f>IF(archive!F1802="","",archive!F1802)</f>
        <v/>
      </c>
      <c r="D1802" s="50" t="str">
        <f t="shared" si="393"/>
        <v/>
      </c>
      <c r="E1802" s="50" t="str">
        <f t="shared" si="394"/>
        <v/>
      </c>
      <c r="F1802" s="47" t="str">
        <f>IF(COUNTA(archive!H1802:CI1802)=0,"",COUNTA(archive!H1802:CI1802))</f>
        <v/>
      </c>
      <c r="G1802" s="47" t="str">
        <f>IF(archive!G1802="","",archive!G1802)</f>
        <v/>
      </c>
      <c r="H1802" s="51" t="str">
        <f>IF(archive!CJ1802="","",archive!CJ1802)</f>
        <v/>
      </c>
      <c r="I1802" s="51" t="str">
        <f>IF(archive!CK1802="","",archive!CK1802)</f>
        <v/>
      </c>
      <c r="J1802" s="47" t="str">
        <f t="shared" si="395"/>
        <v/>
      </c>
      <c r="K1802" s="51" t="str">
        <f t="shared" si="396"/>
        <v/>
      </c>
      <c r="L1802" s="52" t="str">
        <f t="shared" si="397"/>
        <v/>
      </c>
      <c r="M1802" s="53" t="str">
        <f t="shared" si="398"/>
        <v/>
      </c>
      <c r="N1802" s="53" t="str">
        <f t="shared" si="399"/>
        <v/>
      </c>
      <c r="O1802" s="53" t="str">
        <f t="shared" si="400"/>
        <v/>
      </c>
      <c r="P1802" s="53" t="str">
        <f t="shared" si="401"/>
        <v/>
      </c>
      <c r="Q1802" s="53" t="str">
        <f t="shared" si="402"/>
        <v/>
      </c>
      <c r="R1802" s="53" t="str">
        <f t="shared" si="403"/>
        <v/>
      </c>
      <c r="S1802" s="53" t="str">
        <f t="shared" si="404"/>
        <v/>
      </c>
      <c r="T1802" s="53" t="str">
        <f t="shared" si="405"/>
        <v/>
      </c>
    </row>
    <row r="1803" spans="1:20">
      <c r="A1803" s="47" t="str">
        <f>IF(archive!E1803="","",archive!E1803)</f>
        <v/>
      </c>
      <c r="B1803" s="48" t="str">
        <f t="shared" si="392"/>
        <v/>
      </c>
      <c r="C1803" s="49" t="str">
        <f>IF(archive!F1803="","",archive!F1803)</f>
        <v/>
      </c>
      <c r="D1803" s="50" t="str">
        <f t="shared" si="393"/>
        <v/>
      </c>
      <c r="E1803" s="50" t="str">
        <f t="shared" si="394"/>
        <v/>
      </c>
      <c r="F1803" s="47" t="str">
        <f>IF(COUNTA(archive!H1803:CI1803)=0,"",COUNTA(archive!H1803:CI1803))</f>
        <v/>
      </c>
      <c r="G1803" s="47" t="str">
        <f>IF(archive!G1803="","",archive!G1803)</f>
        <v/>
      </c>
      <c r="H1803" s="51" t="str">
        <f>IF(archive!CJ1803="","",archive!CJ1803)</f>
        <v/>
      </c>
      <c r="I1803" s="51" t="str">
        <f>IF(archive!CK1803="","",archive!CK1803)</f>
        <v/>
      </c>
      <c r="J1803" s="47" t="str">
        <f t="shared" si="395"/>
        <v/>
      </c>
      <c r="K1803" s="51" t="str">
        <f t="shared" si="396"/>
        <v/>
      </c>
      <c r="L1803" s="52" t="str">
        <f t="shared" si="397"/>
        <v/>
      </c>
      <c r="M1803" s="53" t="str">
        <f t="shared" si="398"/>
        <v/>
      </c>
      <c r="N1803" s="53" t="str">
        <f t="shared" si="399"/>
        <v/>
      </c>
      <c r="O1803" s="53" t="str">
        <f t="shared" si="400"/>
        <v/>
      </c>
      <c r="P1803" s="53" t="str">
        <f t="shared" si="401"/>
        <v/>
      </c>
      <c r="Q1803" s="53" t="str">
        <f t="shared" si="402"/>
        <v/>
      </c>
      <c r="R1803" s="53" t="str">
        <f t="shared" si="403"/>
        <v/>
      </c>
      <c r="S1803" s="53" t="str">
        <f t="shared" si="404"/>
        <v/>
      </c>
      <c r="T1803" s="53" t="str">
        <f t="shared" si="405"/>
        <v/>
      </c>
    </row>
    <row r="1804" spans="1:20">
      <c r="A1804" s="47" t="str">
        <f>IF(archive!E1804="","",archive!E1804)</f>
        <v/>
      </c>
      <c r="B1804" s="48" t="str">
        <f t="shared" si="392"/>
        <v/>
      </c>
      <c r="C1804" s="49" t="str">
        <f>IF(archive!F1804="","",archive!F1804)</f>
        <v/>
      </c>
      <c r="D1804" s="50" t="str">
        <f t="shared" si="393"/>
        <v/>
      </c>
      <c r="E1804" s="50" t="str">
        <f t="shared" si="394"/>
        <v/>
      </c>
      <c r="F1804" s="47" t="str">
        <f>IF(COUNTA(archive!H1804:CI1804)=0,"",COUNTA(archive!H1804:CI1804))</f>
        <v/>
      </c>
      <c r="G1804" s="47" t="str">
        <f>IF(archive!G1804="","",archive!G1804)</f>
        <v/>
      </c>
      <c r="H1804" s="51" t="str">
        <f>IF(archive!CJ1804="","",archive!CJ1804)</f>
        <v/>
      </c>
      <c r="I1804" s="51" t="str">
        <f>IF(archive!CK1804="","",archive!CK1804)</f>
        <v/>
      </c>
      <c r="J1804" s="47" t="str">
        <f t="shared" si="395"/>
        <v/>
      </c>
      <c r="K1804" s="51" t="str">
        <f t="shared" si="396"/>
        <v/>
      </c>
      <c r="L1804" s="52" t="str">
        <f t="shared" si="397"/>
        <v/>
      </c>
      <c r="M1804" s="53" t="str">
        <f t="shared" si="398"/>
        <v/>
      </c>
      <c r="N1804" s="53" t="str">
        <f t="shared" si="399"/>
        <v/>
      </c>
      <c r="O1804" s="53" t="str">
        <f t="shared" si="400"/>
        <v/>
      </c>
      <c r="P1804" s="53" t="str">
        <f t="shared" si="401"/>
        <v/>
      </c>
      <c r="Q1804" s="53" t="str">
        <f t="shared" si="402"/>
        <v/>
      </c>
      <c r="R1804" s="53" t="str">
        <f t="shared" si="403"/>
        <v/>
      </c>
      <c r="S1804" s="53" t="str">
        <f t="shared" si="404"/>
        <v/>
      </c>
      <c r="T1804" s="53" t="str">
        <f t="shared" si="405"/>
        <v/>
      </c>
    </row>
    <row r="1805" spans="1:20">
      <c r="A1805" s="47" t="str">
        <f>IF(archive!E1805="","",archive!E1805)</f>
        <v/>
      </c>
      <c r="B1805" s="48" t="str">
        <f t="shared" si="392"/>
        <v/>
      </c>
      <c r="C1805" s="49" t="str">
        <f>IF(archive!F1805="","",archive!F1805)</f>
        <v/>
      </c>
      <c r="D1805" s="50" t="str">
        <f t="shared" si="393"/>
        <v/>
      </c>
      <c r="E1805" s="50" t="str">
        <f t="shared" si="394"/>
        <v/>
      </c>
      <c r="F1805" s="47" t="str">
        <f>IF(COUNTA(archive!H1805:CI1805)=0,"",COUNTA(archive!H1805:CI1805))</f>
        <v/>
      </c>
      <c r="G1805" s="47" t="str">
        <f>IF(archive!G1805="","",archive!G1805)</f>
        <v/>
      </c>
      <c r="H1805" s="51" t="str">
        <f>IF(archive!CJ1805="","",archive!CJ1805)</f>
        <v/>
      </c>
      <c r="I1805" s="51" t="str">
        <f>IF(archive!CK1805="","",archive!CK1805)</f>
        <v/>
      </c>
      <c r="J1805" s="47" t="str">
        <f t="shared" si="395"/>
        <v/>
      </c>
      <c r="K1805" s="51" t="str">
        <f t="shared" si="396"/>
        <v/>
      </c>
      <c r="L1805" s="52" t="str">
        <f t="shared" si="397"/>
        <v/>
      </c>
      <c r="M1805" s="53" t="str">
        <f t="shared" si="398"/>
        <v/>
      </c>
      <c r="N1805" s="53" t="str">
        <f t="shared" si="399"/>
        <v/>
      </c>
      <c r="O1805" s="53" t="str">
        <f t="shared" si="400"/>
        <v/>
      </c>
      <c r="P1805" s="53" t="str">
        <f t="shared" si="401"/>
        <v/>
      </c>
      <c r="Q1805" s="53" t="str">
        <f t="shared" si="402"/>
        <v/>
      </c>
      <c r="R1805" s="53" t="str">
        <f t="shared" si="403"/>
        <v/>
      </c>
      <c r="S1805" s="53" t="str">
        <f t="shared" si="404"/>
        <v/>
      </c>
      <c r="T1805" s="53" t="str">
        <f t="shared" si="405"/>
        <v/>
      </c>
    </row>
    <row r="1806" spans="1:20">
      <c r="A1806" s="47" t="str">
        <f>IF(archive!E1806="","",archive!E1806)</f>
        <v/>
      </c>
      <c r="B1806" s="48" t="str">
        <f t="shared" si="392"/>
        <v/>
      </c>
      <c r="C1806" s="49" t="str">
        <f>IF(archive!F1806="","",archive!F1806)</f>
        <v/>
      </c>
      <c r="D1806" s="50" t="str">
        <f t="shared" si="393"/>
        <v/>
      </c>
      <c r="E1806" s="50" t="str">
        <f t="shared" si="394"/>
        <v/>
      </c>
      <c r="F1806" s="47" t="str">
        <f>IF(COUNTA(archive!H1806:CI1806)=0,"",COUNTA(archive!H1806:CI1806))</f>
        <v/>
      </c>
      <c r="G1806" s="47" t="str">
        <f>IF(archive!G1806="","",archive!G1806)</f>
        <v/>
      </c>
      <c r="H1806" s="51" t="str">
        <f>IF(archive!CJ1806="","",archive!CJ1806)</f>
        <v/>
      </c>
      <c r="I1806" s="51" t="str">
        <f>IF(archive!CK1806="","",archive!CK1806)</f>
        <v/>
      </c>
      <c r="J1806" s="47" t="str">
        <f t="shared" si="395"/>
        <v/>
      </c>
      <c r="K1806" s="51" t="str">
        <f t="shared" si="396"/>
        <v/>
      </c>
      <c r="L1806" s="52" t="str">
        <f t="shared" si="397"/>
        <v/>
      </c>
      <c r="M1806" s="53" t="str">
        <f t="shared" si="398"/>
        <v/>
      </c>
      <c r="N1806" s="53" t="str">
        <f t="shared" si="399"/>
        <v/>
      </c>
      <c r="O1806" s="53" t="str">
        <f t="shared" si="400"/>
        <v/>
      </c>
      <c r="P1806" s="53" t="str">
        <f t="shared" si="401"/>
        <v/>
      </c>
      <c r="Q1806" s="53" t="str">
        <f t="shared" si="402"/>
        <v/>
      </c>
      <c r="R1806" s="53" t="str">
        <f t="shared" si="403"/>
        <v/>
      </c>
      <c r="S1806" s="53" t="str">
        <f t="shared" si="404"/>
        <v/>
      </c>
      <c r="T1806" s="53" t="str">
        <f t="shared" si="405"/>
        <v/>
      </c>
    </row>
    <row r="1807" spans="1:20">
      <c r="A1807" s="47" t="str">
        <f>IF(archive!E1807="","",archive!E1807)</f>
        <v/>
      </c>
      <c r="B1807" s="48" t="str">
        <f t="shared" si="392"/>
        <v/>
      </c>
      <c r="C1807" s="49" t="str">
        <f>IF(archive!F1807="","",archive!F1807)</f>
        <v/>
      </c>
      <c r="D1807" s="50" t="str">
        <f t="shared" si="393"/>
        <v/>
      </c>
      <c r="E1807" s="50" t="str">
        <f t="shared" si="394"/>
        <v/>
      </c>
      <c r="F1807" s="47" t="str">
        <f>IF(COUNTA(archive!H1807:CI1807)=0,"",COUNTA(archive!H1807:CI1807))</f>
        <v/>
      </c>
      <c r="G1807" s="47" t="str">
        <f>IF(archive!G1807="","",archive!G1807)</f>
        <v/>
      </c>
      <c r="H1807" s="51" t="str">
        <f>IF(archive!CJ1807="","",archive!CJ1807)</f>
        <v/>
      </c>
      <c r="I1807" s="51" t="str">
        <f>IF(archive!CK1807="","",archive!CK1807)</f>
        <v/>
      </c>
      <c r="J1807" s="47" t="str">
        <f t="shared" si="395"/>
        <v/>
      </c>
      <c r="K1807" s="51" t="str">
        <f t="shared" si="396"/>
        <v/>
      </c>
      <c r="L1807" s="52" t="str">
        <f t="shared" si="397"/>
        <v/>
      </c>
      <c r="M1807" s="53" t="str">
        <f t="shared" si="398"/>
        <v/>
      </c>
      <c r="N1807" s="53" t="str">
        <f t="shared" si="399"/>
        <v/>
      </c>
      <c r="O1807" s="53" t="str">
        <f t="shared" si="400"/>
        <v/>
      </c>
      <c r="P1807" s="53" t="str">
        <f t="shared" si="401"/>
        <v/>
      </c>
      <c r="Q1807" s="53" t="str">
        <f t="shared" si="402"/>
        <v/>
      </c>
      <c r="R1807" s="53" t="str">
        <f t="shared" si="403"/>
        <v/>
      </c>
      <c r="S1807" s="53" t="str">
        <f t="shared" si="404"/>
        <v/>
      </c>
      <c r="T1807" s="53" t="str">
        <f t="shared" si="405"/>
        <v/>
      </c>
    </row>
    <row r="1808" spans="1:20">
      <c r="A1808" s="47" t="str">
        <f>IF(archive!E1808="","",archive!E1808)</f>
        <v/>
      </c>
      <c r="B1808" s="48" t="str">
        <f t="shared" si="392"/>
        <v/>
      </c>
      <c r="C1808" s="49" t="str">
        <f>IF(archive!F1808="","",archive!F1808)</f>
        <v/>
      </c>
      <c r="D1808" s="50" t="str">
        <f t="shared" si="393"/>
        <v/>
      </c>
      <c r="E1808" s="50" t="str">
        <f t="shared" si="394"/>
        <v/>
      </c>
      <c r="F1808" s="47" t="str">
        <f>IF(COUNTA(archive!H1808:CI1808)=0,"",COUNTA(archive!H1808:CI1808))</f>
        <v/>
      </c>
      <c r="G1808" s="47" t="str">
        <f>IF(archive!G1808="","",archive!G1808)</f>
        <v/>
      </c>
      <c r="H1808" s="51" t="str">
        <f>IF(archive!CJ1808="","",archive!CJ1808)</f>
        <v/>
      </c>
      <c r="I1808" s="51" t="str">
        <f>IF(archive!CK1808="","",archive!CK1808)</f>
        <v/>
      </c>
      <c r="J1808" s="47" t="str">
        <f t="shared" si="395"/>
        <v/>
      </c>
      <c r="K1808" s="51" t="str">
        <f t="shared" si="396"/>
        <v/>
      </c>
      <c r="L1808" s="52" t="str">
        <f t="shared" si="397"/>
        <v/>
      </c>
      <c r="M1808" s="53" t="str">
        <f t="shared" si="398"/>
        <v/>
      </c>
      <c r="N1808" s="53" t="str">
        <f t="shared" si="399"/>
        <v/>
      </c>
      <c r="O1808" s="53" t="str">
        <f t="shared" si="400"/>
        <v/>
      </c>
      <c r="P1808" s="53" t="str">
        <f t="shared" si="401"/>
        <v/>
      </c>
      <c r="Q1808" s="53" t="str">
        <f t="shared" si="402"/>
        <v/>
      </c>
      <c r="R1808" s="53" t="str">
        <f t="shared" si="403"/>
        <v/>
      </c>
      <c r="S1808" s="53" t="str">
        <f t="shared" si="404"/>
        <v/>
      </c>
      <c r="T1808" s="53" t="str">
        <f t="shared" si="405"/>
        <v/>
      </c>
    </row>
    <row r="1809" spans="1:20">
      <c r="A1809" s="47" t="str">
        <f>IF(archive!E1809="","",archive!E1809)</f>
        <v/>
      </c>
      <c r="B1809" s="48" t="str">
        <f t="shared" si="392"/>
        <v/>
      </c>
      <c r="C1809" s="49" t="str">
        <f>IF(archive!F1809="","",archive!F1809)</f>
        <v/>
      </c>
      <c r="D1809" s="50" t="str">
        <f t="shared" si="393"/>
        <v/>
      </c>
      <c r="E1809" s="50" t="str">
        <f t="shared" si="394"/>
        <v/>
      </c>
      <c r="F1809" s="47" t="str">
        <f>IF(COUNTA(archive!H1809:CI1809)=0,"",COUNTA(archive!H1809:CI1809))</f>
        <v/>
      </c>
      <c r="G1809" s="47" t="str">
        <f>IF(archive!G1809="","",archive!G1809)</f>
        <v/>
      </c>
      <c r="H1809" s="51" t="str">
        <f>IF(archive!CJ1809="","",archive!CJ1809)</f>
        <v/>
      </c>
      <c r="I1809" s="51" t="str">
        <f>IF(archive!CK1809="","",archive!CK1809)</f>
        <v/>
      </c>
      <c r="J1809" s="47" t="str">
        <f t="shared" si="395"/>
        <v/>
      </c>
      <c r="K1809" s="51" t="str">
        <f t="shared" si="396"/>
        <v/>
      </c>
      <c r="L1809" s="52" t="str">
        <f t="shared" si="397"/>
        <v/>
      </c>
      <c r="M1809" s="53" t="str">
        <f t="shared" si="398"/>
        <v/>
      </c>
      <c r="N1809" s="53" t="str">
        <f t="shared" si="399"/>
        <v/>
      </c>
      <c r="O1809" s="53" t="str">
        <f t="shared" si="400"/>
        <v/>
      </c>
      <c r="P1809" s="53" t="str">
        <f t="shared" si="401"/>
        <v/>
      </c>
      <c r="Q1809" s="53" t="str">
        <f t="shared" si="402"/>
        <v/>
      </c>
      <c r="R1809" s="53" t="str">
        <f t="shared" si="403"/>
        <v/>
      </c>
      <c r="S1809" s="53" t="str">
        <f t="shared" si="404"/>
        <v/>
      </c>
      <c r="T1809" s="53" t="str">
        <f t="shared" si="405"/>
        <v/>
      </c>
    </row>
    <row r="1810" spans="1:20">
      <c r="A1810" s="47" t="str">
        <f>IF(archive!E1810="","",archive!E1810)</f>
        <v/>
      </c>
      <c r="B1810" s="48" t="str">
        <f t="shared" si="392"/>
        <v/>
      </c>
      <c r="C1810" s="49" t="str">
        <f>IF(archive!F1810="","",archive!F1810)</f>
        <v/>
      </c>
      <c r="D1810" s="50" t="str">
        <f t="shared" si="393"/>
        <v/>
      </c>
      <c r="E1810" s="50" t="str">
        <f t="shared" si="394"/>
        <v/>
      </c>
      <c r="F1810" s="47" t="str">
        <f>IF(COUNTA(archive!H1810:CI1810)=0,"",COUNTA(archive!H1810:CI1810))</f>
        <v/>
      </c>
      <c r="G1810" s="47" t="str">
        <f>IF(archive!G1810="","",archive!G1810)</f>
        <v/>
      </c>
      <c r="H1810" s="51" t="str">
        <f>IF(archive!CJ1810="","",archive!CJ1810)</f>
        <v/>
      </c>
      <c r="I1810" s="51" t="str">
        <f>IF(archive!CK1810="","",archive!CK1810)</f>
        <v/>
      </c>
      <c r="J1810" s="47" t="str">
        <f t="shared" si="395"/>
        <v/>
      </c>
      <c r="K1810" s="51" t="str">
        <f t="shared" si="396"/>
        <v/>
      </c>
      <c r="L1810" s="52" t="str">
        <f t="shared" si="397"/>
        <v/>
      </c>
      <c r="M1810" s="53" t="str">
        <f t="shared" si="398"/>
        <v/>
      </c>
      <c r="N1810" s="53" t="str">
        <f t="shared" si="399"/>
        <v/>
      </c>
      <c r="O1810" s="53" t="str">
        <f t="shared" si="400"/>
        <v/>
      </c>
      <c r="P1810" s="53" t="str">
        <f t="shared" si="401"/>
        <v/>
      </c>
      <c r="Q1810" s="53" t="str">
        <f t="shared" si="402"/>
        <v/>
      </c>
      <c r="R1810" s="53" t="str">
        <f t="shared" si="403"/>
        <v/>
      </c>
      <c r="S1810" s="53" t="str">
        <f t="shared" si="404"/>
        <v/>
      </c>
      <c r="T1810" s="53" t="str">
        <f t="shared" si="405"/>
        <v/>
      </c>
    </row>
    <row r="1811" spans="1:20">
      <c r="A1811" s="47" t="str">
        <f>IF(archive!E1811="","",archive!E1811)</f>
        <v/>
      </c>
      <c r="B1811" s="48" t="str">
        <f t="shared" si="392"/>
        <v/>
      </c>
      <c r="C1811" s="49" t="str">
        <f>IF(archive!F1811="","",archive!F1811)</f>
        <v/>
      </c>
      <c r="D1811" s="50" t="str">
        <f t="shared" si="393"/>
        <v/>
      </c>
      <c r="E1811" s="50" t="str">
        <f t="shared" si="394"/>
        <v/>
      </c>
      <c r="F1811" s="47" t="str">
        <f>IF(COUNTA(archive!H1811:CI1811)=0,"",COUNTA(archive!H1811:CI1811))</f>
        <v/>
      </c>
      <c r="G1811" s="47" t="str">
        <f>IF(archive!G1811="","",archive!G1811)</f>
        <v/>
      </c>
      <c r="H1811" s="51" t="str">
        <f>IF(archive!CJ1811="","",archive!CJ1811)</f>
        <v/>
      </c>
      <c r="I1811" s="51" t="str">
        <f>IF(archive!CK1811="","",archive!CK1811)</f>
        <v/>
      </c>
      <c r="J1811" s="47" t="str">
        <f t="shared" si="395"/>
        <v/>
      </c>
      <c r="K1811" s="51" t="str">
        <f t="shared" si="396"/>
        <v/>
      </c>
      <c r="L1811" s="52" t="str">
        <f t="shared" si="397"/>
        <v/>
      </c>
      <c r="M1811" s="53" t="str">
        <f t="shared" si="398"/>
        <v/>
      </c>
      <c r="N1811" s="53" t="str">
        <f t="shared" si="399"/>
        <v/>
      </c>
      <c r="O1811" s="53" t="str">
        <f t="shared" si="400"/>
        <v/>
      </c>
      <c r="P1811" s="53" t="str">
        <f t="shared" si="401"/>
        <v/>
      </c>
      <c r="Q1811" s="53" t="str">
        <f t="shared" si="402"/>
        <v/>
      </c>
      <c r="R1811" s="53" t="str">
        <f t="shared" si="403"/>
        <v/>
      </c>
      <c r="S1811" s="53" t="str">
        <f t="shared" si="404"/>
        <v/>
      </c>
      <c r="T1811" s="53" t="str">
        <f t="shared" si="405"/>
        <v/>
      </c>
    </row>
    <row r="1812" spans="1:20">
      <c r="A1812" s="47" t="str">
        <f>IF(archive!E1812="","",archive!E1812)</f>
        <v/>
      </c>
      <c r="B1812" s="48" t="str">
        <f t="shared" si="392"/>
        <v/>
      </c>
      <c r="C1812" s="49" t="str">
        <f>IF(archive!F1812="","",archive!F1812)</f>
        <v/>
      </c>
      <c r="D1812" s="50" t="str">
        <f t="shared" si="393"/>
        <v/>
      </c>
      <c r="E1812" s="50" t="str">
        <f t="shared" si="394"/>
        <v/>
      </c>
      <c r="F1812" s="47" t="str">
        <f>IF(COUNTA(archive!H1812:CI1812)=0,"",COUNTA(archive!H1812:CI1812))</f>
        <v/>
      </c>
      <c r="G1812" s="47" t="str">
        <f>IF(archive!G1812="","",archive!G1812)</f>
        <v/>
      </c>
      <c r="H1812" s="51" t="str">
        <f>IF(archive!CJ1812="","",archive!CJ1812)</f>
        <v/>
      </c>
      <c r="I1812" s="51" t="str">
        <f>IF(archive!CK1812="","",archive!CK1812)</f>
        <v/>
      </c>
      <c r="J1812" s="47" t="str">
        <f t="shared" si="395"/>
        <v/>
      </c>
      <c r="K1812" s="51" t="str">
        <f t="shared" si="396"/>
        <v/>
      </c>
      <c r="L1812" s="52" t="str">
        <f t="shared" si="397"/>
        <v/>
      </c>
      <c r="M1812" s="53" t="str">
        <f t="shared" si="398"/>
        <v/>
      </c>
      <c r="N1812" s="53" t="str">
        <f t="shared" si="399"/>
        <v/>
      </c>
      <c r="O1812" s="53" t="str">
        <f t="shared" si="400"/>
        <v/>
      </c>
      <c r="P1812" s="53" t="str">
        <f t="shared" si="401"/>
        <v/>
      </c>
      <c r="Q1812" s="53" t="str">
        <f t="shared" si="402"/>
        <v/>
      </c>
      <c r="R1812" s="53" t="str">
        <f t="shared" si="403"/>
        <v/>
      </c>
      <c r="S1812" s="53" t="str">
        <f t="shared" si="404"/>
        <v/>
      </c>
      <c r="T1812" s="53" t="str">
        <f t="shared" si="405"/>
        <v/>
      </c>
    </row>
    <row r="1813" spans="1:20">
      <c r="A1813" s="47" t="str">
        <f>IF(archive!E1813="","",archive!E1813)</f>
        <v/>
      </c>
      <c r="B1813" s="48" t="str">
        <f t="shared" si="392"/>
        <v/>
      </c>
      <c r="C1813" s="49" t="str">
        <f>IF(archive!F1813="","",archive!F1813)</f>
        <v/>
      </c>
      <c r="D1813" s="50" t="str">
        <f t="shared" si="393"/>
        <v/>
      </c>
      <c r="E1813" s="50" t="str">
        <f t="shared" si="394"/>
        <v/>
      </c>
      <c r="F1813" s="47" t="str">
        <f>IF(COUNTA(archive!H1813:CI1813)=0,"",COUNTA(archive!H1813:CI1813))</f>
        <v/>
      </c>
      <c r="G1813" s="47" t="str">
        <f>IF(archive!G1813="","",archive!G1813)</f>
        <v/>
      </c>
      <c r="H1813" s="51" t="str">
        <f>IF(archive!CJ1813="","",archive!CJ1813)</f>
        <v/>
      </c>
      <c r="I1813" s="51" t="str">
        <f>IF(archive!CK1813="","",archive!CK1813)</f>
        <v/>
      </c>
      <c r="J1813" s="47" t="str">
        <f t="shared" si="395"/>
        <v/>
      </c>
      <c r="K1813" s="51" t="str">
        <f t="shared" si="396"/>
        <v/>
      </c>
      <c r="L1813" s="52" t="str">
        <f t="shared" si="397"/>
        <v/>
      </c>
      <c r="M1813" s="53" t="str">
        <f t="shared" si="398"/>
        <v/>
      </c>
      <c r="N1813" s="53" t="str">
        <f t="shared" si="399"/>
        <v/>
      </c>
      <c r="O1813" s="53" t="str">
        <f t="shared" si="400"/>
        <v/>
      </c>
      <c r="P1813" s="53" t="str">
        <f t="shared" si="401"/>
        <v/>
      </c>
      <c r="Q1813" s="53" t="str">
        <f t="shared" si="402"/>
        <v/>
      </c>
      <c r="R1813" s="53" t="str">
        <f t="shared" si="403"/>
        <v/>
      </c>
      <c r="S1813" s="53" t="str">
        <f t="shared" si="404"/>
        <v/>
      </c>
      <c r="T1813" s="53" t="str">
        <f t="shared" si="405"/>
        <v/>
      </c>
    </row>
    <row r="1814" spans="1:20">
      <c r="A1814" s="47" t="str">
        <f>IF(archive!E1814="","",archive!E1814)</f>
        <v/>
      </c>
      <c r="B1814" s="48" t="str">
        <f t="shared" si="392"/>
        <v/>
      </c>
      <c r="C1814" s="49" t="str">
        <f>IF(archive!F1814="","",archive!F1814)</f>
        <v/>
      </c>
      <c r="D1814" s="50" t="str">
        <f t="shared" si="393"/>
        <v/>
      </c>
      <c r="E1814" s="50" t="str">
        <f t="shared" si="394"/>
        <v/>
      </c>
      <c r="F1814" s="47" t="str">
        <f>IF(COUNTA(archive!H1814:CI1814)=0,"",COUNTA(archive!H1814:CI1814))</f>
        <v/>
      </c>
      <c r="G1814" s="47" t="str">
        <f>IF(archive!G1814="","",archive!G1814)</f>
        <v/>
      </c>
      <c r="H1814" s="51" t="str">
        <f>IF(archive!CJ1814="","",archive!CJ1814)</f>
        <v/>
      </c>
      <c r="I1814" s="51" t="str">
        <f>IF(archive!CK1814="","",archive!CK1814)</f>
        <v/>
      </c>
      <c r="J1814" s="47" t="str">
        <f t="shared" si="395"/>
        <v/>
      </c>
      <c r="K1814" s="51" t="str">
        <f t="shared" si="396"/>
        <v/>
      </c>
      <c r="L1814" s="52" t="str">
        <f t="shared" si="397"/>
        <v/>
      </c>
      <c r="M1814" s="53" t="str">
        <f t="shared" si="398"/>
        <v/>
      </c>
      <c r="N1814" s="53" t="str">
        <f t="shared" si="399"/>
        <v/>
      </c>
      <c r="O1814" s="53" t="str">
        <f t="shared" si="400"/>
        <v/>
      </c>
      <c r="P1814" s="53" t="str">
        <f t="shared" si="401"/>
        <v/>
      </c>
      <c r="Q1814" s="53" t="str">
        <f t="shared" si="402"/>
        <v/>
      </c>
      <c r="R1814" s="53" t="str">
        <f t="shared" si="403"/>
        <v/>
      </c>
      <c r="S1814" s="53" t="str">
        <f t="shared" si="404"/>
        <v/>
      </c>
      <c r="T1814" s="53" t="str">
        <f t="shared" si="405"/>
        <v/>
      </c>
    </row>
    <row r="1815" spans="1:20">
      <c r="A1815" s="47" t="str">
        <f>IF(archive!E1815="","",archive!E1815)</f>
        <v/>
      </c>
      <c r="B1815" s="48" t="str">
        <f t="shared" si="392"/>
        <v/>
      </c>
      <c r="C1815" s="49" t="str">
        <f>IF(archive!F1815="","",archive!F1815)</f>
        <v/>
      </c>
      <c r="D1815" s="50" t="str">
        <f t="shared" si="393"/>
        <v/>
      </c>
      <c r="E1815" s="50" t="str">
        <f t="shared" si="394"/>
        <v/>
      </c>
      <c r="F1815" s="47" t="str">
        <f>IF(COUNTA(archive!H1815:CI1815)=0,"",COUNTA(archive!H1815:CI1815))</f>
        <v/>
      </c>
      <c r="G1815" s="47" t="str">
        <f>IF(archive!G1815="","",archive!G1815)</f>
        <v/>
      </c>
      <c r="H1815" s="51" t="str">
        <f>IF(archive!CJ1815="","",archive!CJ1815)</f>
        <v/>
      </c>
      <c r="I1815" s="51" t="str">
        <f>IF(archive!CK1815="","",archive!CK1815)</f>
        <v/>
      </c>
      <c r="J1815" s="47" t="str">
        <f t="shared" si="395"/>
        <v/>
      </c>
      <c r="K1815" s="51" t="str">
        <f t="shared" si="396"/>
        <v/>
      </c>
      <c r="L1815" s="52" t="str">
        <f t="shared" si="397"/>
        <v/>
      </c>
      <c r="M1815" s="53" t="str">
        <f t="shared" si="398"/>
        <v/>
      </c>
      <c r="N1815" s="53" t="str">
        <f t="shared" si="399"/>
        <v/>
      </c>
      <c r="O1815" s="53" t="str">
        <f t="shared" si="400"/>
        <v/>
      </c>
      <c r="P1815" s="53" t="str">
        <f t="shared" si="401"/>
        <v/>
      </c>
      <c r="Q1815" s="53" t="str">
        <f t="shared" si="402"/>
        <v/>
      </c>
      <c r="R1815" s="53" t="str">
        <f t="shared" si="403"/>
        <v/>
      </c>
      <c r="S1815" s="53" t="str">
        <f t="shared" si="404"/>
        <v/>
      </c>
      <c r="T1815" s="53" t="str">
        <f t="shared" si="405"/>
        <v/>
      </c>
    </row>
    <row r="1816" spans="1:20">
      <c r="A1816" s="47" t="str">
        <f>IF(archive!E1816="","",archive!E1816)</f>
        <v/>
      </c>
      <c r="B1816" s="48" t="str">
        <f t="shared" si="392"/>
        <v/>
      </c>
      <c r="C1816" s="49" t="str">
        <f>IF(archive!F1816="","",archive!F1816)</f>
        <v/>
      </c>
      <c r="D1816" s="50" t="str">
        <f t="shared" si="393"/>
        <v/>
      </c>
      <c r="E1816" s="50" t="str">
        <f t="shared" si="394"/>
        <v/>
      </c>
      <c r="F1816" s="47" t="str">
        <f>IF(COUNTA(archive!H1816:CI1816)=0,"",COUNTA(archive!H1816:CI1816))</f>
        <v/>
      </c>
      <c r="G1816" s="47" t="str">
        <f>IF(archive!G1816="","",archive!G1816)</f>
        <v/>
      </c>
      <c r="H1816" s="51" t="str">
        <f>IF(archive!CJ1816="","",archive!CJ1816)</f>
        <v/>
      </c>
      <c r="I1816" s="51" t="str">
        <f>IF(archive!CK1816="","",archive!CK1816)</f>
        <v/>
      </c>
      <c r="J1816" s="47" t="str">
        <f t="shared" si="395"/>
        <v/>
      </c>
      <c r="K1816" s="51" t="str">
        <f t="shared" si="396"/>
        <v/>
      </c>
      <c r="L1816" s="52" t="str">
        <f t="shared" si="397"/>
        <v/>
      </c>
      <c r="M1816" s="53" t="str">
        <f t="shared" si="398"/>
        <v/>
      </c>
      <c r="N1816" s="53" t="str">
        <f t="shared" si="399"/>
        <v/>
      </c>
      <c r="O1816" s="53" t="str">
        <f t="shared" si="400"/>
        <v/>
      </c>
      <c r="P1816" s="53" t="str">
        <f t="shared" si="401"/>
        <v/>
      </c>
      <c r="Q1816" s="53" t="str">
        <f t="shared" si="402"/>
        <v/>
      </c>
      <c r="R1816" s="53" t="str">
        <f t="shared" si="403"/>
        <v/>
      </c>
      <c r="S1816" s="53" t="str">
        <f t="shared" si="404"/>
        <v/>
      </c>
      <c r="T1816" s="53" t="str">
        <f t="shared" si="405"/>
        <v/>
      </c>
    </row>
    <row r="1817" spans="1:20">
      <c r="A1817" s="47" t="str">
        <f>IF(archive!E1817="","",archive!E1817)</f>
        <v/>
      </c>
      <c r="B1817" s="48" t="str">
        <f t="shared" si="392"/>
        <v/>
      </c>
      <c r="C1817" s="49" t="str">
        <f>IF(archive!F1817="","",archive!F1817)</f>
        <v/>
      </c>
      <c r="D1817" s="50" t="str">
        <f t="shared" si="393"/>
        <v/>
      </c>
      <c r="E1817" s="50" t="str">
        <f t="shared" si="394"/>
        <v/>
      </c>
      <c r="F1817" s="47" t="str">
        <f>IF(COUNTA(archive!H1817:CI1817)=0,"",COUNTA(archive!H1817:CI1817))</f>
        <v/>
      </c>
      <c r="G1817" s="47" t="str">
        <f>IF(archive!G1817="","",archive!G1817)</f>
        <v/>
      </c>
      <c r="H1817" s="51" t="str">
        <f>IF(archive!CJ1817="","",archive!CJ1817)</f>
        <v/>
      </c>
      <c r="I1817" s="51" t="str">
        <f>IF(archive!CK1817="","",archive!CK1817)</f>
        <v/>
      </c>
      <c r="J1817" s="47" t="str">
        <f t="shared" si="395"/>
        <v/>
      </c>
      <c r="K1817" s="51" t="str">
        <f t="shared" si="396"/>
        <v/>
      </c>
      <c r="L1817" s="52" t="str">
        <f t="shared" si="397"/>
        <v/>
      </c>
      <c r="M1817" s="53" t="str">
        <f t="shared" si="398"/>
        <v/>
      </c>
      <c r="N1817" s="53" t="str">
        <f t="shared" si="399"/>
        <v/>
      </c>
      <c r="O1817" s="53" t="str">
        <f t="shared" si="400"/>
        <v/>
      </c>
      <c r="P1817" s="53" t="str">
        <f t="shared" si="401"/>
        <v/>
      </c>
      <c r="Q1817" s="53" t="str">
        <f t="shared" si="402"/>
        <v/>
      </c>
      <c r="R1817" s="53" t="str">
        <f t="shared" si="403"/>
        <v/>
      </c>
      <c r="S1817" s="53" t="str">
        <f t="shared" si="404"/>
        <v/>
      </c>
      <c r="T1817" s="53" t="str">
        <f t="shared" si="405"/>
        <v/>
      </c>
    </row>
    <row r="1818" spans="1:20">
      <c r="A1818" s="47" t="str">
        <f>IF(archive!E1818="","",archive!E1818)</f>
        <v/>
      </c>
      <c r="B1818" s="48" t="str">
        <f t="shared" si="392"/>
        <v/>
      </c>
      <c r="C1818" s="49" t="str">
        <f>IF(archive!F1818="","",archive!F1818)</f>
        <v/>
      </c>
      <c r="D1818" s="50" t="str">
        <f t="shared" si="393"/>
        <v/>
      </c>
      <c r="E1818" s="50" t="str">
        <f t="shared" si="394"/>
        <v/>
      </c>
      <c r="F1818" s="47" t="str">
        <f>IF(COUNTA(archive!H1818:CI1818)=0,"",COUNTA(archive!H1818:CI1818))</f>
        <v/>
      </c>
      <c r="G1818" s="47" t="str">
        <f>IF(archive!G1818="","",archive!G1818)</f>
        <v/>
      </c>
      <c r="H1818" s="51" t="str">
        <f>IF(archive!CJ1818="","",archive!CJ1818)</f>
        <v/>
      </c>
      <c r="I1818" s="51" t="str">
        <f>IF(archive!CK1818="","",archive!CK1818)</f>
        <v/>
      </c>
      <c r="J1818" s="47" t="str">
        <f t="shared" si="395"/>
        <v/>
      </c>
      <c r="K1818" s="51" t="str">
        <f t="shared" si="396"/>
        <v/>
      </c>
      <c r="L1818" s="52" t="str">
        <f t="shared" si="397"/>
        <v/>
      </c>
      <c r="M1818" s="53" t="str">
        <f t="shared" si="398"/>
        <v/>
      </c>
      <c r="N1818" s="53" t="str">
        <f t="shared" si="399"/>
        <v/>
      </c>
      <c r="O1818" s="53" t="str">
        <f t="shared" si="400"/>
        <v/>
      </c>
      <c r="P1818" s="53" t="str">
        <f t="shared" si="401"/>
        <v/>
      </c>
      <c r="Q1818" s="53" t="str">
        <f t="shared" si="402"/>
        <v/>
      </c>
      <c r="R1818" s="53" t="str">
        <f t="shared" si="403"/>
        <v/>
      </c>
      <c r="S1818" s="53" t="str">
        <f t="shared" si="404"/>
        <v/>
      </c>
      <c r="T1818" s="53" t="str">
        <f t="shared" si="405"/>
        <v/>
      </c>
    </row>
    <row r="1819" spans="1:20">
      <c r="A1819" s="47" t="str">
        <f>IF(archive!E1819="","",archive!E1819)</f>
        <v/>
      </c>
      <c r="B1819" s="48" t="str">
        <f t="shared" si="392"/>
        <v/>
      </c>
      <c r="C1819" s="49" t="str">
        <f>IF(archive!F1819="","",archive!F1819)</f>
        <v/>
      </c>
      <c r="D1819" s="50" t="str">
        <f t="shared" si="393"/>
        <v/>
      </c>
      <c r="E1819" s="50" t="str">
        <f t="shared" si="394"/>
        <v/>
      </c>
      <c r="F1819" s="47" t="str">
        <f>IF(COUNTA(archive!H1819:CI1819)=0,"",COUNTA(archive!H1819:CI1819))</f>
        <v/>
      </c>
      <c r="G1819" s="47" t="str">
        <f>IF(archive!G1819="","",archive!G1819)</f>
        <v/>
      </c>
      <c r="H1819" s="51" t="str">
        <f>IF(archive!CJ1819="","",archive!CJ1819)</f>
        <v/>
      </c>
      <c r="I1819" s="51" t="str">
        <f>IF(archive!CK1819="","",archive!CK1819)</f>
        <v/>
      </c>
      <c r="J1819" s="47" t="str">
        <f t="shared" si="395"/>
        <v/>
      </c>
      <c r="K1819" s="51" t="str">
        <f t="shared" si="396"/>
        <v/>
      </c>
      <c r="L1819" s="52" t="str">
        <f t="shared" si="397"/>
        <v/>
      </c>
      <c r="M1819" s="53" t="str">
        <f t="shared" si="398"/>
        <v/>
      </c>
      <c r="N1819" s="53" t="str">
        <f t="shared" si="399"/>
        <v/>
      </c>
      <c r="O1819" s="53" t="str">
        <f t="shared" si="400"/>
        <v/>
      </c>
      <c r="P1819" s="53" t="str">
        <f t="shared" si="401"/>
        <v/>
      </c>
      <c r="Q1819" s="53" t="str">
        <f t="shared" si="402"/>
        <v/>
      </c>
      <c r="R1819" s="53" t="str">
        <f t="shared" si="403"/>
        <v/>
      </c>
      <c r="S1819" s="53" t="str">
        <f t="shared" si="404"/>
        <v/>
      </c>
      <c r="T1819" s="53" t="str">
        <f t="shared" si="405"/>
        <v/>
      </c>
    </row>
    <row r="1820" spans="1:20">
      <c r="A1820" s="47" t="str">
        <f>IF(archive!E1820="","",archive!E1820)</f>
        <v/>
      </c>
      <c r="B1820" s="48" t="str">
        <f t="shared" si="392"/>
        <v/>
      </c>
      <c r="C1820" s="49" t="str">
        <f>IF(archive!F1820="","",archive!F1820)</f>
        <v/>
      </c>
      <c r="D1820" s="50" t="str">
        <f t="shared" si="393"/>
        <v/>
      </c>
      <c r="E1820" s="50" t="str">
        <f t="shared" si="394"/>
        <v/>
      </c>
      <c r="F1820" s="47" t="str">
        <f>IF(COUNTA(archive!H1820:CI1820)=0,"",COUNTA(archive!H1820:CI1820))</f>
        <v/>
      </c>
      <c r="G1820" s="47" t="str">
        <f>IF(archive!G1820="","",archive!G1820)</f>
        <v/>
      </c>
      <c r="H1820" s="51" t="str">
        <f>IF(archive!CJ1820="","",archive!CJ1820)</f>
        <v/>
      </c>
      <c r="I1820" s="51" t="str">
        <f>IF(archive!CK1820="","",archive!CK1820)</f>
        <v/>
      </c>
      <c r="J1820" s="47" t="str">
        <f t="shared" si="395"/>
        <v/>
      </c>
      <c r="K1820" s="51" t="str">
        <f t="shared" si="396"/>
        <v/>
      </c>
      <c r="L1820" s="52" t="str">
        <f t="shared" si="397"/>
        <v/>
      </c>
      <c r="M1820" s="53" t="str">
        <f t="shared" si="398"/>
        <v/>
      </c>
      <c r="N1820" s="53" t="str">
        <f t="shared" si="399"/>
        <v/>
      </c>
      <c r="O1820" s="53" t="str">
        <f t="shared" si="400"/>
        <v/>
      </c>
      <c r="P1820" s="53" t="str">
        <f t="shared" si="401"/>
        <v/>
      </c>
      <c r="Q1820" s="53" t="str">
        <f t="shared" si="402"/>
        <v/>
      </c>
      <c r="R1820" s="53" t="str">
        <f t="shared" si="403"/>
        <v/>
      </c>
      <c r="S1820" s="53" t="str">
        <f t="shared" si="404"/>
        <v/>
      </c>
      <c r="T1820" s="53" t="str">
        <f t="shared" si="405"/>
        <v/>
      </c>
    </row>
    <row r="1821" spans="1:20">
      <c r="A1821" s="47" t="str">
        <f>IF(archive!E1821="","",archive!E1821)</f>
        <v/>
      </c>
      <c r="B1821" s="48" t="str">
        <f t="shared" si="392"/>
        <v/>
      </c>
      <c r="C1821" s="49" t="str">
        <f>IF(archive!F1821="","",archive!F1821)</f>
        <v/>
      </c>
      <c r="D1821" s="50" t="str">
        <f t="shared" si="393"/>
        <v/>
      </c>
      <c r="E1821" s="50" t="str">
        <f t="shared" si="394"/>
        <v/>
      </c>
      <c r="F1821" s="47" t="str">
        <f>IF(COUNTA(archive!H1821:CI1821)=0,"",COUNTA(archive!H1821:CI1821))</f>
        <v/>
      </c>
      <c r="G1821" s="47" t="str">
        <f>IF(archive!G1821="","",archive!G1821)</f>
        <v/>
      </c>
      <c r="H1821" s="51" t="str">
        <f>IF(archive!CJ1821="","",archive!CJ1821)</f>
        <v/>
      </c>
      <c r="I1821" s="51" t="str">
        <f>IF(archive!CK1821="","",archive!CK1821)</f>
        <v/>
      </c>
      <c r="J1821" s="47" t="str">
        <f t="shared" si="395"/>
        <v/>
      </c>
      <c r="K1821" s="51" t="str">
        <f t="shared" si="396"/>
        <v/>
      </c>
      <c r="L1821" s="52" t="str">
        <f t="shared" si="397"/>
        <v/>
      </c>
      <c r="M1821" s="53" t="str">
        <f t="shared" si="398"/>
        <v/>
      </c>
      <c r="N1821" s="53" t="str">
        <f t="shared" si="399"/>
        <v/>
      </c>
      <c r="O1821" s="53" t="str">
        <f t="shared" si="400"/>
        <v/>
      </c>
      <c r="P1821" s="53" t="str">
        <f t="shared" si="401"/>
        <v/>
      </c>
      <c r="Q1821" s="53" t="str">
        <f t="shared" si="402"/>
        <v/>
      </c>
      <c r="R1821" s="53" t="str">
        <f t="shared" si="403"/>
        <v/>
      </c>
      <c r="S1821" s="53" t="str">
        <f t="shared" si="404"/>
        <v/>
      </c>
      <c r="T1821" s="53" t="str">
        <f t="shared" si="405"/>
        <v/>
      </c>
    </row>
    <row r="1822" spans="1:20">
      <c r="A1822" s="47" t="str">
        <f>IF(archive!E1822="","",archive!E1822)</f>
        <v/>
      </c>
      <c r="B1822" s="48" t="str">
        <f t="shared" si="392"/>
        <v/>
      </c>
      <c r="C1822" s="49" t="str">
        <f>IF(archive!F1822="","",archive!F1822)</f>
        <v/>
      </c>
      <c r="D1822" s="50" t="str">
        <f t="shared" si="393"/>
        <v/>
      </c>
      <c r="E1822" s="50" t="str">
        <f t="shared" si="394"/>
        <v/>
      </c>
      <c r="F1822" s="47" t="str">
        <f>IF(COUNTA(archive!H1822:CI1822)=0,"",COUNTA(archive!H1822:CI1822))</f>
        <v/>
      </c>
      <c r="G1822" s="47" t="str">
        <f>IF(archive!G1822="","",archive!G1822)</f>
        <v/>
      </c>
      <c r="H1822" s="51" t="str">
        <f>IF(archive!CJ1822="","",archive!CJ1822)</f>
        <v/>
      </c>
      <c r="I1822" s="51" t="str">
        <f>IF(archive!CK1822="","",archive!CK1822)</f>
        <v/>
      </c>
      <c r="J1822" s="47" t="str">
        <f t="shared" si="395"/>
        <v/>
      </c>
      <c r="K1822" s="51" t="str">
        <f t="shared" si="396"/>
        <v/>
      </c>
      <c r="L1822" s="52" t="str">
        <f t="shared" si="397"/>
        <v/>
      </c>
      <c r="M1822" s="53" t="str">
        <f t="shared" si="398"/>
        <v/>
      </c>
      <c r="N1822" s="53" t="str">
        <f t="shared" si="399"/>
        <v/>
      </c>
      <c r="O1822" s="53" t="str">
        <f t="shared" si="400"/>
        <v/>
      </c>
      <c r="P1822" s="53" t="str">
        <f t="shared" si="401"/>
        <v/>
      </c>
      <c r="Q1822" s="53" t="str">
        <f t="shared" si="402"/>
        <v/>
      </c>
      <c r="R1822" s="53" t="str">
        <f t="shared" si="403"/>
        <v/>
      </c>
      <c r="S1822" s="53" t="str">
        <f t="shared" si="404"/>
        <v/>
      </c>
      <c r="T1822" s="53" t="str">
        <f t="shared" si="405"/>
        <v/>
      </c>
    </row>
    <row r="1823" spans="1:20">
      <c r="A1823" s="47" t="str">
        <f>IF(archive!E1823="","",archive!E1823)</f>
        <v/>
      </c>
      <c r="B1823" s="48" t="str">
        <f t="shared" si="392"/>
        <v/>
      </c>
      <c r="C1823" s="49" t="str">
        <f>IF(archive!F1823="","",archive!F1823)</f>
        <v/>
      </c>
      <c r="D1823" s="50" t="str">
        <f t="shared" si="393"/>
        <v/>
      </c>
      <c r="E1823" s="50" t="str">
        <f t="shared" si="394"/>
        <v/>
      </c>
      <c r="F1823" s="47" t="str">
        <f>IF(COUNTA(archive!H1823:CI1823)=0,"",COUNTA(archive!H1823:CI1823))</f>
        <v/>
      </c>
      <c r="G1823" s="47" t="str">
        <f>IF(archive!G1823="","",archive!G1823)</f>
        <v/>
      </c>
      <c r="H1823" s="51" t="str">
        <f>IF(archive!CJ1823="","",archive!CJ1823)</f>
        <v/>
      </c>
      <c r="I1823" s="51" t="str">
        <f>IF(archive!CK1823="","",archive!CK1823)</f>
        <v/>
      </c>
      <c r="J1823" s="47" t="str">
        <f t="shared" si="395"/>
        <v/>
      </c>
      <c r="K1823" s="51" t="str">
        <f t="shared" si="396"/>
        <v/>
      </c>
      <c r="L1823" s="52" t="str">
        <f t="shared" si="397"/>
        <v/>
      </c>
      <c r="M1823" s="53" t="str">
        <f t="shared" si="398"/>
        <v/>
      </c>
      <c r="N1823" s="53" t="str">
        <f t="shared" si="399"/>
        <v/>
      </c>
      <c r="O1823" s="53" t="str">
        <f t="shared" si="400"/>
        <v/>
      </c>
      <c r="P1823" s="53" t="str">
        <f t="shared" si="401"/>
        <v/>
      </c>
      <c r="Q1823" s="53" t="str">
        <f t="shared" si="402"/>
        <v/>
      </c>
      <c r="R1823" s="53" t="str">
        <f t="shared" si="403"/>
        <v/>
      </c>
      <c r="S1823" s="53" t="str">
        <f t="shared" si="404"/>
        <v/>
      </c>
      <c r="T1823" s="53" t="str">
        <f t="shared" si="405"/>
        <v/>
      </c>
    </row>
    <row r="1824" spans="1:20">
      <c r="A1824" s="47" t="str">
        <f>IF(archive!E1824="","",archive!E1824)</f>
        <v/>
      </c>
      <c r="B1824" s="48" t="str">
        <f t="shared" si="392"/>
        <v/>
      </c>
      <c r="C1824" s="49" t="str">
        <f>IF(archive!F1824="","",archive!F1824)</f>
        <v/>
      </c>
      <c r="D1824" s="50" t="str">
        <f t="shared" si="393"/>
        <v/>
      </c>
      <c r="E1824" s="50" t="str">
        <f t="shared" si="394"/>
        <v/>
      </c>
      <c r="F1824" s="47" t="str">
        <f>IF(COUNTA(archive!H1824:CI1824)=0,"",COUNTA(archive!H1824:CI1824))</f>
        <v/>
      </c>
      <c r="G1824" s="47" t="str">
        <f>IF(archive!G1824="","",archive!G1824)</f>
        <v/>
      </c>
      <c r="H1824" s="51" t="str">
        <f>IF(archive!CJ1824="","",archive!CJ1824)</f>
        <v/>
      </c>
      <c r="I1824" s="51" t="str">
        <f>IF(archive!CK1824="","",archive!CK1824)</f>
        <v/>
      </c>
      <c r="J1824" s="47" t="str">
        <f t="shared" si="395"/>
        <v/>
      </c>
      <c r="K1824" s="51" t="str">
        <f t="shared" si="396"/>
        <v/>
      </c>
      <c r="L1824" s="52" t="str">
        <f t="shared" si="397"/>
        <v/>
      </c>
      <c r="M1824" s="53" t="str">
        <f t="shared" si="398"/>
        <v/>
      </c>
      <c r="N1824" s="53" t="str">
        <f t="shared" si="399"/>
        <v/>
      </c>
      <c r="O1824" s="53" t="str">
        <f t="shared" si="400"/>
        <v/>
      </c>
      <c r="P1824" s="53" t="str">
        <f t="shared" si="401"/>
        <v/>
      </c>
      <c r="Q1824" s="53" t="str">
        <f t="shared" si="402"/>
        <v/>
      </c>
      <c r="R1824" s="53" t="str">
        <f t="shared" si="403"/>
        <v/>
      </c>
      <c r="S1824" s="53" t="str">
        <f t="shared" si="404"/>
        <v/>
      </c>
      <c r="T1824" s="53" t="str">
        <f t="shared" si="405"/>
        <v/>
      </c>
    </row>
    <row r="1825" spans="1:20">
      <c r="A1825" s="47" t="str">
        <f>IF(archive!E1825="","",archive!E1825)</f>
        <v/>
      </c>
      <c r="B1825" s="48" t="str">
        <f t="shared" si="392"/>
        <v/>
      </c>
      <c r="C1825" s="49" t="str">
        <f>IF(archive!F1825="","",archive!F1825)</f>
        <v/>
      </c>
      <c r="D1825" s="50" t="str">
        <f t="shared" si="393"/>
        <v/>
      </c>
      <c r="E1825" s="50" t="str">
        <f t="shared" si="394"/>
        <v/>
      </c>
      <c r="F1825" s="47" t="str">
        <f>IF(COUNTA(archive!H1825:CI1825)=0,"",COUNTA(archive!H1825:CI1825))</f>
        <v/>
      </c>
      <c r="G1825" s="47" t="str">
        <f>IF(archive!G1825="","",archive!G1825)</f>
        <v/>
      </c>
      <c r="H1825" s="51" t="str">
        <f>IF(archive!CJ1825="","",archive!CJ1825)</f>
        <v/>
      </c>
      <c r="I1825" s="51" t="str">
        <f>IF(archive!CK1825="","",archive!CK1825)</f>
        <v/>
      </c>
      <c r="J1825" s="47" t="str">
        <f t="shared" si="395"/>
        <v/>
      </c>
      <c r="K1825" s="51" t="str">
        <f t="shared" si="396"/>
        <v/>
      </c>
      <c r="L1825" s="52" t="str">
        <f t="shared" si="397"/>
        <v/>
      </c>
      <c r="M1825" s="53" t="str">
        <f t="shared" si="398"/>
        <v/>
      </c>
      <c r="N1825" s="53" t="str">
        <f t="shared" si="399"/>
        <v/>
      </c>
      <c r="O1825" s="53" t="str">
        <f t="shared" si="400"/>
        <v/>
      </c>
      <c r="P1825" s="53" t="str">
        <f t="shared" si="401"/>
        <v/>
      </c>
      <c r="Q1825" s="53" t="str">
        <f t="shared" si="402"/>
        <v/>
      </c>
      <c r="R1825" s="53" t="str">
        <f t="shared" si="403"/>
        <v/>
      </c>
      <c r="S1825" s="53" t="str">
        <f t="shared" si="404"/>
        <v/>
      </c>
      <c r="T1825" s="53" t="str">
        <f t="shared" si="405"/>
        <v/>
      </c>
    </row>
    <row r="1826" spans="1:20">
      <c r="A1826" s="47" t="str">
        <f>IF(archive!E1826="","",archive!E1826)</f>
        <v/>
      </c>
      <c r="B1826" s="48" t="str">
        <f t="shared" si="392"/>
        <v/>
      </c>
      <c r="C1826" s="49" t="str">
        <f>IF(archive!F1826="","",archive!F1826)</f>
        <v/>
      </c>
      <c r="D1826" s="50" t="str">
        <f t="shared" si="393"/>
        <v/>
      </c>
      <c r="E1826" s="50" t="str">
        <f t="shared" si="394"/>
        <v/>
      </c>
      <c r="F1826" s="47" t="str">
        <f>IF(COUNTA(archive!H1826:CI1826)=0,"",COUNTA(archive!H1826:CI1826))</f>
        <v/>
      </c>
      <c r="G1826" s="47" t="str">
        <f>IF(archive!G1826="","",archive!G1826)</f>
        <v/>
      </c>
      <c r="H1826" s="51" t="str">
        <f>IF(archive!CJ1826="","",archive!CJ1826)</f>
        <v/>
      </c>
      <c r="I1826" s="51" t="str">
        <f>IF(archive!CK1826="","",archive!CK1826)</f>
        <v/>
      </c>
      <c r="J1826" s="47" t="str">
        <f t="shared" si="395"/>
        <v/>
      </c>
      <c r="K1826" s="51" t="str">
        <f t="shared" si="396"/>
        <v/>
      </c>
      <c r="L1826" s="52" t="str">
        <f t="shared" si="397"/>
        <v/>
      </c>
      <c r="M1826" s="53" t="str">
        <f t="shared" si="398"/>
        <v/>
      </c>
      <c r="N1826" s="53" t="str">
        <f t="shared" si="399"/>
        <v/>
      </c>
      <c r="O1826" s="53" t="str">
        <f t="shared" si="400"/>
        <v/>
      </c>
      <c r="P1826" s="53" t="str">
        <f t="shared" si="401"/>
        <v/>
      </c>
      <c r="Q1826" s="53" t="str">
        <f t="shared" si="402"/>
        <v/>
      </c>
      <c r="R1826" s="53" t="str">
        <f t="shared" si="403"/>
        <v/>
      </c>
      <c r="S1826" s="53" t="str">
        <f t="shared" si="404"/>
        <v/>
      </c>
      <c r="T1826" s="53" t="str">
        <f t="shared" si="405"/>
        <v/>
      </c>
    </row>
    <row r="1827" spans="1:20">
      <c r="A1827" s="47" t="str">
        <f>IF(archive!E1827="","",archive!E1827)</f>
        <v/>
      </c>
      <c r="B1827" s="48" t="str">
        <f t="shared" si="392"/>
        <v/>
      </c>
      <c r="C1827" s="49" t="str">
        <f>IF(archive!F1827="","",archive!F1827)</f>
        <v/>
      </c>
      <c r="D1827" s="50" t="str">
        <f t="shared" si="393"/>
        <v/>
      </c>
      <c r="E1827" s="50" t="str">
        <f t="shared" si="394"/>
        <v/>
      </c>
      <c r="F1827" s="47" t="str">
        <f>IF(COUNTA(archive!H1827:CI1827)=0,"",COUNTA(archive!H1827:CI1827))</f>
        <v/>
      </c>
      <c r="G1827" s="47" t="str">
        <f>IF(archive!G1827="","",archive!G1827)</f>
        <v/>
      </c>
      <c r="H1827" s="51" t="str">
        <f>IF(archive!CJ1827="","",archive!CJ1827)</f>
        <v/>
      </c>
      <c r="I1827" s="51" t="str">
        <f>IF(archive!CK1827="","",archive!CK1827)</f>
        <v/>
      </c>
      <c r="J1827" s="47" t="str">
        <f t="shared" si="395"/>
        <v/>
      </c>
      <c r="K1827" s="51" t="str">
        <f t="shared" si="396"/>
        <v/>
      </c>
      <c r="L1827" s="52" t="str">
        <f t="shared" si="397"/>
        <v/>
      </c>
      <c r="M1827" s="53" t="str">
        <f t="shared" si="398"/>
        <v/>
      </c>
      <c r="N1827" s="53" t="str">
        <f t="shared" si="399"/>
        <v/>
      </c>
      <c r="O1827" s="53" t="str">
        <f t="shared" si="400"/>
        <v/>
      </c>
      <c r="P1827" s="53" t="str">
        <f t="shared" si="401"/>
        <v/>
      </c>
      <c r="Q1827" s="53" t="str">
        <f t="shared" si="402"/>
        <v/>
      </c>
      <c r="R1827" s="53" t="str">
        <f t="shared" si="403"/>
        <v/>
      </c>
      <c r="S1827" s="53" t="str">
        <f t="shared" si="404"/>
        <v/>
      </c>
      <c r="T1827" s="53" t="str">
        <f t="shared" si="405"/>
        <v/>
      </c>
    </row>
    <row r="1828" spans="1:20">
      <c r="A1828" s="47" t="str">
        <f>IF(archive!E1828="","",archive!E1828)</f>
        <v/>
      </c>
      <c r="B1828" s="48" t="str">
        <f t="shared" si="392"/>
        <v/>
      </c>
      <c r="C1828" s="49" t="str">
        <f>IF(archive!F1828="","",archive!F1828)</f>
        <v/>
      </c>
      <c r="D1828" s="50" t="str">
        <f t="shared" si="393"/>
        <v/>
      </c>
      <c r="E1828" s="50" t="str">
        <f t="shared" si="394"/>
        <v/>
      </c>
      <c r="F1828" s="47" t="str">
        <f>IF(COUNTA(archive!H1828:CI1828)=0,"",COUNTA(archive!H1828:CI1828))</f>
        <v/>
      </c>
      <c r="G1828" s="47" t="str">
        <f>IF(archive!G1828="","",archive!G1828)</f>
        <v/>
      </c>
      <c r="H1828" s="51" t="str">
        <f>IF(archive!CJ1828="","",archive!CJ1828)</f>
        <v/>
      </c>
      <c r="I1828" s="51" t="str">
        <f>IF(archive!CK1828="","",archive!CK1828)</f>
        <v/>
      </c>
      <c r="J1828" s="47" t="str">
        <f t="shared" si="395"/>
        <v/>
      </c>
      <c r="K1828" s="51" t="str">
        <f t="shared" si="396"/>
        <v/>
      </c>
      <c r="L1828" s="52" t="str">
        <f t="shared" si="397"/>
        <v/>
      </c>
      <c r="M1828" s="53" t="str">
        <f t="shared" si="398"/>
        <v/>
      </c>
      <c r="N1828" s="53" t="str">
        <f t="shared" si="399"/>
        <v/>
      </c>
      <c r="O1828" s="53" t="str">
        <f t="shared" si="400"/>
        <v/>
      </c>
      <c r="P1828" s="53" t="str">
        <f t="shared" si="401"/>
        <v/>
      </c>
      <c r="Q1828" s="53" t="str">
        <f t="shared" si="402"/>
        <v/>
      </c>
      <c r="R1828" s="53" t="str">
        <f t="shared" si="403"/>
        <v/>
      </c>
      <c r="S1828" s="53" t="str">
        <f t="shared" si="404"/>
        <v/>
      </c>
      <c r="T1828" s="53" t="str">
        <f t="shared" si="405"/>
        <v/>
      </c>
    </row>
    <row r="1829" spans="1:20">
      <c r="A1829" s="47" t="str">
        <f>IF(archive!E1829="","",archive!E1829)</f>
        <v/>
      </c>
      <c r="B1829" s="48" t="str">
        <f t="shared" si="392"/>
        <v/>
      </c>
      <c r="C1829" s="49" t="str">
        <f>IF(archive!F1829="","",archive!F1829)</f>
        <v/>
      </c>
      <c r="D1829" s="50" t="str">
        <f t="shared" si="393"/>
        <v/>
      </c>
      <c r="E1829" s="50" t="str">
        <f t="shared" si="394"/>
        <v/>
      </c>
      <c r="F1829" s="47" t="str">
        <f>IF(COUNTA(archive!H1829:CI1829)=0,"",COUNTA(archive!H1829:CI1829))</f>
        <v/>
      </c>
      <c r="G1829" s="47" t="str">
        <f>IF(archive!G1829="","",archive!G1829)</f>
        <v/>
      </c>
      <c r="H1829" s="51" t="str">
        <f>IF(archive!CJ1829="","",archive!CJ1829)</f>
        <v/>
      </c>
      <c r="I1829" s="51" t="str">
        <f>IF(archive!CK1829="","",archive!CK1829)</f>
        <v/>
      </c>
      <c r="J1829" s="47" t="str">
        <f t="shared" si="395"/>
        <v/>
      </c>
      <c r="K1829" s="51" t="str">
        <f t="shared" si="396"/>
        <v/>
      </c>
      <c r="L1829" s="52" t="str">
        <f t="shared" si="397"/>
        <v/>
      </c>
      <c r="M1829" s="53" t="str">
        <f t="shared" si="398"/>
        <v/>
      </c>
      <c r="N1829" s="53" t="str">
        <f t="shared" si="399"/>
        <v/>
      </c>
      <c r="O1829" s="53" t="str">
        <f t="shared" si="400"/>
        <v/>
      </c>
      <c r="P1829" s="53" t="str">
        <f t="shared" si="401"/>
        <v/>
      </c>
      <c r="Q1829" s="53" t="str">
        <f t="shared" si="402"/>
        <v/>
      </c>
      <c r="R1829" s="53" t="str">
        <f t="shared" si="403"/>
        <v/>
      </c>
      <c r="S1829" s="53" t="str">
        <f t="shared" si="404"/>
        <v/>
      </c>
      <c r="T1829" s="53" t="str">
        <f t="shared" si="405"/>
        <v/>
      </c>
    </row>
    <row r="1830" spans="1:20">
      <c r="A1830" s="47" t="str">
        <f>IF(archive!E1830="","",archive!E1830)</f>
        <v/>
      </c>
      <c r="B1830" s="48" t="str">
        <f t="shared" si="392"/>
        <v/>
      </c>
      <c r="C1830" s="49" t="str">
        <f>IF(archive!F1830="","",archive!F1830)</f>
        <v/>
      </c>
      <c r="D1830" s="50" t="str">
        <f t="shared" si="393"/>
        <v/>
      </c>
      <c r="E1830" s="50" t="str">
        <f t="shared" si="394"/>
        <v/>
      </c>
      <c r="F1830" s="47" t="str">
        <f>IF(COUNTA(archive!H1830:CI1830)=0,"",COUNTA(archive!H1830:CI1830))</f>
        <v/>
      </c>
      <c r="G1830" s="47" t="str">
        <f>IF(archive!G1830="","",archive!G1830)</f>
        <v/>
      </c>
      <c r="H1830" s="51" t="str">
        <f>IF(archive!CJ1830="","",archive!CJ1830)</f>
        <v/>
      </c>
      <c r="I1830" s="51" t="str">
        <f>IF(archive!CK1830="","",archive!CK1830)</f>
        <v/>
      </c>
      <c r="J1830" s="47" t="str">
        <f t="shared" si="395"/>
        <v/>
      </c>
      <c r="K1830" s="51" t="str">
        <f t="shared" si="396"/>
        <v/>
      </c>
      <c r="L1830" s="52" t="str">
        <f t="shared" si="397"/>
        <v/>
      </c>
      <c r="M1830" s="53" t="str">
        <f t="shared" si="398"/>
        <v/>
      </c>
      <c r="N1830" s="53" t="str">
        <f t="shared" si="399"/>
        <v/>
      </c>
      <c r="O1830" s="53" t="str">
        <f t="shared" si="400"/>
        <v/>
      </c>
      <c r="P1830" s="53" t="str">
        <f t="shared" si="401"/>
        <v/>
      </c>
      <c r="Q1830" s="53" t="str">
        <f t="shared" si="402"/>
        <v/>
      </c>
      <c r="R1830" s="53" t="str">
        <f t="shared" si="403"/>
        <v/>
      </c>
      <c r="S1830" s="53" t="str">
        <f t="shared" si="404"/>
        <v/>
      </c>
      <c r="T1830" s="53" t="str">
        <f t="shared" si="405"/>
        <v/>
      </c>
    </row>
    <row r="1831" spans="1:20">
      <c r="A1831" s="47" t="str">
        <f>IF(archive!E1831="","",archive!E1831)</f>
        <v/>
      </c>
      <c r="B1831" s="48" t="str">
        <f t="shared" si="392"/>
        <v/>
      </c>
      <c r="C1831" s="49" t="str">
        <f>IF(archive!F1831="","",archive!F1831)</f>
        <v/>
      </c>
      <c r="D1831" s="50" t="str">
        <f t="shared" si="393"/>
        <v/>
      </c>
      <c r="E1831" s="50" t="str">
        <f t="shared" si="394"/>
        <v/>
      </c>
      <c r="F1831" s="47" t="str">
        <f>IF(COUNTA(archive!H1831:CI1831)=0,"",COUNTA(archive!H1831:CI1831))</f>
        <v/>
      </c>
      <c r="G1831" s="47" t="str">
        <f>IF(archive!G1831="","",archive!G1831)</f>
        <v/>
      </c>
      <c r="H1831" s="51" t="str">
        <f>IF(archive!CJ1831="","",archive!CJ1831)</f>
        <v/>
      </c>
      <c r="I1831" s="51" t="str">
        <f>IF(archive!CK1831="","",archive!CK1831)</f>
        <v/>
      </c>
      <c r="J1831" s="47" t="str">
        <f t="shared" si="395"/>
        <v/>
      </c>
      <c r="K1831" s="51" t="str">
        <f t="shared" si="396"/>
        <v/>
      </c>
      <c r="L1831" s="52" t="str">
        <f t="shared" si="397"/>
        <v/>
      </c>
      <c r="M1831" s="53" t="str">
        <f t="shared" si="398"/>
        <v/>
      </c>
      <c r="N1831" s="53" t="str">
        <f t="shared" si="399"/>
        <v/>
      </c>
      <c r="O1831" s="53" t="str">
        <f t="shared" si="400"/>
        <v/>
      </c>
      <c r="P1831" s="53" t="str">
        <f t="shared" si="401"/>
        <v/>
      </c>
      <c r="Q1831" s="53" t="str">
        <f t="shared" si="402"/>
        <v/>
      </c>
      <c r="R1831" s="53" t="str">
        <f t="shared" si="403"/>
        <v/>
      </c>
      <c r="S1831" s="53" t="str">
        <f t="shared" si="404"/>
        <v/>
      </c>
      <c r="T1831" s="53" t="str">
        <f t="shared" si="405"/>
        <v/>
      </c>
    </row>
    <row r="1832" spans="1:20">
      <c r="A1832" s="47" t="str">
        <f>IF(archive!E1832="","",archive!E1832)</f>
        <v/>
      </c>
      <c r="B1832" s="48" t="str">
        <f t="shared" si="392"/>
        <v/>
      </c>
      <c r="C1832" s="49" t="str">
        <f>IF(archive!F1832="","",archive!F1832)</f>
        <v/>
      </c>
      <c r="D1832" s="50" t="str">
        <f t="shared" si="393"/>
        <v/>
      </c>
      <c r="E1832" s="50" t="str">
        <f t="shared" si="394"/>
        <v/>
      </c>
      <c r="F1832" s="47" t="str">
        <f>IF(COUNTA(archive!H1832:CI1832)=0,"",COUNTA(archive!H1832:CI1832))</f>
        <v/>
      </c>
      <c r="G1832" s="47" t="str">
        <f>IF(archive!G1832="","",archive!G1832)</f>
        <v/>
      </c>
      <c r="H1832" s="51" t="str">
        <f>IF(archive!CJ1832="","",archive!CJ1832)</f>
        <v/>
      </c>
      <c r="I1832" s="51" t="str">
        <f>IF(archive!CK1832="","",archive!CK1832)</f>
        <v/>
      </c>
      <c r="J1832" s="47" t="str">
        <f t="shared" si="395"/>
        <v/>
      </c>
      <c r="K1832" s="51" t="str">
        <f t="shared" si="396"/>
        <v/>
      </c>
      <c r="L1832" s="52" t="str">
        <f t="shared" si="397"/>
        <v/>
      </c>
      <c r="M1832" s="53" t="str">
        <f t="shared" si="398"/>
        <v/>
      </c>
      <c r="N1832" s="53" t="str">
        <f t="shared" si="399"/>
        <v/>
      </c>
      <c r="O1832" s="53" t="str">
        <f t="shared" si="400"/>
        <v/>
      </c>
      <c r="P1832" s="53" t="str">
        <f t="shared" si="401"/>
        <v/>
      </c>
      <c r="Q1832" s="53" t="str">
        <f t="shared" si="402"/>
        <v/>
      </c>
      <c r="R1832" s="53" t="str">
        <f t="shared" si="403"/>
        <v/>
      </c>
      <c r="S1832" s="53" t="str">
        <f t="shared" si="404"/>
        <v/>
      </c>
      <c r="T1832" s="53" t="str">
        <f t="shared" si="405"/>
        <v/>
      </c>
    </row>
    <row r="1833" spans="1:20">
      <c r="A1833" s="47" t="str">
        <f>IF(archive!E1833="","",archive!E1833)</f>
        <v/>
      </c>
      <c r="B1833" s="48" t="str">
        <f t="shared" si="392"/>
        <v/>
      </c>
      <c r="C1833" s="49" t="str">
        <f>IF(archive!F1833="","",archive!F1833)</f>
        <v/>
      </c>
      <c r="D1833" s="50" t="str">
        <f t="shared" si="393"/>
        <v/>
      </c>
      <c r="E1833" s="50" t="str">
        <f t="shared" si="394"/>
        <v/>
      </c>
      <c r="F1833" s="47" t="str">
        <f>IF(COUNTA(archive!H1833:CI1833)=0,"",COUNTA(archive!H1833:CI1833))</f>
        <v/>
      </c>
      <c r="G1833" s="47" t="str">
        <f>IF(archive!G1833="","",archive!G1833)</f>
        <v/>
      </c>
      <c r="H1833" s="51" t="str">
        <f>IF(archive!CJ1833="","",archive!CJ1833)</f>
        <v/>
      </c>
      <c r="I1833" s="51" t="str">
        <f>IF(archive!CK1833="","",archive!CK1833)</f>
        <v/>
      </c>
      <c r="J1833" s="47" t="str">
        <f t="shared" si="395"/>
        <v/>
      </c>
      <c r="K1833" s="51" t="str">
        <f t="shared" si="396"/>
        <v/>
      </c>
      <c r="L1833" s="52" t="str">
        <f t="shared" si="397"/>
        <v/>
      </c>
      <c r="M1833" s="53" t="str">
        <f t="shared" si="398"/>
        <v/>
      </c>
      <c r="N1833" s="53" t="str">
        <f t="shared" si="399"/>
        <v/>
      </c>
      <c r="O1833" s="53" t="str">
        <f t="shared" si="400"/>
        <v/>
      </c>
      <c r="P1833" s="53" t="str">
        <f t="shared" si="401"/>
        <v/>
      </c>
      <c r="Q1833" s="53" t="str">
        <f t="shared" si="402"/>
        <v/>
      </c>
      <c r="R1833" s="53" t="str">
        <f t="shared" si="403"/>
        <v/>
      </c>
      <c r="S1833" s="53" t="str">
        <f t="shared" si="404"/>
        <v/>
      </c>
      <c r="T1833" s="53" t="str">
        <f t="shared" si="405"/>
        <v/>
      </c>
    </row>
    <row r="1834" spans="1:20">
      <c r="A1834" s="47" t="str">
        <f>IF(archive!E1834="","",archive!E1834)</f>
        <v/>
      </c>
      <c r="B1834" s="48" t="str">
        <f t="shared" si="392"/>
        <v/>
      </c>
      <c r="C1834" s="49" t="str">
        <f>IF(archive!F1834="","",archive!F1834)</f>
        <v/>
      </c>
      <c r="D1834" s="50" t="str">
        <f t="shared" si="393"/>
        <v/>
      </c>
      <c r="E1834" s="50" t="str">
        <f t="shared" si="394"/>
        <v/>
      </c>
      <c r="F1834" s="47" t="str">
        <f>IF(COUNTA(archive!H1834:CI1834)=0,"",COUNTA(archive!H1834:CI1834))</f>
        <v/>
      </c>
      <c r="G1834" s="47" t="str">
        <f>IF(archive!G1834="","",archive!G1834)</f>
        <v/>
      </c>
      <c r="H1834" s="51" t="str">
        <f>IF(archive!CJ1834="","",archive!CJ1834)</f>
        <v/>
      </c>
      <c r="I1834" s="51" t="str">
        <f>IF(archive!CK1834="","",archive!CK1834)</f>
        <v/>
      </c>
      <c r="J1834" s="47" t="str">
        <f t="shared" si="395"/>
        <v/>
      </c>
      <c r="K1834" s="51" t="str">
        <f t="shared" si="396"/>
        <v/>
      </c>
      <c r="L1834" s="52" t="str">
        <f t="shared" si="397"/>
        <v/>
      </c>
      <c r="M1834" s="53" t="str">
        <f t="shared" si="398"/>
        <v/>
      </c>
      <c r="N1834" s="53" t="str">
        <f t="shared" si="399"/>
        <v/>
      </c>
      <c r="O1834" s="53" t="str">
        <f t="shared" si="400"/>
        <v/>
      </c>
      <c r="P1834" s="53" t="str">
        <f t="shared" si="401"/>
        <v/>
      </c>
      <c r="Q1834" s="53" t="str">
        <f t="shared" si="402"/>
        <v/>
      </c>
      <c r="R1834" s="53" t="str">
        <f t="shared" si="403"/>
        <v/>
      </c>
      <c r="S1834" s="53" t="str">
        <f t="shared" si="404"/>
        <v/>
      </c>
      <c r="T1834" s="53" t="str">
        <f t="shared" si="405"/>
        <v/>
      </c>
    </row>
    <row r="1835" spans="1:20">
      <c r="A1835" s="47" t="str">
        <f>IF(archive!E1835="","",archive!E1835)</f>
        <v/>
      </c>
      <c r="B1835" s="48" t="str">
        <f t="shared" si="392"/>
        <v/>
      </c>
      <c r="C1835" s="49" t="str">
        <f>IF(archive!F1835="","",archive!F1835)</f>
        <v/>
      </c>
      <c r="D1835" s="50" t="str">
        <f t="shared" si="393"/>
        <v/>
      </c>
      <c r="E1835" s="50" t="str">
        <f t="shared" si="394"/>
        <v/>
      </c>
      <c r="F1835" s="47" t="str">
        <f>IF(COUNTA(archive!H1835:CI1835)=0,"",COUNTA(archive!H1835:CI1835))</f>
        <v/>
      </c>
      <c r="G1835" s="47" t="str">
        <f>IF(archive!G1835="","",archive!G1835)</f>
        <v/>
      </c>
      <c r="H1835" s="51" t="str">
        <f>IF(archive!CJ1835="","",archive!CJ1835)</f>
        <v/>
      </c>
      <c r="I1835" s="51" t="str">
        <f>IF(archive!CK1835="","",archive!CK1835)</f>
        <v/>
      </c>
      <c r="J1835" s="47" t="str">
        <f t="shared" si="395"/>
        <v/>
      </c>
      <c r="K1835" s="51" t="str">
        <f t="shared" si="396"/>
        <v/>
      </c>
      <c r="L1835" s="52" t="str">
        <f t="shared" si="397"/>
        <v/>
      </c>
      <c r="M1835" s="53" t="str">
        <f t="shared" si="398"/>
        <v/>
      </c>
      <c r="N1835" s="53" t="str">
        <f t="shared" si="399"/>
        <v/>
      </c>
      <c r="O1835" s="53" t="str">
        <f t="shared" si="400"/>
        <v/>
      </c>
      <c r="P1835" s="53" t="str">
        <f t="shared" si="401"/>
        <v/>
      </c>
      <c r="Q1835" s="53" t="str">
        <f t="shared" si="402"/>
        <v/>
      </c>
      <c r="R1835" s="53" t="str">
        <f t="shared" si="403"/>
        <v/>
      </c>
      <c r="S1835" s="53" t="str">
        <f t="shared" si="404"/>
        <v/>
      </c>
      <c r="T1835" s="53" t="str">
        <f t="shared" si="405"/>
        <v/>
      </c>
    </row>
    <row r="1836" spans="1:20">
      <c r="A1836" s="47" t="str">
        <f>IF(archive!E1836="","",archive!E1836)</f>
        <v/>
      </c>
      <c r="B1836" s="48" t="str">
        <f t="shared" si="392"/>
        <v/>
      </c>
      <c r="C1836" s="49" t="str">
        <f>IF(archive!F1836="","",archive!F1836)</f>
        <v/>
      </c>
      <c r="D1836" s="50" t="str">
        <f t="shared" si="393"/>
        <v/>
      </c>
      <c r="E1836" s="50" t="str">
        <f t="shared" si="394"/>
        <v/>
      </c>
      <c r="F1836" s="47" t="str">
        <f>IF(COUNTA(archive!H1836:CI1836)=0,"",COUNTA(archive!H1836:CI1836))</f>
        <v/>
      </c>
      <c r="G1836" s="47" t="str">
        <f>IF(archive!G1836="","",archive!G1836)</f>
        <v/>
      </c>
      <c r="H1836" s="51" t="str">
        <f>IF(archive!CJ1836="","",archive!CJ1836)</f>
        <v/>
      </c>
      <c r="I1836" s="51" t="str">
        <f>IF(archive!CK1836="","",archive!CK1836)</f>
        <v/>
      </c>
      <c r="J1836" s="47" t="str">
        <f t="shared" si="395"/>
        <v/>
      </c>
      <c r="K1836" s="51" t="str">
        <f t="shared" si="396"/>
        <v/>
      </c>
      <c r="L1836" s="52" t="str">
        <f t="shared" si="397"/>
        <v/>
      </c>
      <c r="M1836" s="53" t="str">
        <f t="shared" si="398"/>
        <v/>
      </c>
      <c r="N1836" s="53" t="str">
        <f t="shared" si="399"/>
        <v/>
      </c>
      <c r="O1836" s="53" t="str">
        <f t="shared" si="400"/>
        <v/>
      </c>
      <c r="P1836" s="53" t="str">
        <f t="shared" si="401"/>
        <v/>
      </c>
      <c r="Q1836" s="53" t="str">
        <f t="shared" si="402"/>
        <v/>
      </c>
      <c r="R1836" s="53" t="str">
        <f t="shared" si="403"/>
        <v/>
      </c>
      <c r="S1836" s="53" t="str">
        <f t="shared" si="404"/>
        <v/>
      </c>
      <c r="T1836" s="53" t="str">
        <f t="shared" si="405"/>
        <v/>
      </c>
    </row>
    <row r="1837" spans="1:20">
      <c r="A1837" s="47" t="str">
        <f>IF(archive!E1837="","",archive!E1837)</f>
        <v/>
      </c>
      <c r="B1837" s="48" t="str">
        <f t="shared" si="392"/>
        <v/>
      </c>
      <c r="C1837" s="49" t="str">
        <f>IF(archive!F1837="","",archive!F1837)</f>
        <v/>
      </c>
      <c r="D1837" s="50" t="str">
        <f t="shared" si="393"/>
        <v/>
      </c>
      <c r="E1837" s="50" t="str">
        <f t="shared" si="394"/>
        <v/>
      </c>
      <c r="F1837" s="47" t="str">
        <f>IF(COUNTA(archive!H1837:CI1837)=0,"",COUNTA(archive!H1837:CI1837))</f>
        <v/>
      </c>
      <c r="G1837" s="47" t="str">
        <f>IF(archive!G1837="","",archive!G1837)</f>
        <v/>
      </c>
      <c r="H1837" s="51" t="str">
        <f>IF(archive!CJ1837="","",archive!CJ1837)</f>
        <v/>
      </c>
      <c r="I1837" s="51" t="str">
        <f>IF(archive!CK1837="","",archive!CK1837)</f>
        <v/>
      </c>
      <c r="J1837" s="47" t="str">
        <f t="shared" si="395"/>
        <v/>
      </c>
      <c r="K1837" s="51" t="str">
        <f t="shared" si="396"/>
        <v/>
      </c>
      <c r="L1837" s="52" t="str">
        <f t="shared" si="397"/>
        <v/>
      </c>
      <c r="M1837" s="53" t="str">
        <f t="shared" si="398"/>
        <v/>
      </c>
      <c r="N1837" s="53" t="str">
        <f t="shared" si="399"/>
        <v/>
      </c>
      <c r="O1837" s="53" t="str">
        <f t="shared" si="400"/>
        <v/>
      </c>
      <c r="P1837" s="53" t="str">
        <f t="shared" si="401"/>
        <v/>
      </c>
      <c r="Q1837" s="53" t="str">
        <f t="shared" si="402"/>
        <v/>
      </c>
      <c r="R1837" s="53" t="str">
        <f t="shared" si="403"/>
        <v/>
      </c>
      <c r="S1837" s="53" t="str">
        <f t="shared" si="404"/>
        <v/>
      </c>
      <c r="T1837" s="53" t="str">
        <f t="shared" si="405"/>
        <v/>
      </c>
    </row>
    <row r="1838" spans="1:20">
      <c r="A1838" s="47" t="str">
        <f>IF(archive!E1838="","",archive!E1838)</f>
        <v/>
      </c>
      <c r="B1838" s="48" t="str">
        <f t="shared" si="392"/>
        <v/>
      </c>
      <c r="C1838" s="49" t="str">
        <f>IF(archive!F1838="","",archive!F1838)</f>
        <v/>
      </c>
      <c r="D1838" s="50" t="str">
        <f t="shared" si="393"/>
        <v/>
      </c>
      <c r="E1838" s="50" t="str">
        <f t="shared" si="394"/>
        <v/>
      </c>
      <c r="F1838" s="47" t="str">
        <f>IF(COUNTA(archive!H1838:CI1838)=0,"",COUNTA(archive!H1838:CI1838))</f>
        <v/>
      </c>
      <c r="G1838" s="47" t="str">
        <f>IF(archive!G1838="","",archive!G1838)</f>
        <v/>
      </c>
      <c r="H1838" s="51" t="str">
        <f>IF(archive!CJ1838="","",archive!CJ1838)</f>
        <v/>
      </c>
      <c r="I1838" s="51" t="str">
        <f>IF(archive!CK1838="","",archive!CK1838)</f>
        <v/>
      </c>
      <c r="J1838" s="47" t="str">
        <f t="shared" si="395"/>
        <v/>
      </c>
      <c r="K1838" s="51" t="str">
        <f t="shared" si="396"/>
        <v/>
      </c>
      <c r="L1838" s="52" t="str">
        <f t="shared" si="397"/>
        <v/>
      </c>
      <c r="M1838" s="53" t="str">
        <f t="shared" si="398"/>
        <v/>
      </c>
      <c r="N1838" s="53" t="str">
        <f t="shared" si="399"/>
        <v/>
      </c>
      <c r="O1838" s="53" t="str">
        <f t="shared" si="400"/>
        <v/>
      </c>
      <c r="P1838" s="53" t="str">
        <f t="shared" si="401"/>
        <v/>
      </c>
      <c r="Q1838" s="53" t="str">
        <f t="shared" si="402"/>
        <v/>
      </c>
      <c r="R1838" s="53" t="str">
        <f t="shared" si="403"/>
        <v/>
      </c>
      <c r="S1838" s="53" t="str">
        <f t="shared" si="404"/>
        <v/>
      </c>
      <c r="T1838" s="53" t="str">
        <f t="shared" si="405"/>
        <v/>
      </c>
    </row>
    <row r="1839" spans="1:20">
      <c r="A1839" s="47" t="str">
        <f>IF(archive!E1839="","",archive!E1839)</f>
        <v/>
      </c>
      <c r="B1839" s="48" t="str">
        <f t="shared" si="392"/>
        <v/>
      </c>
      <c r="C1839" s="49" t="str">
        <f>IF(archive!F1839="","",archive!F1839)</f>
        <v/>
      </c>
      <c r="D1839" s="50" t="str">
        <f t="shared" si="393"/>
        <v/>
      </c>
      <c r="E1839" s="50" t="str">
        <f t="shared" si="394"/>
        <v/>
      </c>
      <c r="F1839" s="47" t="str">
        <f>IF(COUNTA(archive!H1839:CI1839)=0,"",COUNTA(archive!H1839:CI1839))</f>
        <v/>
      </c>
      <c r="G1839" s="47" t="str">
        <f>IF(archive!G1839="","",archive!G1839)</f>
        <v/>
      </c>
      <c r="H1839" s="51" t="str">
        <f>IF(archive!CJ1839="","",archive!CJ1839)</f>
        <v/>
      </c>
      <c r="I1839" s="51" t="str">
        <f>IF(archive!CK1839="","",archive!CK1839)</f>
        <v/>
      </c>
      <c r="J1839" s="47" t="str">
        <f t="shared" si="395"/>
        <v/>
      </c>
      <c r="K1839" s="51" t="str">
        <f t="shared" si="396"/>
        <v/>
      </c>
      <c r="L1839" s="52" t="str">
        <f t="shared" si="397"/>
        <v/>
      </c>
      <c r="M1839" s="53" t="str">
        <f t="shared" si="398"/>
        <v/>
      </c>
      <c r="N1839" s="53" t="str">
        <f t="shared" si="399"/>
        <v/>
      </c>
      <c r="O1839" s="53" t="str">
        <f t="shared" si="400"/>
        <v/>
      </c>
      <c r="P1839" s="53" t="str">
        <f t="shared" si="401"/>
        <v/>
      </c>
      <c r="Q1839" s="53" t="str">
        <f t="shared" si="402"/>
        <v/>
      </c>
      <c r="R1839" s="53" t="str">
        <f t="shared" si="403"/>
        <v/>
      </c>
      <c r="S1839" s="53" t="str">
        <f t="shared" si="404"/>
        <v/>
      </c>
      <c r="T1839" s="53" t="str">
        <f t="shared" si="405"/>
        <v/>
      </c>
    </row>
    <row r="1840" spans="1:20">
      <c r="A1840" s="47" t="str">
        <f>IF(archive!E1840="","",archive!E1840)</f>
        <v/>
      </c>
      <c r="B1840" s="48" t="str">
        <f t="shared" si="392"/>
        <v/>
      </c>
      <c r="C1840" s="49" t="str">
        <f>IF(archive!F1840="","",archive!F1840)</f>
        <v/>
      </c>
      <c r="D1840" s="50" t="str">
        <f t="shared" si="393"/>
        <v/>
      </c>
      <c r="E1840" s="50" t="str">
        <f t="shared" si="394"/>
        <v/>
      </c>
      <c r="F1840" s="47" t="str">
        <f>IF(COUNTA(archive!H1840:CI1840)=0,"",COUNTA(archive!H1840:CI1840))</f>
        <v/>
      </c>
      <c r="G1840" s="47" t="str">
        <f>IF(archive!G1840="","",archive!G1840)</f>
        <v/>
      </c>
      <c r="H1840" s="51" t="str">
        <f>IF(archive!CJ1840="","",archive!CJ1840)</f>
        <v/>
      </c>
      <c r="I1840" s="51" t="str">
        <f>IF(archive!CK1840="","",archive!CK1840)</f>
        <v/>
      </c>
      <c r="J1840" s="47" t="str">
        <f t="shared" si="395"/>
        <v/>
      </c>
      <c r="K1840" s="51" t="str">
        <f t="shared" si="396"/>
        <v/>
      </c>
      <c r="L1840" s="52" t="str">
        <f t="shared" si="397"/>
        <v/>
      </c>
      <c r="M1840" s="53" t="str">
        <f t="shared" si="398"/>
        <v/>
      </c>
      <c r="N1840" s="53" t="str">
        <f t="shared" si="399"/>
        <v/>
      </c>
      <c r="O1840" s="53" t="str">
        <f t="shared" si="400"/>
        <v/>
      </c>
      <c r="P1840" s="53" t="str">
        <f t="shared" si="401"/>
        <v/>
      </c>
      <c r="Q1840" s="53" t="str">
        <f t="shared" si="402"/>
        <v/>
      </c>
      <c r="R1840" s="53" t="str">
        <f t="shared" si="403"/>
        <v/>
      </c>
      <c r="S1840" s="53" t="str">
        <f t="shared" si="404"/>
        <v/>
      </c>
      <c r="T1840" s="53" t="str">
        <f t="shared" si="405"/>
        <v/>
      </c>
    </row>
    <row r="1841" spans="1:20">
      <c r="A1841" s="47" t="str">
        <f>IF(archive!E1841="","",archive!E1841)</f>
        <v/>
      </c>
      <c r="B1841" s="48" t="str">
        <f t="shared" si="392"/>
        <v/>
      </c>
      <c r="C1841" s="49" t="str">
        <f>IF(archive!F1841="","",archive!F1841)</f>
        <v/>
      </c>
      <c r="D1841" s="50" t="str">
        <f t="shared" si="393"/>
        <v/>
      </c>
      <c r="E1841" s="50" t="str">
        <f t="shared" si="394"/>
        <v/>
      </c>
      <c r="F1841" s="47" t="str">
        <f>IF(COUNTA(archive!H1841:CI1841)=0,"",COUNTA(archive!H1841:CI1841))</f>
        <v/>
      </c>
      <c r="G1841" s="47" t="str">
        <f>IF(archive!G1841="","",archive!G1841)</f>
        <v/>
      </c>
      <c r="H1841" s="51" t="str">
        <f>IF(archive!CJ1841="","",archive!CJ1841)</f>
        <v/>
      </c>
      <c r="I1841" s="51" t="str">
        <f>IF(archive!CK1841="","",archive!CK1841)</f>
        <v/>
      </c>
      <c r="J1841" s="47" t="str">
        <f t="shared" si="395"/>
        <v/>
      </c>
      <c r="K1841" s="51" t="str">
        <f t="shared" si="396"/>
        <v/>
      </c>
      <c r="L1841" s="52" t="str">
        <f t="shared" si="397"/>
        <v/>
      </c>
      <c r="M1841" s="53" t="str">
        <f t="shared" si="398"/>
        <v/>
      </c>
      <c r="N1841" s="53" t="str">
        <f t="shared" si="399"/>
        <v/>
      </c>
      <c r="O1841" s="53" t="str">
        <f t="shared" si="400"/>
        <v/>
      </c>
      <c r="P1841" s="53" t="str">
        <f t="shared" si="401"/>
        <v/>
      </c>
      <c r="Q1841" s="53" t="str">
        <f t="shared" si="402"/>
        <v/>
      </c>
      <c r="R1841" s="53" t="str">
        <f t="shared" si="403"/>
        <v/>
      </c>
      <c r="S1841" s="53" t="str">
        <f t="shared" si="404"/>
        <v/>
      </c>
      <c r="T1841" s="53" t="str">
        <f t="shared" si="405"/>
        <v/>
      </c>
    </row>
    <row r="1842" spans="1:20">
      <c r="A1842" s="47" t="str">
        <f>IF(archive!E1842="","",archive!E1842)</f>
        <v/>
      </c>
      <c r="B1842" s="48" t="str">
        <f t="shared" si="392"/>
        <v/>
      </c>
      <c r="C1842" s="49" t="str">
        <f>IF(archive!F1842="","",archive!F1842)</f>
        <v/>
      </c>
      <c r="D1842" s="50" t="str">
        <f t="shared" si="393"/>
        <v/>
      </c>
      <c r="E1842" s="50" t="str">
        <f t="shared" si="394"/>
        <v/>
      </c>
      <c r="F1842" s="47" t="str">
        <f>IF(COUNTA(archive!H1842:CI1842)=0,"",COUNTA(archive!H1842:CI1842))</f>
        <v/>
      </c>
      <c r="G1842" s="47" t="str">
        <f>IF(archive!G1842="","",archive!G1842)</f>
        <v/>
      </c>
      <c r="H1842" s="51" t="str">
        <f>IF(archive!CJ1842="","",archive!CJ1842)</f>
        <v/>
      </c>
      <c r="I1842" s="51" t="str">
        <f>IF(archive!CK1842="","",archive!CK1842)</f>
        <v/>
      </c>
      <c r="J1842" s="47" t="str">
        <f t="shared" si="395"/>
        <v/>
      </c>
      <c r="K1842" s="51" t="str">
        <f t="shared" si="396"/>
        <v/>
      </c>
      <c r="L1842" s="52" t="str">
        <f t="shared" si="397"/>
        <v/>
      </c>
      <c r="M1842" s="53" t="str">
        <f t="shared" si="398"/>
        <v/>
      </c>
      <c r="N1842" s="53" t="str">
        <f t="shared" si="399"/>
        <v/>
      </c>
      <c r="O1842" s="53" t="str">
        <f t="shared" si="400"/>
        <v/>
      </c>
      <c r="P1842" s="53" t="str">
        <f t="shared" si="401"/>
        <v/>
      </c>
      <c r="Q1842" s="53" t="str">
        <f t="shared" si="402"/>
        <v/>
      </c>
      <c r="R1842" s="53" t="str">
        <f t="shared" si="403"/>
        <v/>
      </c>
      <c r="S1842" s="53" t="str">
        <f t="shared" si="404"/>
        <v/>
      </c>
      <c r="T1842" s="53" t="str">
        <f t="shared" si="405"/>
        <v/>
      </c>
    </row>
    <row r="1843" spans="1:20">
      <c r="A1843" s="47" t="str">
        <f>IF(archive!E1843="","",archive!E1843)</f>
        <v/>
      </c>
      <c r="B1843" s="48" t="str">
        <f t="shared" si="392"/>
        <v/>
      </c>
      <c r="C1843" s="49" t="str">
        <f>IF(archive!F1843="","",archive!F1843)</f>
        <v/>
      </c>
      <c r="D1843" s="50" t="str">
        <f t="shared" si="393"/>
        <v/>
      </c>
      <c r="E1843" s="50" t="str">
        <f t="shared" si="394"/>
        <v/>
      </c>
      <c r="F1843" s="47" t="str">
        <f>IF(COUNTA(archive!H1843:CI1843)=0,"",COUNTA(archive!H1843:CI1843))</f>
        <v/>
      </c>
      <c r="G1843" s="47" t="str">
        <f>IF(archive!G1843="","",archive!G1843)</f>
        <v/>
      </c>
      <c r="H1843" s="51" t="str">
        <f>IF(archive!CJ1843="","",archive!CJ1843)</f>
        <v/>
      </c>
      <c r="I1843" s="51" t="str">
        <f>IF(archive!CK1843="","",archive!CK1843)</f>
        <v/>
      </c>
      <c r="J1843" s="47" t="str">
        <f t="shared" si="395"/>
        <v/>
      </c>
      <c r="K1843" s="51" t="str">
        <f t="shared" si="396"/>
        <v/>
      </c>
      <c r="L1843" s="52" t="str">
        <f t="shared" si="397"/>
        <v/>
      </c>
      <c r="M1843" s="53" t="str">
        <f t="shared" si="398"/>
        <v/>
      </c>
      <c r="N1843" s="53" t="str">
        <f t="shared" si="399"/>
        <v/>
      </c>
      <c r="O1843" s="53" t="str">
        <f t="shared" si="400"/>
        <v/>
      </c>
      <c r="P1843" s="53" t="str">
        <f t="shared" si="401"/>
        <v/>
      </c>
      <c r="Q1843" s="53" t="str">
        <f t="shared" si="402"/>
        <v/>
      </c>
      <c r="R1843" s="53" t="str">
        <f t="shared" si="403"/>
        <v/>
      </c>
      <c r="S1843" s="53" t="str">
        <f t="shared" si="404"/>
        <v/>
      </c>
      <c r="T1843" s="53" t="str">
        <f t="shared" si="405"/>
        <v/>
      </c>
    </row>
    <row r="1844" spans="1:20">
      <c r="A1844" s="47" t="str">
        <f>IF(archive!E1844="","",archive!E1844)</f>
        <v/>
      </c>
      <c r="B1844" s="48" t="str">
        <f t="shared" si="392"/>
        <v/>
      </c>
      <c r="C1844" s="49" t="str">
        <f>IF(archive!F1844="","",archive!F1844)</f>
        <v/>
      </c>
      <c r="D1844" s="50" t="str">
        <f t="shared" si="393"/>
        <v/>
      </c>
      <c r="E1844" s="50" t="str">
        <f t="shared" si="394"/>
        <v/>
      </c>
      <c r="F1844" s="47" t="str">
        <f>IF(COUNTA(archive!H1844:CI1844)=0,"",COUNTA(archive!H1844:CI1844))</f>
        <v/>
      </c>
      <c r="G1844" s="47" t="str">
        <f>IF(archive!G1844="","",archive!G1844)</f>
        <v/>
      </c>
      <c r="H1844" s="51" t="str">
        <f>IF(archive!CJ1844="","",archive!CJ1844)</f>
        <v/>
      </c>
      <c r="I1844" s="51" t="str">
        <f>IF(archive!CK1844="","",archive!CK1844)</f>
        <v/>
      </c>
      <c r="J1844" s="47" t="str">
        <f t="shared" si="395"/>
        <v/>
      </c>
      <c r="K1844" s="51" t="str">
        <f t="shared" si="396"/>
        <v/>
      </c>
      <c r="L1844" s="52" t="str">
        <f t="shared" si="397"/>
        <v/>
      </c>
      <c r="M1844" s="53" t="str">
        <f t="shared" si="398"/>
        <v/>
      </c>
      <c r="N1844" s="53" t="str">
        <f t="shared" si="399"/>
        <v/>
      </c>
      <c r="O1844" s="53" t="str">
        <f t="shared" si="400"/>
        <v/>
      </c>
      <c r="P1844" s="53" t="str">
        <f t="shared" si="401"/>
        <v/>
      </c>
      <c r="Q1844" s="53" t="str">
        <f t="shared" si="402"/>
        <v/>
      </c>
      <c r="R1844" s="53" t="str">
        <f t="shared" si="403"/>
        <v/>
      </c>
      <c r="S1844" s="53" t="str">
        <f t="shared" si="404"/>
        <v/>
      </c>
      <c r="T1844" s="53" t="str">
        <f t="shared" si="405"/>
        <v/>
      </c>
    </row>
    <row r="1845" spans="1:20">
      <c r="A1845" s="47" t="str">
        <f>IF(archive!E1845="","",archive!E1845)</f>
        <v/>
      </c>
      <c r="B1845" s="48" t="str">
        <f t="shared" si="392"/>
        <v/>
      </c>
      <c r="C1845" s="49" t="str">
        <f>IF(archive!F1845="","",archive!F1845)</f>
        <v/>
      </c>
      <c r="D1845" s="50" t="str">
        <f t="shared" si="393"/>
        <v/>
      </c>
      <c r="E1845" s="50" t="str">
        <f t="shared" si="394"/>
        <v/>
      </c>
      <c r="F1845" s="47" t="str">
        <f>IF(COUNTA(archive!H1845:CI1845)=0,"",COUNTA(archive!H1845:CI1845))</f>
        <v/>
      </c>
      <c r="G1845" s="47" t="str">
        <f>IF(archive!G1845="","",archive!G1845)</f>
        <v/>
      </c>
      <c r="H1845" s="51" t="str">
        <f>IF(archive!CJ1845="","",archive!CJ1845)</f>
        <v/>
      </c>
      <c r="I1845" s="51" t="str">
        <f>IF(archive!CK1845="","",archive!CK1845)</f>
        <v/>
      </c>
      <c r="J1845" s="47" t="str">
        <f t="shared" si="395"/>
        <v/>
      </c>
      <c r="K1845" s="51" t="str">
        <f t="shared" si="396"/>
        <v/>
      </c>
      <c r="L1845" s="52" t="str">
        <f t="shared" si="397"/>
        <v/>
      </c>
      <c r="M1845" s="53" t="str">
        <f t="shared" si="398"/>
        <v/>
      </c>
      <c r="N1845" s="53" t="str">
        <f t="shared" si="399"/>
        <v/>
      </c>
      <c r="O1845" s="53" t="str">
        <f t="shared" si="400"/>
        <v/>
      </c>
      <c r="P1845" s="53" t="str">
        <f t="shared" si="401"/>
        <v/>
      </c>
      <c r="Q1845" s="53" t="str">
        <f t="shared" si="402"/>
        <v/>
      </c>
      <c r="R1845" s="53" t="str">
        <f t="shared" si="403"/>
        <v/>
      </c>
      <c r="S1845" s="53" t="str">
        <f t="shared" si="404"/>
        <v/>
      </c>
      <c r="T1845" s="53" t="str">
        <f t="shared" si="405"/>
        <v/>
      </c>
    </row>
    <row r="1846" spans="1:20">
      <c r="A1846" s="47" t="str">
        <f>IF(archive!E1846="","",archive!E1846)</f>
        <v/>
      </c>
      <c r="B1846" s="48" t="str">
        <f t="shared" si="392"/>
        <v/>
      </c>
      <c r="C1846" s="49" t="str">
        <f>IF(archive!F1846="","",archive!F1846)</f>
        <v/>
      </c>
      <c r="D1846" s="50" t="str">
        <f t="shared" si="393"/>
        <v/>
      </c>
      <c r="E1846" s="50" t="str">
        <f t="shared" si="394"/>
        <v/>
      </c>
      <c r="F1846" s="47" t="str">
        <f>IF(COUNTA(archive!H1846:CI1846)=0,"",COUNTA(archive!H1846:CI1846))</f>
        <v/>
      </c>
      <c r="G1846" s="47" t="str">
        <f>IF(archive!G1846="","",archive!G1846)</f>
        <v/>
      </c>
      <c r="H1846" s="51" t="str">
        <f>IF(archive!CJ1846="","",archive!CJ1846)</f>
        <v/>
      </c>
      <c r="I1846" s="51" t="str">
        <f>IF(archive!CK1846="","",archive!CK1846)</f>
        <v/>
      </c>
      <c r="J1846" s="47" t="str">
        <f t="shared" si="395"/>
        <v/>
      </c>
      <c r="K1846" s="51" t="str">
        <f t="shared" si="396"/>
        <v/>
      </c>
      <c r="L1846" s="52" t="str">
        <f t="shared" si="397"/>
        <v/>
      </c>
      <c r="M1846" s="53" t="str">
        <f t="shared" si="398"/>
        <v/>
      </c>
      <c r="N1846" s="53" t="str">
        <f t="shared" si="399"/>
        <v/>
      </c>
      <c r="O1846" s="53" t="str">
        <f t="shared" si="400"/>
        <v/>
      </c>
      <c r="P1846" s="53" t="str">
        <f t="shared" si="401"/>
        <v/>
      </c>
      <c r="Q1846" s="53" t="str">
        <f t="shared" si="402"/>
        <v/>
      </c>
      <c r="R1846" s="53" t="str">
        <f t="shared" si="403"/>
        <v/>
      </c>
      <c r="S1846" s="53" t="str">
        <f t="shared" si="404"/>
        <v/>
      </c>
      <c r="T1846" s="53" t="str">
        <f t="shared" si="405"/>
        <v/>
      </c>
    </row>
    <row r="1847" spans="1:20">
      <c r="A1847" s="47" t="str">
        <f>IF(archive!E1847="","",archive!E1847)</f>
        <v/>
      </c>
      <c r="B1847" s="48" t="str">
        <f t="shared" si="392"/>
        <v/>
      </c>
      <c r="C1847" s="49" t="str">
        <f>IF(archive!F1847="","",archive!F1847)</f>
        <v/>
      </c>
      <c r="D1847" s="50" t="str">
        <f t="shared" si="393"/>
        <v/>
      </c>
      <c r="E1847" s="50" t="str">
        <f t="shared" si="394"/>
        <v/>
      </c>
      <c r="F1847" s="47" t="str">
        <f>IF(COUNTA(archive!H1847:CI1847)=0,"",COUNTA(archive!H1847:CI1847))</f>
        <v/>
      </c>
      <c r="G1847" s="47" t="str">
        <f>IF(archive!G1847="","",archive!G1847)</f>
        <v/>
      </c>
      <c r="H1847" s="51" t="str">
        <f>IF(archive!CJ1847="","",archive!CJ1847)</f>
        <v/>
      </c>
      <c r="I1847" s="51" t="str">
        <f>IF(archive!CK1847="","",archive!CK1847)</f>
        <v/>
      </c>
      <c r="J1847" s="47" t="str">
        <f t="shared" si="395"/>
        <v/>
      </c>
      <c r="K1847" s="51" t="str">
        <f t="shared" si="396"/>
        <v/>
      </c>
      <c r="L1847" s="52" t="str">
        <f t="shared" si="397"/>
        <v/>
      </c>
      <c r="M1847" s="53" t="str">
        <f t="shared" si="398"/>
        <v/>
      </c>
      <c r="N1847" s="53" t="str">
        <f t="shared" si="399"/>
        <v/>
      </c>
      <c r="O1847" s="53" t="str">
        <f t="shared" si="400"/>
        <v/>
      </c>
      <c r="P1847" s="53" t="str">
        <f t="shared" si="401"/>
        <v/>
      </c>
      <c r="Q1847" s="53" t="str">
        <f t="shared" si="402"/>
        <v/>
      </c>
      <c r="R1847" s="53" t="str">
        <f t="shared" si="403"/>
        <v/>
      </c>
      <c r="S1847" s="53" t="str">
        <f t="shared" si="404"/>
        <v/>
      </c>
      <c r="T1847" s="53" t="str">
        <f t="shared" si="405"/>
        <v/>
      </c>
    </row>
    <row r="1848" spans="1:20">
      <c r="A1848" s="47" t="str">
        <f>IF(archive!E1848="","",archive!E1848)</f>
        <v/>
      </c>
      <c r="B1848" s="48" t="str">
        <f t="shared" si="392"/>
        <v/>
      </c>
      <c r="C1848" s="49" t="str">
        <f>IF(archive!F1848="","",archive!F1848)</f>
        <v/>
      </c>
      <c r="D1848" s="50" t="str">
        <f t="shared" si="393"/>
        <v/>
      </c>
      <c r="E1848" s="50" t="str">
        <f t="shared" si="394"/>
        <v/>
      </c>
      <c r="F1848" s="47" t="str">
        <f>IF(COUNTA(archive!H1848:CI1848)=0,"",COUNTA(archive!H1848:CI1848))</f>
        <v/>
      </c>
      <c r="G1848" s="47" t="str">
        <f>IF(archive!G1848="","",archive!G1848)</f>
        <v/>
      </c>
      <c r="H1848" s="51" t="str">
        <f>IF(archive!CJ1848="","",archive!CJ1848)</f>
        <v/>
      </c>
      <c r="I1848" s="51" t="str">
        <f>IF(archive!CK1848="","",archive!CK1848)</f>
        <v/>
      </c>
      <c r="J1848" s="47" t="str">
        <f t="shared" si="395"/>
        <v/>
      </c>
      <c r="K1848" s="51" t="str">
        <f t="shared" si="396"/>
        <v/>
      </c>
      <c r="L1848" s="52" t="str">
        <f t="shared" si="397"/>
        <v/>
      </c>
      <c r="M1848" s="53" t="str">
        <f t="shared" si="398"/>
        <v/>
      </c>
      <c r="N1848" s="53" t="str">
        <f t="shared" si="399"/>
        <v/>
      </c>
      <c r="O1848" s="53" t="str">
        <f t="shared" si="400"/>
        <v/>
      </c>
      <c r="P1848" s="53" t="str">
        <f t="shared" si="401"/>
        <v/>
      </c>
      <c r="Q1848" s="53" t="str">
        <f t="shared" si="402"/>
        <v/>
      </c>
      <c r="R1848" s="53" t="str">
        <f t="shared" si="403"/>
        <v/>
      </c>
      <c r="S1848" s="53" t="str">
        <f t="shared" si="404"/>
        <v/>
      </c>
      <c r="T1848" s="53" t="str">
        <f t="shared" si="405"/>
        <v/>
      </c>
    </row>
    <row r="1849" spans="1:20">
      <c r="A1849" s="47" t="str">
        <f>IF(archive!E1849="","",archive!E1849)</f>
        <v/>
      </c>
      <c r="B1849" s="48" t="str">
        <f t="shared" si="392"/>
        <v/>
      </c>
      <c r="C1849" s="49" t="str">
        <f>IF(archive!F1849="","",archive!F1849)</f>
        <v/>
      </c>
      <c r="D1849" s="50" t="str">
        <f t="shared" si="393"/>
        <v/>
      </c>
      <c r="E1849" s="50" t="str">
        <f t="shared" si="394"/>
        <v/>
      </c>
      <c r="F1849" s="47" t="str">
        <f>IF(COUNTA(archive!H1849:CI1849)=0,"",COUNTA(archive!H1849:CI1849))</f>
        <v/>
      </c>
      <c r="G1849" s="47" t="str">
        <f>IF(archive!G1849="","",archive!G1849)</f>
        <v/>
      </c>
      <c r="H1849" s="51" t="str">
        <f>IF(archive!CJ1849="","",archive!CJ1849)</f>
        <v/>
      </c>
      <c r="I1849" s="51" t="str">
        <f>IF(archive!CK1849="","",archive!CK1849)</f>
        <v/>
      </c>
      <c r="J1849" s="47" t="str">
        <f t="shared" si="395"/>
        <v/>
      </c>
      <c r="K1849" s="51" t="str">
        <f t="shared" si="396"/>
        <v/>
      </c>
      <c r="L1849" s="52" t="str">
        <f t="shared" si="397"/>
        <v/>
      </c>
      <c r="M1849" s="53" t="str">
        <f t="shared" si="398"/>
        <v/>
      </c>
      <c r="N1849" s="53" t="str">
        <f t="shared" si="399"/>
        <v/>
      </c>
      <c r="O1849" s="53" t="str">
        <f t="shared" si="400"/>
        <v/>
      </c>
      <c r="P1849" s="53" t="str">
        <f t="shared" si="401"/>
        <v/>
      </c>
      <c r="Q1849" s="53" t="str">
        <f t="shared" si="402"/>
        <v/>
      </c>
      <c r="R1849" s="53" t="str">
        <f t="shared" si="403"/>
        <v/>
      </c>
      <c r="S1849" s="53" t="str">
        <f t="shared" si="404"/>
        <v/>
      </c>
      <c r="T1849" s="53" t="str">
        <f t="shared" si="405"/>
        <v/>
      </c>
    </row>
    <row r="1850" spans="1:20">
      <c r="A1850" s="47" t="str">
        <f>IF(archive!E1850="","",archive!E1850)</f>
        <v/>
      </c>
      <c r="B1850" s="48" t="str">
        <f t="shared" si="392"/>
        <v/>
      </c>
      <c r="C1850" s="49" t="str">
        <f>IF(archive!F1850="","",archive!F1850)</f>
        <v/>
      </c>
      <c r="D1850" s="50" t="str">
        <f t="shared" si="393"/>
        <v/>
      </c>
      <c r="E1850" s="50" t="str">
        <f t="shared" si="394"/>
        <v/>
      </c>
      <c r="F1850" s="47" t="str">
        <f>IF(COUNTA(archive!H1850:CI1850)=0,"",COUNTA(archive!H1850:CI1850))</f>
        <v/>
      </c>
      <c r="G1850" s="47" t="str">
        <f>IF(archive!G1850="","",archive!G1850)</f>
        <v/>
      </c>
      <c r="H1850" s="51" t="str">
        <f>IF(archive!CJ1850="","",archive!CJ1850)</f>
        <v/>
      </c>
      <c r="I1850" s="51" t="str">
        <f>IF(archive!CK1850="","",archive!CK1850)</f>
        <v/>
      </c>
      <c r="J1850" s="47" t="str">
        <f t="shared" si="395"/>
        <v/>
      </c>
      <c r="K1850" s="51" t="str">
        <f t="shared" si="396"/>
        <v/>
      </c>
      <c r="L1850" s="52" t="str">
        <f t="shared" si="397"/>
        <v/>
      </c>
      <c r="M1850" s="53" t="str">
        <f t="shared" si="398"/>
        <v/>
      </c>
      <c r="N1850" s="53" t="str">
        <f t="shared" si="399"/>
        <v/>
      </c>
      <c r="O1850" s="53" t="str">
        <f t="shared" si="400"/>
        <v/>
      </c>
      <c r="P1850" s="53" t="str">
        <f t="shared" si="401"/>
        <v/>
      </c>
      <c r="Q1850" s="53" t="str">
        <f t="shared" si="402"/>
        <v/>
      </c>
      <c r="R1850" s="53" t="str">
        <f t="shared" si="403"/>
        <v/>
      </c>
      <c r="S1850" s="53" t="str">
        <f t="shared" si="404"/>
        <v/>
      </c>
      <c r="T1850" s="53" t="str">
        <f t="shared" si="405"/>
        <v/>
      </c>
    </row>
    <row r="1851" spans="1:20">
      <c r="A1851" s="47" t="str">
        <f>IF(archive!E1851="","",archive!E1851)</f>
        <v/>
      </c>
      <c r="B1851" s="48" t="str">
        <f t="shared" si="392"/>
        <v/>
      </c>
      <c r="C1851" s="49" t="str">
        <f>IF(archive!F1851="","",archive!F1851)</f>
        <v/>
      </c>
      <c r="D1851" s="50" t="str">
        <f t="shared" si="393"/>
        <v/>
      </c>
      <c r="E1851" s="50" t="str">
        <f t="shared" si="394"/>
        <v/>
      </c>
      <c r="F1851" s="47" t="str">
        <f>IF(COUNTA(archive!H1851:CI1851)=0,"",COUNTA(archive!H1851:CI1851))</f>
        <v/>
      </c>
      <c r="G1851" s="47" t="str">
        <f>IF(archive!G1851="","",archive!G1851)</f>
        <v/>
      </c>
      <c r="H1851" s="51" t="str">
        <f>IF(archive!CJ1851="","",archive!CJ1851)</f>
        <v/>
      </c>
      <c r="I1851" s="51" t="str">
        <f>IF(archive!CK1851="","",archive!CK1851)</f>
        <v/>
      </c>
      <c r="J1851" s="47" t="str">
        <f t="shared" si="395"/>
        <v/>
      </c>
      <c r="K1851" s="51" t="str">
        <f t="shared" si="396"/>
        <v/>
      </c>
      <c r="L1851" s="52" t="str">
        <f t="shared" si="397"/>
        <v/>
      </c>
      <c r="M1851" s="53" t="str">
        <f t="shared" si="398"/>
        <v/>
      </c>
      <c r="N1851" s="53" t="str">
        <f t="shared" si="399"/>
        <v/>
      </c>
      <c r="O1851" s="53" t="str">
        <f t="shared" si="400"/>
        <v/>
      </c>
      <c r="P1851" s="53" t="str">
        <f t="shared" si="401"/>
        <v/>
      </c>
      <c r="Q1851" s="53" t="str">
        <f t="shared" si="402"/>
        <v/>
      </c>
      <c r="R1851" s="53" t="str">
        <f t="shared" si="403"/>
        <v/>
      </c>
      <c r="S1851" s="53" t="str">
        <f t="shared" si="404"/>
        <v/>
      </c>
      <c r="T1851" s="53" t="str">
        <f t="shared" si="405"/>
        <v/>
      </c>
    </row>
    <row r="1852" spans="1:20">
      <c r="A1852" s="47" t="str">
        <f>IF(archive!E1852="","",archive!E1852)</f>
        <v/>
      </c>
      <c r="B1852" s="48" t="str">
        <f t="shared" si="392"/>
        <v/>
      </c>
      <c r="C1852" s="49" t="str">
        <f>IF(archive!F1852="","",archive!F1852)</f>
        <v/>
      </c>
      <c r="D1852" s="50" t="str">
        <f t="shared" si="393"/>
        <v/>
      </c>
      <c r="E1852" s="50" t="str">
        <f t="shared" si="394"/>
        <v/>
      </c>
      <c r="F1852" s="47" t="str">
        <f>IF(COUNTA(archive!H1852:CI1852)=0,"",COUNTA(archive!H1852:CI1852))</f>
        <v/>
      </c>
      <c r="G1852" s="47" t="str">
        <f>IF(archive!G1852="","",archive!G1852)</f>
        <v/>
      </c>
      <c r="H1852" s="51" t="str">
        <f>IF(archive!CJ1852="","",archive!CJ1852)</f>
        <v/>
      </c>
      <c r="I1852" s="51" t="str">
        <f>IF(archive!CK1852="","",archive!CK1852)</f>
        <v/>
      </c>
      <c r="J1852" s="47" t="str">
        <f t="shared" si="395"/>
        <v/>
      </c>
      <c r="K1852" s="51" t="str">
        <f t="shared" si="396"/>
        <v/>
      </c>
      <c r="L1852" s="52" t="str">
        <f t="shared" si="397"/>
        <v/>
      </c>
      <c r="M1852" s="53" t="str">
        <f t="shared" si="398"/>
        <v/>
      </c>
      <c r="N1852" s="53" t="str">
        <f t="shared" si="399"/>
        <v/>
      </c>
      <c r="O1852" s="53" t="str">
        <f t="shared" si="400"/>
        <v/>
      </c>
      <c r="P1852" s="53" t="str">
        <f t="shared" si="401"/>
        <v/>
      </c>
      <c r="Q1852" s="53" t="str">
        <f t="shared" si="402"/>
        <v/>
      </c>
      <c r="R1852" s="53" t="str">
        <f t="shared" si="403"/>
        <v/>
      </c>
      <c r="S1852" s="53" t="str">
        <f t="shared" si="404"/>
        <v/>
      </c>
      <c r="T1852" s="53" t="str">
        <f t="shared" si="405"/>
        <v/>
      </c>
    </row>
    <row r="1853" spans="1:20">
      <c r="A1853" s="47" t="str">
        <f>IF(archive!E1853="","",archive!E1853)</f>
        <v/>
      </c>
      <c r="B1853" s="48" t="str">
        <f t="shared" si="392"/>
        <v/>
      </c>
      <c r="C1853" s="49" t="str">
        <f>IF(archive!F1853="","",archive!F1853)</f>
        <v/>
      </c>
      <c r="D1853" s="50" t="str">
        <f t="shared" si="393"/>
        <v/>
      </c>
      <c r="E1853" s="50" t="str">
        <f t="shared" si="394"/>
        <v/>
      </c>
      <c r="F1853" s="47" t="str">
        <f>IF(COUNTA(archive!H1853:CI1853)=0,"",COUNTA(archive!H1853:CI1853))</f>
        <v/>
      </c>
      <c r="G1853" s="47" t="str">
        <f>IF(archive!G1853="","",archive!G1853)</f>
        <v/>
      </c>
      <c r="H1853" s="51" t="str">
        <f>IF(archive!CJ1853="","",archive!CJ1853)</f>
        <v/>
      </c>
      <c r="I1853" s="51" t="str">
        <f>IF(archive!CK1853="","",archive!CK1853)</f>
        <v/>
      </c>
      <c r="J1853" s="47" t="str">
        <f t="shared" si="395"/>
        <v/>
      </c>
      <c r="K1853" s="51" t="str">
        <f t="shared" si="396"/>
        <v/>
      </c>
      <c r="L1853" s="52" t="str">
        <f t="shared" si="397"/>
        <v/>
      </c>
      <c r="M1853" s="53" t="str">
        <f t="shared" si="398"/>
        <v/>
      </c>
      <c r="N1853" s="53" t="str">
        <f t="shared" si="399"/>
        <v/>
      </c>
      <c r="O1853" s="53" t="str">
        <f t="shared" si="400"/>
        <v/>
      </c>
      <c r="P1853" s="53" t="str">
        <f t="shared" si="401"/>
        <v/>
      </c>
      <c r="Q1853" s="53" t="str">
        <f t="shared" si="402"/>
        <v/>
      </c>
      <c r="R1853" s="53" t="str">
        <f t="shared" si="403"/>
        <v/>
      </c>
      <c r="S1853" s="53" t="str">
        <f t="shared" si="404"/>
        <v/>
      </c>
      <c r="T1853" s="53" t="str">
        <f t="shared" si="405"/>
        <v/>
      </c>
    </row>
    <row r="1854" spans="1:20">
      <c r="A1854" s="47" t="str">
        <f>IF(archive!E1854="","",archive!E1854)</f>
        <v/>
      </c>
      <c r="B1854" s="48" t="str">
        <f t="shared" si="392"/>
        <v/>
      </c>
      <c r="C1854" s="49" t="str">
        <f>IF(archive!F1854="","",archive!F1854)</f>
        <v/>
      </c>
      <c r="D1854" s="50" t="str">
        <f t="shared" si="393"/>
        <v/>
      </c>
      <c r="E1854" s="50" t="str">
        <f t="shared" si="394"/>
        <v/>
      </c>
      <c r="F1854" s="47" t="str">
        <f>IF(COUNTA(archive!H1854:CI1854)=0,"",COUNTA(archive!H1854:CI1854))</f>
        <v/>
      </c>
      <c r="G1854" s="47" t="str">
        <f>IF(archive!G1854="","",archive!G1854)</f>
        <v/>
      </c>
      <c r="H1854" s="51" t="str">
        <f>IF(archive!CJ1854="","",archive!CJ1854)</f>
        <v/>
      </c>
      <c r="I1854" s="51" t="str">
        <f>IF(archive!CK1854="","",archive!CK1854)</f>
        <v/>
      </c>
      <c r="J1854" s="47" t="str">
        <f t="shared" si="395"/>
        <v/>
      </c>
      <c r="K1854" s="51" t="str">
        <f t="shared" si="396"/>
        <v/>
      </c>
      <c r="L1854" s="52" t="str">
        <f t="shared" si="397"/>
        <v/>
      </c>
      <c r="M1854" s="53" t="str">
        <f t="shared" si="398"/>
        <v/>
      </c>
      <c r="N1854" s="53" t="str">
        <f t="shared" si="399"/>
        <v/>
      </c>
      <c r="O1854" s="53" t="str">
        <f t="shared" si="400"/>
        <v/>
      </c>
      <c r="P1854" s="53" t="str">
        <f t="shared" si="401"/>
        <v/>
      </c>
      <c r="Q1854" s="53" t="str">
        <f t="shared" si="402"/>
        <v/>
      </c>
      <c r="R1854" s="53" t="str">
        <f t="shared" si="403"/>
        <v/>
      </c>
      <c r="S1854" s="53" t="str">
        <f t="shared" si="404"/>
        <v/>
      </c>
      <c r="T1854" s="53" t="str">
        <f t="shared" si="405"/>
        <v/>
      </c>
    </row>
    <row r="1855" spans="1:20">
      <c r="A1855" s="47" t="str">
        <f>IF(archive!E1855="","",archive!E1855)</f>
        <v/>
      </c>
      <c r="B1855" s="48" t="str">
        <f t="shared" si="392"/>
        <v/>
      </c>
      <c r="C1855" s="49" t="str">
        <f>IF(archive!F1855="","",archive!F1855)</f>
        <v/>
      </c>
      <c r="D1855" s="50" t="str">
        <f t="shared" si="393"/>
        <v/>
      </c>
      <c r="E1855" s="50" t="str">
        <f t="shared" si="394"/>
        <v/>
      </c>
      <c r="F1855" s="47" t="str">
        <f>IF(COUNTA(archive!H1855:CI1855)=0,"",COUNTA(archive!H1855:CI1855))</f>
        <v/>
      </c>
      <c r="G1855" s="47" t="str">
        <f>IF(archive!G1855="","",archive!G1855)</f>
        <v/>
      </c>
      <c r="H1855" s="51" t="str">
        <f>IF(archive!CJ1855="","",archive!CJ1855)</f>
        <v/>
      </c>
      <c r="I1855" s="51" t="str">
        <f>IF(archive!CK1855="","",archive!CK1855)</f>
        <v/>
      </c>
      <c r="J1855" s="47" t="str">
        <f t="shared" si="395"/>
        <v/>
      </c>
      <c r="K1855" s="51" t="str">
        <f t="shared" si="396"/>
        <v/>
      </c>
      <c r="L1855" s="52" t="str">
        <f t="shared" si="397"/>
        <v/>
      </c>
      <c r="M1855" s="53" t="str">
        <f t="shared" si="398"/>
        <v/>
      </c>
      <c r="N1855" s="53" t="str">
        <f t="shared" si="399"/>
        <v/>
      </c>
      <c r="O1855" s="53" t="str">
        <f t="shared" si="400"/>
        <v/>
      </c>
      <c r="P1855" s="53" t="str">
        <f t="shared" si="401"/>
        <v/>
      </c>
      <c r="Q1855" s="53" t="str">
        <f t="shared" si="402"/>
        <v/>
      </c>
      <c r="R1855" s="53" t="str">
        <f t="shared" si="403"/>
        <v/>
      </c>
      <c r="S1855" s="53" t="str">
        <f t="shared" si="404"/>
        <v/>
      </c>
      <c r="T1855" s="53" t="str">
        <f t="shared" si="405"/>
        <v/>
      </c>
    </row>
    <row r="1856" spans="1:20">
      <c r="A1856" s="47" t="str">
        <f>IF(archive!E1856="","",archive!E1856)</f>
        <v/>
      </c>
      <c r="B1856" s="48" t="str">
        <f t="shared" si="392"/>
        <v/>
      </c>
      <c r="C1856" s="49" t="str">
        <f>IF(archive!F1856="","",archive!F1856)</f>
        <v/>
      </c>
      <c r="D1856" s="50" t="str">
        <f t="shared" si="393"/>
        <v/>
      </c>
      <c r="E1856" s="50" t="str">
        <f t="shared" si="394"/>
        <v/>
      </c>
      <c r="F1856" s="47" t="str">
        <f>IF(COUNTA(archive!H1856:CI1856)=0,"",COUNTA(archive!H1856:CI1856))</f>
        <v/>
      </c>
      <c r="G1856" s="47" t="str">
        <f>IF(archive!G1856="","",archive!G1856)</f>
        <v/>
      </c>
      <c r="H1856" s="51" t="str">
        <f>IF(archive!CJ1856="","",archive!CJ1856)</f>
        <v/>
      </c>
      <c r="I1856" s="51" t="str">
        <f>IF(archive!CK1856="","",archive!CK1856)</f>
        <v/>
      </c>
      <c r="J1856" s="47" t="str">
        <f t="shared" si="395"/>
        <v/>
      </c>
      <c r="K1856" s="51" t="str">
        <f t="shared" si="396"/>
        <v/>
      </c>
      <c r="L1856" s="52" t="str">
        <f t="shared" si="397"/>
        <v/>
      </c>
      <c r="M1856" s="53" t="str">
        <f t="shared" si="398"/>
        <v/>
      </c>
      <c r="N1856" s="53" t="str">
        <f t="shared" si="399"/>
        <v/>
      </c>
      <c r="O1856" s="53" t="str">
        <f t="shared" si="400"/>
        <v/>
      </c>
      <c r="P1856" s="53" t="str">
        <f t="shared" si="401"/>
        <v/>
      </c>
      <c r="Q1856" s="53" t="str">
        <f t="shared" si="402"/>
        <v/>
      </c>
      <c r="R1856" s="53" t="str">
        <f t="shared" si="403"/>
        <v/>
      </c>
      <c r="S1856" s="53" t="str">
        <f t="shared" si="404"/>
        <v/>
      </c>
      <c r="T1856" s="53" t="str">
        <f t="shared" si="405"/>
        <v/>
      </c>
    </row>
    <row r="1857" spans="1:20">
      <c r="A1857" s="47" t="str">
        <f>IF(archive!E1857="","",archive!E1857)</f>
        <v/>
      </c>
      <c r="B1857" s="48" t="str">
        <f t="shared" si="392"/>
        <v/>
      </c>
      <c r="C1857" s="49" t="str">
        <f>IF(archive!F1857="","",archive!F1857)</f>
        <v/>
      </c>
      <c r="D1857" s="50" t="str">
        <f t="shared" si="393"/>
        <v/>
      </c>
      <c r="E1857" s="50" t="str">
        <f t="shared" si="394"/>
        <v/>
      </c>
      <c r="F1857" s="47" t="str">
        <f>IF(COUNTA(archive!H1857:CI1857)=0,"",COUNTA(archive!H1857:CI1857))</f>
        <v/>
      </c>
      <c r="G1857" s="47" t="str">
        <f>IF(archive!G1857="","",archive!G1857)</f>
        <v/>
      </c>
      <c r="H1857" s="51" t="str">
        <f>IF(archive!CJ1857="","",archive!CJ1857)</f>
        <v/>
      </c>
      <c r="I1857" s="51" t="str">
        <f>IF(archive!CK1857="","",archive!CK1857)</f>
        <v/>
      </c>
      <c r="J1857" s="47" t="str">
        <f t="shared" si="395"/>
        <v/>
      </c>
      <c r="K1857" s="51" t="str">
        <f t="shared" si="396"/>
        <v/>
      </c>
      <c r="L1857" s="52" t="str">
        <f t="shared" si="397"/>
        <v/>
      </c>
      <c r="M1857" s="53" t="str">
        <f t="shared" si="398"/>
        <v/>
      </c>
      <c r="N1857" s="53" t="str">
        <f t="shared" si="399"/>
        <v/>
      </c>
      <c r="O1857" s="53" t="str">
        <f t="shared" si="400"/>
        <v/>
      </c>
      <c r="P1857" s="53" t="str">
        <f t="shared" si="401"/>
        <v/>
      </c>
      <c r="Q1857" s="53" t="str">
        <f t="shared" si="402"/>
        <v/>
      </c>
      <c r="R1857" s="53" t="str">
        <f t="shared" si="403"/>
        <v/>
      </c>
      <c r="S1857" s="53" t="str">
        <f t="shared" si="404"/>
        <v/>
      </c>
      <c r="T1857" s="53" t="str">
        <f t="shared" si="405"/>
        <v/>
      </c>
    </row>
    <row r="1858" spans="1:20">
      <c r="A1858" s="47" t="str">
        <f>IF(archive!E1858="","",archive!E1858)</f>
        <v/>
      </c>
      <c r="B1858" s="48" t="str">
        <f t="shared" si="392"/>
        <v/>
      </c>
      <c r="C1858" s="49" t="str">
        <f>IF(archive!F1858="","",archive!F1858)</f>
        <v/>
      </c>
      <c r="D1858" s="50" t="str">
        <f t="shared" si="393"/>
        <v/>
      </c>
      <c r="E1858" s="50" t="str">
        <f t="shared" si="394"/>
        <v/>
      </c>
      <c r="F1858" s="47" t="str">
        <f>IF(COUNTA(archive!H1858:CI1858)=0,"",COUNTA(archive!H1858:CI1858))</f>
        <v/>
      </c>
      <c r="G1858" s="47" t="str">
        <f>IF(archive!G1858="","",archive!G1858)</f>
        <v/>
      </c>
      <c r="H1858" s="51" t="str">
        <f>IF(archive!CJ1858="","",archive!CJ1858)</f>
        <v/>
      </c>
      <c r="I1858" s="51" t="str">
        <f>IF(archive!CK1858="","",archive!CK1858)</f>
        <v/>
      </c>
      <c r="J1858" s="47" t="str">
        <f t="shared" si="395"/>
        <v/>
      </c>
      <c r="K1858" s="51" t="str">
        <f t="shared" si="396"/>
        <v/>
      </c>
      <c r="L1858" s="52" t="str">
        <f t="shared" si="397"/>
        <v/>
      </c>
      <c r="M1858" s="53" t="str">
        <f t="shared" si="398"/>
        <v/>
      </c>
      <c r="N1858" s="53" t="str">
        <f t="shared" si="399"/>
        <v/>
      </c>
      <c r="O1858" s="53" t="str">
        <f t="shared" si="400"/>
        <v/>
      </c>
      <c r="P1858" s="53" t="str">
        <f t="shared" si="401"/>
        <v/>
      </c>
      <c r="Q1858" s="53" t="str">
        <f t="shared" si="402"/>
        <v/>
      </c>
      <c r="R1858" s="53" t="str">
        <f t="shared" si="403"/>
        <v/>
      </c>
      <c r="S1858" s="53" t="str">
        <f t="shared" si="404"/>
        <v/>
      </c>
      <c r="T1858" s="53" t="str">
        <f t="shared" si="405"/>
        <v/>
      </c>
    </row>
    <row r="1859" spans="1:20">
      <c r="A1859" s="47" t="str">
        <f>IF(archive!E1859="","",archive!E1859)</f>
        <v/>
      </c>
      <c r="B1859" s="48" t="str">
        <f t="shared" si="392"/>
        <v/>
      </c>
      <c r="C1859" s="49" t="str">
        <f>IF(archive!F1859="","",archive!F1859)</f>
        <v/>
      </c>
      <c r="D1859" s="50" t="str">
        <f t="shared" si="393"/>
        <v/>
      </c>
      <c r="E1859" s="50" t="str">
        <f t="shared" si="394"/>
        <v/>
      </c>
      <c r="F1859" s="47" t="str">
        <f>IF(COUNTA(archive!H1859:CI1859)=0,"",COUNTA(archive!H1859:CI1859))</f>
        <v/>
      </c>
      <c r="G1859" s="47" t="str">
        <f>IF(archive!G1859="","",archive!G1859)</f>
        <v/>
      </c>
      <c r="H1859" s="51" t="str">
        <f>IF(archive!CJ1859="","",archive!CJ1859)</f>
        <v/>
      </c>
      <c r="I1859" s="51" t="str">
        <f>IF(archive!CK1859="","",archive!CK1859)</f>
        <v/>
      </c>
      <c r="J1859" s="47" t="str">
        <f t="shared" si="395"/>
        <v/>
      </c>
      <c r="K1859" s="51" t="str">
        <f t="shared" si="396"/>
        <v/>
      </c>
      <c r="L1859" s="52" t="str">
        <f t="shared" si="397"/>
        <v/>
      </c>
      <c r="M1859" s="53" t="str">
        <f t="shared" si="398"/>
        <v/>
      </c>
      <c r="N1859" s="53" t="str">
        <f t="shared" si="399"/>
        <v/>
      </c>
      <c r="O1859" s="53" t="str">
        <f t="shared" si="400"/>
        <v/>
      </c>
      <c r="P1859" s="53" t="str">
        <f t="shared" si="401"/>
        <v/>
      </c>
      <c r="Q1859" s="53" t="str">
        <f t="shared" si="402"/>
        <v/>
      </c>
      <c r="R1859" s="53" t="str">
        <f t="shared" si="403"/>
        <v/>
      </c>
      <c r="S1859" s="53" t="str">
        <f t="shared" si="404"/>
        <v/>
      </c>
      <c r="T1859" s="53" t="str">
        <f t="shared" si="405"/>
        <v/>
      </c>
    </row>
    <row r="1860" spans="1:20">
      <c r="A1860" s="47" t="str">
        <f>IF(archive!E1860="","",archive!E1860)</f>
        <v/>
      </c>
      <c r="B1860" s="48" t="str">
        <f t="shared" ref="B1860:B1923" si="406">IF(C1860="","",VLOOKUP($C1860,Tare,2,0))</f>
        <v/>
      </c>
      <c r="C1860" s="49" t="str">
        <f>IF(archive!F1860="","",archive!F1860)</f>
        <v/>
      </c>
      <c r="D1860" s="50" t="str">
        <f t="shared" ref="D1860:D1923" si="407">IF(C1860="","",C1860+B1860)</f>
        <v/>
      </c>
      <c r="E1860" s="50" t="str">
        <f t="shared" ref="E1860:E1923" si="408">IF(C1860="","",(C1860*0.025)+D1860)</f>
        <v/>
      </c>
      <c r="F1860" s="47" t="str">
        <f>IF(COUNTA(archive!H1860:CI1860)=0,"",COUNTA(archive!H1860:CI1860))</f>
        <v/>
      </c>
      <c r="G1860" s="47" t="str">
        <f>IF(archive!G1860="","",archive!G1860)</f>
        <v/>
      </c>
      <c r="H1860" s="51" t="str">
        <f>IF(archive!CJ1860="","",archive!CJ1860)</f>
        <v/>
      </c>
      <c r="I1860" s="51" t="str">
        <f>IF(archive!CK1860="","",archive!CK1860)</f>
        <v/>
      </c>
      <c r="J1860" s="47" t="str">
        <f t="shared" ref="J1860:J1923" si="409">IF(F1860="","",VLOOKUP(F1860,Valeur_g,2,0))</f>
        <v/>
      </c>
      <c r="K1860" s="51" t="str">
        <f t="shared" ref="K1860:K1923" si="410">IF(C1860="","",D1860+(J1860*I1860))</f>
        <v/>
      </c>
      <c r="L1860" s="52" t="str">
        <f t="shared" ref="L1860:L1923" si="411">IF(C1860="","",IF(K1860&lt;H1860,"Conforme","Non conforme"))</f>
        <v/>
      </c>
      <c r="M1860" s="53" t="str">
        <f t="shared" ref="M1860:M1923" si="412">IF(C1860="","",1)</f>
        <v/>
      </c>
      <c r="N1860" s="53" t="str">
        <f t="shared" ref="N1860:N1923" si="413">IF(L1860="","",COUNTIF(L1860,"Non conforme"))</f>
        <v/>
      </c>
      <c r="O1860" s="53" t="str">
        <f t="shared" ref="O1860:O1923" si="414">IF($C1860="","",IF($C1860=0.25,$G1860,"-"))</f>
        <v/>
      </c>
      <c r="P1860" s="53" t="str">
        <f t="shared" ref="P1860:P1923" si="415">IF($C1860="","",IF($C1860=0.4,$G1860,"-"))</f>
        <v/>
      </c>
      <c r="Q1860" s="53" t="str">
        <f t="shared" ref="Q1860:Q1923" si="416">IF($C1860="","",IF($C1860=0.5,$G1860,"-"))</f>
        <v/>
      </c>
      <c r="R1860" s="53" t="str">
        <f t="shared" ref="R1860:R1923" si="417">IF($C1860="","",IF($C1860=0.6,$G1860,"-"))</f>
        <v/>
      </c>
      <c r="S1860" s="53" t="str">
        <f t="shared" ref="S1860:S1923" si="418">IF($C1860="","",IF($C1860=0.8,$G1860,"-"))</f>
        <v/>
      </c>
      <c r="T1860" s="53" t="str">
        <f t="shared" ref="T1860:T1923" si="419">IF($C1860="","",IF($C1860=1,$G1860,"-"))</f>
        <v/>
      </c>
    </row>
    <row r="1861" spans="1:20">
      <c r="A1861" s="47" t="str">
        <f>IF(archive!E1861="","",archive!E1861)</f>
        <v/>
      </c>
      <c r="B1861" s="48" t="str">
        <f t="shared" si="406"/>
        <v/>
      </c>
      <c r="C1861" s="49" t="str">
        <f>IF(archive!F1861="","",archive!F1861)</f>
        <v/>
      </c>
      <c r="D1861" s="50" t="str">
        <f t="shared" si="407"/>
        <v/>
      </c>
      <c r="E1861" s="50" t="str">
        <f t="shared" si="408"/>
        <v/>
      </c>
      <c r="F1861" s="47" t="str">
        <f>IF(COUNTA(archive!H1861:CI1861)=0,"",COUNTA(archive!H1861:CI1861))</f>
        <v/>
      </c>
      <c r="G1861" s="47" t="str">
        <f>IF(archive!G1861="","",archive!G1861)</f>
        <v/>
      </c>
      <c r="H1861" s="51" t="str">
        <f>IF(archive!CJ1861="","",archive!CJ1861)</f>
        <v/>
      </c>
      <c r="I1861" s="51" t="str">
        <f>IF(archive!CK1861="","",archive!CK1861)</f>
        <v/>
      </c>
      <c r="J1861" s="47" t="str">
        <f t="shared" si="409"/>
        <v/>
      </c>
      <c r="K1861" s="51" t="str">
        <f t="shared" si="410"/>
        <v/>
      </c>
      <c r="L1861" s="52" t="str">
        <f t="shared" si="411"/>
        <v/>
      </c>
      <c r="M1861" s="53" t="str">
        <f t="shared" si="412"/>
        <v/>
      </c>
      <c r="N1861" s="53" t="str">
        <f t="shared" si="413"/>
        <v/>
      </c>
      <c r="O1861" s="53" t="str">
        <f t="shared" si="414"/>
        <v/>
      </c>
      <c r="P1861" s="53" t="str">
        <f t="shared" si="415"/>
        <v/>
      </c>
      <c r="Q1861" s="53" t="str">
        <f t="shared" si="416"/>
        <v/>
      </c>
      <c r="R1861" s="53" t="str">
        <f t="shared" si="417"/>
        <v/>
      </c>
      <c r="S1861" s="53" t="str">
        <f t="shared" si="418"/>
        <v/>
      </c>
      <c r="T1861" s="53" t="str">
        <f t="shared" si="419"/>
        <v/>
      </c>
    </row>
    <row r="1862" spans="1:20">
      <c r="A1862" s="47" t="str">
        <f>IF(archive!E1862="","",archive!E1862)</f>
        <v/>
      </c>
      <c r="B1862" s="48" t="str">
        <f t="shared" si="406"/>
        <v/>
      </c>
      <c r="C1862" s="49" t="str">
        <f>IF(archive!F1862="","",archive!F1862)</f>
        <v/>
      </c>
      <c r="D1862" s="50" t="str">
        <f t="shared" si="407"/>
        <v/>
      </c>
      <c r="E1862" s="50" t="str">
        <f t="shared" si="408"/>
        <v/>
      </c>
      <c r="F1862" s="47" t="str">
        <f>IF(COUNTA(archive!H1862:CI1862)=0,"",COUNTA(archive!H1862:CI1862))</f>
        <v/>
      </c>
      <c r="G1862" s="47" t="str">
        <f>IF(archive!G1862="","",archive!G1862)</f>
        <v/>
      </c>
      <c r="H1862" s="51" t="str">
        <f>IF(archive!CJ1862="","",archive!CJ1862)</f>
        <v/>
      </c>
      <c r="I1862" s="51" t="str">
        <f>IF(archive!CK1862="","",archive!CK1862)</f>
        <v/>
      </c>
      <c r="J1862" s="47" t="str">
        <f t="shared" si="409"/>
        <v/>
      </c>
      <c r="K1862" s="51" t="str">
        <f t="shared" si="410"/>
        <v/>
      </c>
      <c r="L1862" s="52" t="str">
        <f t="shared" si="411"/>
        <v/>
      </c>
      <c r="M1862" s="53" t="str">
        <f t="shared" si="412"/>
        <v/>
      </c>
      <c r="N1862" s="53" t="str">
        <f t="shared" si="413"/>
        <v/>
      </c>
      <c r="O1862" s="53" t="str">
        <f t="shared" si="414"/>
        <v/>
      </c>
      <c r="P1862" s="53" t="str">
        <f t="shared" si="415"/>
        <v/>
      </c>
      <c r="Q1862" s="53" t="str">
        <f t="shared" si="416"/>
        <v/>
      </c>
      <c r="R1862" s="53" t="str">
        <f t="shared" si="417"/>
        <v/>
      </c>
      <c r="S1862" s="53" t="str">
        <f t="shared" si="418"/>
        <v/>
      </c>
      <c r="T1862" s="53" t="str">
        <f t="shared" si="419"/>
        <v/>
      </c>
    </row>
    <row r="1863" spans="1:20">
      <c r="A1863" s="47" t="str">
        <f>IF(archive!E1863="","",archive!E1863)</f>
        <v/>
      </c>
      <c r="B1863" s="48" t="str">
        <f t="shared" si="406"/>
        <v/>
      </c>
      <c r="C1863" s="49" t="str">
        <f>IF(archive!F1863="","",archive!F1863)</f>
        <v/>
      </c>
      <c r="D1863" s="50" t="str">
        <f t="shared" si="407"/>
        <v/>
      </c>
      <c r="E1863" s="50" t="str">
        <f t="shared" si="408"/>
        <v/>
      </c>
      <c r="F1863" s="47" t="str">
        <f>IF(COUNTA(archive!H1863:CI1863)=0,"",COUNTA(archive!H1863:CI1863))</f>
        <v/>
      </c>
      <c r="G1863" s="47" t="str">
        <f>IF(archive!G1863="","",archive!G1863)</f>
        <v/>
      </c>
      <c r="H1863" s="51" t="str">
        <f>IF(archive!CJ1863="","",archive!CJ1863)</f>
        <v/>
      </c>
      <c r="I1863" s="51" t="str">
        <f>IF(archive!CK1863="","",archive!CK1863)</f>
        <v/>
      </c>
      <c r="J1863" s="47" t="str">
        <f t="shared" si="409"/>
        <v/>
      </c>
      <c r="K1863" s="51" t="str">
        <f t="shared" si="410"/>
        <v/>
      </c>
      <c r="L1863" s="52" t="str">
        <f t="shared" si="411"/>
        <v/>
      </c>
      <c r="M1863" s="53" t="str">
        <f t="shared" si="412"/>
        <v/>
      </c>
      <c r="N1863" s="53" t="str">
        <f t="shared" si="413"/>
        <v/>
      </c>
      <c r="O1863" s="53" t="str">
        <f t="shared" si="414"/>
        <v/>
      </c>
      <c r="P1863" s="53" t="str">
        <f t="shared" si="415"/>
        <v/>
      </c>
      <c r="Q1863" s="53" t="str">
        <f t="shared" si="416"/>
        <v/>
      </c>
      <c r="R1863" s="53" t="str">
        <f t="shared" si="417"/>
        <v/>
      </c>
      <c r="S1863" s="53" t="str">
        <f t="shared" si="418"/>
        <v/>
      </c>
      <c r="T1863" s="53" t="str">
        <f t="shared" si="419"/>
        <v/>
      </c>
    </row>
    <row r="1864" spans="1:20">
      <c r="A1864" s="47" t="str">
        <f>IF(archive!E1864="","",archive!E1864)</f>
        <v/>
      </c>
      <c r="B1864" s="48" t="str">
        <f t="shared" si="406"/>
        <v/>
      </c>
      <c r="C1864" s="49" t="str">
        <f>IF(archive!F1864="","",archive!F1864)</f>
        <v/>
      </c>
      <c r="D1864" s="50" t="str">
        <f t="shared" si="407"/>
        <v/>
      </c>
      <c r="E1864" s="50" t="str">
        <f t="shared" si="408"/>
        <v/>
      </c>
      <c r="F1864" s="47" t="str">
        <f>IF(COUNTA(archive!H1864:CI1864)=0,"",COUNTA(archive!H1864:CI1864))</f>
        <v/>
      </c>
      <c r="G1864" s="47" t="str">
        <f>IF(archive!G1864="","",archive!G1864)</f>
        <v/>
      </c>
      <c r="H1864" s="51" t="str">
        <f>IF(archive!CJ1864="","",archive!CJ1864)</f>
        <v/>
      </c>
      <c r="I1864" s="51" t="str">
        <f>IF(archive!CK1864="","",archive!CK1864)</f>
        <v/>
      </c>
      <c r="J1864" s="47" t="str">
        <f t="shared" si="409"/>
        <v/>
      </c>
      <c r="K1864" s="51" t="str">
        <f t="shared" si="410"/>
        <v/>
      </c>
      <c r="L1864" s="52" t="str">
        <f t="shared" si="411"/>
        <v/>
      </c>
      <c r="M1864" s="53" t="str">
        <f t="shared" si="412"/>
        <v/>
      </c>
      <c r="N1864" s="53" t="str">
        <f t="shared" si="413"/>
        <v/>
      </c>
      <c r="O1864" s="53" t="str">
        <f t="shared" si="414"/>
        <v/>
      </c>
      <c r="P1864" s="53" t="str">
        <f t="shared" si="415"/>
        <v/>
      </c>
      <c r="Q1864" s="53" t="str">
        <f t="shared" si="416"/>
        <v/>
      </c>
      <c r="R1864" s="53" t="str">
        <f t="shared" si="417"/>
        <v/>
      </c>
      <c r="S1864" s="53" t="str">
        <f t="shared" si="418"/>
        <v/>
      </c>
      <c r="T1864" s="53" t="str">
        <f t="shared" si="419"/>
        <v/>
      </c>
    </row>
    <row r="1865" spans="1:20">
      <c r="A1865" s="47" t="str">
        <f>IF(archive!E1865="","",archive!E1865)</f>
        <v/>
      </c>
      <c r="B1865" s="48" t="str">
        <f t="shared" si="406"/>
        <v/>
      </c>
      <c r="C1865" s="49" t="str">
        <f>IF(archive!F1865="","",archive!F1865)</f>
        <v/>
      </c>
      <c r="D1865" s="50" t="str">
        <f t="shared" si="407"/>
        <v/>
      </c>
      <c r="E1865" s="50" t="str">
        <f t="shared" si="408"/>
        <v/>
      </c>
      <c r="F1865" s="47" t="str">
        <f>IF(COUNTA(archive!H1865:CI1865)=0,"",COUNTA(archive!H1865:CI1865))</f>
        <v/>
      </c>
      <c r="G1865" s="47" t="str">
        <f>IF(archive!G1865="","",archive!G1865)</f>
        <v/>
      </c>
      <c r="H1865" s="51" t="str">
        <f>IF(archive!CJ1865="","",archive!CJ1865)</f>
        <v/>
      </c>
      <c r="I1865" s="51" t="str">
        <f>IF(archive!CK1865="","",archive!CK1865)</f>
        <v/>
      </c>
      <c r="J1865" s="47" t="str">
        <f t="shared" si="409"/>
        <v/>
      </c>
      <c r="K1865" s="51" t="str">
        <f t="shared" si="410"/>
        <v/>
      </c>
      <c r="L1865" s="52" t="str">
        <f t="shared" si="411"/>
        <v/>
      </c>
      <c r="M1865" s="53" t="str">
        <f t="shared" si="412"/>
        <v/>
      </c>
      <c r="N1865" s="53" t="str">
        <f t="shared" si="413"/>
        <v/>
      </c>
      <c r="O1865" s="53" t="str">
        <f t="shared" si="414"/>
        <v/>
      </c>
      <c r="P1865" s="53" t="str">
        <f t="shared" si="415"/>
        <v/>
      </c>
      <c r="Q1865" s="53" t="str">
        <f t="shared" si="416"/>
        <v/>
      </c>
      <c r="R1865" s="53" t="str">
        <f t="shared" si="417"/>
        <v/>
      </c>
      <c r="S1865" s="53" t="str">
        <f t="shared" si="418"/>
        <v/>
      </c>
      <c r="T1865" s="53" t="str">
        <f t="shared" si="419"/>
        <v/>
      </c>
    </row>
    <row r="1866" spans="1:20">
      <c r="A1866" s="47" t="str">
        <f>IF(archive!E1866="","",archive!E1866)</f>
        <v/>
      </c>
      <c r="B1866" s="48" t="str">
        <f t="shared" si="406"/>
        <v/>
      </c>
      <c r="C1866" s="49" t="str">
        <f>IF(archive!F1866="","",archive!F1866)</f>
        <v/>
      </c>
      <c r="D1866" s="50" t="str">
        <f t="shared" si="407"/>
        <v/>
      </c>
      <c r="E1866" s="50" t="str">
        <f t="shared" si="408"/>
        <v/>
      </c>
      <c r="F1866" s="47" t="str">
        <f>IF(COUNTA(archive!H1866:CI1866)=0,"",COUNTA(archive!H1866:CI1866))</f>
        <v/>
      </c>
      <c r="G1866" s="47" t="str">
        <f>IF(archive!G1866="","",archive!G1866)</f>
        <v/>
      </c>
      <c r="H1866" s="51" t="str">
        <f>IF(archive!CJ1866="","",archive!CJ1866)</f>
        <v/>
      </c>
      <c r="I1866" s="51" t="str">
        <f>IF(archive!CK1866="","",archive!CK1866)</f>
        <v/>
      </c>
      <c r="J1866" s="47" t="str">
        <f t="shared" si="409"/>
        <v/>
      </c>
      <c r="K1866" s="51" t="str">
        <f t="shared" si="410"/>
        <v/>
      </c>
      <c r="L1866" s="52" t="str">
        <f t="shared" si="411"/>
        <v/>
      </c>
      <c r="M1866" s="53" t="str">
        <f t="shared" si="412"/>
        <v/>
      </c>
      <c r="N1866" s="53" t="str">
        <f t="shared" si="413"/>
        <v/>
      </c>
      <c r="O1866" s="53" t="str">
        <f t="shared" si="414"/>
        <v/>
      </c>
      <c r="P1866" s="53" t="str">
        <f t="shared" si="415"/>
        <v/>
      </c>
      <c r="Q1866" s="53" t="str">
        <f t="shared" si="416"/>
        <v/>
      </c>
      <c r="R1866" s="53" t="str">
        <f t="shared" si="417"/>
        <v/>
      </c>
      <c r="S1866" s="53" t="str">
        <f t="shared" si="418"/>
        <v/>
      </c>
      <c r="T1866" s="53" t="str">
        <f t="shared" si="419"/>
        <v/>
      </c>
    </row>
    <row r="1867" spans="1:20">
      <c r="A1867" s="47" t="str">
        <f>IF(archive!E1867="","",archive!E1867)</f>
        <v/>
      </c>
      <c r="B1867" s="48" t="str">
        <f t="shared" si="406"/>
        <v/>
      </c>
      <c r="C1867" s="49" t="str">
        <f>IF(archive!F1867="","",archive!F1867)</f>
        <v/>
      </c>
      <c r="D1867" s="50" t="str">
        <f t="shared" si="407"/>
        <v/>
      </c>
      <c r="E1867" s="50" t="str">
        <f t="shared" si="408"/>
        <v/>
      </c>
      <c r="F1867" s="47" t="str">
        <f>IF(COUNTA(archive!H1867:CI1867)=0,"",COUNTA(archive!H1867:CI1867))</f>
        <v/>
      </c>
      <c r="G1867" s="47" t="str">
        <f>IF(archive!G1867="","",archive!G1867)</f>
        <v/>
      </c>
      <c r="H1867" s="51" t="str">
        <f>IF(archive!CJ1867="","",archive!CJ1867)</f>
        <v/>
      </c>
      <c r="I1867" s="51" t="str">
        <f>IF(archive!CK1867="","",archive!CK1867)</f>
        <v/>
      </c>
      <c r="J1867" s="47" t="str">
        <f t="shared" si="409"/>
        <v/>
      </c>
      <c r="K1867" s="51" t="str">
        <f t="shared" si="410"/>
        <v/>
      </c>
      <c r="L1867" s="52" t="str">
        <f t="shared" si="411"/>
        <v/>
      </c>
      <c r="M1867" s="53" t="str">
        <f t="shared" si="412"/>
        <v/>
      </c>
      <c r="N1867" s="53" t="str">
        <f t="shared" si="413"/>
        <v/>
      </c>
      <c r="O1867" s="53" t="str">
        <f t="shared" si="414"/>
        <v/>
      </c>
      <c r="P1867" s="53" t="str">
        <f t="shared" si="415"/>
        <v/>
      </c>
      <c r="Q1867" s="53" t="str">
        <f t="shared" si="416"/>
        <v/>
      </c>
      <c r="R1867" s="53" t="str">
        <f t="shared" si="417"/>
        <v/>
      </c>
      <c r="S1867" s="53" t="str">
        <f t="shared" si="418"/>
        <v/>
      </c>
      <c r="T1867" s="53" t="str">
        <f t="shared" si="419"/>
        <v/>
      </c>
    </row>
    <row r="1868" spans="1:20">
      <c r="A1868" s="47" t="str">
        <f>IF(archive!E1868="","",archive!E1868)</f>
        <v/>
      </c>
      <c r="B1868" s="48" t="str">
        <f t="shared" si="406"/>
        <v/>
      </c>
      <c r="C1868" s="49" t="str">
        <f>IF(archive!F1868="","",archive!F1868)</f>
        <v/>
      </c>
      <c r="D1868" s="50" t="str">
        <f t="shared" si="407"/>
        <v/>
      </c>
      <c r="E1868" s="50" t="str">
        <f t="shared" si="408"/>
        <v/>
      </c>
      <c r="F1868" s="47" t="str">
        <f>IF(COUNTA(archive!H1868:CI1868)=0,"",COUNTA(archive!H1868:CI1868))</f>
        <v/>
      </c>
      <c r="G1868" s="47" t="str">
        <f>IF(archive!G1868="","",archive!G1868)</f>
        <v/>
      </c>
      <c r="H1868" s="51" t="str">
        <f>IF(archive!CJ1868="","",archive!CJ1868)</f>
        <v/>
      </c>
      <c r="I1868" s="51" t="str">
        <f>IF(archive!CK1868="","",archive!CK1868)</f>
        <v/>
      </c>
      <c r="J1868" s="47" t="str">
        <f t="shared" si="409"/>
        <v/>
      </c>
      <c r="K1868" s="51" t="str">
        <f t="shared" si="410"/>
        <v/>
      </c>
      <c r="L1868" s="52" t="str">
        <f t="shared" si="411"/>
        <v/>
      </c>
      <c r="M1868" s="53" t="str">
        <f t="shared" si="412"/>
        <v/>
      </c>
      <c r="N1868" s="53" t="str">
        <f t="shared" si="413"/>
        <v/>
      </c>
      <c r="O1868" s="53" t="str">
        <f t="shared" si="414"/>
        <v/>
      </c>
      <c r="P1868" s="53" t="str">
        <f t="shared" si="415"/>
        <v/>
      </c>
      <c r="Q1868" s="53" t="str">
        <f t="shared" si="416"/>
        <v/>
      </c>
      <c r="R1868" s="53" t="str">
        <f t="shared" si="417"/>
        <v/>
      </c>
      <c r="S1868" s="53" t="str">
        <f t="shared" si="418"/>
        <v/>
      </c>
      <c r="T1868" s="53" t="str">
        <f t="shared" si="419"/>
        <v/>
      </c>
    </row>
    <row r="1869" spans="1:20">
      <c r="A1869" s="47" t="str">
        <f>IF(archive!E1869="","",archive!E1869)</f>
        <v/>
      </c>
      <c r="B1869" s="48" t="str">
        <f t="shared" si="406"/>
        <v/>
      </c>
      <c r="C1869" s="49" t="str">
        <f>IF(archive!F1869="","",archive!F1869)</f>
        <v/>
      </c>
      <c r="D1869" s="50" t="str">
        <f t="shared" si="407"/>
        <v/>
      </c>
      <c r="E1869" s="50" t="str">
        <f t="shared" si="408"/>
        <v/>
      </c>
      <c r="F1869" s="47" t="str">
        <f>IF(COUNTA(archive!H1869:CI1869)=0,"",COUNTA(archive!H1869:CI1869))</f>
        <v/>
      </c>
      <c r="G1869" s="47" t="str">
        <f>IF(archive!G1869="","",archive!G1869)</f>
        <v/>
      </c>
      <c r="H1869" s="51" t="str">
        <f>IF(archive!CJ1869="","",archive!CJ1869)</f>
        <v/>
      </c>
      <c r="I1869" s="51" t="str">
        <f>IF(archive!CK1869="","",archive!CK1869)</f>
        <v/>
      </c>
      <c r="J1869" s="47" t="str">
        <f t="shared" si="409"/>
        <v/>
      </c>
      <c r="K1869" s="51" t="str">
        <f t="shared" si="410"/>
        <v/>
      </c>
      <c r="L1869" s="52" t="str">
        <f t="shared" si="411"/>
        <v/>
      </c>
      <c r="M1869" s="53" t="str">
        <f t="shared" si="412"/>
        <v/>
      </c>
      <c r="N1869" s="53" t="str">
        <f t="shared" si="413"/>
        <v/>
      </c>
      <c r="O1869" s="53" t="str">
        <f t="shared" si="414"/>
        <v/>
      </c>
      <c r="P1869" s="53" t="str">
        <f t="shared" si="415"/>
        <v/>
      </c>
      <c r="Q1869" s="53" t="str">
        <f t="shared" si="416"/>
        <v/>
      </c>
      <c r="R1869" s="53" t="str">
        <f t="shared" si="417"/>
        <v/>
      </c>
      <c r="S1869" s="53" t="str">
        <f t="shared" si="418"/>
        <v/>
      </c>
      <c r="T1869" s="53" t="str">
        <f t="shared" si="419"/>
        <v/>
      </c>
    </row>
    <row r="1870" spans="1:20">
      <c r="A1870" s="47" t="str">
        <f>IF(archive!E1870="","",archive!E1870)</f>
        <v/>
      </c>
      <c r="B1870" s="48" t="str">
        <f t="shared" si="406"/>
        <v/>
      </c>
      <c r="C1870" s="49" t="str">
        <f>IF(archive!F1870="","",archive!F1870)</f>
        <v/>
      </c>
      <c r="D1870" s="50" t="str">
        <f t="shared" si="407"/>
        <v/>
      </c>
      <c r="E1870" s="50" t="str">
        <f t="shared" si="408"/>
        <v/>
      </c>
      <c r="F1870" s="47" t="str">
        <f>IF(COUNTA(archive!H1870:CI1870)=0,"",COUNTA(archive!H1870:CI1870))</f>
        <v/>
      </c>
      <c r="G1870" s="47" t="str">
        <f>IF(archive!G1870="","",archive!G1870)</f>
        <v/>
      </c>
      <c r="H1870" s="51" t="str">
        <f>IF(archive!CJ1870="","",archive!CJ1870)</f>
        <v/>
      </c>
      <c r="I1870" s="51" t="str">
        <f>IF(archive!CK1870="","",archive!CK1870)</f>
        <v/>
      </c>
      <c r="J1870" s="47" t="str">
        <f t="shared" si="409"/>
        <v/>
      </c>
      <c r="K1870" s="51" t="str">
        <f t="shared" si="410"/>
        <v/>
      </c>
      <c r="L1870" s="52" t="str">
        <f t="shared" si="411"/>
        <v/>
      </c>
      <c r="M1870" s="53" t="str">
        <f t="shared" si="412"/>
        <v/>
      </c>
      <c r="N1870" s="53" t="str">
        <f t="shared" si="413"/>
        <v/>
      </c>
      <c r="O1870" s="53" t="str">
        <f t="shared" si="414"/>
        <v/>
      </c>
      <c r="P1870" s="53" t="str">
        <f t="shared" si="415"/>
        <v/>
      </c>
      <c r="Q1870" s="53" t="str">
        <f t="shared" si="416"/>
        <v/>
      </c>
      <c r="R1870" s="53" t="str">
        <f t="shared" si="417"/>
        <v/>
      </c>
      <c r="S1870" s="53" t="str">
        <f t="shared" si="418"/>
        <v/>
      </c>
      <c r="T1870" s="53" t="str">
        <f t="shared" si="419"/>
        <v/>
      </c>
    </row>
    <row r="1871" spans="1:20">
      <c r="A1871" s="47" t="str">
        <f>IF(archive!E1871="","",archive!E1871)</f>
        <v/>
      </c>
      <c r="B1871" s="48" t="str">
        <f t="shared" si="406"/>
        <v/>
      </c>
      <c r="C1871" s="49" t="str">
        <f>IF(archive!F1871="","",archive!F1871)</f>
        <v/>
      </c>
      <c r="D1871" s="50" t="str">
        <f t="shared" si="407"/>
        <v/>
      </c>
      <c r="E1871" s="50" t="str">
        <f t="shared" si="408"/>
        <v/>
      </c>
      <c r="F1871" s="47" t="str">
        <f>IF(COUNTA(archive!H1871:CI1871)=0,"",COUNTA(archive!H1871:CI1871))</f>
        <v/>
      </c>
      <c r="G1871" s="47" t="str">
        <f>IF(archive!G1871="","",archive!G1871)</f>
        <v/>
      </c>
      <c r="H1871" s="51" t="str">
        <f>IF(archive!CJ1871="","",archive!CJ1871)</f>
        <v/>
      </c>
      <c r="I1871" s="51" t="str">
        <f>IF(archive!CK1871="","",archive!CK1871)</f>
        <v/>
      </c>
      <c r="J1871" s="47" t="str">
        <f t="shared" si="409"/>
        <v/>
      </c>
      <c r="K1871" s="51" t="str">
        <f t="shared" si="410"/>
        <v/>
      </c>
      <c r="L1871" s="52" t="str">
        <f t="shared" si="411"/>
        <v/>
      </c>
      <c r="M1871" s="53" t="str">
        <f t="shared" si="412"/>
        <v/>
      </c>
      <c r="N1871" s="53" t="str">
        <f t="shared" si="413"/>
        <v/>
      </c>
      <c r="O1871" s="53" t="str">
        <f t="shared" si="414"/>
        <v/>
      </c>
      <c r="P1871" s="53" t="str">
        <f t="shared" si="415"/>
        <v/>
      </c>
      <c r="Q1871" s="53" t="str">
        <f t="shared" si="416"/>
        <v/>
      </c>
      <c r="R1871" s="53" t="str">
        <f t="shared" si="417"/>
        <v/>
      </c>
      <c r="S1871" s="53" t="str">
        <f t="shared" si="418"/>
        <v/>
      </c>
      <c r="T1871" s="53" t="str">
        <f t="shared" si="419"/>
        <v/>
      </c>
    </row>
    <row r="1872" spans="1:20">
      <c r="A1872" s="47" t="str">
        <f>IF(archive!E1872="","",archive!E1872)</f>
        <v/>
      </c>
      <c r="B1872" s="48" t="str">
        <f t="shared" si="406"/>
        <v/>
      </c>
      <c r="C1872" s="49" t="str">
        <f>IF(archive!F1872="","",archive!F1872)</f>
        <v/>
      </c>
      <c r="D1872" s="50" t="str">
        <f t="shared" si="407"/>
        <v/>
      </c>
      <c r="E1872" s="50" t="str">
        <f t="shared" si="408"/>
        <v/>
      </c>
      <c r="F1872" s="47" t="str">
        <f>IF(COUNTA(archive!H1872:CI1872)=0,"",COUNTA(archive!H1872:CI1872))</f>
        <v/>
      </c>
      <c r="G1872" s="47" t="str">
        <f>IF(archive!G1872="","",archive!G1872)</f>
        <v/>
      </c>
      <c r="H1872" s="51" t="str">
        <f>IF(archive!CJ1872="","",archive!CJ1872)</f>
        <v/>
      </c>
      <c r="I1872" s="51" t="str">
        <f>IF(archive!CK1872="","",archive!CK1872)</f>
        <v/>
      </c>
      <c r="J1872" s="47" t="str">
        <f t="shared" si="409"/>
        <v/>
      </c>
      <c r="K1872" s="51" t="str">
        <f t="shared" si="410"/>
        <v/>
      </c>
      <c r="L1872" s="52" t="str">
        <f t="shared" si="411"/>
        <v/>
      </c>
      <c r="M1872" s="53" t="str">
        <f t="shared" si="412"/>
        <v/>
      </c>
      <c r="N1872" s="53" t="str">
        <f t="shared" si="413"/>
        <v/>
      </c>
      <c r="O1872" s="53" t="str">
        <f t="shared" si="414"/>
        <v/>
      </c>
      <c r="P1872" s="53" t="str">
        <f t="shared" si="415"/>
        <v/>
      </c>
      <c r="Q1872" s="53" t="str">
        <f t="shared" si="416"/>
        <v/>
      </c>
      <c r="R1872" s="53" t="str">
        <f t="shared" si="417"/>
        <v/>
      </c>
      <c r="S1872" s="53" t="str">
        <f t="shared" si="418"/>
        <v/>
      </c>
      <c r="T1872" s="53" t="str">
        <f t="shared" si="419"/>
        <v/>
      </c>
    </row>
    <row r="1873" spans="1:20">
      <c r="A1873" s="47" t="str">
        <f>IF(archive!E1873="","",archive!E1873)</f>
        <v/>
      </c>
      <c r="B1873" s="48" t="str">
        <f t="shared" si="406"/>
        <v/>
      </c>
      <c r="C1873" s="49" t="str">
        <f>IF(archive!F1873="","",archive!F1873)</f>
        <v/>
      </c>
      <c r="D1873" s="50" t="str">
        <f t="shared" si="407"/>
        <v/>
      </c>
      <c r="E1873" s="50" t="str">
        <f t="shared" si="408"/>
        <v/>
      </c>
      <c r="F1873" s="47" t="str">
        <f>IF(COUNTA(archive!H1873:CI1873)=0,"",COUNTA(archive!H1873:CI1873))</f>
        <v/>
      </c>
      <c r="G1873" s="47" t="str">
        <f>IF(archive!G1873="","",archive!G1873)</f>
        <v/>
      </c>
      <c r="H1873" s="51" t="str">
        <f>IF(archive!CJ1873="","",archive!CJ1873)</f>
        <v/>
      </c>
      <c r="I1873" s="51" t="str">
        <f>IF(archive!CK1873="","",archive!CK1873)</f>
        <v/>
      </c>
      <c r="J1873" s="47" t="str">
        <f t="shared" si="409"/>
        <v/>
      </c>
      <c r="K1873" s="51" t="str">
        <f t="shared" si="410"/>
        <v/>
      </c>
      <c r="L1873" s="52" t="str">
        <f t="shared" si="411"/>
        <v/>
      </c>
      <c r="M1873" s="53" t="str">
        <f t="shared" si="412"/>
        <v/>
      </c>
      <c r="N1873" s="53" t="str">
        <f t="shared" si="413"/>
        <v/>
      </c>
      <c r="O1873" s="53" t="str">
        <f t="shared" si="414"/>
        <v/>
      </c>
      <c r="P1873" s="53" t="str">
        <f t="shared" si="415"/>
        <v/>
      </c>
      <c r="Q1873" s="53" t="str">
        <f t="shared" si="416"/>
        <v/>
      </c>
      <c r="R1873" s="53" t="str">
        <f t="shared" si="417"/>
        <v/>
      </c>
      <c r="S1873" s="53" t="str">
        <f t="shared" si="418"/>
        <v/>
      </c>
      <c r="T1873" s="53" t="str">
        <f t="shared" si="419"/>
        <v/>
      </c>
    </row>
    <row r="1874" spans="1:20">
      <c r="A1874" s="47" t="str">
        <f>IF(archive!E1874="","",archive!E1874)</f>
        <v/>
      </c>
      <c r="B1874" s="48" t="str">
        <f t="shared" si="406"/>
        <v/>
      </c>
      <c r="C1874" s="49" t="str">
        <f>IF(archive!F1874="","",archive!F1874)</f>
        <v/>
      </c>
      <c r="D1874" s="50" t="str">
        <f t="shared" si="407"/>
        <v/>
      </c>
      <c r="E1874" s="50" t="str">
        <f t="shared" si="408"/>
        <v/>
      </c>
      <c r="F1874" s="47" t="str">
        <f>IF(COUNTA(archive!H1874:CI1874)=0,"",COUNTA(archive!H1874:CI1874))</f>
        <v/>
      </c>
      <c r="G1874" s="47" t="str">
        <f>IF(archive!G1874="","",archive!G1874)</f>
        <v/>
      </c>
      <c r="H1874" s="51" t="str">
        <f>IF(archive!CJ1874="","",archive!CJ1874)</f>
        <v/>
      </c>
      <c r="I1874" s="51" t="str">
        <f>IF(archive!CK1874="","",archive!CK1874)</f>
        <v/>
      </c>
      <c r="J1874" s="47" t="str">
        <f t="shared" si="409"/>
        <v/>
      </c>
      <c r="K1874" s="51" t="str">
        <f t="shared" si="410"/>
        <v/>
      </c>
      <c r="L1874" s="52" t="str">
        <f t="shared" si="411"/>
        <v/>
      </c>
      <c r="M1874" s="53" t="str">
        <f t="shared" si="412"/>
        <v/>
      </c>
      <c r="N1874" s="53" t="str">
        <f t="shared" si="413"/>
        <v/>
      </c>
      <c r="O1874" s="53" t="str">
        <f t="shared" si="414"/>
        <v/>
      </c>
      <c r="P1874" s="53" t="str">
        <f t="shared" si="415"/>
        <v/>
      </c>
      <c r="Q1874" s="53" t="str">
        <f t="shared" si="416"/>
        <v/>
      </c>
      <c r="R1874" s="53" t="str">
        <f t="shared" si="417"/>
        <v/>
      </c>
      <c r="S1874" s="53" t="str">
        <f t="shared" si="418"/>
        <v/>
      </c>
      <c r="T1874" s="53" t="str">
        <f t="shared" si="419"/>
        <v/>
      </c>
    </row>
    <row r="1875" spans="1:20">
      <c r="A1875" s="47" t="str">
        <f>IF(archive!E1875="","",archive!E1875)</f>
        <v/>
      </c>
      <c r="B1875" s="48" t="str">
        <f t="shared" si="406"/>
        <v/>
      </c>
      <c r="C1875" s="49" t="str">
        <f>IF(archive!F1875="","",archive!F1875)</f>
        <v/>
      </c>
      <c r="D1875" s="50" t="str">
        <f t="shared" si="407"/>
        <v/>
      </c>
      <c r="E1875" s="50" t="str">
        <f t="shared" si="408"/>
        <v/>
      </c>
      <c r="F1875" s="47" t="str">
        <f>IF(COUNTA(archive!H1875:CI1875)=0,"",COUNTA(archive!H1875:CI1875))</f>
        <v/>
      </c>
      <c r="G1875" s="47" t="str">
        <f>IF(archive!G1875="","",archive!G1875)</f>
        <v/>
      </c>
      <c r="H1875" s="51" t="str">
        <f>IF(archive!CJ1875="","",archive!CJ1875)</f>
        <v/>
      </c>
      <c r="I1875" s="51" t="str">
        <f>IF(archive!CK1875="","",archive!CK1875)</f>
        <v/>
      </c>
      <c r="J1875" s="47" t="str">
        <f t="shared" si="409"/>
        <v/>
      </c>
      <c r="K1875" s="51" t="str">
        <f t="shared" si="410"/>
        <v/>
      </c>
      <c r="L1875" s="52" t="str">
        <f t="shared" si="411"/>
        <v/>
      </c>
      <c r="M1875" s="53" t="str">
        <f t="shared" si="412"/>
        <v/>
      </c>
      <c r="N1875" s="53" t="str">
        <f t="shared" si="413"/>
        <v/>
      </c>
      <c r="O1875" s="53" t="str">
        <f t="shared" si="414"/>
        <v/>
      </c>
      <c r="P1875" s="53" t="str">
        <f t="shared" si="415"/>
        <v/>
      </c>
      <c r="Q1875" s="53" t="str">
        <f t="shared" si="416"/>
        <v/>
      </c>
      <c r="R1875" s="53" t="str">
        <f t="shared" si="417"/>
        <v/>
      </c>
      <c r="S1875" s="53" t="str">
        <f t="shared" si="418"/>
        <v/>
      </c>
      <c r="T1875" s="53" t="str">
        <f t="shared" si="419"/>
        <v/>
      </c>
    </row>
    <row r="1876" spans="1:20">
      <c r="A1876" s="47" t="str">
        <f>IF(archive!E1876="","",archive!E1876)</f>
        <v/>
      </c>
      <c r="B1876" s="48" t="str">
        <f t="shared" si="406"/>
        <v/>
      </c>
      <c r="C1876" s="49" t="str">
        <f>IF(archive!F1876="","",archive!F1876)</f>
        <v/>
      </c>
      <c r="D1876" s="50" t="str">
        <f t="shared" si="407"/>
        <v/>
      </c>
      <c r="E1876" s="50" t="str">
        <f t="shared" si="408"/>
        <v/>
      </c>
      <c r="F1876" s="47" t="str">
        <f>IF(COUNTA(archive!H1876:CI1876)=0,"",COUNTA(archive!H1876:CI1876))</f>
        <v/>
      </c>
      <c r="G1876" s="47" t="str">
        <f>IF(archive!G1876="","",archive!G1876)</f>
        <v/>
      </c>
      <c r="H1876" s="51" t="str">
        <f>IF(archive!CJ1876="","",archive!CJ1876)</f>
        <v/>
      </c>
      <c r="I1876" s="51" t="str">
        <f>IF(archive!CK1876="","",archive!CK1876)</f>
        <v/>
      </c>
      <c r="J1876" s="47" t="str">
        <f t="shared" si="409"/>
        <v/>
      </c>
      <c r="K1876" s="51" t="str">
        <f t="shared" si="410"/>
        <v/>
      </c>
      <c r="L1876" s="52" t="str">
        <f t="shared" si="411"/>
        <v/>
      </c>
      <c r="M1876" s="53" t="str">
        <f t="shared" si="412"/>
        <v/>
      </c>
      <c r="N1876" s="53" t="str">
        <f t="shared" si="413"/>
        <v/>
      </c>
      <c r="O1876" s="53" t="str">
        <f t="shared" si="414"/>
        <v/>
      </c>
      <c r="P1876" s="53" t="str">
        <f t="shared" si="415"/>
        <v/>
      </c>
      <c r="Q1876" s="53" t="str">
        <f t="shared" si="416"/>
        <v/>
      </c>
      <c r="R1876" s="53" t="str">
        <f t="shared" si="417"/>
        <v/>
      </c>
      <c r="S1876" s="53" t="str">
        <f t="shared" si="418"/>
        <v/>
      </c>
      <c r="T1876" s="53" t="str">
        <f t="shared" si="419"/>
        <v/>
      </c>
    </row>
    <row r="1877" spans="1:20">
      <c r="A1877" s="47" t="str">
        <f>IF(archive!E1877="","",archive!E1877)</f>
        <v/>
      </c>
      <c r="B1877" s="48" t="str">
        <f t="shared" si="406"/>
        <v/>
      </c>
      <c r="C1877" s="49" t="str">
        <f>IF(archive!F1877="","",archive!F1877)</f>
        <v/>
      </c>
      <c r="D1877" s="50" t="str">
        <f t="shared" si="407"/>
        <v/>
      </c>
      <c r="E1877" s="50" t="str">
        <f t="shared" si="408"/>
        <v/>
      </c>
      <c r="F1877" s="47" t="str">
        <f>IF(COUNTA(archive!H1877:CI1877)=0,"",COUNTA(archive!H1877:CI1877))</f>
        <v/>
      </c>
      <c r="G1877" s="47" t="str">
        <f>IF(archive!G1877="","",archive!G1877)</f>
        <v/>
      </c>
      <c r="H1877" s="51" t="str">
        <f>IF(archive!CJ1877="","",archive!CJ1877)</f>
        <v/>
      </c>
      <c r="I1877" s="51" t="str">
        <f>IF(archive!CK1877="","",archive!CK1877)</f>
        <v/>
      </c>
      <c r="J1877" s="47" t="str">
        <f t="shared" si="409"/>
        <v/>
      </c>
      <c r="K1877" s="51" t="str">
        <f t="shared" si="410"/>
        <v/>
      </c>
      <c r="L1877" s="52" t="str">
        <f t="shared" si="411"/>
        <v/>
      </c>
      <c r="M1877" s="53" t="str">
        <f t="shared" si="412"/>
        <v/>
      </c>
      <c r="N1877" s="53" t="str">
        <f t="shared" si="413"/>
        <v/>
      </c>
      <c r="O1877" s="53" t="str">
        <f t="shared" si="414"/>
        <v/>
      </c>
      <c r="P1877" s="53" t="str">
        <f t="shared" si="415"/>
        <v/>
      </c>
      <c r="Q1877" s="53" t="str">
        <f t="shared" si="416"/>
        <v/>
      </c>
      <c r="R1877" s="53" t="str">
        <f t="shared" si="417"/>
        <v/>
      </c>
      <c r="S1877" s="53" t="str">
        <f t="shared" si="418"/>
        <v/>
      </c>
      <c r="T1877" s="53" t="str">
        <f t="shared" si="419"/>
        <v/>
      </c>
    </row>
    <row r="1878" spans="1:20">
      <c r="A1878" s="47" t="str">
        <f>IF(archive!E1878="","",archive!E1878)</f>
        <v/>
      </c>
      <c r="B1878" s="48" t="str">
        <f t="shared" si="406"/>
        <v/>
      </c>
      <c r="C1878" s="49" t="str">
        <f>IF(archive!F1878="","",archive!F1878)</f>
        <v/>
      </c>
      <c r="D1878" s="50" t="str">
        <f t="shared" si="407"/>
        <v/>
      </c>
      <c r="E1878" s="50" t="str">
        <f t="shared" si="408"/>
        <v/>
      </c>
      <c r="F1878" s="47" t="str">
        <f>IF(COUNTA(archive!H1878:CI1878)=0,"",COUNTA(archive!H1878:CI1878))</f>
        <v/>
      </c>
      <c r="G1878" s="47" t="str">
        <f>IF(archive!G1878="","",archive!G1878)</f>
        <v/>
      </c>
      <c r="H1878" s="51" t="str">
        <f>IF(archive!CJ1878="","",archive!CJ1878)</f>
        <v/>
      </c>
      <c r="I1878" s="51" t="str">
        <f>IF(archive!CK1878="","",archive!CK1878)</f>
        <v/>
      </c>
      <c r="J1878" s="47" t="str">
        <f t="shared" si="409"/>
        <v/>
      </c>
      <c r="K1878" s="51" t="str">
        <f t="shared" si="410"/>
        <v/>
      </c>
      <c r="L1878" s="52" t="str">
        <f t="shared" si="411"/>
        <v/>
      </c>
      <c r="M1878" s="53" t="str">
        <f t="shared" si="412"/>
        <v/>
      </c>
      <c r="N1878" s="53" t="str">
        <f t="shared" si="413"/>
        <v/>
      </c>
      <c r="O1878" s="53" t="str">
        <f t="shared" si="414"/>
        <v/>
      </c>
      <c r="P1878" s="53" t="str">
        <f t="shared" si="415"/>
        <v/>
      </c>
      <c r="Q1878" s="53" t="str">
        <f t="shared" si="416"/>
        <v/>
      </c>
      <c r="R1878" s="53" t="str">
        <f t="shared" si="417"/>
        <v/>
      </c>
      <c r="S1878" s="53" t="str">
        <f t="shared" si="418"/>
        <v/>
      </c>
      <c r="T1878" s="53" t="str">
        <f t="shared" si="419"/>
        <v/>
      </c>
    </row>
    <row r="1879" spans="1:20">
      <c r="A1879" s="47" t="str">
        <f>IF(archive!E1879="","",archive!E1879)</f>
        <v/>
      </c>
      <c r="B1879" s="48" t="str">
        <f t="shared" si="406"/>
        <v/>
      </c>
      <c r="C1879" s="49" t="str">
        <f>IF(archive!F1879="","",archive!F1879)</f>
        <v/>
      </c>
      <c r="D1879" s="50" t="str">
        <f t="shared" si="407"/>
        <v/>
      </c>
      <c r="E1879" s="50" t="str">
        <f t="shared" si="408"/>
        <v/>
      </c>
      <c r="F1879" s="47" t="str">
        <f>IF(COUNTA(archive!H1879:CI1879)=0,"",COUNTA(archive!H1879:CI1879))</f>
        <v/>
      </c>
      <c r="G1879" s="47" t="str">
        <f>IF(archive!G1879="","",archive!G1879)</f>
        <v/>
      </c>
      <c r="H1879" s="51" t="str">
        <f>IF(archive!CJ1879="","",archive!CJ1879)</f>
        <v/>
      </c>
      <c r="I1879" s="51" t="str">
        <f>IF(archive!CK1879="","",archive!CK1879)</f>
        <v/>
      </c>
      <c r="J1879" s="47" t="str">
        <f t="shared" si="409"/>
        <v/>
      </c>
      <c r="K1879" s="51" t="str">
        <f t="shared" si="410"/>
        <v/>
      </c>
      <c r="L1879" s="52" t="str">
        <f t="shared" si="411"/>
        <v/>
      </c>
      <c r="M1879" s="53" t="str">
        <f t="shared" si="412"/>
        <v/>
      </c>
      <c r="N1879" s="53" t="str">
        <f t="shared" si="413"/>
        <v/>
      </c>
      <c r="O1879" s="53" t="str">
        <f t="shared" si="414"/>
        <v/>
      </c>
      <c r="P1879" s="53" t="str">
        <f t="shared" si="415"/>
        <v/>
      </c>
      <c r="Q1879" s="53" t="str">
        <f t="shared" si="416"/>
        <v/>
      </c>
      <c r="R1879" s="53" t="str">
        <f t="shared" si="417"/>
        <v/>
      </c>
      <c r="S1879" s="53" t="str">
        <f t="shared" si="418"/>
        <v/>
      </c>
      <c r="T1879" s="53" t="str">
        <f t="shared" si="419"/>
        <v/>
      </c>
    </row>
    <row r="1880" spans="1:20">
      <c r="A1880" s="47" t="str">
        <f>IF(archive!E1880="","",archive!E1880)</f>
        <v/>
      </c>
      <c r="B1880" s="48" t="str">
        <f t="shared" si="406"/>
        <v/>
      </c>
      <c r="C1880" s="49" t="str">
        <f>IF(archive!F1880="","",archive!F1880)</f>
        <v/>
      </c>
      <c r="D1880" s="50" t="str">
        <f t="shared" si="407"/>
        <v/>
      </c>
      <c r="E1880" s="50" t="str">
        <f t="shared" si="408"/>
        <v/>
      </c>
      <c r="F1880" s="47" t="str">
        <f>IF(COUNTA(archive!H1880:CI1880)=0,"",COUNTA(archive!H1880:CI1880))</f>
        <v/>
      </c>
      <c r="G1880" s="47" t="str">
        <f>IF(archive!G1880="","",archive!G1880)</f>
        <v/>
      </c>
      <c r="H1880" s="51" t="str">
        <f>IF(archive!CJ1880="","",archive!CJ1880)</f>
        <v/>
      </c>
      <c r="I1880" s="51" t="str">
        <f>IF(archive!CK1880="","",archive!CK1880)</f>
        <v/>
      </c>
      <c r="J1880" s="47" t="str">
        <f t="shared" si="409"/>
        <v/>
      </c>
      <c r="K1880" s="51" t="str">
        <f t="shared" si="410"/>
        <v/>
      </c>
      <c r="L1880" s="52" t="str">
        <f t="shared" si="411"/>
        <v/>
      </c>
      <c r="M1880" s="53" t="str">
        <f t="shared" si="412"/>
        <v/>
      </c>
      <c r="N1880" s="53" t="str">
        <f t="shared" si="413"/>
        <v/>
      </c>
      <c r="O1880" s="53" t="str">
        <f t="shared" si="414"/>
        <v/>
      </c>
      <c r="P1880" s="53" t="str">
        <f t="shared" si="415"/>
        <v/>
      </c>
      <c r="Q1880" s="53" t="str">
        <f t="shared" si="416"/>
        <v/>
      </c>
      <c r="R1880" s="53" t="str">
        <f t="shared" si="417"/>
        <v/>
      </c>
      <c r="S1880" s="53" t="str">
        <f t="shared" si="418"/>
        <v/>
      </c>
      <c r="T1880" s="53" t="str">
        <f t="shared" si="419"/>
        <v/>
      </c>
    </row>
    <row r="1881" spans="1:20">
      <c r="A1881" s="47" t="str">
        <f>IF(archive!E1881="","",archive!E1881)</f>
        <v/>
      </c>
      <c r="B1881" s="48" t="str">
        <f t="shared" si="406"/>
        <v/>
      </c>
      <c r="C1881" s="49" t="str">
        <f>IF(archive!F1881="","",archive!F1881)</f>
        <v/>
      </c>
      <c r="D1881" s="50" t="str">
        <f t="shared" si="407"/>
        <v/>
      </c>
      <c r="E1881" s="50" t="str">
        <f t="shared" si="408"/>
        <v/>
      </c>
      <c r="F1881" s="47" t="str">
        <f>IF(COUNTA(archive!H1881:CI1881)=0,"",COUNTA(archive!H1881:CI1881))</f>
        <v/>
      </c>
      <c r="G1881" s="47" t="str">
        <f>IF(archive!G1881="","",archive!G1881)</f>
        <v/>
      </c>
      <c r="H1881" s="51" t="str">
        <f>IF(archive!CJ1881="","",archive!CJ1881)</f>
        <v/>
      </c>
      <c r="I1881" s="51" t="str">
        <f>IF(archive!CK1881="","",archive!CK1881)</f>
        <v/>
      </c>
      <c r="J1881" s="47" t="str">
        <f t="shared" si="409"/>
        <v/>
      </c>
      <c r="K1881" s="51" t="str">
        <f t="shared" si="410"/>
        <v/>
      </c>
      <c r="L1881" s="52" t="str">
        <f t="shared" si="411"/>
        <v/>
      </c>
      <c r="M1881" s="53" t="str">
        <f t="shared" si="412"/>
        <v/>
      </c>
      <c r="N1881" s="53" t="str">
        <f t="shared" si="413"/>
        <v/>
      </c>
      <c r="O1881" s="53" t="str">
        <f t="shared" si="414"/>
        <v/>
      </c>
      <c r="P1881" s="53" t="str">
        <f t="shared" si="415"/>
        <v/>
      </c>
      <c r="Q1881" s="53" t="str">
        <f t="shared" si="416"/>
        <v/>
      </c>
      <c r="R1881" s="53" t="str">
        <f t="shared" si="417"/>
        <v/>
      </c>
      <c r="S1881" s="53" t="str">
        <f t="shared" si="418"/>
        <v/>
      </c>
      <c r="T1881" s="53" t="str">
        <f t="shared" si="419"/>
        <v/>
      </c>
    </row>
    <row r="1882" spans="1:20">
      <c r="A1882" s="47" t="str">
        <f>IF(archive!E1882="","",archive!E1882)</f>
        <v/>
      </c>
      <c r="B1882" s="48" t="str">
        <f t="shared" si="406"/>
        <v/>
      </c>
      <c r="C1882" s="49" t="str">
        <f>IF(archive!F1882="","",archive!F1882)</f>
        <v/>
      </c>
      <c r="D1882" s="50" t="str">
        <f t="shared" si="407"/>
        <v/>
      </c>
      <c r="E1882" s="50" t="str">
        <f t="shared" si="408"/>
        <v/>
      </c>
      <c r="F1882" s="47" t="str">
        <f>IF(COUNTA(archive!H1882:CI1882)=0,"",COUNTA(archive!H1882:CI1882))</f>
        <v/>
      </c>
      <c r="G1882" s="47" t="str">
        <f>IF(archive!G1882="","",archive!G1882)</f>
        <v/>
      </c>
      <c r="H1882" s="51" t="str">
        <f>IF(archive!CJ1882="","",archive!CJ1882)</f>
        <v/>
      </c>
      <c r="I1882" s="51" t="str">
        <f>IF(archive!CK1882="","",archive!CK1882)</f>
        <v/>
      </c>
      <c r="J1882" s="47" t="str">
        <f t="shared" si="409"/>
        <v/>
      </c>
      <c r="K1882" s="51" t="str">
        <f t="shared" si="410"/>
        <v/>
      </c>
      <c r="L1882" s="52" t="str">
        <f t="shared" si="411"/>
        <v/>
      </c>
      <c r="M1882" s="53" t="str">
        <f t="shared" si="412"/>
        <v/>
      </c>
      <c r="N1882" s="53" t="str">
        <f t="shared" si="413"/>
        <v/>
      </c>
      <c r="O1882" s="53" t="str">
        <f t="shared" si="414"/>
        <v/>
      </c>
      <c r="P1882" s="53" t="str">
        <f t="shared" si="415"/>
        <v/>
      </c>
      <c r="Q1882" s="53" t="str">
        <f t="shared" si="416"/>
        <v/>
      </c>
      <c r="R1882" s="53" t="str">
        <f t="shared" si="417"/>
        <v/>
      </c>
      <c r="S1882" s="53" t="str">
        <f t="shared" si="418"/>
        <v/>
      </c>
      <c r="T1882" s="53" t="str">
        <f t="shared" si="419"/>
        <v/>
      </c>
    </row>
    <row r="1883" spans="1:20">
      <c r="A1883" s="47" t="str">
        <f>IF(archive!E1883="","",archive!E1883)</f>
        <v/>
      </c>
      <c r="B1883" s="48" t="str">
        <f t="shared" si="406"/>
        <v/>
      </c>
      <c r="C1883" s="49" t="str">
        <f>IF(archive!F1883="","",archive!F1883)</f>
        <v/>
      </c>
      <c r="D1883" s="50" t="str">
        <f t="shared" si="407"/>
        <v/>
      </c>
      <c r="E1883" s="50" t="str">
        <f t="shared" si="408"/>
        <v/>
      </c>
      <c r="F1883" s="47" t="str">
        <f>IF(COUNTA(archive!H1883:CI1883)=0,"",COUNTA(archive!H1883:CI1883))</f>
        <v/>
      </c>
      <c r="G1883" s="47" t="str">
        <f>IF(archive!G1883="","",archive!G1883)</f>
        <v/>
      </c>
      <c r="H1883" s="51" t="str">
        <f>IF(archive!CJ1883="","",archive!CJ1883)</f>
        <v/>
      </c>
      <c r="I1883" s="51" t="str">
        <f>IF(archive!CK1883="","",archive!CK1883)</f>
        <v/>
      </c>
      <c r="J1883" s="47" t="str">
        <f t="shared" si="409"/>
        <v/>
      </c>
      <c r="K1883" s="51" t="str">
        <f t="shared" si="410"/>
        <v/>
      </c>
      <c r="L1883" s="52" t="str">
        <f t="shared" si="411"/>
        <v/>
      </c>
      <c r="M1883" s="53" t="str">
        <f t="shared" si="412"/>
        <v/>
      </c>
      <c r="N1883" s="53" t="str">
        <f t="shared" si="413"/>
        <v/>
      </c>
      <c r="O1883" s="53" t="str">
        <f t="shared" si="414"/>
        <v/>
      </c>
      <c r="P1883" s="53" t="str">
        <f t="shared" si="415"/>
        <v/>
      </c>
      <c r="Q1883" s="53" t="str">
        <f t="shared" si="416"/>
        <v/>
      </c>
      <c r="R1883" s="53" t="str">
        <f t="shared" si="417"/>
        <v/>
      </c>
      <c r="S1883" s="53" t="str">
        <f t="shared" si="418"/>
        <v/>
      </c>
      <c r="T1883" s="53" t="str">
        <f t="shared" si="419"/>
        <v/>
      </c>
    </row>
    <row r="1884" spans="1:20">
      <c r="A1884" s="47" t="str">
        <f>IF(archive!E1884="","",archive!E1884)</f>
        <v/>
      </c>
      <c r="B1884" s="48" t="str">
        <f t="shared" si="406"/>
        <v/>
      </c>
      <c r="C1884" s="49" t="str">
        <f>IF(archive!F1884="","",archive!F1884)</f>
        <v/>
      </c>
      <c r="D1884" s="50" t="str">
        <f t="shared" si="407"/>
        <v/>
      </c>
      <c r="E1884" s="50" t="str">
        <f t="shared" si="408"/>
        <v/>
      </c>
      <c r="F1884" s="47" t="str">
        <f>IF(COUNTA(archive!H1884:CI1884)=0,"",COUNTA(archive!H1884:CI1884))</f>
        <v/>
      </c>
      <c r="G1884" s="47" t="str">
        <f>IF(archive!G1884="","",archive!G1884)</f>
        <v/>
      </c>
      <c r="H1884" s="51" t="str">
        <f>IF(archive!CJ1884="","",archive!CJ1884)</f>
        <v/>
      </c>
      <c r="I1884" s="51" t="str">
        <f>IF(archive!CK1884="","",archive!CK1884)</f>
        <v/>
      </c>
      <c r="J1884" s="47" t="str">
        <f t="shared" si="409"/>
        <v/>
      </c>
      <c r="K1884" s="51" t="str">
        <f t="shared" si="410"/>
        <v/>
      </c>
      <c r="L1884" s="52" t="str">
        <f t="shared" si="411"/>
        <v/>
      </c>
      <c r="M1884" s="53" t="str">
        <f t="shared" si="412"/>
        <v/>
      </c>
      <c r="N1884" s="53" t="str">
        <f t="shared" si="413"/>
        <v/>
      </c>
      <c r="O1884" s="53" t="str">
        <f t="shared" si="414"/>
        <v/>
      </c>
      <c r="P1884" s="53" t="str">
        <f t="shared" si="415"/>
        <v/>
      </c>
      <c r="Q1884" s="53" t="str">
        <f t="shared" si="416"/>
        <v/>
      </c>
      <c r="R1884" s="53" t="str">
        <f t="shared" si="417"/>
        <v/>
      </c>
      <c r="S1884" s="53" t="str">
        <f t="shared" si="418"/>
        <v/>
      </c>
      <c r="T1884" s="53" t="str">
        <f t="shared" si="419"/>
        <v/>
      </c>
    </row>
    <row r="1885" spans="1:20">
      <c r="A1885" s="47" t="str">
        <f>IF(archive!E1885="","",archive!E1885)</f>
        <v/>
      </c>
      <c r="B1885" s="48" t="str">
        <f t="shared" si="406"/>
        <v/>
      </c>
      <c r="C1885" s="49" t="str">
        <f>IF(archive!F1885="","",archive!F1885)</f>
        <v/>
      </c>
      <c r="D1885" s="50" t="str">
        <f t="shared" si="407"/>
        <v/>
      </c>
      <c r="E1885" s="50" t="str">
        <f t="shared" si="408"/>
        <v/>
      </c>
      <c r="F1885" s="47" t="str">
        <f>IF(COUNTA(archive!H1885:CI1885)=0,"",COUNTA(archive!H1885:CI1885))</f>
        <v/>
      </c>
      <c r="G1885" s="47" t="str">
        <f>IF(archive!G1885="","",archive!G1885)</f>
        <v/>
      </c>
      <c r="H1885" s="51" t="str">
        <f>IF(archive!CJ1885="","",archive!CJ1885)</f>
        <v/>
      </c>
      <c r="I1885" s="51" t="str">
        <f>IF(archive!CK1885="","",archive!CK1885)</f>
        <v/>
      </c>
      <c r="J1885" s="47" t="str">
        <f t="shared" si="409"/>
        <v/>
      </c>
      <c r="K1885" s="51" t="str">
        <f t="shared" si="410"/>
        <v/>
      </c>
      <c r="L1885" s="52" t="str">
        <f t="shared" si="411"/>
        <v/>
      </c>
      <c r="M1885" s="53" t="str">
        <f t="shared" si="412"/>
        <v/>
      </c>
      <c r="N1885" s="53" t="str">
        <f t="shared" si="413"/>
        <v/>
      </c>
      <c r="O1885" s="53" t="str">
        <f t="shared" si="414"/>
        <v/>
      </c>
      <c r="P1885" s="53" t="str">
        <f t="shared" si="415"/>
        <v/>
      </c>
      <c r="Q1885" s="53" t="str">
        <f t="shared" si="416"/>
        <v/>
      </c>
      <c r="R1885" s="53" t="str">
        <f t="shared" si="417"/>
        <v/>
      </c>
      <c r="S1885" s="53" t="str">
        <f t="shared" si="418"/>
        <v/>
      </c>
      <c r="T1885" s="53" t="str">
        <f t="shared" si="419"/>
        <v/>
      </c>
    </row>
    <row r="1886" spans="1:20">
      <c r="A1886" s="47" t="str">
        <f>IF(archive!E1886="","",archive!E1886)</f>
        <v/>
      </c>
      <c r="B1886" s="48" t="str">
        <f t="shared" si="406"/>
        <v/>
      </c>
      <c r="C1886" s="49" t="str">
        <f>IF(archive!F1886="","",archive!F1886)</f>
        <v/>
      </c>
      <c r="D1886" s="50" t="str">
        <f t="shared" si="407"/>
        <v/>
      </c>
      <c r="E1886" s="50" t="str">
        <f t="shared" si="408"/>
        <v/>
      </c>
      <c r="F1886" s="47" t="str">
        <f>IF(COUNTA(archive!H1886:CI1886)=0,"",COUNTA(archive!H1886:CI1886))</f>
        <v/>
      </c>
      <c r="G1886" s="47" t="str">
        <f>IF(archive!G1886="","",archive!G1886)</f>
        <v/>
      </c>
      <c r="H1886" s="51" t="str">
        <f>IF(archive!CJ1886="","",archive!CJ1886)</f>
        <v/>
      </c>
      <c r="I1886" s="51" t="str">
        <f>IF(archive!CK1886="","",archive!CK1886)</f>
        <v/>
      </c>
      <c r="J1886" s="47" t="str">
        <f t="shared" si="409"/>
        <v/>
      </c>
      <c r="K1886" s="51" t="str">
        <f t="shared" si="410"/>
        <v/>
      </c>
      <c r="L1886" s="52" t="str">
        <f t="shared" si="411"/>
        <v/>
      </c>
      <c r="M1886" s="53" t="str">
        <f t="shared" si="412"/>
        <v/>
      </c>
      <c r="N1886" s="53" t="str">
        <f t="shared" si="413"/>
        <v/>
      </c>
      <c r="O1886" s="53" t="str">
        <f t="shared" si="414"/>
        <v/>
      </c>
      <c r="P1886" s="53" t="str">
        <f t="shared" si="415"/>
        <v/>
      </c>
      <c r="Q1886" s="53" t="str">
        <f t="shared" si="416"/>
        <v/>
      </c>
      <c r="R1886" s="53" t="str">
        <f t="shared" si="417"/>
        <v/>
      </c>
      <c r="S1886" s="53" t="str">
        <f t="shared" si="418"/>
        <v/>
      </c>
      <c r="T1886" s="53" t="str">
        <f t="shared" si="419"/>
        <v/>
      </c>
    </row>
    <row r="1887" spans="1:20">
      <c r="A1887" s="47" t="str">
        <f>IF(archive!E1887="","",archive!E1887)</f>
        <v/>
      </c>
      <c r="B1887" s="48" t="str">
        <f t="shared" si="406"/>
        <v/>
      </c>
      <c r="C1887" s="49" t="str">
        <f>IF(archive!F1887="","",archive!F1887)</f>
        <v/>
      </c>
      <c r="D1887" s="50" t="str">
        <f t="shared" si="407"/>
        <v/>
      </c>
      <c r="E1887" s="50" t="str">
        <f t="shared" si="408"/>
        <v/>
      </c>
      <c r="F1887" s="47" t="str">
        <f>IF(COUNTA(archive!H1887:CI1887)=0,"",COUNTA(archive!H1887:CI1887))</f>
        <v/>
      </c>
      <c r="G1887" s="47" t="str">
        <f>IF(archive!G1887="","",archive!G1887)</f>
        <v/>
      </c>
      <c r="H1887" s="51" t="str">
        <f>IF(archive!CJ1887="","",archive!CJ1887)</f>
        <v/>
      </c>
      <c r="I1887" s="51" t="str">
        <f>IF(archive!CK1887="","",archive!CK1887)</f>
        <v/>
      </c>
      <c r="J1887" s="47" t="str">
        <f t="shared" si="409"/>
        <v/>
      </c>
      <c r="K1887" s="51" t="str">
        <f t="shared" si="410"/>
        <v/>
      </c>
      <c r="L1887" s="52" t="str">
        <f t="shared" si="411"/>
        <v/>
      </c>
      <c r="M1887" s="53" t="str">
        <f t="shared" si="412"/>
        <v/>
      </c>
      <c r="N1887" s="53" t="str">
        <f t="shared" si="413"/>
        <v/>
      </c>
      <c r="O1887" s="53" t="str">
        <f t="shared" si="414"/>
        <v/>
      </c>
      <c r="P1887" s="53" t="str">
        <f t="shared" si="415"/>
        <v/>
      </c>
      <c r="Q1887" s="53" t="str">
        <f t="shared" si="416"/>
        <v/>
      </c>
      <c r="R1887" s="53" t="str">
        <f t="shared" si="417"/>
        <v/>
      </c>
      <c r="S1887" s="53" t="str">
        <f t="shared" si="418"/>
        <v/>
      </c>
      <c r="T1887" s="53" t="str">
        <f t="shared" si="419"/>
        <v/>
      </c>
    </row>
    <row r="1888" spans="1:20">
      <c r="A1888" s="47" t="str">
        <f>IF(archive!E1888="","",archive!E1888)</f>
        <v/>
      </c>
      <c r="B1888" s="48" t="str">
        <f t="shared" si="406"/>
        <v/>
      </c>
      <c r="C1888" s="49" t="str">
        <f>IF(archive!F1888="","",archive!F1888)</f>
        <v/>
      </c>
      <c r="D1888" s="50" t="str">
        <f t="shared" si="407"/>
        <v/>
      </c>
      <c r="E1888" s="50" t="str">
        <f t="shared" si="408"/>
        <v/>
      </c>
      <c r="F1888" s="47" t="str">
        <f>IF(COUNTA(archive!H1888:CI1888)=0,"",COUNTA(archive!H1888:CI1888))</f>
        <v/>
      </c>
      <c r="G1888" s="47" t="str">
        <f>IF(archive!G1888="","",archive!G1888)</f>
        <v/>
      </c>
      <c r="H1888" s="51" t="str">
        <f>IF(archive!CJ1888="","",archive!CJ1888)</f>
        <v/>
      </c>
      <c r="I1888" s="51" t="str">
        <f>IF(archive!CK1888="","",archive!CK1888)</f>
        <v/>
      </c>
      <c r="J1888" s="47" t="str">
        <f t="shared" si="409"/>
        <v/>
      </c>
      <c r="K1888" s="51" t="str">
        <f t="shared" si="410"/>
        <v/>
      </c>
      <c r="L1888" s="52" t="str">
        <f t="shared" si="411"/>
        <v/>
      </c>
      <c r="M1888" s="53" t="str">
        <f t="shared" si="412"/>
        <v/>
      </c>
      <c r="N1888" s="53" t="str">
        <f t="shared" si="413"/>
        <v/>
      </c>
      <c r="O1888" s="53" t="str">
        <f t="shared" si="414"/>
        <v/>
      </c>
      <c r="P1888" s="53" t="str">
        <f t="shared" si="415"/>
        <v/>
      </c>
      <c r="Q1888" s="53" t="str">
        <f t="shared" si="416"/>
        <v/>
      </c>
      <c r="R1888" s="53" t="str">
        <f t="shared" si="417"/>
        <v/>
      </c>
      <c r="S1888" s="53" t="str">
        <f t="shared" si="418"/>
        <v/>
      </c>
      <c r="T1888" s="53" t="str">
        <f t="shared" si="419"/>
        <v/>
      </c>
    </row>
    <row r="1889" spans="1:20">
      <c r="A1889" s="47" t="str">
        <f>IF(archive!E1889="","",archive!E1889)</f>
        <v/>
      </c>
      <c r="B1889" s="48" t="str">
        <f t="shared" si="406"/>
        <v/>
      </c>
      <c r="C1889" s="49" t="str">
        <f>IF(archive!F1889="","",archive!F1889)</f>
        <v/>
      </c>
      <c r="D1889" s="50" t="str">
        <f t="shared" si="407"/>
        <v/>
      </c>
      <c r="E1889" s="50" t="str">
        <f t="shared" si="408"/>
        <v/>
      </c>
      <c r="F1889" s="47" t="str">
        <f>IF(COUNTA(archive!H1889:CI1889)=0,"",COUNTA(archive!H1889:CI1889))</f>
        <v/>
      </c>
      <c r="G1889" s="47" t="str">
        <f>IF(archive!G1889="","",archive!G1889)</f>
        <v/>
      </c>
      <c r="H1889" s="51" t="str">
        <f>IF(archive!CJ1889="","",archive!CJ1889)</f>
        <v/>
      </c>
      <c r="I1889" s="51" t="str">
        <f>IF(archive!CK1889="","",archive!CK1889)</f>
        <v/>
      </c>
      <c r="J1889" s="47" t="str">
        <f t="shared" si="409"/>
        <v/>
      </c>
      <c r="K1889" s="51" t="str">
        <f t="shared" si="410"/>
        <v/>
      </c>
      <c r="L1889" s="52" t="str">
        <f t="shared" si="411"/>
        <v/>
      </c>
      <c r="M1889" s="53" t="str">
        <f t="shared" si="412"/>
        <v/>
      </c>
      <c r="N1889" s="53" t="str">
        <f t="shared" si="413"/>
        <v/>
      </c>
      <c r="O1889" s="53" t="str">
        <f t="shared" si="414"/>
        <v/>
      </c>
      <c r="P1889" s="53" t="str">
        <f t="shared" si="415"/>
        <v/>
      </c>
      <c r="Q1889" s="53" t="str">
        <f t="shared" si="416"/>
        <v/>
      </c>
      <c r="R1889" s="53" t="str">
        <f t="shared" si="417"/>
        <v/>
      </c>
      <c r="S1889" s="53" t="str">
        <f t="shared" si="418"/>
        <v/>
      </c>
      <c r="T1889" s="53" t="str">
        <f t="shared" si="419"/>
        <v/>
      </c>
    </row>
    <row r="1890" spans="1:20">
      <c r="A1890" s="47" t="str">
        <f>IF(archive!E1890="","",archive!E1890)</f>
        <v/>
      </c>
      <c r="B1890" s="48" t="str">
        <f t="shared" si="406"/>
        <v/>
      </c>
      <c r="C1890" s="49" t="str">
        <f>IF(archive!F1890="","",archive!F1890)</f>
        <v/>
      </c>
      <c r="D1890" s="50" t="str">
        <f t="shared" si="407"/>
        <v/>
      </c>
      <c r="E1890" s="50" t="str">
        <f t="shared" si="408"/>
        <v/>
      </c>
      <c r="F1890" s="47" t="str">
        <f>IF(COUNTA(archive!H1890:CI1890)=0,"",COUNTA(archive!H1890:CI1890))</f>
        <v/>
      </c>
      <c r="G1890" s="47" t="str">
        <f>IF(archive!G1890="","",archive!G1890)</f>
        <v/>
      </c>
      <c r="H1890" s="51" t="str">
        <f>IF(archive!CJ1890="","",archive!CJ1890)</f>
        <v/>
      </c>
      <c r="I1890" s="51" t="str">
        <f>IF(archive!CK1890="","",archive!CK1890)</f>
        <v/>
      </c>
      <c r="J1890" s="47" t="str">
        <f t="shared" si="409"/>
        <v/>
      </c>
      <c r="K1890" s="51" t="str">
        <f t="shared" si="410"/>
        <v/>
      </c>
      <c r="L1890" s="52" t="str">
        <f t="shared" si="411"/>
        <v/>
      </c>
      <c r="M1890" s="53" t="str">
        <f t="shared" si="412"/>
        <v/>
      </c>
      <c r="N1890" s="53" t="str">
        <f t="shared" si="413"/>
        <v/>
      </c>
      <c r="O1890" s="53" t="str">
        <f t="shared" si="414"/>
        <v/>
      </c>
      <c r="P1890" s="53" t="str">
        <f t="shared" si="415"/>
        <v/>
      </c>
      <c r="Q1890" s="53" t="str">
        <f t="shared" si="416"/>
        <v/>
      </c>
      <c r="R1890" s="53" t="str">
        <f t="shared" si="417"/>
        <v/>
      </c>
      <c r="S1890" s="53" t="str">
        <f t="shared" si="418"/>
        <v/>
      </c>
      <c r="T1890" s="53" t="str">
        <f t="shared" si="419"/>
        <v/>
      </c>
    </row>
    <row r="1891" spans="1:20">
      <c r="A1891" s="47" t="str">
        <f>IF(archive!E1891="","",archive!E1891)</f>
        <v/>
      </c>
      <c r="B1891" s="48" t="str">
        <f t="shared" si="406"/>
        <v/>
      </c>
      <c r="C1891" s="49" t="str">
        <f>IF(archive!F1891="","",archive!F1891)</f>
        <v/>
      </c>
      <c r="D1891" s="50" t="str">
        <f t="shared" si="407"/>
        <v/>
      </c>
      <c r="E1891" s="50" t="str">
        <f t="shared" si="408"/>
        <v/>
      </c>
      <c r="F1891" s="47" t="str">
        <f>IF(COUNTA(archive!H1891:CI1891)=0,"",COUNTA(archive!H1891:CI1891))</f>
        <v/>
      </c>
      <c r="G1891" s="47" t="str">
        <f>IF(archive!G1891="","",archive!G1891)</f>
        <v/>
      </c>
      <c r="H1891" s="51" t="str">
        <f>IF(archive!CJ1891="","",archive!CJ1891)</f>
        <v/>
      </c>
      <c r="I1891" s="51" t="str">
        <f>IF(archive!CK1891="","",archive!CK1891)</f>
        <v/>
      </c>
      <c r="J1891" s="47" t="str">
        <f t="shared" si="409"/>
        <v/>
      </c>
      <c r="K1891" s="51" t="str">
        <f t="shared" si="410"/>
        <v/>
      </c>
      <c r="L1891" s="52" t="str">
        <f t="shared" si="411"/>
        <v/>
      </c>
      <c r="M1891" s="53" t="str">
        <f t="shared" si="412"/>
        <v/>
      </c>
      <c r="N1891" s="53" t="str">
        <f t="shared" si="413"/>
        <v/>
      </c>
      <c r="O1891" s="53" t="str">
        <f t="shared" si="414"/>
        <v/>
      </c>
      <c r="P1891" s="53" t="str">
        <f t="shared" si="415"/>
        <v/>
      </c>
      <c r="Q1891" s="53" t="str">
        <f t="shared" si="416"/>
        <v/>
      </c>
      <c r="R1891" s="53" t="str">
        <f t="shared" si="417"/>
        <v/>
      </c>
      <c r="S1891" s="53" t="str">
        <f t="shared" si="418"/>
        <v/>
      </c>
      <c r="T1891" s="53" t="str">
        <f t="shared" si="419"/>
        <v/>
      </c>
    </row>
    <row r="1892" spans="1:20">
      <c r="A1892" s="47" t="str">
        <f>IF(archive!E1892="","",archive!E1892)</f>
        <v/>
      </c>
      <c r="B1892" s="48" t="str">
        <f t="shared" si="406"/>
        <v/>
      </c>
      <c r="C1892" s="49" t="str">
        <f>IF(archive!F1892="","",archive!F1892)</f>
        <v/>
      </c>
      <c r="D1892" s="50" t="str">
        <f t="shared" si="407"/>
        <v/>
      </c>
      <c r="E1892" s="50" t="str">
        <f t="shared" si="408"/>
        <v/>
      </c>
      <c r="F1892" s="47" t="str">
        <f>IF(COUNTA(archive!H1892:CI1892)=0,"",COUNTA(archive!H1892:CI1892))</f>
        <v/>
      </c>
      <c r="G1892" s="47" t="str">
        <f>IF(archive!G1892="","",archive!G1892)</f>
        <v/>
      </c>
      <c r="H1892" s="51" t="str">
        <f>IF(archive!CJ1892="","",archive!CJ1892)</f>
        <v/>
      </c>
      <c r="I1892" s="51" t="str">
        <f>IF(archive!CK1892="","",archive!CK1892)</f>
        <v/>
      </c>
      <c r="J1892" s="47" t="str">
        <f t="shared" si="409"/>
        <v/>
      </c>
      <c r="K1892" s="51" t="str">
        <f t="shared" si="410"/>
        <v/>
      </c>
      <c r="L1892" s="52" t="str">
        <f t="shared" si="411"/>
        <v/>
      </c>
      <c r="M1892" s="53" t="str">
        <f t="shared" si="412"/>
        <v/>
      </c>
      <c r="N1892" s="53" t="str">
        <f t="shared" si="413"/>
        <v/>
      </c>
      <c r="O1892" s="53" t="str">
        <f t="shared" si="414"/>
        <v/>
      </c>
      <c r="P1892" s="53" t="str">
        <f t="shared" si="415"/>
        <v/>
      </c>
      <c r="Q1892" s="53" t="str">
        <f t="shared" si="416"/>
        <v/>
      </c>
      <c r="R1892" s="53" t="str">
        <f t="shared" si="417"/>
        <v/>
      </c>
      <c r="S1892" s="53" t="str">
        <f t="shared" si="418"/>
        <v/>
      </c>
      <c r="T1892" s="53" t="str">
        <f t="shared" si="419"/>
        <v/>
      </c>
    </row>
    <row r="1893" spans="1:20">
      <c r="A1893" s="47" t="str">
        <f>IF(archive!E1893="","",archive!E1893)</f>
        <v/>
      </c>
      <c r="B1893" s="48" t="str">
        <f t="shared" si="406"/>
        <v/>
      </c>
      <c r="C1893" s="49" t="str">
        <f>IF(archive!F1893="","",archive!F1893)</f>
        <v/>
      </c>
      <c r="D1893" s="50" t="str">
        <f t="shared" si="407"/>
        <v/>
      </c>
      <c r="E1893" s="50" t="str">
        <f t="shared" si="408"/>
        <v/>
      </c>
      <c r="F1893" s="47" t="str">
        <f>IF(COUNTA(archive!H1893:CI1893)=0,"",COUNTA(archive!H1893:CI1893))</f>
        <v/>
      </c>
      <c r="G1893" s="47" t="str">
        <f>IF(archive!G1893="","",archive!G1893)</f>
        <v/>
      </c>
      <c r="H1893" s="51" t="str">
        <f>IF(archive!CJ1893="","",archive!CJ1893)</f>
        <v/>
      </c>
      <c r="I1893" s="51" t="str">
        <f>IF(archive!CK1893="","",archive!CK1893)</f>
        <v/>
      </c>
      <c r="J1893" s="47" t="str">
        <f t="shared" si="409"/>
        <v/>
      </c>
      <c r="K1893" s="51" t="str">
        <f t="shared" si="410"/>
        <v/>
      </c>
      <c r="L1893" s="52" t="str">
        <f t="shared" si="411"/>
        <v/>
      </c>
      <c r="M1893" s="53" t="str">
        <f t="shared" si="412"/>
        <v/>
      </c>
      <c r="N1893" s="53" t="str">
        <f t="shared" si="413"/>
        <v/>
      </c>
      <c r="O1893" s="53" t="str">
        <f t="shared" si="414"/>
        <v/>
      </c>
      <c r="P1893" s="53" t="str">
        <f t="shared" si="415"/>
        <v/>
      </c>
      <c r="Q1893" s="53" t="str">
        <f t="shared" si="416"/>
        <v/>
      </c>
      <c r="R1893" s="53" t="str">
        <f t="shared" si="417"/>
        <v/>
      </c>
      <c r="S1893" s="53" t="str">
        <f t="shared" si="418"/>
        <v/>
      </c>
      <c r="T1893" s="53" t="str">
        <f t="shared" si="419"/>
        <v/>
      </c>
    </row>
    <row r="1894" spans="1:20">
      <c r="A1894" s="47" t="str">
        <f>IF(archive!E1894="","",archive!E1894)</f>
        <v/>
      </c>
      <c r="B1894" s="48" t="str">
        <f t="shared" si="406"/>
        <v/>
      </c>
      <c r="C1894" s="49" t="str">
        <f>IF(archive!F1894="","",archive!F1894)</f>
        <v/>
      </c>
      <c r="D1894" s="50" t="str">
        <f t="shared" si="407"/>
        <v/>
      </c>
      <c r="E1894" s="50" t="str">
        <f t="shared" si="408"/>
        <v/>
      </c>
      <c r="F1894" s="47" t="str">
        <f>IF(COUNTA(archive!H1894:CI1894)=0,"",COUNTA(archive!H1894:CI1894))</f>
        <v/>
      </c>
      <c r="G1894" s="47" t="str">
        <f>IF(archive!G1894="","",archive!G1894)</f>
        <v/>
      </c>
      <c r="H1894" s="51" t="str">
        <f>IF(archive!CJ1894="","",archive!CJ1894)</f>
        <v/>
      </c>
      <c r="I1894" s="51" t="str">
        <f>IF(archive!CK1894="","",archive!CK1894)</f>
        <v/>
      </c>
      <c r="J1894" s="47" t="str">
        <f t="shared" si="409"/>
        <v/>
      </c>
      <c r="K1894" s="51" t="str">
        <f t="shared" si="410"/>
        <v/>
      </c>
      <c r="L1894" s="52" t="str">
        <f t="shared" si="411"/>
        <v/>
      </c>
      <c r="M1894" s="53" t="str">
        <f t="shared" si="412"/>
        <v/>
      </c>
      <c r="N1894" s="53" t="str">
        <f t="shared" si="413"/>
        <v/>
      </c>
      <c r="O1894" s="53" t="str">
        <f t="shared" si="414"/>
        <v/>
      </c>
      <c r="P1894" s="53" t="str">
        <f t="shared" si="415"/>
        <v/>
      </c>
      <c r="Q1894" s="53" t="str">
        <f t="shared" si="416"/>
        <v/>
      </c>
      <c r="R1894" s="53" t="str">
        <f t="shared" si="417"/>
        <v/>
      </c>
      <c r="S1894" s="53" t="str">
        <f t="shared" si="418"/>
        <v/>
      </c>
      <c r="T1894" s="53" t="str">
        <f t="shared" si="419"/>
        <v/>
      </c>
    </row>
    <row r="1895" spans="1:20">
      <c r="A1895" s="47" t="str">
        <f>IF(archive!E1895="","",archive!E1895)</f>
        <v/>
      </c>
      <c r="B1895" s="48" t="str">
        <f t="shared" si="406"/>
        <v/>
      </c>
      <c r="C1895" s="49" t="str">
        <f>IF(archive!F1895="","",archive!F1895)</f>
        <v/>
      </c>
      <c r="D1895" s="50" t="str">
        <f t="shared" si="407"/>
        <v/>
      </c>
      <c r="E1895" s="50" t="str">
        <f t="shared" si="408"/>
        <v/>
      </c>
      <c r="F1895" s="47" t="str">
        <f>IF(COUNTA(archive!H1895:CI1895)=0,"",COUNTA(archive!H1895:CI1895))</f>
        <v/>
      </c>
      <c r="G1895" s="47" t="str">
        <f>IF(archive!G1895="","",archive!G1895)</f>
        <v/>
      </c>
      <c r="H1895" s="51" t="str">
        <f>IF(archive!CJ1895="","",archive!CJ1895)</f>
        <v/>
      </c>
      <c r="I1895" s="51" t="str">
        <f>IF(archive!CK1895="","",archive!CK1895)</f>
        <v/>
      </c>
      <c r="J1895" s="47" t="str">
        <f t="shared" si="409"/>
        <v/>
      </c>
      <c r="K1895" s="51" t="str">
        <f t="shared" si="410"/>
        <v/>
      </c>
      <c r="L1895" s="52" t="str">
        <f t="shared" si="411"/>
        <v/>
      </c>
      <c r="M1895" s="53" t="str">
        <f t="shared" si="412"/>
        <v/>
      </c>
      <c r="N1895" s="53" t="str">
        <f t="shared" si="413"/>
        <v/>
      </c>
      <c r="O1895" s="53" t="str">
        <f t="shared" si="414"/>
        <v/>
      </c>
      <c r="P1895" s="53" t="str">
        <f t="shared" si="415"/>
        <v/>
      </c>
      <c r="Q1895" s="53" t="str">
        <f t="shared" si="416"/>
        <v/>
      </c>
      <c r="R1895" s="53" t="str">
        <f t="shared" si="417"/>
        <v/>
      </c>
      <c r="S1895" s="53" t="str">
        <f t="shared" si="418"/>
        <v/>
      </c>
      <c r="T1895" s="53" t="str">
        <f t="shared" si="419"/>
        <v/>
      </c>
    </row>
    <row r="1896" spans="1:20">
      <c r="A1896" s="47" t="str">
        <f>IF(archive!E1896="","",archive!E1896)</f>
        <v/>
      </c>
      <c r="B1896" s="48" t="str">
        <f t="shared" si="406"/>
        <v/>
      </c>
      <c r="C1896" s="49" t="str">
        <f>IF(archive!F1896="","",archive!F1896)</f>
        <v/>
      </c>
      <c r="D1896" s="50" t="str">
        <f t="shared" si="407"/>
        <v/>
      </c>
      <c r="E1896" s="50" t="str">
        <f t="shared" si="408"/>
        <v/>
      </c>
      <c r="F1896" s="47" t="str">
        <f>IF(COUNTA(archive!H1896:CI1896)=0,"",COUNTA(archive!H1896:CI1896))</f>
        <v/>
      </c>
      <c r="G1896" s="47" t="str">
        <f>IF(archive!G1896="","",archive!G1896)</f>
        <v/>
      </c>
      <c r="H1896" s="51" t="str">
        <f>IF(archive!CJ1896="","",archive!CJ1896)</f>
        <v/>
      </c>
      <c r="I1896" s="51" t="str">
        <f>IF(archive!CK1896="","",archive!CK1896)</f>
        <v/>
      </c>
      <c r="J1896" s="47" t="str">
        <f t="shared" si="409"/>
        <v/>
      </c>
      <c r="K1896" s="51" t="str">
        <f t="shared" si="410"/>
        <v/>
      </c>
      <c r="L1896" s="52" t="str">
        <f t="shared" si="411"/>
        <v/>
      </c>
      <c r="M1896" s="53" t="str">
        <f t="shared" si="412"/>
        <v/>
      </c>
      <c r="N1896" s="53" t="str">
        <f t="shared" si="413"/>
        <v/>
      </c>
      <c r="O1896" s="53" t="str">
        <f t="shared" si="414"/>
        <v/>
      </c>
      <c r="P1896" s="53" t="str">
        <f t="shared" si="415"/>
        <v/>
      </c>
      <c r="Q1896" s="53" t="str">
        <f t="shared" si="416"/>
        <v/>
      </c>
      <c r="R1896" s="53" t="str">
        <f t="shared" si="417"/>
        <v/>
      </c>
      <c r="S1896" s="53" t="str">
        <f t="shared" si="418"/>
        <v/>
      </c>
      <c r="T1896" s="53" t="str">
        <f t="shared" si="419"/>
        <v/>
      </c>
    </row>
    <row r="1897" spans="1:20">
      <c r="A1897" s="47" t="str">
        <f>IF(archive!E1897="","",archive!E1897)</f>
        <v/>
      </c>
      <c r="B1897" s="48" t="str">
        <f t="shared" si="406"/>
        <v/>
      </c>
      <c r="C1897" s="49" t="str">
        <f>IF(archive!F1897="","",archive!F1897)</f>
        <v/>
      </c>
      <c r="D1897" s="50" t="str">
        <f t="shared" si="407"/>
        <v/>
      </c>
      <c r="E1897" s="50" t="str">
        <f t="shared" si="408"/>
        <v/>
      </c>
      <c r="F1897" s="47" t="str">
        <f>IF(COUNTA(archive!H1897:CI1897)=0,"",COUNTA(archive!H1897:CI1897))</f>
        <v/>
      </c>
      <c r="G1897" s="47" t="str">
        <f>IF(archive!G1897="","",archive!G1897)</f>
        <v/>
      </c>
      <c r="H1897" s="51" t="str">
        <f>IF(archive!CJ1897="","",archive!CJ1897)</f>
        <v/>
      </c>
      <c r="I1897" s="51" t="str">
        <f>IF(archive!CK1897="","",archive!CK1897)</f>
        <v/>
      </c>
      <c r="J1897" s="47" t="str">
        <f t="shared" si="409"/>
        <v/>
      </c>
      <c r="K1897" s="51" t="str">
        <f t="shared" si="410"/>
        <v/>
      </c>
      <c r="L1897" s="52" t="str">
        <f t="shared" si="411"/>
        <v/>
      </c>
      <c r="M1897" s="53" t="str">
        <f t="shared" si="412"/>
        <v/>
      </c>
      <c r="N1897" s="53" t="str">
        <f t="shared" si="413"/>
        <v/>
      </c>
      <c r="O1897" s="53" t="str">
        <f t="shared" si="414"/>
        <v/>
      </c>
      <c r="P1897" s="53" t="str">
        <f t="shared" si="415"/>
        <v/>
      </c>
      <c r="Q1897" s="53" t="str">
        <f t="shared" si="416"/>
        <v/>
      </c>
      <c r="R1897" s="53" t="str">
        <f t="shared" si="417"/>
        <v/>
      </c>
      <c r="S1897" s="53" t="str">
        <f t="shared" si="418"/>
        <v/>
      </c>
      <c r="T1897" s="53" t="str">
        <f t="shared" si="419"/>
        <v/>
      </c>
    </row>
    <row r="1898" spans="1:20">
      <c r="A1898" s="47" t="str">
        <f>IF(archive!E1898="","",archive!E1898)</f>
        <v/>
      </c>
      <c r="B1898" s="48" t="str">
        <f t="shared" si="406"/>
        <v/>
      </c>
      <c r="C1898" s="49" t="str">
        <f>IF(archive!F1898="","",archive!F1898)</f>
        <v/>
      </c>
      <c r="D1898" s="50" t="str">
        <f t="shared" si="407"/>
        <v/>
      </c>
      <c r="E1898" s="50" t="str">
        <f t="shared" si="408"/>
        <v/>
      </c>
      <c r="F1898" s="47" t="str">
        <f>IF(COUNTA(archive!H1898:CI1898)=0,"",COUNTA(archive!H1898:CI1898))</f>
        <v/>
      </c>
      <c r="G1898" s="47" t="str">
        <f>IF(archive!G1898="","",archive!G1898)</f>
        <v/>
      </c>
      <c r="H1898" s="51" t="str">
        <f>IF(archive!CJ1898="","",archive!CJ1898)</f>
        <v/>
      </c>
      <c r="I1898" s="51" t="str">
        <f>IF(archive!CK1898="","",archive!CK1898)</f>
        <v/>
      </c>
      <c r="J1898" s="47" t="str">
        <f t="shared" si="409"/>
        <v/>
      </c>
      <c r="K1898" s="51" t="str">
        <f t="shared" si="410"/>
        <v/>
      </c>
      <c r="L1898" s="52" t="str">
        <f t="shared" si="411"/>
        <v/>
      </c>
      <c r="M1898" s="53" t="str">
        <f t="shared" si="412"/>
        <v/>
      </c>
      <c r="N1898" s="53" t="str">
        <f t="shared" si="413"/>
        <v/>
      </c>
      <c r="O1898" s="53" t="str">
        <f t="shared" si="414"/>
        <v/>
      </c>
      <c r="P1898" s="53" t="str">
        <f t="shared" si="415"/>
        <v/>
      </c>
      <c r="Q1898" s="53" t="str">
        <f t="shared" si="416"/>
        <v/>
      </c>
      <c r="R1898" s="53" t="str">
        <f t="shared" si="417"/>
        <v/>
      </c>
      <c r="S1898" s="53" t="str">
        <f t="shared" si="418"/>
        <v/>
      </c>
      <c r="T1898" s="53" t="str">
        <f t="shared" si="419"/>
        <v/>
      </c>
    </row>
    <row r="1899" spans="1:20">
      <c r="A1899" s="47" t="str">
        <f>IF(archive!E1899="","",archive!E1899)</f>
        <v/>
      </c>
      <c r="B1899" s="48" t="str">
        <f t="shared" si="406"/>
        <v/>
      </c>
      <c r="C1899" s="49" t="str">
        <f>IF(archive!F1899="","",archive!F1899)</f>
        <v/>
      </c>
      <c r="D1899" s="50" t="str">
        <f t="shared" si="407"/>
        <v/>
      </c>
      <c r="E1899" s="50" t="str">
        <f t="shared" si="408"/>
        <v/>
      </c>
      <c r="F1899" s="47" t="str">
        <f>IF(COUNTA(archive!H1899:CI1899)=0,"",COUNTA(archive!H1899:CI1899))</f>
        <v/>
      </c>
      <c r="G1899" s="47" t="str">
        <f>IF(archive!G1899="","",archive!G1899)</f>
        <v/>
      </c>
      <c r="H1899" s="51" t="str">
        <f>IF(archive!CJ1899="","",archive!CJ1899)</f>
        <v/>
      </c>
      <c r="I1899" s="51" t="str">
        <f>IF(archive!CK1899="","",archive!CK1899)</f>
        <v/>
      </c>
      <c r="J1899" s="47" t="str">
        <f t="shared" si="409"/>
        <v/>
      </c>
      <c r="K1899" s="51" t="str">
        <f t="shared" si="410"/>
        <v/>
      </c>
      <c r="L1899" s="52" t="str">
        <f t="shared" si="411"/>
        <v/>
      </c>
      <c r="M1899" s="53" t="str">
        <f t="shared" si="412"/>
        <v/>
      </c>
      <c r="N1899" s="53" t="str">
        <f t="shared" si="413"/>
        <v/>
      </c>
      <c r="O1899" s="53" t="str">
        <f t="shared" si="414"/>
        <v/>
      </c>
      <c r="P1899" s="53" t="str">
        <f t="shared" si="415"/>
        <v/>
      </c>
      <c r="Q1899" s="53" t="str">
        <f t="shared" si="416"/>
        <v/>
      </c>
      <c r="R1899" s="53" t="str">
        <f t="shared" si="417"/>
        <v/>
      </c>
      <c r="S1899" s="53" t="str">
        <f t="shared" si="418"/>
        <v/>
      </c>
      <c r="T1899" s="53" t="str">
        <f t="shared" si="419"/>
        <v/>
      </c>
    </row>
    <row r="1900" spans="1:20">
      <c r="A1900" s="47" t="str">
        <f>IF(archive!E1900="","",archive!E1900)</f>
        <v/>
      </c>
      <c r="B1900" s="48" t="str">
        <f t="shared" si="406"/>
        <v/>
      </c>
      <c r="C1900" s="49" t="str">
        <f>IF(archive!F1900="","",archive!F1900)</f>
        <v/>
      </c>
      <c r="D1900" s="50" t="str">
        <f t="shared" si="407"/>
        <v/>
      </c>
      <c r="E1900" s="50" t="str">
        <f t="shared" si="408"/>
        <v/>
      </c>
      <c r="F1900" s="47" t="str">
        <f>IF(COUNTA(archive!H1900:CI1900)=0,"",COUNTA(archive!H1900:CI1900))</f>
        <v/>
      </c>
      <c r="G1900" s="47" t="str">
        <f>IF(archive!G1900="","",archive!G1900)</f>
        <v/>
      </c>
      <c r="H1900" s="51" t="str">
        <f>IF(archive!CJ1900="","",archive!CJ1900)</f>
        <v/>
      </c>
      <c r="I1900" s="51" t="str">
        <f>IF(archive!CK1900="","",archive!CK1900)</f>
        <v/>
      </c>
      <c r="J1900" s="47" t="str">
        <f t="shared" si="409"/>
        <v/>
      </c>
      <c r="K1900" s="51" t="str">
        <f t="shared" si="410"/>
        <v/>
      </c>
      <c r="L1900" s="52" t="str">
        <f t="shared" si="411"/>
        <v/>
      </c>
      <c r="M1900" s="53" t="str">
        <f t="shared" si="412"/>
        <v/>
      </c>
      <c r="N1900" s="53" t="str">
        <f t="shared" si="413"/>
        <v/>
      </c>
      <c r="O1900" s="53" t="str">
        <f t="shared" si="414"/>
        <v/>
      </c>
      <c r="P1900" s="53" t="str">
        <f t="shared" si="415"/>
        <v/>
      </c>
      <c r="Q1900" s="53" t="str">
        <f t="shared" si="416"/>
        <v/>
      </c>
      <c r="R1900" s="53" t="str">
        <f t="shared" si="417"/>
        <v/>
      </c>
      <c r="S1900" s="53" t="str">
        <f t="shared" si="418"/>
        <v/>
      </c>
      <c r="T1900" s="53" t="str">
        <f t="shared" si="419"/>
        <v/>
      </c>
    </row>
    <row r="1901" spans="1:20">
      <c r="A1901" s="47" t="str">
        <f>IF(archive!E1901="","",archive!E1901)</f>
        <v/>
      </c>
      <c r="B1901" s="48" t="str">
        <f t="shared" si="406"/>
        <v/>
      </c>
      <c r="C1901" s="49" t="str">
        <f>IF(archive!F1901="","",archive!F1901)</f>
        <v/>
      </c>
      <c r="D1901" s="50" t="str">
        <f t="shared" si="407"/>
        <v/>
      </c>
      <c r="E1901" s="50" t="str">
        <f t="shared" si="408"/>
        <v/>
      </c>
      <c r="F1901" s="47" t="str">
        <f>IF(COUNTA(archive!H1901:CI1901)=0,"",COUNTA(archive!H1901:CI1901))</f>
        <v/>
      </c>
      <c r="G1901" s="47" t="str">
        <f>IF(archive!G1901="","",archive!G1901)</f>
        <v/>
      </c>
      <c r="H1901" s="51" t="str">
        <f>IF(archive!CJ1901="","",archive!CJ1901)</f>
        <v/>
      </c>
      <c r="I1901" s="51" t="str">
        <f>IF(archive!CK1901="","",archive!CK1901)</f>
        <v/>
      </c>
      <c r="J1901" s="47" t="str">
        <f t="shared" si="409"/>
        <v/>
      </c>
      <c r="K1901" s="51" t="str">
        <f t="shared" si="410"/>
        <v/>
      </c>
      <c r="L1901" s="52" t="str">
        <f t="shared" si="411"/>
        <v/>
      </c>
      <c r="M1901" s="53" t="str">
        <f t="shared" si="412"/>
        <v/>
      </c>
      <c r="N1901" s="53" t="str">
        <f t="shared" si="413"/>
        <v/>
      </c>
      <c r="O1901" s="53" t="str">
        <f t="shared" si="414"/>
        <v/>
      </c>
      <c r="P1901" s="53" t="str">
        <f t="shared" si="415"/>
        <v/>
      </c>
      <c r="Q1901" s="53" t="str">
        <f t="shared" si="416"/>
        <v/>
      </c>
      <c r="R1901" s="53" t="str">
        <f t="shared" si="417"/>
        <v/>
      </c>
      <c r="S1901" s="53" t="str">
        <f t="shared" si="418"/>
        <v/>
      </c>
      <c r="T1901" s="53" t="str">
        <f t="shared" si="419"/>
        <v/>
      </c>
    </row>
    <row r="1902" spans="1:20">
      <c r="A1902" s="47" t="str">
        <f>IF(archive!E1902="","",archive!E1902)</f>
        <v/>
      </c>
      <c r="B1902" s="48" t="str">
        <f t="shared" si="406"/>
        <v/>
      </c>
      <c r="C1902" s="49" t="str">
        <f>IF(archive!F1902="","",archive!F1902)</f>
        <v/>
      </c>
      <c r="D1902" s="50" t="str">
        <f t="shared" si="407"/>
        <v/>
      </c>
      <c r="E1902" s="50" t="str">
        <f t="shared" si="408"/>
        <v/>
      </c>
      <c r="F1902" s="47" t="str">
        <f>IF(COUNTA(archive!H1902:CI1902)=0,"",COUNTA(archive!H1902:CI1902))</f>
        <v/>
      </c>
      <c r="G1902" s="47" t="str">
        <f>IF(archive!G1902="","",archive!G1902)</f>
        <v/>
      </c>
      <c r="H1902" s="51" t="str">
        <f>IF(archive!CJ1902="","",archive!CJ1902)</f>
        <v/>
      </c>
      <c r="I1902" s="51" t="str">
        <f>IF(archive!CK1902="","",archive!CK1902)</f>
        <v/>
      </c>
      <c r="J1902" s="47" t="str">
        <f t="shared" si="409"/>
        <v/>
      </c>
      <c r="K1902" s="51" t="str">
        <f t="shared" si="410"/>
        <v/>
      </c>
      <c r="L1902" s="52" t="str">
        <f t="shared" si="411"/>
        <v/>
      </c>
      <c r="M1902" s="53" t="str">
        <f t="shared" si="412"/>
        <v/>
      </c>
      <c r="N1902" s="53" t="str">
        <f t="shared" si="413"/>
        <v/>
      </c>
      <c r="O1902" s="53" t="str">
        <f t="shared" si="414"/>
        <v/>
      </c>
      <c r="P1902" s="53" t="str">
        <f t="shared" si="415"/>
        <v/>
      </c>
      <c r="Q1902" s="53" t="str">
        <f t="shared" si="416"/>
        <v/>
      </c>
      <c r="R1902" s="53" t="str">
        <f t="shared" si="417"/>
        <v/>
      </c>
      <c r="S1902" s="53" t="str">
        <f t="shared" si="418"/>
        <v/>
      </c>
      <c r="T1902" s="53" t="str">
        <f t="shared" si="419"/>
        <v/>
      </c>
    </row>
    <row r="1903" spans="1:20">
      <c r="A1903" s="47" t="str">
        <f>IF(archive!E1903="","",archive!E1903)</f>
        <v/>
      </c>
      <c r="B1903" s="48" t="str">
        <f t="shared" si="406"/>
        <v/>
      </c>
      <c r="C1903" s="49" t="str">
        <f>IF(archive!F1903="","",archive!F1903)</f>
        <v/>
      </c>
      <c r="D1903" s="50" t="str">
        <f t="shared" si="407"/>
        <v/>
      </c>
      <c r="E1903" s="50" t="str">
        <f t="shared" si="408"/>
        <v/>
      </c>
      <c r="F1903" s="47" t="str">
        <f>IF(COUNTA(archive!H1903:CI1903)=0,"",COUNTA(archive!H1903:CI1903))</f>
        <v/>
      </c>
      <c r="G1903" s="47" t="str">
        <f>IF(archive!G1903="","",archive!G1903)</f>
        <v/>
      </c>
      <c r="H1903" s="51" t="str">
        <f>IF(archive!CJ1903="","",archive!CJ1903)</f>
        <v/>
      </c>
      <c r="I1903" s="51" t="str">
        <f>IF(archive!CK1903="","",archive!CK1903)</f>
        <v/>
      </c>
      <c r="J1903" s="47" t="str">
        <f t="shared" si="409"/>
        <v/>
      </c>
      <c r="K1903" s="51" t="str">
        <f t="shared" si="410"/>
        <v/>
      </c>
      <c r="L1903" s="52" t="str">
        <f t="shared" si="411"/>
        <v/>
      </c>
      <c r="M1903" s="53" t="str">
        <f t="shared" si="412"/>
        <v/>
      </c>
      <c r="N1903" s="53" t="str">
        <f t="shared" si="413"/>
        <v/>
      </c>
      <c r="O1903" s="53" t="str">
        <f t="shared" si="414"/>
        <v/>
      </c>
      <c r="P1903" s="53" t="str">
        <f t="shared" si="415"/>
        <v/>
      </c>
      <c r="Q1903" s="53" t="str">
        <f t="shared" si="416"/>
        <v/>
      </c>
      <c r="R1903" s="53" t="str">
        <f t="shared" si="417"/>
        <v/>
      </c>
      <c r="S1903" s="53" t="str">
        <f t="shared" si="418"/>
        <v/>
      </c>
      <c r="T1903" s="53" t="str">
        <f t="shared" si="419"/>
        <v/>
      </c>
    </row>
    <row r="1904" spans="1:20">
      <c r="A1904" s="47" t="str">
        <f>IF(archive!E1904="","",archive!E1904)</f>
        <v/>
      </c>
      <c r="B1904" s="48" t="str">
        <f t="shared" si="406"/>
        <v/>
      </c>
      <c r="C1904" s="49" t="str">
        <f>IF(archive!F1904="","",archive!F1904)</f>
        <v/>
      </c>
      <c r="D1904" s="50" t="str">
        <f t="shared" si="407"/>
        <v/>
      </c>
      <c r="E1904" s="50" t="str">
        <f t="shared" si="408"/>
        <v/>
      </c>
      <c r="F1904" s="47" t="str">
        <f>IF(COUNTA(archive!H1904:CI1904)=0,"",COUNTA(archive!H1904:CI1904))</f>
        <v/>
      </c>
      <c r="G1904" s="47" t="str">
        <f>IF(archive!G1904="","",archive!G1904)</f>
        <v/>
      </c>
      <c r="H1904" s="51" t="str">
        <f>IF(archive!CJ1904="","",archive!CJ1904)</f>
        <v/>
      </c>
      <c r="I1904" s="51" t="str">
        <f>IF(archive!CK1904="","",archive!CK1904)</f>
        <v/>
      </c>
      <c r="J1904" s="47" t="str">
        <f t="shared" si="409"/>
        <v/>
      </c>
      <c r="K1904" s="51" t="str">
        <f t="shared" si="410"/>
        <v/>
      </c>
      <c r="L1904" s="52" t="str">
        <f t="shared" si="411"/>
        <v/>
      </c>
      <c r="M1904" s="53" t="str">
        <f t="shared" si="412"/>
        <v/>
      </c>
      <c r="N1904" s="53" t="str">
        <f t="shared" si="413"/>
        <v/>
      </c>
      <c r="O1904" s="53" t="str">
        <f t="shared" si="414"/>
        <v/>
      </c>
      <c r="P1904" s="53" t="str">
        <f t="shared" si="415"/>
        <v/>
      </c>
      <c r="Q1904" s="53" t="str">
        <f t="shared" si="416"/>
        <v/>
      </c>
      <c r="R1904" s="53" t="str">
        <f t="shared" si="417"/>
        <v/>
      </c>
      <c r="S1904" s="53" t="str">
        <f t="shared" si="418"/>
        <v/>
      </c>
      <c r="T1904" s="53" t="str">
        <f t="shared" si="419"/>
        <v/>
      </c>
    </row>
    <row r="1905" spans="1:20">
      <c r="A1905" s="47" t="str">
        <f>IF(archive!E1905="","",archive!E1905)</f>
        <v/>
      </c>
      <c r="B1905" s="48" t="str">
        <f t="shared" si="406"/>
        <v/>
      </c>
      <c r="C1905" s="49" t="str">
        <f>IF(archive!F1905="","",archive!F1905)</f>
        <v/>
      </c>
      <c r="D1905" s="50" t="str">
        <f t="shared" si="407"/>
        <v/>
      </c>
      <c r="E1905" s="50" t="str">
        <f t="shared" si="408"/>
        <v/>
      </c>
      <c r="F1905" s="47" t="str">
        <f>IF(COUNTA(archive!H1905:CI1905)=0,"",COUNTA(archive!H1905:CI1905))</f>
        <v/>
      </c>
      <c r="G1905" s="47" t="str">
        <f>IF(archive!G1905="","",archive!G1905)</f>
        <v/>
      </c>
      <c r="H1905" s="51" t="str">
        <f>IF(archive!CJ1905="","",archive!CJ1905)</f>
        <v/>
      </c>
      <c r="I1905" s="51" t="str">
        <f>IF(archive!CK1905="","",archive!CK1905)</f>
        <v/>
      </c>
      <c r="J1905" s="47" t="str">
        <f t="shared" si="409"/>
        <v/>
      </c>
      <c r="K1905" s="51" t="str">
        <f t="shared" si="410"/>
        <v/>
      </c>
      <c r="L1905" s="52" t="str">
        <f t="shared" si="411"/>
        <v/>
      </c>
      <c r="M1905" s="53" t="str">
        <f t="shared" si="412"/>
        <v/>
      </c>
      <c r="N1905" s="53" t="str">
        <f t="shared" si="413"/>
        <v/>
      </c>
      <c r="O1905" s="53" t="str">
        <f t="shared" si="414"/>
        <v/>
      </c>
      <c r="P1905" s="53" t="str">
        <f t="shared" si="415"/>
        <v/>
      </c>
      <c r="Q1905" s="53" t="str">
        <f t="shared" si="416"/>
        <v/>
      </c>
      <c r="R1905" s="53" t="str">
        <f t="shared" si="417"/>
        <v/>
      </c>
      <c r="S1905" s="53" t="str">
        <f t="shared" si="418"/>
        <v/>
      </c>
      <c r="T1905" s="53" t="str">
        <f t="shared" si="419"/>
        <v/>
      </c>
    </row>
    <row r="1906" spans="1:20">
      <c r="A1906" s="47" t="str">
        <f>IF(archive!E1906="","",archive!E1906)</f>
        <v/>
      </c>
      <c r="B1906" s="48" t="str">
        <f t="shared" si="406"/>
        <v/>
      </c>
      <c r="C1906" s="49" t="str">
        <f>IF(archive!F1906="","",archive!F1906)</f>
        <v/>
      </c>
      <c r="D1906" s="50" t="str">
        <f t="shared" si="407"/>
        <v/>
      </c>
      <c r="E1906" s="50" t="str">
        <f t="shared" si="408"/>
        <v/>
      </c>
      <c r="F1906" s="47" t="str">
        <f>IF(COUNTA(archive!H1906:CI1906)=0,"",COUNTA(archive!H1906:CI1906))</f>
        <v/>
      </c>
      <c r="G1906" s="47" t="str">
        <f>IF(archive!G1906="","",archive!G1906)</f>
        <v/>
      </c>
      <c r="H1906" s="51" t="str">
        <f>IF(archive!CJ1906="","",archive!CJ1906)</f>
        <v/>
      </c>
      <c r="I1906" s="51" t="str">
        <f>IF(archive!CK1906="","",archive!CK1906)</f>
        <v/>
      </c>
      <c r="J1906" s="47" t="str">
        <f t="shared" si="409"/>
        <v/>
      </c>
      <c r="K1906" s="51" t="str">
        <f t="shared" si="410"/>
        <v/>
      </c>
      <c r="L1906" s="52" t="str">
        <f t="shared" si="411"/>
        <v/>
      </c>
      <c r="M1906" s="53" t="str">
        <f t="shared" si="412"/>
        <v/>
      </c>
      <c r="N1906" s="53" t="str">
        <f t="shared" si="413"/>
        <v/>
      </c>
      <c r="O1906" s="53" t="str">
        <f t="shared" si="414"/>
        <v/>
      </c>
      <c r="P1906" s="53" t="str">
        <f t="shared" si="415"/>
        <v/>
      </c>
      <c r="Q1906" s="53" t="str">
        <f t="shared" si="416"/>
        <v/>
      </c>
      <c r="R1906" s="53" t="str">
        <f t="shared" si="417"/>
        <v/>
      </c>
      <c r="S1906" s="53" t="str">
        <f t="shared" si="418"/>
        <v/>
      </c>
      <c r="T1906" s="53" t="str">
        <f t="shared" si="419"/>
        <v/>
      </c>
    </row>
    <row r="1907" spans="1:20">
      <c r="A1907" s="47" t="str">
        <f>IF(archive!E1907="","",archive!E1907)</f>
        <v/>
      </c>
      <c r="B1907" s="48" t="str">
        <f t="shared" si="406"/>
        <v/>
      </c>
      <c r="C1907" s="49" t="str">
        <f>IF(archive!F1907="","",archive!F1907)</f>
        <v/>
      </c>
      <c r="D1907" s="50" t="str">
        <f t="shared" si="407"/>
        <v/>
      </c>
      <c r="E1907" s="50" t="str">
        <f t="shared" si="408"/>
        <v/>
      </c>
      <c r="F1907" s="47" t="str">
        <f>IF(COUNTA(archive!H1907:CI1907)=0,"",COUNTA(archive!H1907:CI1907))</f>
        <v/>
      </c>
      <c r="G1907" s="47" t="str">
        <f>IF(archive!G1907="","",archive!G1907)</f>
        <v/>
      </c>
      <c r="H1907" s="51" t="str">
        <f>IF(archive!CJ1907="","",archive!CJ1907)</f>
        <v/>
      </c>
      <c r="I1907" s="51" t="str">
        <f>IF(archive!CK1907="","",archive!CK1907)</f>
        <v/>
      </c>
      <c r="J1907" s="47" t="str">
        <f t="shared" si="409"/>
        <v/>
      </c>
      <c r="K1907" s="51" t="str">
        <f t="shared" si="410"/>
        <v/>
      </c>
      <c r="L1907" s="52" t="str">
        <f t="shared" si="411"/>
        <v/>
      </c>
      <c r="M1907" s="53" t="str">
        <f t="shared" si="412"/>
        <v/>
      </c>
      <c r="N1907" s="53" t="str">
        <f t="shared" si="413"/>
        <v/>
      </c>
      <c r="O1907" s="53" t="str">
        <f t="shared" si="414"/>
        <v/>
      </c>
      <c r="P1907" s="53" t="str">
        <f t="shared" si="415"/>
        <v/>
      </c>
      <c r="Q1907" s="53" t="str">
        <f t="shared" si="416"/>
        <v/>
      </c>
      <c r="R1907" s="53" t="str">
        <f t="shared" si="417"/>
        <v/>
      </c>
      <c r="S1907" s="53" t="str">
        <f t="shared" si="418"/>
        <v/>
      </c>
      <c r="T1907" s="53" t="str">
        <f t="shared" si="419"/>
        <v/>
      </c>
    </row>
    <row r="1908" spans="1:20">
      <c r="A1908" s="47" t="str">
        <f>IF(archive!E1908="","",archive!E1908)</f>
        <v/>
      </c>
      <c r="B1908" s="48" t="str">
        <f t="shared" si="406"/>
        <v/>
      </c>
      <c r="C1908" s="49" t="str">
        <f>IF(archive!F1908="","",archive!F1908)</f>
        <v/>
      </c>
      <c r="D1908" s="50" t="str">
        <f t="shared" si="407"/>
        <v/>
      </c>
      <c r="E1908" s="50" t="str">
        <f t="shared" si="408"/>
        <v/>
      </c>
      <c r="F1908" s="47" t="str">
        <f>IF(COUNTA(archive!H1908:CI1908)=0,"",COUNTA(archive!H1908:CI1908))</f>
        <v/>
      </c>
      <c r="G1908" s="47" t="str">
        <f>IF(archive!G1908="","",archive!G1908)</f>
        <v/>
      </c>
      <c r="H1908" s="51" t="str">
        <f>IF(archive!CJ1908="","",archive!CJ1908)</f>
        <v/>
      </c>
      <c r="I1908" s="51" t="str">
        <f>IF(archive!CK1908="","",archive!CK1908)</f>
        <v/>
      </c>
      <c r="J1908" s="47" t="str">
        <f t="shared" si="409"/>
        <v/>
      </c>
      <c r="K1908" s="51" t="str">
        <f t="shared" si="410"/>
        <v/>
      </c>
      <c r="L1908" s="52" t="str">
        <f t="shared" si="411"/>
        <v/>
      </c>
      <c r="M1908" s="53" t="str">
        <f t="shared" si="412"/>
        <v/>
      </c>
      <c r="N1908" s="53" t="str">
        <f t="shared" si="413"/>
        <v/>
      </c>
      <c r="O1908" s="53" t="str">
        <f t="shared" si="414"/>
        <v/>
      </c>
      <c r="P1908" s="53" t="str">
        <f t="shared" si="415"/>
        <v/>
      </c>
      <c r="Q1908" s="53" t="str">
        <f t="shared" si="416"/>
        <v/>
      </c>
      <c r="R1908" s="53" t="str">
        <f t="shared" si="417"/>
        <v/>
      </c>
      <c r="S1908" s="53" t="str">
        <f t="shared" si="418"/>
        <v/>
      </c>
      <c r="T1908" s="53" t="str">
        <f t="shared" si="419"/>
        <v/>
      </c>
    </row>
    <row r="1909" spans="1:20">
      <c r="A1909" s="47" t="str">
        <f>IF(archive!E1909="","",archive!E1909)</f>
        <v/>
      </c>
      <c r="B1909" s="48" t="str">
        <f t="shared" si="406"/>
        <v/>
      </c>
      <c r="C1909" s="49" t="str">
        <f>IF(archive!F1909="","",archive!F1909)</f>
        <v/>
      </c>
      <c r="D1909" s="50" t="str">
        <f t="shared" si="407"/>
        <v/>
      </c>
      <c r="E1909" s="50" t="str">
        <f t="shared" si="408"/>
        <v/>
      </c>
      <c r="F1909" s="47" t="str">
        <f>IF(COUNTA(archive!H1909:CI1909)=0,"",COUNTA(archive!H1909:CI1909))</f>
        <v/>
      </c>
      <c r="G1909" s="47" t="str">
        <f>IF(archive!G1909="","",archive!G1909)</f>
        <v/>
      </c>
      <c r="H1909" s="51" t="str">
        <f>IF(archive!CJ1909="","",archive!CJ1909)</f>
        <v/>
      </c>
      <c r="I1909" s="51" t="str">
        <f>IF(archive!CK1909="","",archive!CK1909)</f>
        <v/>
      </c>
      <c r="J1909" s="47" t="str">
        <f t="shared" si="409"/>
        <v/>
      </c>
      <c r="K1909" s="51" t="str">
        <f t="shared" si="410"/>
        <v/>
      </c>
      <c r="L1909" s="52" t="str">
        <f t="shared" si="411"/>
        <v/>
      </c>
      <c r="M1909" s="53" t="str">
        <f t="shared" si="412"/>
        <v/>
      </c>
      <c r="N1909" s="53" t="str">
        <f t="shared" si="413"/>
        <v/>
      </c>
      <c r="O1909" s="53" t="str">
        <f t="shared" si="414"/>
        <v/>
      </c>
      <c r="P1909" s="53" t="str">
        <f t="shared" si="415"/>
        <v/>
      </c>
      <c r="Q1909" s="53" t="str">
        <f t="shared" si="416"/>
        <v/>
      </c>
      <c r="R1909" s="53" t="str">
        <f t="shared" si="417"/>
        <v/>
      </c>
      <c r="S1909" s="53" t="str">
        <f t="shared" si="418"/>
        <v/>
      </c>
      <c r="T1909" s="53" t="str">
        <f t="shared" si="419"/>
        <v/>
      </c>
    </row>
    <row r="1910" spans="1:20">
      <c r="A1910" s="47" t="str">
        <f>IF(archive!E1910="","",archive!E1910)</f>
        <v/>
      </c>
      <c r="B1910" s="48" t="str">
        <f t="shared" si="406"/>
        <v/>
      </c>
      <c r="C1910" s="49" t="str">
        <f>IF(archive!F1910="","",archive!F1910)</f>
        <v/>
      </c>
      <c r="D1910" s="50" t="str">
        <f t="shared" si="407"/>
        <v/>
      </c>
      <c r="E1910" s="50" t="str">
        <f t="shared" si="408"/>
        <v/>
      </c>
      <c r="F1910" s="47" t="str">
        <f>IF(COUNTA(archive!H1910:CI1910)=0,"",COUNTA(archive!H1910:CI1910))</f>
        <v/>
      </c>
      <c r="G1910" s="47" t="str">
        <f>IF(archive!G1910="","",archive!G1910)</f>
        <v/>
      </c>
      <c r="H1910" s="51" t="str">
        <f>IF(archive!CJ1910="","",archive!CJ1910)</f>
        <v/>
      </c>
      <c r="I1910" s="51" t="str">
        <f>IF(archive!CK1910="","",archive!CK1910)</f>
        <v/>
      </c>
      <c r="J1910" s="47" t="str">
        <f t="shared" si="409"/>
        <v/>
      </c>
      <c r="K1910" s="51" t="str">
        <f t="shared" si="410"/>
        <v/>
      </c>
      <c r="L1910" s="52" t="str">
        <f t="shared" si="411"/>
        <v/>
      </c>
      <c r="M1910" s="53" t="str">
        <f t="shared" si="412"/>
        <v/>
      </c>
      <c r="N1910" s="53" t="str">
        <f t="shared" si="413"/>
        <v/>
      </c>
      <c r="O1910" s="53" t="str">
        <f t="shared" si="414"/>
        <v/>
      </c>
      <c r="P1910" s="53" t="str">
        <f t="shared" si="415"/>
        <v/>
      </c>
      <c r="Q1910" s="53" t="str">
        <f t="shared" si="416"/>
        <v/>
      </c>
      <c r="R1910" s="53" t="str">
        <f t="shared" si="417"/>
        <v/>
      </c>
      <c r="S1910" s="53" t="str">
        <f t="shared" si="418"/>
        <v/>
      </c>
      <c r="T1910" s="53" t="str">
        <f t="shared" si="419"/>
        <v/>
      </c>
    </row>
    <row r="1911" spans="1:20">
      <c r="A1911" s="47" t="str">
        <f>IF(archive!E1911="","",archive!E1911)</f>
        <v/>
      </c>
      <c r="B1911" s="48" t="str">
        <f t="shared" si="406"/>
        <v/>
      </c>
      <c r="C1911" s="49" t="str">
        <f>IF(archive!F1911="","",archive!F1911)</f>
        <v/>
      </c>
      <c r="D1911" s="50" t="str">
        <f t="shared" si="407"/>
        <v/>
      </c>
      <c r="E1911" s="50" t="str">
        <f t="shared" si="408"/>
        <v/>
      </c>
      <c r="F1911" s="47" t="str">
        <f>IF(COUNTA(archive!H1911:CI1911)=0,"",COUNTA(archive!H1911:CI1911))</f>
        <v/>
      </c>
      <c r="G1911" s="47" t="str">
        <f>IF(archive!G1911="","",archive!G1911)</f>
        <v/>
      </c>
      <c r="H1911" s="51" t="str">
        <f>IF(archive!CJ1911="","",archive!CJ1911)</f>
        <v/>
      </c>
      <c r="I1911" s="51" t="str">
        <f>IF(archive!CK1911="","",archive!CK1911)</f>
        <v/>
      </c>
      <c r="J1911" s="47" t="str">
        <f t="shared" si="409"/>
        <v/>
      </c>
      <c r="K1911" s="51" t="str">
        <f t="shared" si="410"/>
        <v/>
      </c>
      <c r="L1911" s="52" t="str">
        <f t="shared" si="411"/>
        <v/>
      </c>
      <c r="M1911" s="53" t="str">
        <f t="shared" si="412"/>
        <v/>
      </c>
      <c r="N1911" s="53" t="str">
        <f t="shared" si="413"/>
        <v/>
      </c>
      <c r="O1911" s="53" t="str">
        <f t="shared" si="414"/>
        <v/>
      </c>
      <c r="P1911" s="53" t="str">
        <f t="shared" si="415"/>
        <v/>
      </c>
      <c r="Q1911" s="53" t="str">
        <f t="shared" si="416"/>
        <v/>
      </c>
      <c r="R1911" s="53" t="str">
        <f t="shared" si="417"/>
        <v/>
      </c>
      <c r="S1911" s="53" t="str">
        <f t="shared" si="418"/>
        <v/>
      </c>
      <c r="T1911" s="53" t="str">
        <f t="shared" si="419"/>
        <v/>
      </c>
    </row>
    <row r="1912" spans="1:20">
      <c r="A1912" s="47" t="str">
        <f>IF(archive!E1912="","",archive!E1912)</f>
        <v/>
      </c>
      <c r="B1912" s="48" t="str">
        <f t="shared" si="406"/>
        <v/>
      </c>
      <c r="C1912" s="49" t="str">
        <f>IF(archive!F1912="","",archive!F1912)</f>
        <v/>
      </c>
      <c r="D1912" s="50" t="str">
        <f t="shared" si="407"/>
        <v/>
      </c>
      <c r="E1912" s="50" t="str">
        <f t="shared" si="408"/>
        <v/>
      </c>
      <c r="F1912" s="47" t="str">
        <f>IF(COUNTA(archive!H1912:CI1912)=0,"",COUNTA(archive!H1912:CI1912))</f>
        <v/>
      </c>
      <c r="G1912" s="47" t="str">
        <f>IF(archive!G1912="","",archive!G1912)</f>
        <v/>
      </c>
      <c r="H1912" s="51" t="str">
        <f>IF(archive!CJ1912="","",archive!CJ1912)</f>
        <v/>
      </c>
      <c r="I1912" s="51" t="str">
        <f>IF(archive!CK1912="","",archive!CK1912)</f>
        <v/>
      </c>
      <c r="J1912" s="47" t="str">
        <f t="shared" si="409"/>
        <v/>
      </c>
      <c r="K1912" s="51" t="str">
        <f t="shared" si="410"/>
        <v/>
      </c>
      <c r="L1912" s="52" t="str">
        <f t="shared" si="411"/>
        <v/>
      </c>
      <c r="M1912" s="53" t="str">
        <f t="shared" si="412"/>
        <v/>
      </c>
      <c r="N1912" s="53" t="str">
        <f t="shared" si="413"/>
        <v/>
      </c>
      <c r="O1912" s="53" t="str">
        <f t="shared" si="414"/>
        <v/>
      </c>
      <c r="P1912" s="53" t="str">
        <f t="shared" si="415"/>
        <v/>
      </c>
      <c r="Q1912" s="53" t="str">
        <f t="shared" si="416"/>
        <v/>
      </c>
      <c r="R1912" s="53" t="str">
        <f t="shared" si="417"/>
        <v/>
      </c>
      <c r="S1912" s="53" t="str">
        <f t="shared" si="418"/>
        <v/>
      </c>
      <c r="T1912" s="53" t="str">
        <f t="shared" si="419"/>
        <v/>
      </c>
    </row>
    <row r="1913" spans="1:20">
      <c r="A1913" s="47" t="str">
        <f>IF(archive!E1913="","",archive!E1913)</f>
        <v/>
      </c>
      <c r="B1913" s="48" t="str">
        <f t="shared" si="406"/>
        <v/>
      </c>
      <c r="C1913" s="49" t="str">
        <f>IF(archive!F1913="","",archive!F1913)</f>
        <v/>
      </c>
      <c r="D1913" s="50" t="str">
        <f t="shared" si="407"/>
        <v/>
      </c>
      <c r="E1913" s="50" t="str">
        <f t="shared" si="408"/>
        <v/>
      </c>
      <c r="F1913" s="47" t="str">
        <f>IF(COUNTA(archive!H1913:CI1913)=0,"",COUNTA(archive!H1913:CI1913))</f>
        <v/>
      </c>
      <c r="G1913" s="47" t="str">
        <f>IF(archive!G1913="","",archive!G1913)</f>
        <v/>
      </c>
      <c r="H1913" s="51" t="str">
        <f>IF(archive!CJ1913="","",archive!CJ1913)</f>
        <v/>
      </c>
      <c r="I1913" s="51" t="str">
        <f>IF(archive!CK1913="","",archive!CK1913)</f>
        <v/>
      </c>
      <c r="J1913" s="47" t="str">
        <f t="shared" si="409"/>
        <v/>
      </c>
      <c r="K1913" s="51" t="str">
        <f t="shared" si="410"/>
        <v/>
      </c>
      <c r="L1913" s="52" t="str">
        <f t="shared" si="411"/>
        <v/>
      </c>
      <c r="M1913" s="53" t="str">
        <f t="shared" si="412"/>
        <v/>
      </c>
      <c r="N1913" s="53" t="str">
        <f t="shared" si="413"/>
        <v/>
      </c>
      <c r="O1913" s="53" t="str">
        <f t="shared" si="414"/>
        <v/>
      </c>
      <c r="P1913" s="53" t="str">
        <f t="shared" si="415"/>
        <v/>
      </c>
      <c r="Q1913" s="53" t="str">
        <f t="shared" si="416"/>
        <v/>
      </c>
      <c r="R1913" s="53" t="str">
        <f t="shared" si="417"/>
        <v/>
      </c>
      <c r="S1913" s="53" t="str">
        <f t="shared" si="418"/>
        <v/>
      </c>
      <c r="T1913" s="53" t="str">
        <f t="shared" si="419"/>
        <v/>
      </c>
    </row>
    <row r="1914" spans="1:20">
      <c r="A1914" s="47" t="str">
        <f>IF(archive!E1914="","",archive!E1914)</f>
        <v/>
      </c>
      <c r="B1914" s="48" t="str">
        <f t="shared" si="406"/>
        <v/>
      </c>
      <c r="C1914" s="49" t="str">
        <f>IF(archive!F1914="","",archive!F1914)</f>
        <v/>
      </c>
      <c r="D1914" s="50" t="str">
        <f t="shared" si="407"/>
        <v/>
      </c>
      <c r="E1914" s="50" t="str">
        <f t="shared" si="408"/>
        <v/>
      </c>
      <c r="F1914" s="47" t="str">
        <f>IF(COUNTA(archive!H1914:CI1914)=0,"",COUNTA(archive!H1914:CI1914))</f>
        <v/>
      </c>
      <c r="G1914" s="47" t="str">
        <f>IF(archive!G1914="","",archive!G1914)</f>
        <v/>
      </c>
      <c r="H1914" s="51" t="str">
        <f>IF(archive!CJ1914="","",archive!CJ1914)</f>
        <v/>
      </c>
      <c r="I1914" s="51" t="str">
        <f>IF(archive!CK1914="","",archive!CK1914)</f>
        <v/>
      </c>
      <c r="J1914" s="47" t="str">
        <f t="shared" si="409"/>
        <v/>
      </c>
      <c r="K1914" s="51" t="str">
        <f t="shared" si="410"/>
        <v/>
      </c>
      <c r="L1914" s="52" t="str">
        <f t="shared" si="411"/>
        <v/>
      </c>
      <c r="M1914" s="53" t="str">
        <f t="shared" si="412"/>
        <v/>
      </c>
      <c r="N1914" s="53" t="str">
        <f t="shared" si="413"/>
        <v/>
      </c>
      <c r="O1914" s="53" t="str">
        <f t="shared" si="414"/>
        <v/>
      </c>
      <c r="P1914" s="53" t="str">
        <f t="shared" si="415"/>
        <v/>
      </c>
      <c r="Q1914" s="53" t="str">
        <f t="shared" si="416"/>
        <v/>
      </c>
      <c r="R1914" s="53" t="str">
        <f t="shared" si="417"/>
        <v/>
      </c>
      <c r="S1914" s="53" t="str">
        <f t="shared" si="418"/>
        <v/>
      </c>
      <c r="T1914" s="53" t="str">
        <f t="shared" si="419"/>
        <v/>
      </c>
    </row>
    <row r="1915" spans="1:20">
      <c r="A1915" s="47" t="str">
        <f>IF(archive!E1915="","",archive!E1915)</f>
        <v/>
      </c>
      <c r="B1915" s="48" t="str">
        <f t="shared" si="406"/>
        <v/>
      </c>
      <c r="C1915" s="49" t="str">
        <f>IF(archive!F1915="","",archive!F1915)</f>
        <v/>
      </c>
      <c r="D1915" s="50" t="str">
        <f t="shared" si="407"/>
        <v/>
      </c>
      <c r="E1915" s="50" t="str">
        <f t="shared" si="408"/>
        <v/>
      </c>
      <c r="F1915" s="47" t="str">
        <f>IF(COUNTA(archive!H1915:CI1915)=0,"",COUNTA(archive!H1915:CI1915))</f>
        <v/>
      </c>
      <c r="G1915" s="47" t="str">
        <f>IF(archive!G1915="","",archive!G1915)</f>
        <v/>
      </c>
      <c r="H1915" s="51" t="str">
        <f>IF(archive!CJ1915="","",archive!CJ1915)</f>
        <v/>
      </c>
      <c r="I1915" s="51" t="str">
        <f>IF(archive!CK1915="","",archive!CK1915)</f>
        <v/>
      </c>
      <c r="J1915" s="47" t="str">
        <f t="shared" si="409"/>
        <v/>
      </c>
      <c r="K1915" s="51" t="str">
        <f t="shared" si="410"/>
        <v/>
      </c>
      <c r="L1915" s="52" t="str">
        <f t="shared" si="411"/>
        <v/>
      </c>
      <c r="M1915" s="53" t="str">
        <f t="shared" si="412"/>
        <v/>
      </c>
      <c r="N1915" s="53" t="str">
        <f t="shared" si="413"/>
        <v/>
      </c>
      <c r="O1915" s="53" t="str">
        <f t="shared" si="414"/>
        <v/>
      </c>
      <c r="P1915" s="53" t="str">
        <f t="shared" si="415"/>
        <v/>
      </c>
      <c r="Q1915" s="53" t="str">
        <f t="shared" si="416"/>
        <v/>
      </c>
      <c r="R1915" s="53" t="str">
        <f t="shared" si="417"/>
        <v/>
      </c>
      <c r="S1915" s="53" t="str">
        <f t="shared" si="418"/>
        <v/>
      </c>
      <c r="T1915" s="53" t="str">
        <f t="shared" si="419"/>
        <v/>
      </c>
    </row>
    <row r="1916" spans="1:20">
      <c r="A1916" s="47" t="str">
        <f>IF(archive!E1916="","",archive!E1916)</f>
        <v/>
      </c>
      <c r="B1916" s="48" t="str">
        <f t="shared" si="406"/>
        <v/>
      </c>
      <c r="C1916" s="49" t="str">
        <f>IF(archive!F1916="","",archive!F1916)</f>
        <v/>
      </c>
      <c r="D1916" s="50" t="str">
        <f t="shared" si="407"/>
        <v/>
      </c>
      <c r="E1916" s="50" t="str">
        <f t="shared" si="408"/>
        <v/>
      </c>
      <c r="F1916" s="47" t="str">
        <f>IF(COUNTA(archive!H1916:CI1916)=0,"",COUNTA(archive!H1916:CI1916))</f>
        <v/>
      </c>
      <c r="G1916" s="47" t="str">
        <f>IF(archive!G1916="","",archive!G1916)</f>
        <v/>
      </c>
      <c r="H1916" s="51" t="str">
        <f>IF(archive!CJ1916="","",archive!CJ1916)</f>
        <v/>
      </c>
      <c r="I1916" s="51" t="str">
        <f>IF(archive!CK1916="","",archive!CK1916)</f>
        <v/>
      </c>
      <c r="J1916" s="47" t="str">
        <f t="shared" si="409"/>
        <v/>
      </c>
      <c r="K1916" s="51" t="str">
        <f t="shared" si="410"/>
        <v/>
      </c>
      <c r="L1916" s="52" t="str">
        <f t="shared" si="411"/>
        <v/>
      </c>
      <c r="M1916" s="53" t="str">
        <f t="shared" si="412"/>
        <v/>
      </c>
      <c r="N1916" s="53" t="str">
        <f t="shared" si="413"/>
        <v/>
      </c>
      <c r="O1916" s="53" t="str">
        <f t="shared" si="414"/>
        <v/>
      </c>
      <c r="P1916" s="53" t="str">
        <f t="shared" si="415"/>
        <v/>
      </c>
      <c r="Q1916" s="53" t="str">
        <f t="shared" si="416"/>
        <v/>
      </c>
      <c r="R1916" s="53" t="str">
        <f t="shared" si="417"/>
        <v/>
      </c>
      <c r="S1916" s="53" t="str">
        <f t="shared" si="418"/>
        <v/>
      </c>
      <c r="T1916" s="53" t="str">
        <f t="shared" si="419"/>
        <v/>
      </c>
    </row>
    <row r="1917" spans="1:20">
      <c r="A1917" s="47" t="str">
        <f>IF(archive!E1917="","",archive!E1917)</f>
        <v/>
      </c>
      <c r="B1917" s="48" t="str">
        <f t="shared" si="406"/>
        <v/>
      </c>
      <c r="C1917" s="49" t="str">
        <f>IF(archive!F1917="","",archive!F1917)</f>
        <v/>
      </c>
      <c r="D1917" s="50" t="str">
        <f t="shared" si="407"/>
        <v/>
      </c>
      <c r="E1917" s="50" t="str">
        <f t="shared" si="408"/>
        <v/>
      </c>
      <c r="F1917" s="47" t="str">
        <f>IF(COUNTA(archive!H1917:CI1917)=0,"",COUNTA(archive!H1917:CI1917))</f>
        <v/>
      </c>
      <c r="G1917" s="47" t="str">
        <f>IF(archive!G1917="","",archive!G1917)</f>
        <v/>
      </c>
      <c r="H1917" s="51" t="str">
        <f>IF(archive!CJ1917="","",archive!CJ1917)</f>
        <v/>
      </c>
      <c r="I1917" s="51" t="str">
        <f>IF(archive!CK1917="","",archive!CK1917)</f>
        <v/>
      </c>
      <c r="J1917" s="47" t="str">
        <f t="shared" si="409"/>
        <v/>
      </c>
      <c r="K1917" s="51" t="str">
        <f t="shared" si="410"/>
        <v/>
      </c>
      <c r="L1917" s="52" t="str">
        <f t="shared" si="411"/>
        <v/>
      </c>
      <c r="M1917" s="53" t="str">
        <f t="shared" si="412"/>
        <v/>
      </c>
      <c r="N1917" s="53" t="str">
        <f t="shared" si="413"/>
        <v/>
      </c>
      <c r="O1917" s="53" t="str">
        <f t="shared" si="414"/>
        <v/>
      </c>
      <c r="P1917" s="53" t="str">
        <f t="shared" si="415"/>
        <v/>
      </c>
      <c r="Q1917" s="53" t="str">
        <f t="shared" si="416"/>
        <v/>
      </c>
      <c r="R1917" s="53" t="str">
        <f t="shared" si="417"/>
        <v/>
      </c>
      <c r="S1917" s="53" t="str">
        <f t="shared" si="418"/>
        <v/>
      </c>
      <c r="T1917" s="53" t="str">
        <f t="shared" si="419"/>
        <v/>
      </c>
    </row>
    <row r="1918" spans="1:20">
      <c r="A1918" s="47" t="str">
        <f>IF(archive!E1918="","",archive!E1918)</f>
        <v/>
      </c>
      <c r="B1918" s="48" t="str">
        <f t="shared" si="406"/>
        <v/>
      </c>
      <c r="C1918" s="49" t="str">
        <f>IF(archive!F1918="","",archive!F1918)</f>
        <v/>
      </c>
      <c r="D1918" s="50" t="str">
        <f t="shared" si="407"/>
        <v/>
      </c>
      <c r="E1918" s="50" t="str">
        <f t="shared" si="408"/>
        <v/>
      </c>
      <c r="F1918" s="47" t="str">
        <f>IF(COUNTA(archive!H1918:CI1918)=0,"",COUNTA(archive!H1918:CI1918))</f>
        <v/>
      </c>
      <c r="G1918" s="47" t="str">
        <f>IF(archive!G1918="","",archive!G1918)</f>
        <v/>
      </c>
      <c r="H1918" s="51" t="str">
        <f>IF(archive!CJ1918="","",archive!CJ1918)</f>
        <v/>
      </c>
      <c r="I1918" s="51" t="str">
        <f>IF(archive!CK1918="","",archive!CK1918)</f>
        <v/>
      </c>
      <c r="J1918" s="47" t="str">
        <f t="shared" si="409"/>
        <v/>
      </c>
      <c r="K1918" s="51" t="str">
        <f t="shared" si="410"/>
        <v/>
      </c>
      <c r="L1918" s="52" t="str">
        <f t="shared" si="411"/>
        <v/>
      </c>
      <c r="M1918" s="53" t="str">
        <f t="shared" si="412"/>
        <v/>
      </c>
      <c r="N1918" s="53" t="str">
        <f t="shared" si="413"/>
        <v/>
      </c>
      <c r="O1918" s="53" t="str">
        <f t="shared" si="414"/>
        <v/>
      </c>
      <c r="P1918" s="53" t="str">
        <f t="shared" si="415"/>
        <v/>
      </c>
      <c r="Q1918" s="53" t="str">
        <f t="shared" si="416"/>
        <v/>
      </c>
      <c r="R1918" s="53" t="str">
        <f t="shared" si="417"/>
        <v/>
      </c>
      <c r="S1918" s="53" t="str">
        <f t="shared" si="418"/>
        <v/>
      </c>
      <c r="T1918" s="53" t="str">
        <f t="shared" si="419"/>
        <v/>
      </c>
    </row>
    <row r="1919" spans="1:20">
      <c r="A1919" s="47" t="str">
        <f>IF(archive!E1919="","",archive!E1919)</f>
        <v/>
      </c>
      <c r="B1919" s="48" t="str">
        <f t="shared" si="406"/>
        <v/>
      </c>
      <c r="C1919" s="49" t="str">
        <f>IF(archive!F1919="","",archive!F1919)</f>
        <v/>
      </c>
      <c r="D1919" s="50" t="str">
        <f t="shared" si="407"/>
        <v/>
      </c>
      <c r="E1919" s="50" t="str">
        <f t="shared" si="408"/>
        <v/>
      </c>
      <c r="F1919" s="47" t="str">
        <f>IF(COUNTA(archive!H1919:CI1919)=0,"",COUNTA(archive!H1919:CI1919))</f>
        <v/>
      </c>
      <c r="G1919" s="47" t="str">
        <f>IF(archive!G1919="","",archive!G1919)</f>
        <v/>
      </c>
      <c r="H1919" s="51" t="str">
        <f>IF(archive!CJ1919="","",archive!CJ1919)</f>
        <v/>
      </c>
      <c r="I1919" s="51" t="str">
        <f>IF(archive!CK1919="","",archive!CK1919)</f>
        <v/>
      </c>
      <c r="J1919" s="47" t="str">
        <f t="shared" si="409"/>
        <v/>
      </c>
      <c r="K1919" s="51" t="str">
        <f t="shared" si="410"/>
        <v/>
      </c>
      <c r="L1919" s="52" t="str">
        <f t="shared" si="411"/>
        <v/>
      </c>
      <c r="M1919" s="53" t="str">
        <f t="shared" si="412"/>
        <v/>
      </c>
      <c r="N1919" s="53" t="str">
        <f t="shared" si="413"/>
        <v/>
      </c>
      <c r="O1919" s="53" t="str">
        <f t="shared" si="414"/>
        <v/>
      </c>
      <c r="P1919" s="53" t="str">
        <f t="shared" si="415"/>
        <v/>
      </c>
      <c r="Q1919" s="53" t="str">
        <f t="shared" si="416"/>
        <v/>
      </c>
      <c r="R1919" s="53" t="str">
        <f t="shared" si="417"/>
        <v/>
      </c>
      <c r="S1919" s="53" t="str">
        <f t="shared" si="418"/>
        <v/>
      </c>
      <c r="T1919" s="53" t="str">
        <f t="shared" si="419"/>
        <v/>
      </c>
    </row>
    <row r="1920" spans="1:20">
      <c r="A1920" s="47" t="str">
        <f>IF(archive!E1920="","",archive!E1920)</f>
        <v/>
      </c>
      <c r="B1920" s="48" t="str">
        <f t="shared" si="406"/>
        <v/>
      </c>
      <c r="C1920" s="49" t="str">
        <f>IF(archive!F1920="","",archive!F1920)</f>
        <v/>
      </c>
      <c r="D1920" s="50" t="str">
        <f t="shared" si="407"/>
        <v/>
      </c>
      <c r="E1920" s="50" t="str">
        <f t="shared" si="408"/>
        <v/>
      </c>
      <c r="F1920" s="47" t="str">
        <f>IF(COUNTA(archive!H1920:CI1920)=0,"",COUNTA(archive!H1920:CI1920))</f>
        <v/>
      </c>
      <c r="G1920" s="47" t="str">
        <f>IF(archive!G1920="","",archive!G1920)</f>
        <v/>
      </c>
      <c r="H1920" s="51" t="str">
        <f>IF(archive!CJ1920="","",archive!CJ1920)</f>
        <v/>
      </c>
      <c r="I1920" s="51" t="str">
        <f>IF(archive!CK1920="","",archive!CK1920)</f>
        <v/>
      </c>
      <c r="J1920" s="47" t="str">
        <f t="shared" si="409"/>
        <v/>
      </c>
      <c r="K1920" s="51" t="str">
        <f t="shared" si="410"/>
        <v/>
      </c>
      <c r="L1920" s="52" t="str">
        <f t="shared" si="411"/>
        <v/>
      </c>
      <c r="M1920" s="53" t="str">
        <f t="shared" si="412"/>
        <v/>
      </c>
      <c r="N1920" s="53" t="str">
        <f t="shared" si="413"/>
        <v/>
      </c>
      <c r="O1920" s="53" t="str">
        <f t="shared" si="414"/>
        <v/>
      </c>
      <c r="P1920" s="53" t="str">
        <f t="shared" si="415"/>
        <v/>
      </c>
      <c r="Q1920" s="53" t="str">
        <f t="shared" si="416"/>
        <v/>
      </c>
      <c r="R1920" s="53" t="str">
        <f t="shared" si="417"/>
        <v/>
      </c>
      <c r="S1920" s="53" t="str">
        <f t="shared" si="418"/>
        <v/>
      </c>
      <c r="T1920" s="53" t="str">
        <f t="shared" si="419"/>
        <v/>
      </c>
    </row>
    <row r="1921" spans="1:20">
      <c r="A1921" s="47" t="str">
        <f>IF(archive!E1921="","",archive!E1921)</f>
        <v/>
      </c>
      <c r="B1921" s="48" t="str">
        <f t="shared" si="406"/>
        <v/>
      </c>
      <c r="C1921" s="49" t="str">
        <f>IF(archive!F1921="","",archive!F1921)</f>
        <v/>
      </c>
      <c r="D1921" s="50" t="str">
        <f t="shared" si="407"/>
        <v/>
      </c>
      <c r="E1921" s="50" t="str">
        <f t="shared" si="408"/>
        <v/>
      </c>
      <c r="F1921" s="47" t="str">
        <f>IF(COUNTA(archive!H1921:CI1921)=0,"",COUNTA(archive!H1921:CI1921))</f>
        <v/>
      </c>
      <c r="G1921" s="47" t="str">
        <f>IF(archive!G1921="","",archive!G1921)</f>
        <v/>
      </c>
      <c r="H1921" s="51" t="str">
        <f>IF(archive!CJ1921="","",archive!CJ1921)</f>
        <v/>
      </c>
      <c r="I1921" s="51" t="str">
        <f>IF(archive!CK1921="","",archive!CK1921)</f>
        <v/>
      </c>
      <c r="J1921" s="47" t="str">
        <f t="shared" si="409"/>
        <v/>
      </c>
      <c r="K1921" s="51" t="str">
        <f t="shared" si="410"/>
        <v/>
      </c>
      <c r="L1921" s="52" t="str">
        <f t="shared" si="411"/>
        <v/>
      </c>
      <c r="M1921" s="53" t="str">
        <f t="shared" si="412"/>
        <v/>
      </c>
      <c r="N1921" s="53" t="str">
        <f t="shared" si="413"/>
        <v/>
      </c>
      <c r="O1921" s="53" t="str">
        <f t="shared" si="414"/>
        <v/>
      </c>
      <c r="P1921" s="53" t="str">
        <f t="shared" si="415"/>
        <v/>
      </c>
      <c r="Q1921" s="53" t="str">
        <f t="shared" si="416"/>
        <v/>
      </c>
      <c r="R1921" s="53" t="str">
        <f t="shared" si="417"/>
        <v/>
      </c>
      <c r="S1921" s="53" t="str">
        <f t="shared" si="418"/>
        <v/>
      </c>
      <c r="T1921" s="53" t="str">
        <f t="shared" si="419"/>
        <v/>
      </c>
    </row>
    <row r="1922" spans="1:20">
      <c r="A1922" s="47" t="str">
        <f>IF(archive!E1922="","",archive!E1922)</f>
        <v/>
      </c>
      <c r="B1922" s="48" t="str">
        <f t="shared" si="406"/>
        <v/>
      </c>
      <c r="C1922" s="49" t="str">
        <f>IF(archive!F1922="","",archive!F1922)</f>
        <v/>
      </c>
      <c r="D1922" s="50" t="str">
        <f t="shared" si="407"/>
        <v/>
      </c>
      <c r="E1922" s="50" t="str">
        <f t="shared" si="408"/>
        <v/>
      </c>
      <c r="F1922" s="47" t="str">
        <f>IF(COUNTA(archive!H1922:CI1922)=0,"",COUNTA(archive!H1922:CI1922))</f>
        <v/>
      </c>
      <c r="G1922" s="47" t="str">
        <f>IF(archive!G1922="","",archive!G1922)</f>
        <v/>
      </c>
      <c r="H1922" s="51" t="str">
        <f>IF(archive!CJ1922="","",archive!CJ1922)</f>
        <v/>
      </c>
      <c r="I1922" s="51" t="str">
        <f>IF(archive!CK1922="","",archive!CK1922)</f>
        <v/>
      </c>
      <c r="J1922" s="47" t="str">
        <f t="shared" si="409"/>
        <v/>
      </c>
      <c r="K1922" s="51" t="str">
        <f t="shared" si="410"/>
        <v/>
      </c>
      <c r="L1922" s="52" t="str">
        <f t="shared" si="411"/>
        <v/>
      </c>
      <c r="M1922" s="53" t="str">
        <f t="shared" si="412"/>
        <v/>
      </c>
      <c r="N1922" s="53" t="str">
        <f t="shared" si="413"/>
        <v/>
      </c>
      <c r="O1922" s="53" t="str">
        <f t="shared" si="414"/>
        <v/>
      </c>
      <c r="P1922" s="53" t="str">
        <f t="shared" si="415"/>
        <v/>
      </c>
      <c r="Q1922" s="53" t="str">
        <f t="shared" si="416"/>
        <v/>
      </c>
      <c r="R1922" s="53" t="str">
        <f t="shared" si="417"/>
        <v/>
      </c>
      <c r="S1922" s="53" t="str">
        <f t="shared" si="418"/>
        <v/>
      </c>
      <c r="T1922" s="53" t="str">
        <f t="shared" si="419"/>
        <v/>
      </c>
    </row>
    <row r="1923" spans="1:20">
      <c r="A1923" s="47" t="str">
        <f>IF(archive!E1923="","",archive!E1923)</f>
        <v/>
      </c>
      <c r="B1923" s="48" t="str">
        <f t="shared" si="406"/>
        <v/>
      </c>
      <c r="C1923" s="49" t="str">
        <f>IF(archive!F1923="","",archive!F1923)</f>
        <v/>
      </c>
      <c r="D1923" s="50" t="str">
        <f t="shared" si="407"/>
        <v/>
      </c>
      <c r="E1923" s="50" t="str">
        <f t="shared" si="408"/>
        <v/>
      </c>
      <c r="F1923" s="47" t="str">
        <f>IF(COUNTA(archive!H1923:CI1923)=0,"",COUNTA(archive!H1923:CI1923))</f>
        <v/>
      </c>
      <c r="G1923" s="47" t="str">
        <f>IF(archive!G1923="","",archive!G1923)</f>
        <v/>
      </c>
      <c r="H1923" s="51" t="str">
        <f>IF(archive!CJ1923="","",archive!CJ1923)</f>
        <v/>
      </c>
      <c r="I1923" s="51" t="str">
        <f>IF(archive!CK1923="","",archive!CK1923)</f>
        <v/>
      </c>
      <c r="J1923" s="47" t="str">
        <f t="shared" si="409"/>
        <v/>
      </c>
      <c r="K1923" s="51" t="str">
        <f t="shared" si="410"/>
        <v/>
      </c>
      <c r="L1923" s="52" t="str">
        <f t="shared" si="411"/>
        <v/>
      </c>
      <c r="M1923" s="53" t="str">
        <f t="shared" si="412"/>
        <v/>
      </c>
      <c r="N1923" s="53" t="str">
        <f t="shared" si="413"/>
        <v/>
      </c>
      <c r="O1923" s="53" t="str">
        <f t="shared" si="414"/>
        <v/>
      </c>
      <c r="P1923" s="53" t="str">
        <f t="shared" si="415"/>
        <v/>
      </c>
      <c r="Q1923" s="53" t="str">
        <f t="shared" si="416"/>
        <v/>
      </c>
      <c r="R1923" s="53" t="str">
        <f t="shared" si="417"/>
        <v/>
      </c>
      <c r="S1923" s="53" t="str">
        <f t="shared" si="418"/>
        <v/>
      </c>
      <c r="T1923" s="53" t="str">
        <f t="shared" si="419"/>
        <v/>
      </c>
    </row>
    <row r="1924" spans="1:20">
      <c r="A1924" s="47" t="str">
        <f>IF(archive!E1924="","",archive!E1924)</f>
        <v/>
      </c>
      <c r="B1924" s="48" t="str">
        <f t="shared" ref="B1924:B1987" si="420">IF(C1924="","",VLOOKUP($C1924,Tare,2,0))</f>
        <v/>
      </c>
      <c r="C1924" s="49" t="str">
        <f>IF(archive!F1924="","",archive!F1924)</f>
        <v/>
      </c>
      <c r="D1924" s="50" t="str">
        <f t="shared" ref="D1924:D1987" si="421">IF(C1924="","",C1924+B1924)</f>
        <v/>
      </c>
      <c r="E1924" s="50" t="str">
        <f t="shared" ref="E1924:E1987" si="422">IF(C1924="","",(C1924*0.025)+D1924)</f>
        <v/>
      </c>
      <c r="F1924" s="47" t="str">
        <f>IF(COUNTA(archive!H1924:CI1924)=0,"",COUNTA(archive!H1924:CI1924))</f>
        <v/>
      </c>
      <c r="G1924" s="47" t="str">
        <f>IF(archive!G1924="","",archive!G1924)</f>
        <v/>
      </c>
      <c r="H1924" s="51" t="str">
        <f>IF(archive!CJ1924="","",archive!CJ1924)</f>
        <v/>
      </c>
      <c r="I1924" s="51" t="str">
        <f>IF(archive!CK1924="","",archive!CK1924)</f>
        <v/>
      </c>
      <c r="J1924" s="47" t="str">
        <f t="shared" ref="J1924:J1987" si="423">IF(F1924="","",VLOOKUP(F1924,Valeur_g,2,0))</f>
        <v/>
      </c>
      <c r="K1924" s="51" t="str">
        <f t="shared" ref="K1924:K1987" si="424">IF(C1924="","",D1924+(J1924*I1924))</f>
        <v/>
      </c>
      <c r="L1924" s="52" t="str">
        <f t="shared" ref="L1924:L1987" si="425">IF(C1924="","",IF(K1924&lt;H1924,"Conforme","Non conforme"))</f>
        <v/>
      </c>
      <c r="M1924" s="53" t="str">
        <f t="shared" ref="M1924:M1987" si="426">IF(C1924="","",1)</f>
        <v/>
      </c>
      <c r="N1924" s="53" t="str">
        <f t="shared" ref="N1924:N1987" si="427">IF(L1924="","",COUNTIF(L1924,"Non conforme"))</f>
        <v/>
      </c>
      <c r="O1924" s="53" t="str">
        <f t="shared" ref="O1924:O1987" si="428">IF($C1924="","",IF($C1924=0.25,$G1924,"-"))</f>
        <v/>
      </c>
      <c r="P1924" s="53" t="str">
        <f t="shared" ref="P1924:P1987" si="429">IF($C1924="","",IF($C1924=0.4,$G1924,"-"))</f>
        <v/>
      </c>
      <c r="Q1924" s="53" t="str">
        <f t="shared" ref="Q1924:Q1987" si="430">IF($C1924="","",IF($C1924=0.5,$G1924,"-"))</f>
        <v/>
      </c>
      <c r="R1924" s="53" t="str">
        <f t="shared" ref="R1924:R1987" si="431">IF($C1924="","",IF($C1924=0.6,$G1924,"-"))</f>
        <v/>
      </c>
      <c r="S1924" s="53" t="str">
        <f t="shared" ref="S1924:S1987" si="432">IF($C1924="","",IF($C1924=0.8,$G1924,"-"))</f>
        <v/>
      </c>
      <c r="T1924" s="53" t="str">
        <f t="shared" ref="T1924:T1987" si="433">IF($C1924="","",IF($C1924=1,$G1924,"-"))</f>
        <v/>
      </c>
    </row>
    <row r="1925" spans="1:20">
      <c r="A1925" s="47" t="str">
        <f>IF(archive!E1925="","",archive!E1925)</f>
        <v/>
      </c>
      <c r="B1925" s="48" t="str">
        <f t="shared" si="420"/>
        <v/>
      </c>
      <c r="C1925" s="49" t="str">
        <f>IF(archive!F1925="","",archive!F1925)</f>
        <v/>
      </c>
      <c r="D1925" s="50" t="str">
        <f t="shared" si="421"/>
        <v/>
      </c>
      <c r="E1925" s="50" t="str">
        <f t="shared" si="422"/>
        <v/>
      </c>
      <c r="F1925" s="47" t="str">
        <f>IF(COUNTA(archive!H1925:CI1925)=0,"",COUNTA(archive!H1925:CI1925))</f>
        <v/>
      </c>
      <c r="G1925" s="47" t="str">
        <f>IF(archive!G1925="","",archive!G1925)</f>
        <v/>
      </c>
      <c r="H1925" s="51" t="str">
        <f>IF(archive!CJ1925="","",archive!CJ1925)</f>
        <v/>
      </c>
      <c r="I1925" s="51" t="str">
        <f>IF(archive!CK1925="","",archive!CK1925)</f>
        <v/>
      </c>
      <c r="J1925" s="47" t="str">
        <f t="shared" si="423"/>
        <v/>
      </c>
      <c r="K1925" s="51" t="str">
        <f t="shared" si="424"/>
        <v/>
      </c>
      <c r="L1925" s="52" t="str">
        <f t="shared" si="425"/>
        <v/>
      </c>
      <c r="M1925" s="53" t="str">
        <f t="shared" si="426"/>
        <v/>
      </c>
      <c r="N1925" s="53" t="str">
        <f t="shared" si="427"/>
        <v/>
      </c>
      <c r="O1925" s="53" t="str">
        <f t="shared" si="428"/>
        <v/>
      </c>
      <c r="P1925" s="53" t="str">
        <f t="shared" si="429"/>
        <v/>
      </c>
      <c r="Q1925" s="53" t="str">
        <f t="shared" si="430"/>
        <v/>
      </c>
      <c r="R1925" s="53" t="str">
        <f t="shared" si="431"/>
        <v/>
      </c>
      <c r="S1925" s="53" t="str">
        <f t="shared" si="432"/>
        <v/>
      </c>
      <c r="T1925" s="53" t="str">
        <f t="shared" si="433"/>
        <v/>
      </c>
    </row>
    <row r="1926" spans="1:20">
      <c r="A1926" s="47" t="str">
        <f>IF(archive!E1926="","",archive!E1926)</f>
        <v/>
      </c>
      <c r="B1926" s="48" t="str">
        <f t="shared" si="420"/>
        <v/>
      </c>
      <c r="C1926" s="49" t="str">
        <f>IF(archive!F1926="","",archive!F1926)</f>
        <v/>
      </c>
      <c r="D1926" s="50" t="str">
        <f t="shared" si="421"/>
        <v/>
      </c>
      <c r="E1926" s="50" t="str">
        <f t="shared" si="422"/>
        <v/>
      </c>
      <c r="F1926" s="47" t="str">
        <f>IF(COUNTA(archive!H1926:CI1926)=0,"",COUNTA(archive!H1926:CI1926))</f>
        <v/>
      </c>
      <c r="G1926" s="47" t="str">
        <f>IF(archive!G1926="","",archive!G1926)</f>
        <v/>
      </c>
      <c r="H1926" s="51" t="str">
        <f>IF(archive!CJ1926="","",archive!CJ1926)</f>
        <v/>
      </c>
      <c r="I1926" s="51" t="str">
        <f>IF(archive!CK1926="","",archive!CK1926)</f>
        <v/>
      </c>
      <c r="J1926" s="47" t="str">
        <f t="shared" si="423"/>
        <v/>
      </c>
      <c r="K1926" s="51" t="str">
        <f t="shared" si="424"/>
        <v/>
      </c>
      <c r="L1926" s="52" t="str">
        <f t="shared" si="425"/>
        <v/>
      </c>
      <c r="M1926" s="53" t="str">
        <f t="shared" si="426"/>
        <v/>
      </c>
      <c r="N1926" s="53" t="str">
        <f t="shared" si="427"/>
        <v/>
      </c>
      <c r="O1926" s="53" t="str">
        <f t="shared" si="428"/>
        <v/>
      </c>
      <c r="P1926" s="53" t="str">
        <f t="shared" si="429"/>
        <v/>
      </c>
      <c r="Q1926" s="53" t="str">
        <f t="shared" si="430"/>
        <v/>
      </c>
      <c r="R1926" s="53" t="str">
        <f t="shared" si="431"/>
        <v/>
      </c>
      <c r="S1926" s="53" t="str">
        <f t="shared" si="432"/>
        <v/>
      </c>
      <c r="T1926" s="53" t="str">
        <f t="shared" si="433"/>
        <v/>
      </c>
    </row>
    <row r="1927" spans="1:20">
      <c r="A1927" s="47" t="str">
        <f>IF(archive!E1927="","",archive!E1927)</f>
        <v/>
      </c>
      <c r="B1927" s="48" t="str">
        <f t="shared" si="420"/>
        <v/>
      </c>
      <c r="C1927" s="49" t="str">
        <f>IF(archive!F1927="","",archive!F1927)</f>
        <v/>
      </c>
      <c r="D1927" s="50" t="str">
        <f t="shared" si="421"/>
        <v/>
      </c>
      <c r="E1927" s="50" t="str">
        <f t="shared" si="422"/>
        <v/>
      </c>
      <c r="F1927" s="47" t="str">
        <f>IF(COUNTA(archive!H1927:CI1927)=0,"",COUNTA(archive!H1927:CI1927))</f>
        <v/>
      </c>
      <c r="G1927" s="47" t="str">
        <f>IF(archive!G1927="","",archive!G1927)</f>
        <v/>
      </c>
      <c r="H1927" s="51" t="str">
        <f>IF(archive!CJ1927="","",archive!CJ1927)</f>
        <v/>
      </c>
      <c r="I1927" s="51" t="str">
        <f>IF(archive!CK1927="","",archive!CK1927)</f>
        <v/>
      </c>
      <c r="J1927" s="47" t="str">
        <f t="shared" si="423"/>
        <v/>
      </c>
      <c r="K1927" s="51" t="str">
        <f t="shared" si="424"/>
        <v/>
      </c>
      <c r="L1927" s="52" t="str">
        <f t="shared" si="425"/>
        <v/>
      </c>
      <c r="M1927" s="53" t="str">
        <f t="shared" si="426"/>
        <v/>
      </c>
      <c r="N1927" s="53" t="str">
        <f t="shared" si="427"/>
        <v/>
      </c>
      <c r="O1927" s="53" t="str">
        <f t="shared" si="428"/>
        <v/>
      </c>
      <c r="P1927" s="53" t="str">
        <f t="shared" si="429"/>
        <v/>
      </c>
      <c r="Q1927" s="53" t="str">
        <f t="shared" si="430"/>
        <v/>
      </c>
      <c r="R1927" s="53" t="str">
        <f t="shared" si="431"/>
        <v/>
      </c>
      <c r="S1927" s="53" t="str">
        <f t="shared" si="432"/>
        <v/>
      </c>
      <c r="T1927" s="53" t="str">
        <f t="shared" si="433"/>
        <v/>
      </c>
    </row>
    <row r="1928" spans="1:20">
      <c r="A1928" s="47" t="str">
        <f>IF(archive!E1928="","",archive!E1928)</f>
        <v/>
      </c>
      <c r="B1928" s="48" t="str">
        <f t="shared" si="420"/>
        <v/>
      </c>
      <c r="C1928" s="49" t="str">
        <f>IF(archive!F1928="","",archive!F1928)</f>
        <v/>
      </c>
      <c r="D1928" s="50" t="str">
        <f t="shared" si="421"/>
        <v/>
      </c>
      <c r="E1928" s="50" t="str">
        <f t="shared" si="422"/>
        <v/>
      </c>
      <c r="F1928" s="47" t="str">
        <f>IF(COUNTA(archive!H1928:CI1928)=0,"",COUNTA(archive!H1928:CI1928))</f>
        <v/>
      </c>
      <c r="G1928" s="47" t="str">
        <f>IF(archive!G1928="","",archive!G1928)</f>
        <v/>
      </c>
      <c r="H1928" s="51" t="str">
        <f>IF(archive!CJ1928="","",archive!CJ1928)</f>
        <v/>
      </c>
      <c r="I1928" s="51" t="str">
        <f>IF(archive!CK1928="","",archive!CK1928)</f>
        <v/>
      </c>
      <c r="J1928" s="47" t="str">
        <f t="shared" si="423"/>
        <v/>
      </c>
      <c r="K1928" s="51" t="str">
        <f t="shared" si="424"/>
        <v/>
      </c>
      <c r="L1928" s="52" t="str">
        <f t="shared" si="425"/>
        <v/>
      </c>
      <c r="M1928" s="53" t="str">
        <f t="shared" si="426"/>
        <v/>
      </c>
      <c r="N1928" s="53" t="str">
        <f t="shared" si="427"/>
        <v/>
      </c>
      <c r="O1928" s="53" t="str">
        <f t="shared" si="428"/>
        <v/>
      </c>
      <c r="P1928" s="53" t="str">
        <f t="shared" si="429"/>
        <v/>
      </c>
      <c r="Q1928" s="53" t="str">
        <f t="shared" si="430"/>
        <v/>
      </c>
      <c r="R1928" s="53" t="str">
        <f t="shared" si="431"/>
        <v/>
      </c>
      <c r="S1928" s="53" t="str">
        <f t="shared" si="432"/>
        <v/>
      </c>
      <c r="T1928" s="53" t="str">
        <f t="shared" si="433"/>
        <v/>
      </c>
    </row>
    <row r="1929" spans="1:20">
      <c r="A1929" s="47" t="str">
        <f>IF(archive!E1929="","",archive!E1929)</f>
        <v/>
      </c>
      <c r="B1929" s="48" t="str">
        <f t="shared" si="420"/>
        <v/>
      </c>
      <c r="C1929" s="49" t="str">
        <f>IF(archive!F1929="","",archive!F1929)</f>
        <v/>
      </c>
      <c r="D1929" s="50" t="str">
        <f t="shared" si="421"/>
        <v/>
      </c>
      <c r="E1929" s="50" t="str">
        <f t="shared" si="422"/>
        <v/>
      </c>
      <c r="F1929" s="47" t="str">
        <f>IF(COUNTA(archive!H1929:CI1929)=0,"",COUNTA(archive!H1929:CI1929))</f>
        <v/>
      </c>
      <c r="G1929" s="47" t="str">
        <f>IF(archive!G1929="","",archive!G1929)</f>
        <v/>
      </c>
      <c r="H1929" s="51" t="str">
        <f>IF(archive!CJ1929="","",archive!CJ1929)</f>
        <v/>
      </c>
      <c r="I1929" s="51" t="str">
        <f>IF(archive!CK1929="","",archive!CK1929)</f>
        <v/>
      </c>
      <c r="J1929" s="47" t="str">
        <f t="shared" si="423"/>
        <v/>
      </c>
      <c r="K1929" s="51" t="str">
        <f t="shared" si="424"/>
        <v/>
      </c>
      <c r="L1929" s="52" t="str">
        <f t="shared" si="425"/>
        <v/>
      </c>
      <c r="M1929" s="53" t="str">
        <f t="shared" si="426"/>
        <v/>
      </c>
      <c r="N1929" s="53" t="str">
        <f t="shared" si="427"/>
        <v/>
      </c>
      <c r="O1929" s="53" t="str">
        <f t="shared" si="428"/>
        <v/>
      </c>
      <c r="P1929" s="53" t="str">
        <f t="shared" si="429"/>
        <v/>
      </c>
      <c r="Q1929" s="53" t="str">
        <f t="shared" si="430"/>
        <v/>
      </c>
      <c r="R1929" s="53" t="str">
        <f t="shared" si="431"/>
        <v/>
      </c>
      <c r="S1929" s="53" t="str">
        <f t="shared" si="432"/>
        <v/>
      </c>
      <c r="T1929" s="53" t="str">
        <f t="shared" si="433"/>
        <v/>
      </c>
    </row>
    <row r="1930" spans="1:20">
      <c r="A1930" s="47" t="str">
        <f>IF(archive!E1930="","",archive!E1930)</f>
        <v/>
      </c>
      <c r="B1930" s="48" t="str">
        <f t="shared" si="420"/>
        <v/>
      </c>
      <c r="C1930" s="49" t="str">
        <f>IF(archive!F1930="","",archive!F1930)</f>
        <v/>
      </c>
      <c r="D1930" s="50" t="str">
        <f t="shared" si="421"/>
        <v/>
      </c>
      <c r="E1930" s="50" t="str">
        <f t="shared" si="422"/>
        <v/>
      </c>
      <c r="F1930" s="47" t="str">
        <f>IF(COUNTA(archive!H1930:CI1930)=0,"",COUNTA(archive!H1930:CI1930))</f>
        <v/>
      </c>
      <c r="G1930" s="47" t="str">
        <f>IF(archive!G1930="","",archive!G1930)</f>
        <v/>
      </c>
      <c r="H1930" s="51" t="str">
        <f>IF(archive!CJ1930="","",archive!CJ1930)</f>
        <v/>
      </c>
      <c r="I1930" s="51" t="str">
        <f>IF(archive!CK1930="","",archive!CK1930)</f>
        <v/>
      </c>
      <c r="J1930" s="47" t="str">
        <f t="shared" si="423"/>
        <v/>
      </c>
      <c r="K1930" s="51" t="str">
        <f t="shared" si="424"/>
        <v/>
      </c>
      <c r="L1930" s="52" t="str">
        <f t="shared" si="425"/>
        <v/>
      </c>
      <c r="M1930" s="53" t="str">
        <f t="shared" si="426"/>
        <v/>
      </c>
      <c r="N1930" s="53" t="str">
        <f t="shared" si="427"/>
        <v/>
      </c>
      <c r="O1930" s="53" t="str">
        <f t="shared" si="428"/>
        <v/>
      </c>
      <c r="P1930" s="53" t="str">
        <f t="shared" si="429"/>
        <v/>
      </c>
      <c r="Q1930" s="53" t="str">
        <f t="shared" si="430"/>
        <v/>
      </c>
      <c r="R1930" s="53" t="str">
        <f t="shared" si="431"/>
        <v/>
      </c>
      <c r="S1930" s="53" t="str">
        <f t="shared" si="432"/>
        <v/>
      </c>
      <c r="T1930" s="53" t="str">
        <f t="shared" si="433"/>
        <v/>
      </c>
    </row>
    <row r="1931" spans="1:20">
      <c r="A1931" s="47" t="str">
        <f>IF(archive!E1931="","",archive!E1931)</f>
        <v/>
      </c>
      <c r="B1931" s="48" t="str">
        <f t="shared" si="420"/>
        <v/>
      </c>
      <c r="C1931" s="49" t="str">
        <f>IF(archive!F1931="","",archive!F1931)</f>
        <v/>
      </c>
      <c r="D1931" s="50" t="str">
        <f t="shared" si="421"/>
        <v/>
      </c>
      <c r="E1931" s="50" t="str">
        <f t="shared" si="422"/>
        <v/>
      </c>
      <c r="F1931" s="47" t="str">
        <f>IF(COUNTA(archive!H1931:CI1931)=0,"",COUNTA(archive!H1931:CI1931))</f>
        <v/>
      </c>
      <c r="G1931" s="47" t="str">
        <f>IF(archive!G1931="","",archive!G1931)</f>
        <v/>
      </c>
      <c r="H1931" s="51" t="str">
        <f>IF(archive!CJ1931="","",archive!CJ1931)</f>
        <v/>
      </c>
      <c r="I1931" s="51" t="str">
        <f>IF(archive!CK1931="","",archive!CK1931)</f>
        <v/>
      </c>
      <c r="J1931" s="47" t="str">
        <f t="shared" si="423"/>
        <v/>
      </c>
      <c r="K1931" s="51" t="str">
        <f t="shared" si="424"/>
        <v/>
      </c>
      <c r="L1931" s="52" t="str">
        <f t="shared" si="425"/>
        <v/>
      </c>
      <c r="M1931" s="53" t="str">
        <f t="shared" si="426"/>
        <v/>
      </c>
      <c r="N1931" s="53" t="str">
        <f t="shared" si="427"/>
        <v/>
      </c>
      <c r="O1931" s="53" t="str">
        <f t="shared" si="428"/>
        <v/>
      </c>
      <c r="P1931" s="53" t="str">
        <f t="shared" si="429"/>
        <v/>
      </c>
      <c r="Q1931" s="53" t="str">
        <f t="shared" si="430"/>
        <v/>
      </c>
      <c r="R1931" s="53" t="str">
        <f t="shared" si="431"/>
        <v/>
      </c>
      <c r="S1931" s="53" t="str">
        <f t="shared" si="432"/>
        <v/>
      </c>
      <c r="T1931" s="53" t="str">
        <f t="shared" si="433"/>
        <v/>
      </c>
    </row>
    <row r="1932" spans="1:20">
      <c r="A1932" s="47" t="str">
        <f>IF(archive!E1932="","",archive!E1932)</f>
        <v/>
      </c>
      <c r="B1932" s="48" t="str">
        <f t="shared" si="420"/>
        <v/>
      </c>
      <c r="C1932" s="49" t="str">
        <f>IF(archive!F1932="","",archive!F1932)</f>
        <v/>
      </c>
      <c r="D1932" s="50" t="str">
        <f t="shared" si="421"/>
        <v/>
      </c>
      <c r="E1932" s="50" t="str">
        <f t="shared" si="422"/>
        <v/>
      </c>
      <c r="F1932" s="47" t="str">
        <f>IF(COUNTA(archive!H1932:CI1932)=0,"",COUNTA(archive!H1932:CI1932))</f>
        <v/>
      </c>
      <c r="G1932" s="47" t="str">
        <f>IF(archive!G1932="","",archive!G1932)</f>
        <v/>
      </c>
      <c r="H1932" s="51" t="str">
        <f>IF(archive!CJ1932="","",archive!CJ1932)</f>
        <v/>
      </c>
      <c r="I1932" s="51" t="str">
        <f>IF(archive!CK1932="","",archive!CK1932)</f>
        <v/>
      </c>
      <c r="J1932" s="47" t="str">
        <f t="shared" si="423"/>
        <v/>
      </c>
      <c r="K1932" s="51" t="str">
        <f t="shared" si="424"/>
        <v/>
      </c>
      <c r="L1932" s="52" t="str">
        <f t="shared" si="425"/>
        <v/>
      </c>
      <c r="M1932" s="53" t="str">
        <f t="shared" si="426"/>
        <v/>
      </c>
      <c r="N1932" s="53" t="str">
        <f t="shared" si="427"/>
        <v/>
      </c>
      <c r="O1932" s="53" t="str">
        <f t="shared" si="428"/>
        <v/>
      </c>
      <c r="P1932" s="53" t="str">
        <f t="shared" si="429"/>
        <v/>
      </c>
      <c r="Q1932" s="53" t="str">
        <f t="shared" si="430"/>
        <v/>
      </c>
      <c r="R1932" s="53" t="str">
        <f t="shared" si="431"/>
        <v/>
      </c>
      <c r="S1932" s="53" t="str">
        <f t="shared" si="432"/>
        <v/>
      </c>
      <c r="T1932" s="53" t="str">
        <f t="shared" si="433"/>
        <v/>
      </c>
    </row>
    <row r="1933" spans="1:20">
      <c r="A1933" s="47" t="str">
        <f>IF(archive!E1933="","",archive!E1933)</f>
        <v/>
      </c>
      <c r="B1933" s="48" t="str">
        <f t="shared" si="420"/>
        <v/>
      </c>
      <c r="C1933" s="49" t="str">
        <f>IF(archive!F1933="","",archive!F1933)</f>
        <v/>
      </c>
      <c r="D1933" s="50" t="str">
        <f t="shared" si="421"/>
        <v/>
      </c>
      <c r="E1933" s="50" t="str">
        <f t="shared" si="422"/>
        <v/>
      </c>
      <c r="F1933" s="47" t="str">
        <f>IF(COUNTA(archive!H1933:CI1933)=0,"",COUNTA(archive!H1933:CI1933))</f>
        <v/>
      </c>
      <c r="G1933" s="47" t="str">
        <f>IF(archive!G1933="","",archive!G1933)</f>
        <v/>
      </c>
      <c r="H1933" s="51" t="str">
        <f>IF(archive!CJ1933="","",archive!CJ1933)</f>
        <v/>
      </c>
      <c r="I1933" s="51" t="str">
        <f>IF(archive!CK1933="","",archive!CK1933)</f>
        <v/>
      </c>
      <c r="J1933" s="47" t="str">
        <f t="shared" si="423"/>
        <v/>
      </c>
      <c r="K1933" s="51" t="str">
        <f t="shared" si="424"/>
        <v/>
      </c>
      <c r="L1933" s="52" t="str">
        <f t="shared" si="425"/>
        <v/>
      </c>
      <c r="M1933" s="53" t="str">
        <f t="shared" si="426"/>
        <v/>
      </c>
      <c r="N1933" s="53" t="str">
        <f t="shared" si="427"/>
        <v/>
      </c>
      <c r="O1933" s="53" t="str">
        <f t="shared" si="428"/>
        <v/>
      </c>
      <c r="P1933" s="53" t="str">
        <f t="shared" si="429"/>
        <v/>
      </c>
      <c r="Q1933" s="53" t="str">
        <f t="shared" si="430"/>
        <v/>
      </c>
      <c r="R1933" s="53" t="str">
        <f t="shared" si="431"/>
        <v/>
      </c>
      <c r="S1933" s="53" t="str">
        <f t="shared" si="432"/>
        <v/>
      </c>
      <c r="T1933" s="53" t="str">
        <f t="shared" si="433"/>
        <v/>
      </c>
    </row>
    <row r="1934" spans="1:20">
      <c r="A1934" s="47" t="str">
        <f>IF(archive!E1934="","",archive!E1934)</f>
        <v/>
      </c>
      <c r="B1934" s="48" t="str">
        <f t="shared" si="420"/>
        <v/>
      </c>
      <c r="C1934" s="49" t="str">
        <f>IF(archive!F1934="","",archive!F1934)</f>
        <v/>
      </c>
      <c r="D1934" s="50" t="str">
        <f t="shared" si="421"/>
        <v/>
      </c>
      <c r="E1934" s="50" t="str">
        <f t="shared" si="422"/>
        <v/>
      </c>
      <c r="F1934" s="47" t="str">
        <f>IF(COUNTA(archive!H1934:CI1934)=0,"",COUNTA(archive!H1934:CI1934))</f>
        <v/>
      </c>
      <c r="G1934" s="47" t="str">
        <f>IF(archive!G1934="","",archive!G1934)</f>
        <v/>
      </c>
      <c r="H1934" s="51" t="str">
        <f>IF(archive!CJ1934="","",archive!CJ1934)</f>
        <v/>
      </c>
      <c r="I1934" s="51" t="str">
        <f>IF(archive!CK1934="","",archive!CK1934)</f>
        <v/>
      </c>
      <c r="J1934" s="47" t="str">
        <f t="shared" si="423"/>
        <v/>
      </c>
      <c r="K1934" s="51" t="str">
        <f t="shared" si="424"/>
        <v/>
      </c>
      <c r="L1934" s="52" t="str">
        <f t="shared" si="425"/>
        <v/>
      </c>
      <c r="M1934" s="53" t="str">
        <f t="shared" si="426"/>
        <v/>
      </c>
      <c r="N1934" s="53" t="str">
        <f t="shared" si="427"/>
        <v/>
      </c>
      <c r="O1934" s="53" t="str">
        <f t="shared" si="428"/>
        <v/>
      </c>
      <c r="P1934" s="53" t="str">
        <f t="shared" si="429"/>
        <v/>
      </c>
      <c r="Q1934" s="53" t="str">
        <f t="shared" si="430"/>
        <v/>
      </c>
      <c r="R1934" s="53" t="str">
        <f t="shared" si="431"/>
        <v/>
      </c>
      <c r="S1934" s="53" t="str">
        <f t="shared" si="432"/>
        <v/>
      </c>
      <c r="T1934" s="53" t="str">
        <f t="shared" si="433"/>
        <v/>
      </c>
    </row>
    <row r="1935" spans="1:20">
      <c r="A1935" s="47" t="str">
        <f>IF(archive!E1935="","",archive!E1935)</f>
        <v/>
      </c>
      <c r="B1935" s="48" t="str">
        <f t="shared" si="420"/>
        <v/>
      </c>
      <c r="C1935" s="49" t="str">
        <f>IF(archive!F1935="","",archive!F1935)</f>
        <v/>
      </c>
      <c r="D1935" s="50" t="str">
        <f t="shared" si="421"/>
        <v/>
      </c>
      <c r="E1935" s="50" t="str">
        <f t="shared" si="422"/>
        <v/>
      </c>
      <c r="F1935" s="47" t="str">
        <f>IF(COUNTA(archive!H1935:CI1935)=0,"",COUNTA(archive!H1935:CI1935))</f>
        <v/>
      </c>
      <c r="G1935" s="47" t="str">
        <f>IF(archive!G1935="","",archive!G1935)</f>
        <v/>
      </c>
      <c r="H1935" s="51" t="str">
        <f>IF(archive!CJ1935="","",archive!CJ1935)</f>
        <v/>
      </c>
      <c r="I1935" s="51" t="str">
        <f>IF(archive!CK1935="","",archive!CK1935)</f>
        <v/>
      </c>
      <c r="J1935" s="47" t="str">
        <f t="shared" si="423"/>
        <v/>
      </c>
      <c r="K1935" s="51" t="str">
        <f t="shared" si="424"/>
        <v/>
      </c>
      <c r="L1935" s="52" t="str">
        <f t="shared" si="425"/>
        <v/>
      </c>
      <c r="M1935" s="53" t="str">
        <f t="shared" si="426"/>
        <v/>
      </c>
      <c r="N1935" s="53" t="str">
        <f t="shared" si="427"/>
        <v/>
      </c>
      <c r="O1935" s="53" t="str">
        <f t="shared" si="428"/>
        <v/>
      </c>
      <c r="P1935" s="53" t="str">
        <f t="shared" si="429"/>
        <v/>
      </c>
      <c r="Q1935" s="53" t="str">
        <f t="shared" si="430"/>
        <v/>
      </c>
      <c r="R1935" s="53" t="str">
        <f t="shared" si="431"/>
        <v/>
      </c>
      <c r="S1935" s="53" t="str">
        <f t="shared" si="432"/>
        <v/>
      </c>
      <c r="T1935" s="53" t="str">
        <f t="shared" si="433"/>
        <v/>
      </c>
    </row>
    <row r="1936" spans="1:20">
      <c r="A1936" s="47" t="str">
        <f>IF(archive!E1936="","",archive!E1936)</f>
        <v/>
      </c>
      <c r="B1936" s="48" t="str">
        <f t="shared" si="420"/>
        <v/>
      </c>
      <c r="C1936" s="49" t="str">
        <f>IF(archive!F1936="","",archive!F1936)</f>
        <v/>
      </c>
      <c r="D1936" s="50" t="str">
        <f t="shared" si="421"/>
        <v/>
      </c>
      <c r="E1936" s="50" t="str">
        <f t="shared" si="422"/>
        <v/>
      </c>
      <c r="F1936" s="47" t="str">
        <f>IF(COUNTA(archive!H1936:CI1936)=0,"",COUNTA(archive!H1936:CI1936))</f>
        <v/>
      </c>
      <c r="G1936" s="47" t="str">
        <f>IF(archive!G1936="","",archive!G1936)</f>
        <v/>
      </c>
      <c r="H1936" s="51" t="str">
        <f>IF(archive!CJ1936="","",archive!CJ1936)</f>
        <v/>
      </c>
      <c r="I1936" s="51" t="str">
        <f>IF(archive!CK1936="","",archive!CK1936)</f>
        <v/>
      </c>
      <c r="J1936" s="47" t="str">
        <f t="shared" si="423"/>
        <v/>
      </c>
      <c r="K1936" s="51" t="str">
        <f t="shared" si="424"/>
        <v/>
      </c>
      <c r="L1936" s="52" t="str">
        <f t="shared" si="425"/>
        <v/>
      </c>
      <c r="M1936" s="53" t="str">
        <f t="shared" si="426"/>
        <v/>
      </c>
      <c r="N1936" s="53" t="str">
        <f t="shared" si="427"/>
        <v/>
      </c>
      <c r="O1936" s="53" t="str">
        <f t="shared" si="428"/>
        <v/>
      </c>
      <c r="P1936" s="53" t="str">
        <f t="shared" si="429"/>
        <v/>
      </c>
      <c r="Q1936" s="53" t="str">
        <f t="shared" si="430"/>
        <v/>
      </c>
      <c r="R1936" s="53" t="str">
        <f t="shared" si="431"/>
        <v/>
      </c>
      <c r="S1936" s="53" t="str">
        <f t="shared" si="432"/>
        <v/>
      </c>
      <c r="T1936" s="53" t="str">
        <f t="shared" si="433"/>
        <v/>
      </c>
    </row>
    <row r="1937" spans="1:20">
      <c r="A1937" s="47" t="str">
        <f>IF(archive!E1937="","",archive!E1937)</f>
        <v/>
      </c>
      <c r="B1937" s="48" t="str">
        <f t="shared" si="420"/>
        <v/>
      </c>
      <c r="C1937" s="49" t="str">
        <f>IF(archive!F1937="","",archive!F1937)</f>
        <v/>
      </c>
      <c r="D1937" s="50" t="str">
        <f t="shared" si="421"/>
        <v/>
      </c>
      <c r="E1937" s="50" t="str">
        <f t="shared" si="422"/>
        <v/>
      </c>
      <c r="F1937" s="47" t="str">
        <f>IF(COUNTA(archive!H1937:CI1937)=0,"",COUNTA(archive!H1937:CI1937))</f>
        <v/>
      </c>
      <c r="G1937" s="47" t="str">
        <f>IF(archive!G1937="","",archive!G1937)</f>
        <v/>
      </c>
      <c r="H1937" s="51" t="str">
        <f>IF(archive!CJ1937="","",archive!CJ1937)</f>
        <v/>
      </c>
      <c r="I1937" s="51" t="str">
        <f>IF(archive!CK1937="","",archive!CK1937)</f>
        <v/>
      </c>
      <c r="J1937" s="47" t="str">
        <f t="shared" si="423"/>
        <v/>
      </c>
      <c r="K1937" s="51" t="str">
        <f t="shared" si="424"/>
        <v/>
      </c>
      <c r="L1937" s="52" t="str">
        <f t="shared" si="425"/>
        <v/>
      </c>
      <c r="M1937" s="53" t="str">
        <f t="shared" si="426"/>
        <v/>
      </c>
      <c r="N1937" s="53" t="str">
        <f t="shared" si="427"/>
        <v/>
      </c>
      <c r="O1937" s="53" t="str">
        <f t="shared" si="428"/>
        <v/>
      </c>
      <c r="P1937" s="53" t="str">
        <f t="shared" si="429"/>
        <v/>
      </c>
      <c r="Q1937" s="53" t="str">
        <f t="shared" si="430"/>
        <v/>
      </c>
      <c r="R1937" s="53" t="str">
        <f t="shared" si="431"/>
        <v/>
      </c>
      <c r="S1937" s="53" t="str">
        <f t="shared" si="432"/>
        <v/>
      </c>
      <c r="T1937" s="53" t="str">
        <f t="shared" si="433"/>
        <v/>
      </c>
    </row>
    <row r="1938" spans="1:20">
      <c r="A1938" s="47" t="str">
        <f>IF(archive!E1938="","",archive!E1938)</f>
        <v/>
      </c>
      <c r="B1938" s="48" t="str">
        <f t="shared" si="420"/>
        <v/>
      </c>
      <c r="C1938" s="49" t="str">
        <f>IF(archive!F1938="","",archive!F1938)</f>
        <v/>
      </c>
      <c r="D1938" s="50" t="str">
        <f t="shared" si="421"/>
        <v/>
      </c>
      <c r="E1938" s="50" t="str">
        <f t="shared" si="422"/>
        <v/>
      </c>
      <c r="F1938" s="47" t="str">
        <f>IF(COUNTA(archive!H1938:CI1938)=0,"",COUNTA(archive!H1938:CI1938))</f>
        <v/>
      </c>
      <c r="G1938" s="47" t="str">
        <f>IF(archive!G1938="","",archive!G1938)</f>
        <v/>
      </c>
      <c r="H1938" s="51" t="str">
        <f>IF(archive!CJ1938="","",archive!CJ1938)</f>
        <v/>
      </c>
      <c r="I1938" s="51" t="str">
        <f>IF(archive!CK1938="","",archive!CK1938)</f>
        <v/>
      </c>
      <c r="J1938" s="47" t="str">
        <f t="shared" si="423"/>
        <v/>
      </c>
      <c r="K1938" s="51" t="str">
        <f t="shared" si="424"/>
        <v/>
      </c>
      <c r="L1938" s="52" t="str">
        <f t="shared" si="425"/>
        <v/>
      </c>
      <c r="M1938" s="53" t="str">
        <f t="shared" si="426"/>
        <v/>
      </c>
      <c r="N1938" s="53" t="str">
        <f t="shared" si="427"/>
        <v/>
      </c>
      <c r="O1938" s="53" t="str">
        <f t="shared" si="428"/>
        <v/>
      </c>
      <c r="P1938" s="53" t="str">
        <f t="shared" si="429"/>
        <v/>
      </c>
      <c r="Q1938" s="53" t="str">
        <f t="shared" si="430"/>
        <v/>
      </c>
      <c r="R1938" s="53" t="str">
        <f t="shared" si="431"/>
        <v/>
      </c>
      <c r="S1938" s="53" t="str">
        <f t="shared" si="432"/>
        <v/>
      </c>
      <c r="T1938" s="53" t="str">
        <f t="shared" si="433"/>
        <v/>
      </c>
    </row>
    <row r="1939" spans="1:20">
      <c r="A1939" s="47" t="str">
        <f>IF(archive!E1939="","",archive!E1939)</f>
        <v/>
      </c>
      <c r="B1939" s="48" t="str">
        <f t="shared" si="420"/>
        <v/>
      </c>
      <c r="C1939" s="49" t="str">
        <f>IF(archive!F1939="","",archive!F1939)</f>
        <v/>
      </c>
      <c r="D1939" s="50" t="str">
        <f t="shared" si="421"/>
        <v/>
      </c>
      <c r="E1939" s="50" t="str">
        <f t="shared" si="422"/>
        <v/>
      </c>
      <c r="F1939" s="47" t="str">
        <f>IF(COUNTA(archive!H1939:CI1939)=0,"",COUNTA(archive!H1939:CI1939))</f>
        <v/>
      </c>
      <c r="G1939" s="47" t="str">
        <f>IF(archive!G1939="","",archive!G1939)</f>
        <v/>
      </c>
      <c r="H1939" s="51" t="str">
        <f>IF(archive!CJ1939="","",archive!CJ1939)</f>
        <v/>
      </c>
      <c r="I1939" s="51" t="str">
        <f>IF(archive!CK1939="","",archive!CK1939)</f>
        <v/>
      </c>
      <c r="J1939" s="47" t="str">
        <f t="shared" si="423"/>
        <v/>
      </c>
      <c r="K1939" s="51" t="str">
        <f t="shared" si="424"/>
        <v/>
      </c>
      <c r="L1939" s="52" t="str">
        <f t="shared" si="425"/>
        <v/>
      </c>
      <c r="M1939" s="53" t="str">
        <f t="shared" si="426"/>
        <v/>
      </c>
      <c r="N1939" s="53" t="str">
        <f t="shared" si="427"/>
        <v/>
      </c>
      <c r="O1939" s="53" t="str">
        <f t="shared" si="428"/>
        <v/>
      </c>
      <c r="P1939" s="53" t="str">
        <f t="shared" si="429"/>
        <v/>
      </c>
      <c r="Q1939" s="53" t="str">
        <f t="shared" si="430"/>
        <v/>
      </c>
      <c r="R1939" s="53" t="str">
        <f t="shared" si="431"/>
        <v/>
      </c>
      <c r="S1939" s="53" t="str">
        <f t="shared" si="432"/>
        <v/>
      </c>
      <c r="T1939" s="53" t="str">
        <f t="shared" si="433"/>
        <v/>
      </c>
    </row>
    <row r="1940" spans="1:20">
      <c r="A1940" s="47" t="str">
        <f>IF(archive!E1940="","",archive!E1940)</f>
        <v/>
      </c>
      <c r="B1940" s="48" t="str">
        <f t="shared" si="420"/>
        <v/>
      </c>
      <c r="C1940" s="49" t="str">
        <f>IF(archive!F1940="","",archive!F1940)</f>
        <v/>
      </c>
      <c r="D1940" s="50" t="str">
        <f t="shared" si="421"/>
        <v/>
      </c>
      <c r="E1940" s="50" t="str">
        <f t="shared" si="422"/>
        <v/>
      </c>
      <c r="F1940" s="47" t="str">
        <f>IF(COUNTA(archive!H1940:CI1940)=0,"",COUNTA(archive!H1940:CI1940))</f>
        <v/>
      </c>
      <c r="G1940" s="47" t="str">
        <f>IF(archive!G1940="","",archive!G1940)</f>
        <v/>
      </c>
      <c r="H1940" s="51" t="str">
        <f>IF(archive!CJ1940="","",archive!CJ1940)</f>
        <v/>
      </c>
      <c r="I1940" s="51" t="str">
        <f>IF(archive!CK1940="","",archive!CK1940)</f>
        <v/>
      </c>
      <c r="J1940" s="47" t="str">
        <f t="shared" si="423"/>
        <v/>
      </c>
      <c r="K1940" s="51" t="str">
        <f t="shared" si="424"/>
        <v/>
      </c>
      <c r="L1940" s="52" t="str">
        <f t="shared" si="425"/>
        <v/>
      </c>
      <c r="M1940" s="53" t="str">
        <f t="shared" si="426"/>
        <v/>
      </c>
      <c r="N1940" s="53" t="str">
        <f t="shared" si="427"/>
        <v/>
      </c>
      <c r="O1940" s="53" t="str">
        <f t="shared" si="428"/>
        <v/>
      </c>
      <c r="P1940" s="53" t="str">
        <f t="shared" si="429"/>
        <v/>
      </c>
      <c r="Q1940" s="53" t="str">
        <f t="shared" si="430"/>
        <v/>
      </c>
      <c r="R1940" s="53" t="str">
        <f t="shared" si="431"/>
        <v/>
      </c>
      <c r="S1940" s="53" t="str">
        <f t="shared" si="432"/>
        <v/>
      </c>
      <c r="T1940" s="53" t="str">
        <f t="shared" si="433"/>
        <v/>
      </c>
    </row>
    <row r="1941" spans="1:20">
      <c r="A1941" s="47" t="str">
        <f>IF(archive!E1941="","",archive!E1941)</f>
        <v/>
      </c>
      <c r="B1941" s="48" t="str">
        <f t="shared" si="420"/>
        <v/>
      </c>
      <c r="C1941" s="49" t="str">
        <f>IF(archive!F1941="","",archive!F1941)</f>
        <v/>
      </c>
      <c r="D1941" s="50" t="str">
        <f t="shared" si="421"/>
        <v/>
      </c>
      <c r="E1941" s="50" t="str">
        <f t="shared" si="422"/>
        <v/>
      </c>
      <c r="F1941" s="47" t="str">
        <f>IF(COUNTA(archive!H1941:CI1941)=0,"",COUNTA(archive!H1941:CI1941))</f>
        <v/>
      </c>
      <c r="G1941" s="47" t="str">
        <f>IF(archive!G1941="","",archive!G1941)</f>
        <v/>
      </c>
      <c r="H1941" s="51" t="str">
        <f>IF(archive!CJ1941="","",archive!CJ1941)</f>
        <v/>
      </c>
      <c r="I1941" s="51" t="str">
        <f>IF(archive!CK1941="","",archive!CK1941)</f>
        <v/>
      </c>
      <c r="J1941" s="47" t="str">
        <f t="shared" si="423"/>
        <v/>
      </c>
      <c r="K1941" s="51" t="str">
        <f t="shared" si="424"/>
        <v/>
      </c>
      <c r="L1941" s="52" t="str">
        <f t="shared" si="425"/>
        <v/>
      </c>
      <c r="M1941" s="53" t="str">
        <f t="shared" si="426"/>
        <v/>
      </c>
      <c r="N1941" s="53" t="str">
        <f t="shared" si="427"/>
        <v/>
      </c>
      <c r="O1941" s="53" t="str">
        <f t="shared" si="428"/>
        <v/>
      </c>
      <c r="P1941" s="53" t="str">
        <f t="shared" si="429"/>
        <v/>
      </c>
      <c r="Q1941" s="53" t="str">
        <f t="shared" si="430"/>
        <v/>
      </c>
      <c r="R1941" s="53" t="str">
        <f t="shared" si="431"/>
        <v/>
      </c>
      <c r="S1941" s="53" t="str">
        <f t="shared" si="432"/>
        <v/>
      </c>
      <c r="T1941" s="53" t="str">
        <f t="shared" si="433"/>
        <v/>
      </c>
    </row>
    <row r="1942" spans="1:20">
      <c r="A1942" s="47" t="str">
        <f>IF(archive!E1942="","",archive!E1942)</f>
        <v/>
      </c>
      <c r="B1942" s="48" t="str">
        <f t="shared" si="420"/>
        <v/>
      </c>
      <c r="C1942" s="49" t="str">
        <f>IF(archive!F1942="","",archive!F1942)</f>
        <v/>
      </c>
      <c r="D1942" s="50" t="str">
        <f t="shared" si="421"/>
        <v/>
      </c>
      <c r="E1942" s="50" t="str">
        <f t="shared" si="422"/>
        <v/>
      </c>
      <c r="F1942" s="47" t="str">
        <f>IF(COUNTA(archive!H1942:CI1942)=0,"",COUNTA(archive!H1942:CI1942))</f>
        <v/>
      </c>
      <c r="G1942" s="47" t="str">
        <f>IF(archive!G1942="","",archive!G1942)</f>
        <v/>
      </c>
      <c r="H1942" s="51" t="str">
        <f>IF(archive!CJ1942="","",archive!CJ1942)</f>
        <v/>
      </c>
      <c r="I1942" s="51" t="str">
        <f>IF(archive!CK1942="","",archive!CK1942)</f>
        <v/>
      </c>
      <c r="J1942" s="47" t="str">
        <f t="shared" si="423"/>
        <v/>
      </c>
      <c r="K1942" s="51" t="str">
        <f t="shared" si="424"/>
        <v/>
      </c>
      <c r="L1942" s="52" t="str">
        <f t="shared" si="425"/>
        <v/>
      </c>
      <c r="M1942" s="53" t="str">
        <f t="shared" si="426"/>
        <v/>
      </c>
      <c r="N1942" s="53" t="str">
        <f t="shared" si="427"/>
        <v/>
      </c>
      <c r="O1942" s="53" t="str">
        <f t="shared" si="428"/>
        <v/>
      </c>
      <c r="P1942" s="53" t="str">
        <f t="shared" si="429"/>
        <v/>
      </c>
      <c r="Q1942" s="53" t="str">
        <f t="shared" si="430"/>
        <v/>
      </c>
      <c r="R1942" s="53" t="str">
        <f t="shared" si="431"/>
        <v/>
      </c>
      <c r="S1942" s="53" t="str">
        <f t="shared" si="432"/>
        <v/>
      </c>
      <c r="T1942" s="53" t="str">
        <f t="shared" si="433"/>
        <v/>
      </c>
    </row>
    <row r="1943" spans="1:20">
      <c r="A1943" s="47" t="str">
        <f>IF(archive!E1943="","",archive!E1943)</f>
        <v/>
      </c>
      <c r="B1943" s="48" t="str">
        <f t="shared" si="420"/>
        <v/>
      </c>
      <c r="C1943" s="49" t="str">
        <f>IF(archive!F1943="","",archive!F1943)</f>
        <v/>
      </c>
      <c r="D1943" s="50" t="str">
        <f t="shared" si="421"/>
        <v/>
      </c>
      <c r="E1943" s="50" t="str">
        <f t="shared" si="422"/>
        <v/>
      </c>
      <c r="F1943" s="47" t="str">
        <f>IF(COUNTA(archive!H1943:CI1943)=0,"",COUNTA(archive!H1943:CI1943))</f>
        <v/>
      </c>
      <c r="G1943" s="47" t="str">
        <f>IF(archive!G1943="","",archive!G1943)</f>
        <v/>
      </c>
      <c r="H1943" s="51" t="str">
        <f>IF(archive!CJ1943="","",archive!CJ1943)</f>
        <v/>
      </c>
      <c r="I1943" s="51" t="str">
        <f>IF(archive!CK1943="","",archive!CK1943)</f>
        <v/>
      </c>
      <c r="J1943" s="47" t="str">
        <f t="shared" si="423"/>
        <v/>
      </c>
      <c r="K1943" s="51" t="str">
        <f t="shared" si="424"/>
        <v/>
      </c>
      <c r="L1943" s="52" t="str">
        <f t="shared" si="425"/>
        <v/>
      </c>
      <c r="M1943" s="53" t="str">
        <f t="shared" si="426"/>
        <v/>
      </c>
      <c r="N1943" s="53" t="str">
        <f t="shared" si="427"/>
        <v/>
      </c>
      <c r="O1943" s="53" t="str">
        <f t="shared" si="428"/>
        <v/>
      </c>
      <c r="P1943" s="53" t="str">
        <f t="shared" si="429"/>
        <v/>
      </c>
      <c r="Q1943" s="53" t="str">
        <f t="shared" si="430"/>
        <v/>
      </c>
      <c r="R1943" s="53" t="str">
        <f t="shared" si="431"/>
        <v/>
      </c>
      <c r="S1943" s="53" t="str">
        <f t="shared" si="432"/>
        <v/>
      </c>
      <c r="T1943" s="53" t="str">
        <f t="shared" si="433"/>
        <v/>
      </c>
    </row>
    <row r="1944" spans="1:20">
      <c r="A1944" s="47" t="str">
        <f>IF(archive!E1944="","",archive!E1944)</f>
        <v/>
      </c>
      <c r="B1944" s="48" t="str">
        <f t="shared" si="420"/>
        <v/>
      </c>
      <c r="C1944" s="49" t="str">
        <f>IF(archive!F1944="","",archive!F1944)</f>
        <v/>
      </c>
      <c r="D1944" s="50" t="str">
        <f t="shared" si="421"/>
        <v/>
      </c>
      <c r="E1944" s="50" t="str">
        <f t="shared" si="422"/>
        <v/>
      </c>
      <c r="F1944" s="47" t="str">
        <f>IF(COUNTA(archive!H1944:CI1944)=0,"",COUNTA(archive!H1944:CI1944))</f>
        <v/>
      </c>
      <c r="G1944" s="47" t="str">
        <f>IF(archive!G1944="","",archive!G1944)</f>
        <v/>
      </c>
      <c r="H1944" s="51" t="str">
        <f>IF(archive!CJ1944="","",archive!CJ1944)</f>
        <v/>
      </c>
      <c r="I1944" s="51" t="str">
        <f>IF(archive!CK1944="","",archive!CK1944)</f>
        <v/>
      </c>
      <c r="J1944" s="47" t="str">
        <f t="shared" si="423"/>
        <v/>
      </c>
      <c r="K1944" s="51" t="str">
        <f t="shared" si="424"/>
        <v/>
      </c>
      <c r="L1944" s="52" t="str">
        <f t="shared" si="425"/>
        <v/>
      </c>
      <c r="M1944" s="53" t="str">
        <f t="shared" si="426"/>
        <v/>
      </c>
      <c r="N1944" s="53" t="str">
        <f t="shared" si="427"/>
        <v/>
      </c>
      <c r="O1944" s="53" t="str">
        <f t="shared" si="428"/>
        <v/>
      </c>
      <c r="P1944" s="53" t="str">
        <f t="shared" si="429"/>
        <v/>
      </c>
      <c r="Q1944" s="53" t="str">
        <f t="shared" si="430"/>
        <v/>
      </c>
      <c r="R1944" s="53" t="str">
        <f t="shared" si="431"/>
        <v/>
      </c>
      <c r="S1944" s="53" t="str">
        <f t="shared" si="432"/>
        <v/>
      </c>
      <c r="T1944" s="53" t="str">
        <f t="shared" si="433"/>
        <v/>
      </c>
    </row>
    <row r="1945" spans="1:20">
      <c r="A1945" s="47" t="str">
        <f>IF(archive!E1945="","",archive!E1945)</f>
        <v/>
      </c>
      <c r="B1945" s="48" t="str">
        <f t="shared" si="420"/>
        <v/>
      </c>
      <c r="C1945" s="49" t="str">
        <f>IF(archive!F1945="","",archive!F1945)</f>
        <v/>
      </c>
      <c r="D1945" s="50" t="str">
        <f t="shared" si="421"/>
        <v/>
      </c>
      <c r="E1945" s="50" t="str">
        <f t="shared" si="422"/>
        <v/>
      </c>
      <c r="F1945" s="47" t="str">
        <f>IF(COUNTA(archive!H1945:CI1945)=0,"",COUNTA(archive!H1945:CI1945))</f>
        <v/>
      </c>
      <c r="G1945" s="47" t="str">
        <f>IF(archive!G1945="","",archive!G1945)</f>
        <v/>
      </c>
      <c r="H1945" s="51" t="str">
        <f>IF(archive!CJ1945="","",archive!CJ1945)</f>
        <v/>
      </c>
      <c r="I1945" s="51" t="str">
        <f>IF(archive!CK1945="","",archive!CK1945)</f>
        <v/>
      </c>
      <c r="J1945" s="47" t="str">
        <f t="shared" si="423"/>
        <v/>
      </c>
      <c r="K1945" s="51" t="str">
        <f t="shared" si="424"/>
        <v/>
      </c>
      <c r="L1945" s="52" t="str">
        <f t="shared" si="425"/>
        <v/>
      </c>
      <c r="M1945" s="53" t="str">
        <f t="shared" si="426"/>
        <v/>
      </c>
      <c r="N1945" s="53" t="str">
        <f t="shared" si="427"/>
        <v/>
      </c>
      <c r="O1945" s="53" t="str">
        <f t="shared" si="428"/>
        <v/>
      </c>
      <c r="P1945" s="53" t="str">
        <f t="shared" si="429"/>
        <v/>
      </c>
      <c r="Q1945" s="53" t="str">
        <f t="shared" si="430"/>
        <v/>
      </c>
      <c r="R1945" s="53" t="str">
        <f t="shared" si="431"/>
        <v/>
      </c>
      <c r="S1945" s="53" t="str">
        <f t="shared" si="432"/>
        <v/>
      </c>
      <c r="T1945" s="53" t="str">
        <f t="shared" si="433"/>
        <v/>
      </c>
    </row>
    <row r="1946" spans="1:20">
      <c r="A1946" s="47" t="str">
        <f>IF(archive!E1946="","",archive!E1946)</f>
        <v/>
      </c>
      <c r="B1946" s="48" t="str">
        <f t="shared" si="420"/>
        <v/>
      </c>
      <c r="C1946" s="49" t="str">
        <f>IF(archive!F1946="","",archive!F1946)</f>
        <v/>
      </c>
      <c r="D1946" s="50" t="str">
        <f t="shared" si="421"/>
        <v/>
      </c>
      <c r="E1946" s="50" t="str">
        <f t="shared" si="422"/>
        <v/>
      </c>
      <c r="F1946" s="47" t="str">
        <f>IF(COUNTA(archive!H1946:CI1946)=0,"",COUNTA(archive!H1946:CI1946))</f>
        <v/>
      </c>
      <c r="G1946" s="47" t="str">
        <f>IF(archive!G1946="","",archive!G1946)</f>
        <v/>
      </c>
      <c r="H1946" s="51" t="str">
        <f>IF(archive!CJ1946="","",archive!CJ1946)</f>
        <v/>
      </c>
      <c r="I1946" s="51" t="str">
        <f>IF(archive!CK1946="","",archive!CK1946)</f>
        <v/>
      </c>
      <c r="J1946" s="47" t="str">
        <f t="shared" si="423"/>
        <v/>
      </c>
      <c r="K1946" s="51" t="str">
        <f t="shared" si="424"/>
        <v/>
      </c>
      <c r="L1946" s="52" t="str">
        <f t="shared" si="425"/>
        <v/>
      </c>
      <c r="M1946" s="53" t="str">
        <f t="shared" si="426"/>
        <v/>
      </c>
      <c r="N1946" s="53" t="str">
        <f t="shared" si="427"/>
        <v/>
      </c>
      <c r="O1946" s="53" t="str">
        <f t="shared" si="428"/>
        <v/>
      </c>
      <c r="P1946" s="53" t="str">
        <f t="shared" si="429"/>
        <v/>
      </c>
      <c r="Q1946" s="53" t="str">
        <f t="shared" si="430"/>
        <v/>
      </c>
      <c r="R1946" s="53" t="str">
        <f t="shared" si="431"/>
        <v/>
      </c>
      <c r="S1946" s="53" t="str">
        <f t="shared" si="432"/>
        <v/>
      </c>
      <c r="T1946" s="53" t="str">
        <f t="shared" si="433"/>
        <v/>
      </c>
    </row>
    <row r="1947" spans="1:20">
      <c r="A1947" s="47" t="str">
        <f>IF(archive!E1947="","",archive!E1947)</f>
        <v/>
      </c>
      <c r="B1947" s="48" t="str">
        <f t="shared" si="420"/>
        <v/>
      </c>
      <c r="C1947" s="49" t="str">
        <f>IF(archive!F1947="","",archive!F1947)</f>
        <v/>
      </c>
      <c r="D1947" s="50" t="str">
        <f t="shared" si="421"/>
        <v/>
      </c>
      <c r="E1947" s="50" t="str">
        <f t="shared" si="422"/>
        <v/>
      </c>
      <c r="F1947" s="47" t="str">
        <f>IF(COUNTA(archive!H1947:CI1947)=0,"",COUNTA(archive!H1947:CI1947))</f>
        <v/>
      </c>
      <c r="G1947" s="47" t="str">
        <f>IF(archive!G1947="","",archive!G1947)</f>
        <v/>
      </c>
      <c r="H1947" s="51" t="str">
        <f>IF(archive!CJ1947="","",archive!CJ1947)</f>
        <v/>
      </c>
      <c r="I1947" s="51" t="str">
        <f>IF(archive!CK1947="","",archive!CK1947)</f>
        <v/>
      </c>
      <c r="J1947" s="47" t="str">
        <f t="shared" si="423"/>
        <v/>
      </c>
      <c r="K1947" s="51" t="str">
        <f t="shared" si="424"/>
        <v/>
      </c>
      <c r="L1947" s="52" t="str">
        <f t="shared" si="425"/>
        <v/>
      </c>
      <c r="M1947" s="53" t="str">
        <f t="shared" si="426"/>
        <v/>
      </c>
      <c r="N1947" s="53" t="str">
        <f t="shared" si="427"/>
        <v/>
      </c>
      <c r="O1947" s="53" t="str">
        <f t="shared" si="428"/>
        <v/>
      </c>
      <c r="P1947" s="53" t="str">
        <f t="shared" si="429"/>
        <v/>
      </c>
      <c r="Q1947" s="53" t="str">
        <f t="shared" si="430"/>
        <v/>
      </c>
      <c r="R1947" s="53" t="str">
        <f t="shared" si="431"/>
        <v/>
      </c>
      <c r="S1947" s="53" t="str">
        <f t="shared" si="432"/>
        <v/>
      </c>
      <c r="T1947" s="53" t="str">
        <f t="shared" si="433"/>
        <v/>
      </c>
    </row>
    <row r="1948" spans="1:20">
      <c r="A1948" s="47" t="str">
        <f>IF(archive!E1948="","",archive!E1948)</f>
        <v/>
      </c>
      <c r="B1948" s="48" t="str">
        <f t="shared" si="420"/>
        <v/>
      </c>
      <c r="C1948" s="49" t="str">
        <f>IF(archive!F1948="","",archive!F1948)</f>
        <v/>
      </c>
      <c r="D1948" s="50" t="str">
        <f t="shared" si="421"/>
        <v/>
      </c>
      <c r="E1948" s="50" t="str">
        <f t="shared" si="422"/>
        <v/>
      </c>
      <c r="F1948" s="47" t="str">
        <f>IF(COUNTA(archive!H1948:CI1948)=0,"",COUNTA(archive!H1948:CI1948))</f>
        <v/>
      </c>
      <c r="G1948" s="47" t="str">
        <f>IF(archive!G1948="","",archive!G1948)</f>
        <v/>
      </c>
      <c r="H1948" s="51" t="str">
        <f>IF(archive!CJ1948="","",archive!CJ1948)</f>
        <v/>
      </c>
      <c r="I1948" s="51" t="str">
        <f>IF(archive!CK1948="","",archive!CK1948)</f>
        <v/>
      </c>
      <c r="J1948" s="47" t="str">
        <f t="shared" si="423"/>
        <v/>
      </c>
      <c r="K1948" s="51" t="str">
        <f t="shared" si="424"/>
        <v/>
      </c>
      <c r="L1948" s="52" t="str">
        <f t="shared" si="425"/>
        <v/>
      </c>
      <c r="M1948" s="53" t="str">
        <f t="shared" si="426"/>
        <v/>
      </c>
      <c r="N1948" s="53" t="str">
        <f t="shared" si="427"/>
        <v/>
      </c>
      <c r="O1948" s="53" t="str">
        <f t="shared" si="428"/>
        <v/>
      </c>
      <c r="P1948" s="53" t="str">
        <f t="shared" si="429"/>
        <v/>
      </c>
      <c r="Q1948" s="53" t="str">
        <f t="shared" si="430"/>
        <v/>
      </c>
      <c r="R1948" s="53" t="str">
        <f t="shared" si="431"/>
        <v/>
      </c>
      <c r="S1948" s="53" t="str">
        <f t="shared" si="432"/>
        <v/>
      </c>
      <c r="T1948" s="53" t="str">
        <f t="shared" si="433"/>
        <v/>
      </c>
    </row>
    <row r="1949" spans="1:20">
      <c r="A1949" s="47" t="str">
        <f>IF(archive!E1949="","",archive!E1949)</f>
        <v/>
      </c>
      <c r="B1949" s="48" t="str">
        <f t="shared" si="420"/>
        <v/>
      </c>
      <c r="C1949" s="49" t="str">
        <f>IF(archive!F1949="","",archive!F1949)</f>
        <v/>
      </c>
      <c r="D1949" s="50" t="str">
        <f t="shared" si="421"/>
        <v/>
      </c>
      <c r="E1949" s="50" t="str">
        <f t="shared" si="422"/>
        <v/>
      </c>
      <c r="F1949" s="47" t="str">
        <f>IF(COUNTA(archive!H1949:CI1949)=0,"",COUNTA(archive!H1949:CI1949))</f>
        <v/>
      </c>
      <c r="G1949" s="47" t="str">
        <f>IF(archive!G1949="","",archive!G1949)</f>
        <v/>
      </c>
      <c r="H1949" s="51" t="str">
        <f>IF(archive!CJ1949="","",archive!CJ1949)</f>
        <v/>
      </c>
      <c r="I1949" s="51" t="str">
        <f>IF(archive!CK1949="","",archive!CK1949)</f>
        <v/>
      </c>
      <c r="J1949" s="47" t="str">
        <f t="shared" si="423"/>
        <v/>
      </c>
      <c r="K1949" s="51" t="str">
        <f t="shared" si="424"/>
        <v/>
      </c>
      <c r="L1949" s="52" t="str">
        <f t="shared" si="425"/>
        <v/>
      </c>
      <c r="M1949" s="53" t="str">
        <f t="shared" si="426"/>
        <v/>
      </c>
      <c r="N1949" s="53" t="str">
        <f t="shared" si="427"/>
        <v/>
      </c>
      <c r="O1949" s="53" t="str">
        <f t="shared" si="428"/>
        <v/>
      </c>
      <c r="P1949" s="53" t="str">
        <f t="shared" si="429"/>
        <v/>
      </c>
      <c r="Q1949" s="53" t="str">
        <f t="shared" si="430"/>
        <v/>
      </c>
      <c r="R1949" s="53" t="str">
        <f t="shared" si="431"/>
        <v/>
      </c>
      <c r="S1949" s="53" t="str">
        <f t="shared" si="432"/>
        <v/>
      </c>
      <c r="T1949" s="53" t="str">
        <f t="shared" si="433"/>
        <v/>
      </c>
    </row>
    <row r="1950" spans="1:20">
      <c r="A1950" s="47" t="str">
        <f>IF(archive!E1950="","",archive!E1950)</f>
        <v/>
      </c>
      <c r="B1950" s="48" t="str">
        <f t="shared" si="420"/>
        <v/>
      </c>
      <c r="C1950" s="49" t="str">
        <f>IF(archive!F1950="","",archive!F1950)</f>
        <v/>
      </c>
      <c r="D1950" s="50" t="str">
        <f t="shared" si="421"/>
        <v/>
      </c>
      <c r="E1950" s="50" t="str">
        <f t="shared" si="422"/>
        <v/>
      </c>
      <c r="F1950" s="47" t="str">
        <f>IF(COUNTA(archive!H1950:CI1950)=0,"",COUNTA(archive!H1950:CI1950))</f>
        <v/>
      </c>
      <c r="G1950" s="47" t="str">
        <f>IF(archive!G1950="","",archive!G1950)</f>
        <v/>
      </c>
      <c r="H1950" s="51" t="str">
        <f>IF(archive!CJ1950="","",archive!CJ1950)</f>
        <v/>
      </c>
      <c r="I1950" s="51" t="str">
        <f>IF(archive!CK1950="","",archive!CK1950)</f>
        <v/>
      </c>
      <c r="J1950" s="47" t="str">
        <f t="shared" si="423"/>
        <v/>
      </c>
      <c r="K1950" s="51" t="str">
        <f t="shared" si="424"/>
        <v/>
      </c>
      <c r="L1950" s="52" t="str">
        <f t="shared" si="425"/>
        <v/>
      </c>
      <c r="M1950" s="53" t="str">
        <f t="shared" si="426"/>
        <v/>
      </c>
      <c r="N1950" s="53" t="str">
        <f t="shared" si="427"/>
        <v/>
      </c>
      <c r="O1950" s="53" t="str">
        <f t="shared" si="428"/>
        <v/>
      </c>
      <c r="P1950" s="53" t="str">
        <f t="shared" si="429"/>
        <v/>
      </c>
      <c r="Q1950" s="53" t="str">
        <f t="shared" si="430"/>
        <v/>
      </c>
      <c r="R1950" s="53" t="str">
        <f t="shared" si="431"/>
        <v/>
      </c>
      <c r="S1950" s="53" t="str">
        <f t="shared" si="432"/>
        <v/>
      </c>
      <c r="T1950" s="53" t="str">
        <f t="shared" si="433"/>
        <v/>
      </c>
    </row>
    <row r="1951" spans="1:20">
      <c r="A1951" s="47" t="str">
        <f>IF(archive!E1951="","",archive!E1951)</f>
        <v/>
      </c>
      <c r="B1951" s="48" t="str">
        <f t="shared" si="420"/>
        <v/>
      </c>
      <c r="C1951" s="49" t="str">
        <f>IF(archive!F1951="","",archive!F1951)</f>
        <v/>
      </c>
      <c r="D1951" s="50" t="str">
        <f t="shared" si="421"/>
        <v/>
      </c>
      <c r="E1951" s="50" t="str">
        <f t="shared" si="422"/>
        <v/>
      </c>
      <c r="F1951" s="47" t="str">
        <f>IF(COUNTA(archive!H1951:CI1951)=0,"",COUNTA(archive!H1951:CI1951))</f>
        <v/>
      </c>
      <c r="G1951" s="47" t="str">
        <f>IF(archive!G1951="","",archive!G1951)</f>
        <v/>
      </c>
      <c r="H1951" s="51" t="str">
        <f>IF(archive!CJ1951="","",archive!CJ1951)</f>
        <v/>
      </c>
      <c r="I1951" s="51" t="str">
        <f>IF(archive!CK1951="","",archive!CK1951)</f>
        <v/>
      </c>
      <c r="J1951" s="47" t="str">
        <f t="shared" si="423"/>
        <v/>
      </c>
      <c r="K1951" s="51" t="str">
        <f t="shared" si="424"/>
        <v/>
      </c>
      <c r="L1951" s="52" t="str">
        <f t="shared" si="425"/>
        <v/>
      </c>
      <c r="M1951" s="53" t="str">
        <f t="shared" si="426"/>
        <v/>
      </c>
      <c r="N1951" s="53" t="str">
        <f t="shared" si="427"/>
        <v/>
      </c>
      <c r="O1951" s="53" t="str">
        <f t="shared" si="428"/>
        <v/>
      </c>
      <c r="P1951" s="53" t="str">
        <f t="shared" si="429"/>
        <v/>
      </c>
      <c r="Q1951" s="53" t="str">
        <f t="shared" si="430"/>
        <v/>
      </c>
      <c r="R1951" s="53" t="str">
        <f t="shared" si="431"/>
        <v/>
      </c>
      <c r="S1951" s="53" t="str">
        <f t="shared" si="432"/>
        <v/>
      </c>
      <c r="T1951" s="53" t="str">
        <f t="shared" si="433"/>
        <v/>
      </c>
    </row>
    <row r="1952" spans="1:20">
      <c r="A1952" s="47" t="str">
        <f>IF(archive!E1952="","",archive!E1952)</f>
        <v/>
      </c>
      <c r="B1952" s="48" t="str">
        <f t="shared" si="420"/>
        <v/>
      </c>
      <c r="C1952" s="49" t="str">
        <f>IF(archive!F1952="","",archive!F1952)</f>
        <v/>
      </c>
      <c r="D1952" s="50" t="str">
        <f t="shared" si="421"/>
        <v/>
      </c>
      <c r="E1952" s="50" t="str">
        <f t="shared" si="422"/>
        <v/>
      </c>
      <c r="F1952" s="47" t="str">
        <f>IF(COUNTA(archive!H1952:CI1952)=0,"",COUNTA(archive!H1952:CI1952))</f>
        <v/>
      </c>
      <c r="G1952" s="47" t="str">
        <f>IF(archive!G1952="","",archive!G1952)</f>
        <v/>
      </c>
      <c r="H1952" s="51" t="str">
        <f>IF(archive!CJ1952="","",archive!CJ1952)</f>
        <v/>
      </c>
      <c r="I1952" s="51" t="str">
        <f>IF(archive!CK1952="","",archive!CK1952)</f>
        <v/>
      </c>
      <c r="J1952" s="47" t="str">
        <f t="shared" si="423"/>
        <v/>
      </c>
      <c r="K1952" s="51" t="str">
        <f t="shared" si="424"/>
        <v/>
      </c>
      <c r="L1952" s="52" t="str">
        <f t="shared" si="425"/>
        <v/>
      </c>
      <c r="M1952" s="53" t="str">
        <f t="shared" si="426"/>
        <v/>
      </c>
      <c r="N1952" s="53" t="str">
        <f t="shared" si="427"/>
        <v/>
      </c>
      <c r="O1952" s="53" t="str">
        <f t="shared" si="428"/>
        <v/>
      </c>
      <c r="P1952" s="53" t="str">
        <f t="shared" si="429"/>
        <v/>
      </c>
      <c r="Q1952" s="53" t="str">
        <f t="shared" si="430"/>
        <v/>
      </c>
      <c r="R1952" s="53" t="str">
        <f t="shared" si="431"/>
        <v/>
      </c>
      <c r="S1952" s="53" t="str">
        <f t="shared" si="432"/>
        <v/>
      </c>
      <c r="T1952" s="53" t="str">
        <f t="shared" si="433"/>
        <v/>
      </c>
    </row>
    <row r="1953" spans="1:20">
      <c r="A1953" s="47" t="str">
        <f>IF(archive!E1953="","",archive!E1953)</f>
        <v/>
      </c>
      <c r="B1953" s="48" t="str">
        <f t="shared" si="420"/>
        <v/>
      </c>
      <c r="C1953" s="49" t="str">
        <f>IF(archive!F1953="","",archive!F1953)</f>
        <v/>
      </c>
      <c r="D1953" s="50" t="str">
        <f t="shared" si="421"/>
        <v/>
      </c>
      <c r="E1953" s="50" t="str">
        <f t="shared" si="422"/>
        <v/>
      </c>
      <c r="F1953" s="47" t="str">
        <f>IF(COUNTA(archive!H1953:CI1953)=0,"",COUNTA(archive!H1953:CI1953))</f>
        <v/>
      </c>
      <c r="G1953" s="47" t="str">
        <f>IF(archive!G1953="","",archive!G1953)</f>
        <v/>
      </c>
      <c r="H1953" s="51" t="str">
        <f>IF(archive!CJ1953="","",archive!CJ1953)</f>
        <v/>
      </c>
      <c r="I1953" s="51" t="str">
        <f>IF(archive!CK1953="","",archive!CK1953)</f>
        <v/>
      </c>
      <c r="J1953" s="47" t="str">
        <f t="shared" si="423"/>
        <v/>
      </c>
      <c r="K1953" s="51" t="str">
        <f t="shared" si="424"/>
        <v/>
      </c>
      <c r="L1953" s="52" t="str">
        <f t="shared" si="425"/>
        <v/>
      </c>
      <c r="M1953" s="53" t="str">
        <f t="shared" si="426"/>
        <v/>
      </c>
      <c r="N1953" s="53" t="str">
        <f t="shared" si="427"/>
        <v/>
      </c>
      <c r="O1953" s="53" t="str">
        <f t="shared" si="428"/>
        <v/>
      </c>
      <c r="P1953" s="53" t="str">
        <f t="shared" si="429"/>
        <v/>
      </c>
      <c r="Q1953" s="53" t="str">
        <f t="shared" si="430"/>
        <v/>
      </c>
      <c r="R1953" s="53" t="str">
        <f t="shared" si="431"/>
        <v/>
      </c>
      <c r="S1953" s="53" t="str">
        <f t="shared" si="432"/>
        <v/>
      </c>
      <c r="T1953" s="53" t="str">
        <f t="shared" si="433"/>
        <v/>
      </c>
    </row>
    <row r="1954" spans="1:20">
      <c r="A1954" s="47" t="str">
        <f>IF(archive!E1954="","",archive!E1954)</f>
        <v/>
      </c>
      <c r="B1954" s="48" t="str">
        <f t="shared" si="420"/>
        <v/>
      </c>
      <c r="C1954" s="49" t="str">
        <f>IF(archive!F1954="","",archive!F1954)</f>
        <v/>
      </c>
      <c r="D1954" s="50" t="str">
        <f t="shared" si="421"/>
        <v/>
      </c>
      <c r="E1954" s="50" t="str">
        <f t="shared" si="422"/>
        <v/>
      </c>
      <c r="F1954" s="47" t="str">
        <f>IF(COUNTA(archive!H1954:CI1954)=0,"",COUNTA(archive!H1954:CI1954))</f>
        <v/>
      </c>
      <c r="G1954" s="47" t="str">
        <f>IF(archive!G1954="","",archive!G1954)</f>
        <v/>
      </c>
      <c r="H1954" s="51" t="str">
        <f>IF(archive!CJ1954="","",archive!CJ1954)</f>
        <v/>
      </c>
      <c r="I1954" s="51" t="str">
        <f>IF(archive!CK1954="","",archive!CK1954)</f>
        <v/>
      </c>
      <c r="J1954" s="47" t="str">
        <f t="shared" si="423"/>
        <v/>
      </c>
      <c r="K1954" s="51" t="str">
        <f t="shared" si="424"/>
        <v/>
      </c>
      <c r="L1954" s="52" t="str">
        <f t="shared" si="425"/>
        <v/>
      </c>
      <c r="M1954" s="53" t="str">
        <f t="shared" si="426"/>
        <v/>
      </c>
      <c r="N1954" s="53" t="str">
        <f t="shared" si="427"/>
        <v/>
      </c>
      <c r="O1954" s="53" t="str">
        <f t="shared" si="428"/>
        <v/>
      </c>
      <c r="P1954" s="53" t="str">
        <f t="shared" si="429"/>
        <v/>
      </c>
      <c r="Q1954" s="53" t="str">
        <f t="shared" si="430"/>
        <v/>
      </c>
      <c r="R1954" s="53" t="str">
        <f t="shared" si="431"/>
        <v/>
      </c>
      <c r="S1954" s="53" t="str">
        <f t="shared" si="432"/>
        <v/>
      </c>
      <c r="T1954" s="53" t="str">
        <f t="shared" si="433"/>
        <v/>
      </c>
    </row>
    <row r="1955" spans="1:20">
      <c r="A1955" s="47" t="str">
        <f>IF(archive!E1955="","",archive!E1955)</f>
        <v/>
      </c>
      <c r="B1955" s="48" t="str">
        <f t="shared" si="420"/>
        <v/>
      </c>
      <c r="C1955" s="49" t="str">
        <f>IF(archive!F1955="","",archive!F1955)</f>
        <v/>
      </c>
      <c r="D1955" s="50" t="str">
        <f t="shared" si="421"/>
        <v/>
      </c>
      <c r="E1955" s="50" t="str">
        <f t="shared" si="422"/>
        <v/>
      </c>
      <c r="F1955" s="47" t="str">
        <f>IF(COUNTA(archive!H1955:CI1955)=0,"",COUNTA(archive!H1955:CI1955))</f>
        <v/>
      </c>
      <c r="G1955" s="47" t="str">
        <f>IF(archive!G1955="","",archive!G1955)</f>
        <v/>
      </c>
      <c r="H1955" s="51" t="str">
        <f>IF(archive!CJ1955="","",archive!CJ1955)</f>
        <v/>
      </c>
      <c r="I1955" s="51" t="str">
        <f>IF(archive!CK1955="","",archive!CK1955)</f>
        <v/>
      </c>
      <c r="J1955" s="47" t="str">
        <f t="shared" si="423"/>
        <v/>
      </c>
      <c r="K1955" s="51" t="str">
        <f t="shared" si="424"/>
        <v/>
      </c>
      <c r="L1955" s="52" t="str">
        <f t="shared" si="425"/>
        <v/>
      </c>
      <c r="M1955" s="53" t="str">
        <f t="shared" si="426"/>
        <v/>
      </c>
      <c r="N1955" s="53" t="str">
        <f t="shared" si="427"/>
        <v/>
      </c>
      <c r="O1955" s="53" t="str">
        <f t="shared" si="428"/>
        <v/>
      </c>
      <c r="P1955" s="53" t="str">
        <f t="shared" si="429"/>
        <v/>
      </c>
      <c r="Q1955" s="53" t="str">
        <f t="shared" si="430"/>
        <v/>
      </c>
      <c r="R1955" s="53" t="str">
        <f t="shared" si="431"/>
        <v/>
      </c>
      <c r="S1955" s="53" t="str">
        <f t="shared" si="432"/>
        <v/>
      </c>
      <c r="T1955" s="53" t="str">
        <f t="shared" si="433"/>
        <v/>
      </c>
    </row>
    <row r="1956" spans="1:20">
      <c r="A1956" s="47" t="str">
        <f>IF(archive!E1956="","",archive!E1956)</f>
        <v/>
      </c>
      <c r="B1956" s="48" t="str">
        <f t="shared" si="420"/>
        <v/>
      </c>
      <c r="C1956" s="49" t="str">
        <f>IF(archive!F1956="","",archive!F1956)</f>
        <v/>
      </c>
      <c r="D1956" s="50" t="str">
        <f t="shared" si="421"/>
        <v/>
      </c>
      <c r="E1956" s="50" t="str">
        <f t="shared" si="422"/>
        <v/>
      </c>
      <c r="F1956" s="47" t="str">
        <f>IF(COUNTA(archive!H1956:CI1956)=0,"",COUNTA(archive!H1956:CI1956))</f>
        <v/>
      </c>
      <c r="G1956" s="47" t="str">
        <f>IF(archive!G1956="","",archive!G1956)</f>
        <v/>
      </c>
      <c r="H1956" s="51" t="str">
        <f>IF(archive!CJ1956="","",archive!CJ1956)</f>
        <v/>
      </c>
      <c r="I1956" s="51" t="str">
        <f>IF(archive!CK1956="","",archive!CK1956)</f>
        <v/>
      </c>
      <c r="J1956" s="47" t="str">
        <f t="shared" si="423"/>
        <v/>
      </c>
      <c r="K1956" s="51" t="str">
        <f t="shared" si="424"/>
        <v/>
      </c>
      <c r="L1956" s="52" t="str">
        <f t="shared" si="425"/>
        <v/>
      </c>
      <c r="M1956" s="53" t="str">
        <f t="shared" si="426"/>
        <v/>
      </c>
      <c r="N1956" s="53" t="str">
        <f t="shared" si="427"/>
        <v/>
      </c>
      <c r="O1956" s="53" t="str">
        <f t="shared" si="428"/>
        <v/>
      </c>
      <c r="P1956" s="53" t="str">
        <f t="shared" si="429"/>
        <v/>
      </c>
      <c r="Q1956" s="53" t="str">
        <f t="shared" si="430"/>
        <v/>
      </c>
      <c r="R1956" s="53" t="str">
        <f t="shared" si="431"/>
        <v/>
      </c>
      <c r="S1956" s="53" t="str">
        <f t="shared" si="432"/>
        <v/>
      </c>
      <c r="T1956" s="53" t="str">
        <f t="shared" si="433"/>
        <v/>
      </c>
    </row>
    <row r="1957" spans="1:20">
      <c r="A1957" s="47" t="str">
        <f>IF(archive!E1957="","",archive!E1957)</f>
        <v/>
      </c>
      <c r="B1957" s="48" t="str">
        <f t="shared" si="420"/>
        <v/>
      </c>
      <c r="C1957" s="49" t="str">
        <f>IF(archive!F1957="","",archive!F1957)</f>
        <v/>
      </c>
      <c r="D1957" s="50" t="str">
        <f t="shared" si="421"/>
        <v/>
      </c>
      <c r="E1957" s="50" t="str">
        <f t="shared" si="422"/>
        <v/>
      </c>
      <c r="F1957" s="47" t="str">
        <f>IF(COUNTA(archive!H1957:CI1957)=0,"",COUNTA(archive!H1957:CI1957))</f>
        <v/>
      </c>
      <c r="G1957" s="47" t="str">
        <f>IF(archive!G1957="","",archive!G1957)</f>
        <v/>
      </c>
      <c r="H1957" s="51" t="str">
        <f>IF(archive!CJ1957="","",archive!CJ1957)</f>
        <v/>
      </c>
      <c r="I1957" s="51" t="str">
        <f>IF(archive!CK1957="","",archive!CK1957)</f>
        <v/>
      </c>
      <c r="J1957" s="47" t="str">
        <f t="shared" si="423"/>
        <v/>
      </c>
      <c r="K1957" s="51" t="str">
        <f t="shared" si="424"/>
        <v/>
      </c>
      <c r="L1957" s="52" t="str">
        <f t="shared" si="425"/>
        <v/>
      </c>
      <c r="M1957" s="53" t="str">
        <f t="shared" si="426"/>
        <v/>
      </c>
      <c r="N1957" s="53" t="str">
        <f t="shared" si="427"/>
        <v/>
      </c>
      <c r="O1957" s="53" t="str">
        <f t="shared" si="428"/>
        <v/>
      </c>
      <c r="P1957" s="53" t="str">
        <f t="shared" si="429"/>
        <v/>
      </c>
      <c r="Q1957" s="53" t="str">
        <f t="shared" si="430"/>
        <v/>
      </c>
      <c r="R1957" s="53" t="str">
        <f t="shared" si="431"/>
        <v/>
      </c>
      <c r="S1957" s="53" t="str">
        <f t="shared" si="432"/>
        <v/>
      </c>
      <c r="T1957" s="53" t="str">
        <f t="shared" si="433"/>
        <v/>
      </c>
    </row>
    <row r="1958" spans="1:20">
      <c r="A1958" s="47" t="str">
        <f>IF(archive!E1958="","",archive!E1958)</f>
        <v/>
      </c>
      <c r="B1958" s="48" t="str">
        <f t="shared" si="420"/>
        <v/>
      </c>
      <c r="C1958" s="49" t="str">
        <f>IF(archive!F1958="","",archive!F1958)</f>
        <v/>
      </c>
      <c r="D1958" s="50" t="str">
        <f t="shared" si="421"/>
        <v/>
      </c>
      <c r="E1958" s="50" t="str">
        <f t="shared" si="422"/>
        <v/>
      </c>
      <c r="F1958" s="47" t="str">
        <f>IF(COUNTA(archive!H1958:CI1958)=0,"",COUNTA(archive!H1958:CI1958))</f>
        <v/>
      </c>
      <c r="G1958" s="47" t="str">
        <f>IF(archive!G1958="","",archive!G1958)</f>
        <v/>
      </c>
      <c r="H1958" s="51" t="str">
        <f>IF(archive!CJ1958="","",archive!CJ1958)</f>
        <v/>
      </c>
      <c r="I1958" s="51" t="str">
        <f>IF(archive!CK1958="","",archive!CK1958)</f>
        <v/>
      </c>
      <c r="J1958" s="47" t="str">
        <f t="shared" si="423"/>
        <v/>
      </c>
      <c r="K1958" s="51" t="str">
        <f t="shared" si="424"/>
        <v/>
      </c>
      <c r="L1958" s="52" t="str">
        <f t="shared" si="425"/>
        <v/>
      </c>
      <c r="M1958" s="53" t="str">
        <f t="shared" si="426"/>
        <v/>
      </c>
      <c r="N1958" s="53" t="str">
        <f t="shared" si="427"/>
        <v/>
      </c>
      <c r="O1958" s="53" t="str">
        <f t="shared" si="428"/>
        <v/>
      </c>
      <c r="P1958" s="53" t="str">
        <f t="shared" si="429"/>
        <v/>
      </c>
      <c r="Q1958" s="53" t="str">
        <f t="shared" si="430"/>
        <v/>
      </c>
      <c r="R1958" s="53" t="str">
        <f t="shared" si="431"/>
        <v/>
      </c>
      <c r="S1958" s="53" t="str">
        <f t="shared" si="432"/>
        <v/>
      </c>
      <c r="T1958" s="53" t="str">
        <f t="shared" si="433"/>
        <v/>
      </c>
    </row>
    <row r="1959" spans="1:20">
      <c r="A1959" s="47" t="str">
        <f>IF(archive!E1959="","",archive!E1959)</f>
        <v/>
      </c>
      <c r="B1959" s="48" t="str">
        <f t="shared" si="420"/>
        <v/>
      </c>
      <c r="C1959" s="49" t="str">
        <f>IF(archive!F1959="","",archive!F1959)</f>
        <v/>
      </c>
      <c r="D1959" s="50" t="str">
        <f t="shared" si="421"/>
        <v/>
      </c>
      <c r="E1959" s="50" t="str">
        <f t="shared" si="422"/>
        <v/>
      </c>
      <c r="F1959" s="47" t="str">
        <f>IF(COUNTA(archive!H1959:CI1959)=0,"",COUNTA(archive!H1959:CI1959))</f>
        <v/>
      </c>
      <c r="G1959" s="47" t="str">
        <f>IF(archive!G1959="","",archive!G1959)</f>
        <v/>
      </c>
      <c r="H1959" s="51" t="str">
        <f>IF(archive!CJ1959="","",archive!CJ1959)</f>
        <v/>
      </c>
      <c r="I1959" s="51" t="str">
        <f>IF(archive!CK1959="","",archive!CK1959)</f>
        <v/>
      </c>
      <c r="J1959" s="47" t="str">
        <f t="shared" si="423"/>
        <v/>
      </c>
      <c r="K1959" s="51" t="str">
        <f t="shared" si="424"/>
        <v/>
      </c>
      <c r="L1959" s="52" t="str">
        <f t="shared" si="425"/>
        <v/>
      </c>
      <c r="M1959" s="53" t="str">
        <f t="shared" si="426"/>
        <v/>
      </c>
      <c r="N1959" s="53" t="str">
        <f t="shared" si="427"/>
        <v/>
      </c>
      <c r="O1959" s="53" t="str">
        <f t="shared" si="428"/>
        <v/>
      </c>
      <c r="P1959" s="53" t="str">
        <f t="shared" si="429"/>
        <v/>
      </c>
      <c r="Q1959" s="53" t="str">
        <f t="shared" si="430"/>
        <v/>
      </c>
      <c r="R1959" s="53" t="str">
        <f t="shared" si="431"/>
        <v/>
      </c>
      <c r="S1959" s="53" t="str">
        <f t="shared" si="432"/>
        <v/>
      </c>
      <c r="T1959" s="53" t="str">
        <f t="shared" si="433"/>
        <v/>
      </c>
    </row>
    <row r="1960" spans="1:20">
      <c r="A1960" s="47" t="str">
        <f>IF(archive!E1960="","",archive!E1960)</f>
        <v/>
      </c>
      <c r="B1960" s="48" t="str">
        <f t="shared" si="420"/>
        <v/>
      </c>
      <c r="C1960" s="49" t="str">
        <f>IF(archive!F1960="","",archive!F1960)</f>
        <v/>
      </c>
      <c r="D1960" s="50" t="str">
        <f t="shared" si="421"/>
        <v/>
      </c>
      <c r="E1960" s="50" t="str">
        <f t="shared" si="422"/>
        <v/>
      </c>
      <c r="F1960" s="47" t="str">
        <f>IF(COUNTA(archive!H1960:CI1960)=0,"",COUNTA(archive!H1960:CI1960))</f>
        <v/>
      </c>
      <c r="G1960" s="47" t="str">
        <f>IF(archive!G1960="","",archive!G1960)</f>
        <v/>
      </c>
      <c r="H1960" s="51" t="str">
        <f>IF(archive!CJ1960="","",archive!CJ1960)</f>
        <v/>
      </c>
      <c r="I1960" s="51" t="str">
        <f>IF(archive!CK1960="","",archive!CK1960)</f>
        <v/>
      </c>
      <c r="J1960" s="47" t="str">
        <f t="shared" si="423"/>
        <v/>
      </c>
      <c r="K1960" s="51" t="str">
        <f t="shared" si="424"/>
        <v/>
      </c>
      <c r="L1960" s="52" t="str">
        <f t="shared" si="425"/>
        <v/>
      </c>
      <c r="M1960" s="53" t="str">
        <f t="shared" si="426"/>
        <v/>
      </c>
      <c r="N1960" s="53" t="str">
        <f t="shared" si="427"/>
        <v/>
      </c>
      <c r="O1960" s="53" t="str">
        <f t="shared" si="428"/>
        <v/>
      </c>
      <c r="P1960" s="53" t="str">
        <f t="shared" si="429"/>
        <v/>
      </c>
      <c r="Q1960" s="53" t="str">
        <f t="shared" si="430"/>
        <v/>
      </c>
      <c r="R1960" s="53" t="str">
        <f t="shared" si="431"/>
        <v/>
      </c>
      <c r="S1960" s="53" t="str">
        <f t="shared" si="432"/>
        <v/>
      </c>
      <c r="T1960" s="53" t="str">
        <f t="shared" si="433"/>
        <v/>
      </c>
    </row>
    <row r="1961" spans="1:20">
      <c r="A1961" s="47" t="str">
        <f>IF(archive!E1961="","",archive!E1961)</f>
        <v/>
      </c>
      <c r="B1961" s="48" t="str">
        <f t="shared" si="420"/>
        <v/>
      </c>
      <c r="C1961" s="49" t="str">
        <f>IF(archive!F1961="","",archive!F1961)</f>
        <v/>
      </c>
      <c r="D1961" s="50" t="str">
        <f t="shared" si="421"/>
        <v/>
      </c>
      <c r="E1961" s="50" t="str">
        <f t="shared" si="422"/>
        <v/>
      </c>
      <c r="F1961" s="47" t="str">
        <f>IF(COUNTA(archive!H1961:CI1961)=0,"",COUNTA(archive!H1961:CI1961))</f>
        <v/>
      </c>
      <c r="G1961" s="47" t="str">
        <f>IF(archive!G1961="","",archive!G1961)</f>
        <v/>
      </c>
      <c r="H1961" s="51" t="str">
        <f>IF(archive!CJ1961="","",archive!CJ1961)</f>
        <v/>
      </c>
      <c r="I1961" s="51" t="str">
        <f>IF(archive!CK1961="","",archive!CK1961)</f>
        <v/>
      </c>
      <c r="J1961" s="47" t="str">
        <f t="shared" si="423"/>
        <v/>
      </c>
      <c r="K1961" s="51" t="str">
        <f t="shared" si="424"/>
        <v/>
      </c>
      <c r="L1961" s="52" t="str">
        <f t="shared" si="425"/>
        <v/>
      </c>
      <c r="M1961" s="53" t="str">
        <f t="shared" si="426"/>
        <v/>
      </c>
      <c r="N1961" s="53" t="str">
        <f t="shared" si="427"/>
        <v/>
      </c>
      <c r="O1961" s="53" t="str">
        <f t="shared" si="428"/>
        <v/>
      </c>
      <c r="P1961" s="53" t="str">
        <f t="shared" si="429"/>
        <v/>
      </c>
      <c r="Q1961" s="53" t="str">
        <f t="shared" si="430"/>
        <v/>
      </c>
      <c r="R1961" s="53" t="str">
        <f t="shared" si="431"/>
        <v/>
      </c>
      <c r="S1961" s="53" t="str">
        <f t="shared" si="432"/>
        <v/>
      </c>
      <c r="T1961" s="53" t="str">
        <f t="shared" si="433"/>
        <v/>
      </c>
    </row>
    <row r="1962" spans="1:20">
      <c r="A1962" s="47" t="str">
        <f>IF(archive!E1962="","",archive!E1962)</f>
        <v/>
      </c>
      <c r="B1962" s="48" t="str">
        <f t="shared" si="420"/>
        <v/>
      </c>
      <c r="C1962" s="49" t="str">
        <f>IF(archive!F1962="","",archive!F1962)</f>
        <v/>
      </c>
      <c r="D1962" s="50" t="str">
        <f t="shared" si="421"/>
        <v/>
      </c>
      <c r="E1962" s="50" t="str">
        <f t="shared" si="422"/>
        <v/>
      </c>
      <c r="F1962" s="47" t="str">
        <f>IF(COUNTA(archive!H1962:CI1962)=0,"",COUNTA(archive!H1962:CI1962))</f>
        <v/>
      </c>
      <c r="G1962" s="47" t="str">
        <f>IF(archive!G1962="","",archive!G1962)</f>
        <v/>
      </c>
      <c r="H1962" s="51" t="str">
        <f>IF(archive!CJ1962="","",archive!CJ1962)</f>
        <v/>
      </c>
      <c r="I1962" s="51" t="str">
        <f>IF(archive!CK1962="","",archive!CK1962)</f>
        <v/>
      </c>
      <c r="J1962" s="47" t="str">
        <f t="shared" si="423"/>
        <v/>
      </c>
      <c r="K1962" s="51" t="str">
        <f t="shared" si="424"/>
        <v/>
      </c>
      <c r="L1962" s="52" t="str">
        <f t="shared" si="425"/>
        <v/>
      </c>
      <c r="M1962" s="53" t="str">
        <f t="shared" si="426"/>
        <v/>
      </c>
      <c r="N1962" s="53" t="str">
        <f t="shared" si="427"/>
        <v/>
      </c>
      <c r="O1962" s="53" t="str">
        <f t="shared" si="428"/>
        <v/>
      </c>
      <c r="P1962" s="53" t="str">
        <f t="shared" si="429"/>
        <v/>
      </c>
      <c r="Q1962" s="53" t="str">
        <f t="shared" si="430"/>
        <v/>
      </c>
      <c r="R1962" s="53" t="str">
        <f t="shared" si="431"/>
        <v/>
      </c>
      <c r="S1962" s="53" t="str">
        <f t="shared" si="432"/>
        <v/>
      </c>
      <c r="T1962" s="53" t="str">
        <f t="shared" si="433"/>
        <v/>
      </c>
    </row>
    <row r="1963" spans="1:20">
      <c r="A1963" s="47" t="str">
        <f>IF(archive!E1963="","",archive!E1963)</f>
        <v/>
      </c>
      <c r="B1963" s="48" t="str">
        <f t="shared" si="420"/>
        <v/>
      </c>
      <c r="C1963" s="49" t="str">
        <f>IF(archive!F1963="","",archive!F1963)</f>
        <v/>
      </c>
      <c r="D1963" s="50" t="str">
        <f t="shared" si="421"/>
        <v/>
      </c>
      <c r="E1963" s="50" t="str">
        <f t="shared" si="422"/>
        <v/>
      </c>
      <c r="F1963" s="47" t="str">
        <f>IF(COUNTA(archive!H1963:CI1963)=0,"",COUNTA(archive!H1963:CI1963))</f>
        <v/>
      </c>
      <c r="G1963" s="47" t="str">
        <f>IF(archive!G1963="","",archive!G1963)</f>
        <v/>
      </c>
      <c r="H1963" s="51" t="str">
        <f>IF(archive!CJ1963="","",archive!CJ1963)</f>
        <v/>
      </c>
      <c r="I1963" s="51" t="str">
        <f>IF(archive!CK1963="","",archive!CK1963)</f>
        <v/>
      </c>
      <c r="J1963" s="47" t="str">
        <f t="shared" si="423"/>
        <v/>
      </c>
      <c r="K1963" s="51" t="str">
        <f t="shared" si="424"/>
        <v/>
      </c>
      <c r="L1963" s="52" t="str">
        <f t="shared" si="425"/>
        <v/>
      </c>
      <c r="M1963" s="53" t="str">
        <f t="shared" si="426"/>
        <v/>
      </c>
      <c r="N1963" s="53" t="str">
        <f t="shared" si="427"/>
        <v/>
      </c>
      <c r="O1963" s="53" t="str">
        <f t="shared" si="428"/>
        <v/>
      </c>
      <c r="P1963" s="53" t="str">
        <f t="shared" si="429"/>
        <v/>
      </c>
      <c r="Q1963" s="53" t="str">
        <f t="shared" si="430"/>
        <v/>
      </c>
      <c r="R1963" s="53" t="str">
        <f t="shared" si="431"/>
        <v/>
      </c>
      <c r="S1963" s="53" t="str">
        <f t="shared" si="432"/>
        <v/>
      </c>
      <c r="T1963" s="53" t="str">
        <f t="shared" si="433"/>
        <v/>
      </c>
    </row>
    <row r="1964" spans="1:20">
      <c r="A1964" s="47" t="str">
        <f>IF(archive!E1964="","",archive!E1964)</f>
        <v/>
      </c>
      <c r="B1964" s="48" t="str">
        <f t="shared" si="420"/>
        <v/>
      </c>
      <c r="C1964" s="49" t="str">
        <f>IF(archive!F1964="","",archive!F1964)</f>
        <v/>
      </c>
      <c r="D1964" s="50" t="str">
        <f t="shared" si="421"/>
        <v/>
      </c>
      <c r="E1964" s="50" t="str">
        <f t="shared" si="422"/>
        <v/>
      </c>
      <c r="F1964" s="47" t="str">
        <f>IF(COUNTA(archive!H1964:CI1964)=0,"",COUNTA(archive!H1964:CI1964))</f>
        <v/>
      </c>
      <c r="G1964" s="47" t="str">
        <f>IF(archive!G1964="","",archive!G1964)</f>
        <v/>
      </c>
      <c r="H1964" s="51" t="str">
        <f>IF(archive!CJ1964="","",archive!CJ1964)</f>
        <v/>
      </c>
      <c r="I1964" s="51" t="str">
        <f>IF(archive!CK1964="","",archive!CK1964)</f>
        <v/>
      </c>
      <c r="J1964" s="47" t="str">
        <f t="shared" si="423"/>
        <v/>
      </c>
      <c r="K1964" s="51" t="str">
        <f t="shared" si="424"/>
        <v/>
      </c>
      <c r="L1964" s="52" t="str">
        <f t="shared" si="425"/>
        <v/>
      </c>
      <c r="M1964" s="53" t="str">
        <f t="shared" si="426"/>
        <v/>
      </c>
      <c r="N1964" s="53" t="str">
        <f t="shared" si="427"/>
        <v/>
      </c>
      <c r="O1964" s="53" t="str">
        <f t="shared" si="428"/>
        <v/>
      </c>
      <c r="P1964" s="53" t="str">
        <f t="shared" si="429"/>
        <v/>
      </c>
      <c r="Q1964" s="53" t="str">
        <f t="shared" si="430"/>
        <v/>
      </c>
      <c r="R1964" s="53" t="str">
        <f t="shared" si="431"/>
        <v/>
      </c>
      <c r="S1964" s="53" t="str">
        <f t="shared" si="432"/>
        <v/>
      </c>
      <c r="T1964" s="53" t="str">
        <f t="shared" si="433"/>
        <v/>
      </c>
    </row>
    <row r="1965" spans="1:20">
      <c r="A1965" s="47" t="str">
        <f>IF(archive!E1965="","",archive!E1965)</f>
        <v/>
      </c>
      <c r="B1965" s="48" t="str">
        <f t="shared" si="420"/>
        <v/>
      </c>
      <c r="C1965" s="49" t="str">
        <f>IF(archive!F1965="","",archive!F1965)</f>
        <v/>
      </c>
      <c r="D1965" s="50" t="str">
        <f t="shared" si="421"/>
        <v/>
      </c>
      <c r="E1965" s="50" t="str">
        <f t="shared" si="422"/>
        <v/>
      </c>
      <c r="F1965" s="47" t="str">
        <f>IF(COUNTA(archive!H1965:CI1965)=0,"",COUNTA(archive!H1965:CI1965))</f>
        <v/>
      </c>
      <c r="G1965" s="47" t="str">
        <f>IF(archive!G1965="","",archive!G1965)</f>
        <v/>
      </c>
      <c r="H1965" s="51" t="str">
        <f>IF(archive!CJ1965="","",archive!CJ1965)</f>
        <v/>
      </c>
      <c r="I1965" s="51" t="str">
        <f>IF(archive!CK1965="","",archive!CK1965)</f>
        <v/>
      </c>
      <c r="J1965" s="47" t="str">
        <f t="shared" si="423"/>
        <v/>
      </c>
      <c r="K1965" s="51" t="str">
        <f t="shared" si="424"/>
        <v/>
      </c>
      <c r="L1965" s="52" t="str">
        <f t="shared" si="425"/>
        <v/>
      </c>
      <c r="M1965" s="53" t="str">
        <f t="shared" si="426"/>
        <v/>
      </c>
      <c r="N1965" s="53" t="str">
        <f t="shared" si="427"/>
        <v/>
      </c>
      <c r="O1965" s="53" t="str">
        <f t="shared" si="428"/>
        <v/>
      </c>
      <c r="P1965" s="53" t="str">
        <f t="shared" si="429"/>
        <v/>
      </c>
      <c r="Q1965" s="53" t="str">
        <f t="shared" si="430"/>
        <v/>
      </c>
      <c r="R1965" s="53" t="str">
        <f t="shared" si="431"/>
        <v/>
      </c>
      <c r="S1965" s="53" t="str">
        <f t="shared" si="432"/>
        <v/>
      </c>
      <c r="T1965" s="53" t="str">
        <f t="shared" si="433"/>
        <v/>
      </c>
    </row>
    <row r="1966" spans="1:20">
      <c r="A1966" s="47" t="str">
        <f>IF(archive!E1966="","",archive!E1966)</f>
        <v/>
      </c>
      <c r="B1966" s="48" t="str">
        <f t="shared" si="420"/>
        <v/>
      </c>
      <c r="C1966" s="49" t="str">
        <f>IF(archive!F1966="","",archive!F1966)</f>
        <v/>
      </c>
      <c r="D1966" s="50" t="str">
        <f t="shared" si="421"/>
        <v/>
      </c>
      <c r="E1966" s="50" t="str">
        <f t="shared" si="422"/>
        <v/>
      </c>
      <c r="F1966" s="47" t="str">
        <f>IF(COUNTA(archive!H1966:CI1966)=0,"",COUNTA(archive!H1966:CI1966))</f>
        <v/>
      </c>
      <c r="G1966" s="47" t="str">
        <f>IF(archive!G1966="","",archive!G1966)</f>
        <v/>
      </c>
      <c r="H1966" s="51" t="str">
        <f>IF(archive!CJ1966="","",archive!CJ1966)</f>
        <v/>
      </c>
      <c r="I1966" s="51" t="str">
        <f>IF(archive!CK1966="","",archive!CK1966)</f>
        <v/>
      </c>
      <c r="J1966" s="47" t="str">
        <f t="shared" si="423"/>
        <v/>
      </c>
      <c r="K1966" s="51" t="str">
        <f t="shared" si="424"/>
        <v/>
      </c>
      <c r="L1966" s="52" t="str">
        <f t="shared" si="425"/>
        <v/>
      </c>
      <c r="M1966" s="53" t="str">
        <f t="shared" si="426"/>
        <v/>
      </c>
      <c r="N1966" s="53" t="str">
        <f t="shared" si="427"/>
        <v/>
      </c>
      <c r="O1966" s="53" t="str">
        <f t="shared" si="428"/>
        <v/>
      </c>
      <c r="P1966" s="53" t="str">
        <f t="shared" si="429"/>
        <v/>
      </c>
      <c r="Q1966" s="53" t="str">
        <f t="shared" si="430"/>
        <v/>
      </c>
      <c r="R1966" s="53" t="str">
        <f t="shared" si="431"/>
        <v/>
      </c>
      <c r="S1966" s="53" t="str">
        <f t="shared" si="432"/>
        <v/>
      </c>
      <c r="T1966" s="53" t="str">
        <f t="shared" si="433"/>
        <v/>
      </c>
    </row>
    <row r="1967" spans="1:20">
      <c r="A1967" s="47" t="str">
        <f>IF(archive!E1967="","",archive!E1967)</f>
        <v/>
      </c>
      <c r="B1967" s="48" t="str">
        <f t="shared" si="420"/>
        <v/>
      </c>
      <c r="C1967" s="49" t="str">
        <f>IF(archive!F1967="","",archive!F1967)</f>
        <v/>
      </c>
      <c r="D1967" s="50" t="str">
        <f t="shared" si="421"/>
        <v/>
      </c>
      <c r="E1967" s="50" t="str">
        <f t="shared" si="422"/>
        <v/>
      </c>
      <c r="F1967" s="47" t="str">
        <f>IF(COUNTA(archive!H1967:CI1967)=0,"",COUNTA(archive!H1967:CI1967))</f>
        <v/>
      </c>
      <c r="G1967" s="47" t="str">
        <f>IF(archive!G1967="","",archive!G1967)</f>
        <v/>
      </c>
      <c r="H1967" s="51" t="str">
        <f>IF(archive!CJ1967="","",archive!CJ1967)</f>
        <v/>
      </c>
      <c r="I1967" s="51" t="str">
        <f>IF(archive!CK1967="","",archive!CK1967)</f>
        <v/>
      </c>
      <c r="J1967" s="47" t="str">
        <f t="shared" si="423"/>
        <v/>
      </c>
      <c r="K1967" s="51" t="str">
        <f t="shared" si="424"/>
        <v/>
      </c>
      <c r="L1967" s="52" t="str">
        <f t="shared" si="425"/>
        <v/>
      </c>
      <c r="M1967" s="53" t="str">
        <f t="shared" si="426"/>
        <v/>
      </c>
      <c r="N1967" s="53" t="str">
        <f t="shared" si="427"/>
        <v/>
      </c>
      <c r="O1967" s="53" t="str">
        <f t="shared" si="428"/>
        <v/>
      </c>
      <c r="P1967" s="53" t="str">
        <f t="shared" si="429"/>
        <v/>
      </c>
      <c r="Q1967" s="53" t="str">
        <f t="shared" si="430"/>
        <v/>
      </c>
      <c r="R1967" s="53" t="str">
        <f t="shared" si="431"/>
        <v/>
      </c>
      <c r="S1967" s="53" t="str">
        <f t="shared" si="432"/>
        <v/>
      </c>
      <c r="T1967" s="53" t="str">
        <f t="shared" si="433"/>
        <v/>
      </c>
    </row>
    <row r="1968" spans="1:20">
      <c r="A1968" s="47" t="str">
        <f>IF(archive!E1968="","",archive!E1968)</f>
        <v/>
      </c>
      <c r="B1968" s="48" t="str">
        <f t="shared" si="420"/>
        <v/>
      </c>
      <c r="C1968" s="49" t="str">
        <f>IF(archive!F1968="","",archive!F1968)</f>
        <v/>
      </c>
      <c r="D1968" s="50" t="str">
        <f t="shared" si="421"/>
        <v/>
      </c>
      <c r="E1968" s="50" t="str">
        <f t="shared" si="422"/>
        <v/>
      </c>
      <c r="F1968" s="47" t="str">
        <f>IF(COUNTA(archive!H1968:CI1968)=0,"",COUNTA(archive!H1968:CI1968))</f>
        <v/>
      </c>
      <c r="G1968" s="47" t="str">
        <f>IF(archive!G1968="","",archive!G1968)</f>
        <v/>
      </c>
      <c r="H1968" s="51" t="str">
        <f>IF(archive!CJ1968="","",archive!CJ1968)</f>
        <v/>
      </c>
      <c r="I1968" s="51" t="str">
        <f>IF(archive!CK1968="","",archive!CK1968)</f>
        <v/>
      </c>
      <c r="J1968" s="47" t="str">
        <f t="shared" si="423"/>
        <v/>
      </c>
      <c r="K1968" s="51" t="str">
        <f t="shared" si="424"/>
        <v/>
      </c>
      <c r="L1968" s="52" t="str">
        <f t="shared" si="425"/>
        <v/>
      </c>
      <c r="M1968" s="53" t="str">
        <f t="shared" si="426"/>
        <v/>
      </c>
      <c r="N1968" s="53" t="str">
        <f t="shared" si="427"/>
        <v/>
      </c>
      <c r="O1968" s="53" t="str">
        <f t="shared" si="428"/>
        <v/>
      </c>
      <c r="P1968" s="53" t="str">
        <f t="shared" si="429"/>
        <v/>
      </c>
      <c r="Q1968" s="53" t="str">
        <f t="shared" si="430"/>
        <v/>
      </c>
      <c r="R1968" s="53" t="str">
        <f t="shared" si="431"/>
        <v/>
      </c>
      <c r="S1968" s="53" t="str">
        <f t="shared" si="432"/>
        <v/>
      </c>
      <c r="T1968" s="53" t="str">
        <f t="shared" si="433"/>
        <v/>
      </c>
    </row>
    <row r="1969" spans="1:20">
      <c r="A1969" s="47" t="str">
        <f>IF(archive!E1969="","",archive!E1969)</f>
        <v/>
      </c>
      <c r="B1969" s="48" t="str">
        <f t="shared" si="420"/>
        <v/>
      </c>
      <c r="C1969" s="49" t="str">
        <f>IF(archive!F1969="","",archive!F1969)</f>
        <v/>
      </c>
      <c r="D1969" s="50" t="str">
        <f t="shared" si="421"/>
        <v/>
      </c>
      <c r="E1969" s="50" t="str">
        <f t="shared" si="422"/>
        <v/>
      </c>
      <c r="F1969" s="47" t="str">
        <f>IF(COUNTA(archive!H1969:CI1969)=0,"",COUNTA(archive!H1969:CI1969))</f>
        <v/>
      </c>
      <c r="G1969" s="47" t="str">
        <f>IF(archive!G1969="","",archive!G1969)</f>
        <v/>
      </c>
      <c r="H1969" s="51" t="str">
        <f>IF(archive!CJ1969="","",archive!CJ1969)</f>
        <v/>
      </c>
      <c r="I1969" s="51" t="str">
        <f>IF(archive!CK1969="","",archive!CK1969)</f>
        <v/>
      </c>
      <c r="J1969" s="47" t="str">
        <f t="shared" si="423"/>
        <v/>
      </c>
      <c r="K1969" s="51" t="str">
        <f t="shared" si="424"/>
        <v/>
      </c>
      <c r="L1969" s="52" t="str">
        <f t="shared" si="425"/>
        <v/>
      </c>
      <c r="M1969" s="53" t="str">
        <f t="shared" si="426"/>
        <v/>
      </c>
      <c r="N1969" s="53" t="str">
        <f t="shared" si="427"/>
        <v/>
      </c>
      <c r="O1969" s="53" t="str">
        <f t="shared" si="428"/>
        <v/>
      </c>
      <c r="P1969" s="53" t="str">
        <f t="shared" si="429"/>
        <v/>
      </c>
      <c r="Q1969" s="53" t="str">
        <f t="shared" si="430"/>
        <v/>
      </c>
      <c r="R1969" s="53" t="str">
        <f t="shared" si="431"/>
        <v/>
      </c>
      <c r="S1969" s="53" t="str">
        <f t="shared" si="432"/>
        <v/>
      </c>
      <c r="T1969" s="53" t="str">
        <f t="shared" si="433"/>
        <v/>
      </c>
    </row>
    <row r="1970" spans="1:20">
      <c r="A1970" s="47" t="str">
        <f>IF(archive!E1970="","",archive!E1970)</f>
        <v/>
      </c>
      <c r="B1970" s="48" t="str">
        <f t="shared" si="420"/>
        <v/>
      </c>
      <c r="C1970" s="49" t="str">
        <f>IF(archive!F1970="","",archive!F1970)</f>
        <v/>
      </c>
      <c r="D1970" s="50" t="str">
        <f t="shared" si="421"/>
        <v/>
      </c>
      <c r="E1970" s="50" t="str">
        <f t="shared" si="422"/>
        <v/>
      </c>
      <c r="F1970" s="47" t="str">
        <f>IF(COUNTA(archive!H1970:CI1970)=0,"",COUNTA(archive!H1970:CI1970))</f>
        <v/>
      </c>
      <c r="G1970" s="47" t="str">
        <f>IF(archive!G1970="","",archive!G1970)</f>
        <v/>
      </c>
      <c r="H1970" s="51" t="str">
        <f>IF(archive!CJ1970="","",archive!CJ1970)</f>
        <v/>
      </c>
      <c r="I1970" s="51" t="str">
        <f>IF(archive!CK1970="","",archive!CK1970)</f>
        <v/>
      </c>
      <c r="J1970" s="47" t="str">
        <f t="shared" si="423"/>
        <v/>
      </c>
      <c r="K1970" s="51" t="str">
        <f t="shared" si="424"/>
        <v/>
      </c>
      <c r="L1970" s="52" t="str">
        <f t="shared" si="425"/>
        <v/>
      </c>
      <c r="M1970" s="53" t="str">
        <f t="shared" si="426"/>
        <v/>
      </c>
      <c r="N1970" s="53" t="str">
        <f t="shared" si="427"/>
        <v/>
      </c>
      <c r="O1970" s="53" t="str">
        <f t="shared" si="428"/>
        <v/>
      </c>
      <c r="P1970" s="53" t="str">
        <f t="shared" si="429"/>
        <v/>
      </c>
      <c r="Q1970" s="53" t="str">
        <f t="shared" si="430"/>
        <v/>
      </c>
      <c r="R1970" s="53" t="str">
        <f t="shared" si="431"/>
        <v/>
      </c>
      <c r="S1970" s="53" t="str">
        <f t="shared" si="432"/>
        <v/>
      </c>
      <c r="T1970" s="53" t="str">
        <f t="shared" si="433"/>
        <v/>
      </c>
    </row>
    <row r="1971" spans="1:20">
      <c r="A1971" s="47" t="str">
        <f>IF(archive!E1971="","",archive!E1971)</f>
        <v/>
      </c>
      <c r="B1971" s="48" t="str">
        <f t="shared" si="420"/>
        <v/>
      </c>
      <c r="C1971" s="49" t="str">
        <f>IF(archive!F1971="","",archive!F1971)</f>
        <v/>
      </c>
      <c r="D1971" s="50" t="str">
        <f t="shared" si="421"/>
        <v/>
      </c>
      <c r="E1971" s="50" t="str">
        <f t="shared" si="422"/>
        <v/>
      </c>
      <c r="F1971" s="47" t="str">
        <f>IF(COUNTA(archive!H1971:CI1971)=0,"",COUNTA(archive!H1971:CI1971))</f>
        <v/>
      </c>
      <c r="G1971" s="47" t="str">
        <f>IF(archive!G1971="","",archive!G1971)</f>
        <v/>
      </c>
      <c r="H1971" s="51" t="str">
        <f>IF(archive!CJ1971="","",archive!CJ1971)</f>
        <v/>
      </c>
      <c r="I1971" s="51" t="str">
        <f>IF(archive!CK1971="","",archive!CK1971)</f>
        <v/>
      </c>
      <c r="J1971" s="47" t="str">
        <f t="shared" si="423"/>
        <v/>
      </c>
      <c r="K1971" s="51" t="str">
        <f t="shared" si="424"/>
        <v/>
      </c>
      <c r="L1971" s="52" t="str">
        <f t="shared" si="425"/>
        <v/>
      </c>
      <c r="M1971" s="53" t="str">
        <f t="shared" si="426"/>
        <v/>
      </c>
      <c r="N1971" s="53" t="str">
        <f t="shared" si="427"/>
        <v/>
      </c>
      <c r="O1971" s="53" t="str">
        <f t="shared" si="428"/>
        <v/>
      </c>
      <c r="P1971" s="53" t="str">
        <f t="shared" si="429"/>
        <v/>
      </c>
      <c r="Q1971" s="53" t="str">
        <f t="shared" si="430"/>
        <v/>
      </c>
      <c r="R1971" s="53" t="str">
        <f t="shared" si="431"/>
        <v/>
      </c>
      <c r="S1971" s="53" t="str">
        <f t="shared" si="432"/>
        <v/>
      </c>
      <c r="T1971" s="53" t="str">
        <f t="shared" si="433"/>
        <v/>
      </c>
    </row>
    <row r="1972" spans="1:20">
      <c r="A1972" s="47" t="str">
        <f>IF(archive!E1972="","",archive!E1972)</f>
        <v/>
      </c>
      <c r="B1972" s="48" t="str">
        <f t="shared" si="420"/>
        <v/>
      </c>
      <c r="C1972" s="49" t="str">
        <f>IF(archive!F1972="","",archive!F1972)</f>
        <v/>
      </c>
      <c r="D1972" s="50" t="str">
        <f t="shared" si="421"/>
        <v/>
      </c>
      <c r="E1972" s="50" t="str">
        <f t="shared" si="422"/>
        <v/>
      </c>
      <c r="F1972" s="47" t="str">
        <f>IF(COUNTA(archive!H1972:CI1972)=0,"",COUNTA(archive!H1972:CI1972))</f>
        <v/>
      </c>
      <c r="G1972" s="47" t="str">
        <f>IF(archive!G1972="","",archive!G1972)</f>
        <v/>
      </c>
      <c r="H1972" s="51" t="str">
        <f>IF(archive!CJ1972="","",archive!CJ1972)</f>
        <v/>
      </c>
      <c r="I1972" s="51" t="str">
        <f>IF(archive!CK1972="","",archive!CK1972)</f>
        <v/>
      </c>
      <c r="J1972" s="47" t="str">
        <f t="shared" si="423"/>
        <v/>
      </c>
      <c r="K1972" s="51" t="str">
        <f t="shared" si="424"/>
        <v/>
      </c>
      <c r="L1972" s="52" t="str">
        <f t="shared" si="425"/>
        <v/>
      </c>
      <c r="M1972" s="53" t="str">
        <f t="shared" si="426"/>
        <v/>
      </c>
      <c r="N1972" s="53" t="str">
        <f t="shared" si="427"/>
        <v/>
      </c>
      <c r="O1972" s="53" t="str">
        <f t="shared" si="428"/>
        <v/>
      </c>
      <c r="P1972" s="53" t="str">
        <f t="shared" si="429"/>
        <v/>
      </c>
      <c r="Q1972" s="53" t="str">
        <f t="shared" si="430"/>
        <v/>
      </c>
      <c r="R1972" s="53" t="str">
        <f t="shared" si="431"/>
        <v/>
      </c>
      <c r="S1972" s="53" t="str">
        <f t="shared" si="432"/>
        <v/>
      </c>
      <c r="T1972" s="53" t="str">
        <f t="shared" si="433"/>
        <v/>
      </c>
    </row>
    <row r="1973" spans="1:20">
      <c r="A1973" s="47" t="str">
        <f>IF(archive!E1973="","",archive!E1973)</f>
        <v/>
      </c>
      <c r="B1973" s="48" t="str">
        <f t="shared" si="420"/>
        <v/>
      </c>
      <c r="C1973" s="49" t="str">
        <f>IF(archive!F1973="","",archive!F1973)</f>
        <v/>
      </c>
      <c r="D1973" s="50" t="str">
        <f t="shared" si="421"/>
        <v/>
      </c>
      <c r="E1973" s="50" t="str">
        <f t="shared" si="422"/>
        <v/>
      </c>
      <c r="F1973" s="47" t="str">
        <f>IF(COUNTA(archive!H1973:CI1973)=0,"",COUNTA(archive!H1973:CI1973))</f>
        <v/>
      </c>
      <c r="G1973" s="47" t="str">
        <f>IF(archive!G1973="","",archive!G1973)</f>
        <v/>
      </c>
      <c r="H1973" s="51" t="str">
        <f>IF(archive!CJ1973="","",archive!CJ1973)</f>
        <v/>
      </c>
      <c r="I1973" s="51" t="str">
        <f>IF(archive!CK1973="","",archive!CK1973)</f>
        <v/>
      </c>
      <c r="J1973" s="47" t="str">
        <f t="shared" si="423"/>
        <v/>
      </c>
      <c r="K1973" s="51" t="str">
        <f t="shared" si="424"/>
        <v/>
      </c>
      <c r="L1973" s="52" t="str">
        <f t="shared" si="425"/>
        <v/>
      </c>
      <c r="M1973" s="53" t="str">
        <f t="shared" si="426"/>
        <v/>
      </c>
      <c r="N1973" s="53" t="str">
        <f t="shared" si="427"/>
        <v/>
      </c>
      <c r="O1973" s="53" t="str">
        <f t="shared" si="428"/>
        <v/>
      </c>
      <c r="P1973" s="53" t="str">
        <f t="shared" si="429"/>
        <v/>
      </c>
      <c r="Q1973" s="53" t="str">
        <f t="shared" si="430"/>
        <v/>
      </c>
      <c r="R1973" s="53" t="str">
        <f t="shared" si="431"/>
        <v/>
      </c>
      <c r="S1973" s="53" t="str">
        <f t="shared" si="432"/>
        <v/>
      </c>
      <c r="T1973" s="53" t="str">
        <f t="shared" si="433"/>
        <v/>
      </c>
    </row>
    <row r="1974" spans="1:20">
      <c r="A1974" s="47" t="str">
        <f>IF(archive!E1974="","",archive!E1974)</f>
        <v/>
      </c>
      <c r="B1974" s="48" t="str">
        <f t="shared" si="420"/>
        <v/>
      </c>
      <c r="C1974" s="49" t="str">
        <f>IF(archive!F1974="","",archive!F1974)</f>
        <v/>
      </c>
      <c r="D1974" s="50" t="str">
        <f t="shared" si="421"/>
        <v/>
      </c>
      <c r="E1974" s="50" t="str">
        <f t="shared" si="422"/>
        <v/>
      </c>
      <c r="F1974" s="47" t="str">
        <f>IF(COUNTA(archive!H1974:CI1974)=0,"",COUNTA(archive!H1974:CI1974))</f>
        <v/>
      </c>
      <c r="G1974" s="47" t="str">
        <f>IF(archive!G1974="","",archive!G1974)</f>
        <v/>
      </c>
      <c r="H1974" s="51" t="str">
        <f>IF(archive!CJ1974="","",archive!CJ1974)</f>
        <v/>
      </c>
      <c r="I1974" s="51" t="str">
        <f>IF(archive!CK1974="","",archive!CK1974)</f>
        <v/>
      </c>
      <c r="J1974" s="47" t="str">
        <f t="shared" si="423"/>
        <v/>
      </c>
      <c r="K1974" s="51" t="str">
        <f t="shared" si="424"/>
        <v/>
      </c>
      <c r="L1974" s="52" t="str">
        <f t="shared" si="425"/>
        <v/>
      </c>
      <c r="M1974" s="53" t="str">
        <f t="shared" si="426"/>
        <v/>
      </c>
      <c r="N1974" s="53" t="str">
        <f t="shared" si="427"/>
        <v/>
      </c>
      <c r="O1974" s="53" t="str">
        <f t="shared" si="428"/>
        <v/>
      </c>
      <c r="P1974" s="53" t="str">
        <f t="shared" si="429"/>
        <v/>
      </c>
      <c r="Q1974" s="53" t="str">
        <f t="shared" si="430"/>
        <v/>
      </c>
      <c r="R1974" s="53" t="str">
        <f t="shared" si="431"/>
        <v/>
      </c>
      <c r="S1974" s="53" t="str">
        <f t="shared" si="432"/>
        <v/>
      </c>
      <c r="T1974" s="53" t="str">
        <f t="shared" si="433"/>
        <v/>
      </c>
    </row>
    <row r="1975" spans="1:20">
      <c r="A1975" s="47" t="str">
        <f>IF(archive!E1975="","",archive!E1975)</f>
        <v/>
      </c>
      <c r="B1975" s="48" t="str">
        <f t="shared" si="420"/>
        <v/>
      </c>
      <c r="C1975" s="49" t="str">
        <f>IF(archive!F1975="","",archive!F1975)</f>
        <v/>
      </c>
      <c r="D1975" s="50" t="str">
        <f t="shared" si="421"/>
        <v/>
      </c>
      <c r="E1975" s="50" t="str">
        <f t="shared" si="422"/>
        <v/>
      </c>
      <c r="F1975" s="47" t="str">
        <f>IF(COUNTA(archive!H1975:CI1975)=0,"",COUNTA(archive!H1975:CI1975))</f>
        <v/>
      </c>
      <c r="G1975" s="47" t="str">
        <f>IF(archive!G1975="","",archive!G1975)</f>
        <v/>
      </c>
      <c r="H1975" s="51" t="str">
        <f>IF(archive!CJ1975="","",archive!CJ1975)</f>
        <v/>
      </c>
      <c r="I1975" s="51" t="str">
        <f>IF(archive!CK1975="","",archive!CK1975)</f>
        <v/>
      </c>
      <c r="J1975" s="47" t="str">
        <f t="shared" si="423"/>
        <v/>
      </c>
      <c r="K1975" s="51" t="str">
        <f t="shared" si="424"/>
        <v/>
      </c>
      <c r="L1975" s="52" t="str">
        <f t="shared" si="425"/>
        <v/>
      </c>
      <c r="M1975" s="53" t="str">
        <f t="shared" si="426"/>
        <v/>
      </c>
      <c r="N1975" s="53" t="str">
        <f t="shared" si="427"/>
        <v/>
      </c>
      <c r="O1975" s="53" t="str">
        <f t="shared" si="428"/>
        <v/>
      </c>
      <c r="P1975" s="53" t="str">
        <f t="shared" si="429"/>
        <v/>
      </c>
      <c r="Q1975" s="53" t="str">
        <f t="shared" si="430"/>
        <v/>
      </c>
      <c r="R1975" s="53" t="str">
        <f t="shared" si="431"/>
        <v/>
      </c>
      <c r="S1975" s="53" t="str">
        <f t="shared" si="432"/>
        <v/>
      </c>
      <c r="T1975" s="53" t="str">
        <f t="shared" si="433"/>
        <v/>
      </c>
    </row>
    <row r="1976" spans="1:20">
      <c r="A1976" s="47" t="str">
        <f>IF(archive!E1976="","",archive!E1976)</f>
        <v/>
      </c>
      <c r="B1976" s="48" t="str">
        <f t="shared" si="420"/>
        <v/>
      </c>
      <c r="C1976" s="49" t="str">
        <f>IF(archive!F1976="","",archive!F1976)</f>
        <v/>
      </c>
      <c r="D1976" s="50" t="str">
        <f t="shared" si="421"/>
        <v/>
      </c>
      <c r="E1976" s="50" t="str">
        <f t="shared" si="422"/>
        <v/>
      </c>
      <c r="F1976" s="47" t="str">
        <f>IF(COUNTA(archive!H1976:CI1976)=0,"",COUNTA(archive!H1976:CI1976))</f>
        <v/>
      </c>
      <c r="G1976" s="47" t="str">
        <f>IF(archive!G1976="","",archive!G1976)</f>
        <v/>
      </c>
      <c r="H1976" s="51" t="str">
        <f>IF(archive!CJ1976="","",archive!CJ1976)</f>
        <v/>
      </c>
      <c r="I1976" s="51" t="str">
        <f>IF(archive!CK1976="","",archive!CK1976)</f>
        <v/>
      </c>
      <c r="J1976" s="47" t="str">
        <f t="shared" si="423"/>
        <v/>
      </c>
      <c r="K1976" s="51" t="str">
        <f t="shared" si="424"/>
        <v/>
      </c>
      <c r="L1976" s="52" t="str">
        <f t="shared" si="425"/>
        <v/>
      </c>
      <c r="M1976" s="53" t="str">
        <f t="shared" si="426"/>
        <v/>
      </c>
      <c r="N1976" s="53" t="str">
        <f t="shared" si="427"/>
        <v/>
      </c>
      <c r="O1976" s="53" t="str">
        <f t="shared" si="428"/>
        <v/>
      </c>
      <c r="P1976" s="53" t="str">
        <f t="shared" si="429"/>
        <v/>
      </c>
      <c r="Q1976" s="53" t="str">
        <f t="shared" si="430"/>
        <v/>
      </c>
      <c r="R1976" s="53" t="str">
        <f t="shared" si="431"/>
        <v/>
      </c>
      <c r="S1976" s="53" t="str">
        <f t="shared" si="432"/>
        <v/>
      </c>
      <c r="T1976" s="53" t="str">
        <f t="shared" si="433"/>
        <v/>
      </c>
    </row>
    <row r="1977" spans="1:20">
      <c r="A1977" s="47" t="str">
        <f>IF(archive!E1977="","",archive!E1977)</f>
        <v/>
      </c>
      <c r="B1977" s="48" t="str">
        <f t="shared" si="420"/>
        <v/>
      </c>
      <c r="C1977" s="49" t="str">
        <f>IF(archive!F1977="","",archive!F1977)</f>
        <v/>
      </c>
      <c r="D1977" s="50" t="str">
        <f t="shared" si="421"/>
        <v/>
      </c>
      <c r="E1977" s="50" t="str">
        <f t="shared" si="422"/>
        <v/>
      </c>
      <c r="F1977" s="47" t="str">
        <f>IF(COUNTA(archive!H1977:CI1977)=0,"",COUNTA(archive!H1977:CI1977))</f>
        <v/>
      </c>
      <c r="G1977" s="47" t="str">
        <f>IF(archive!G1977="","",archive!G1977)</f>
        <v/>
      </c>
      <c r="H1977" s="51" t="str">
        <f>IF(archive!CJ1977="","",archive!CJ1977)</f>
        <v/>
      </c>
      <c r="I1977" s="51" t="str">
        <f>IF(archive!CK1977="","",archive!CK1977)</f>
        <v/>
      </c>
      <c r="J1977" s="47" t="str">
        <f t="shared" si="423"/>
        <v/>
      </c>
      <c r="K1977" s="51" t="str">
        <f t="shared" si="424"/>
        <v/>
      </c>
      <c r="L1977" s="52" t="str">
        <f t="shared" si="425"/>
        <v/>
      </c>
      <c r="M1977" s="53" t="str">
        <f t="shared" si="426"/>
        <v/>
      </c>
      <c r="N1977" s="53" t="str">
        <f t="shared" si="427"/>
        <v/>
      </c>
      <c r="O1977" s="53" t="str">
        <f t="shared" si="428"/>
        <v/>
      </c>
      <c r="P1977" s="53" t="str">
        <f t="shared" si="429"/>
        <v/>
      </c>
      <c r="Q1977" s="53" t="str">
        <f t="shared" si="430"/>
        <v/>
      </c>
      <c r="R1977" s="53" t="str">
        <f t="shared" si="431"/>
        <v/>
      </c>
      <c r="S1977" s="53" t="str">
        <f t="shared" si="432"/>
        <v/>
      </c>
      <c r="T1977" s="53" t="str">
        <f t="shared" si="433"/>
        <v/>
      </c>
    </row>
    <row r="1978" spans="1:20">
      <c r="A1978" s="47" t="str">
        <f>IF(archive!E1978="","",archive!E1978)</f>
        <v/>
      </c>
      <c r="B1978" s="48" t="str">
        <f t="shared" si="420"/>
        <v/>
      </c>
      <c r="C1978" s="49" t="str">
        <f>IF(archive!F1978="","",archive!F1978)</f>
        <v/>
      </c>
      <c r="D1978" s="50" t="str">
        <f t="shared" si="421"/>
        <v/>
      </c>
      <c r="E1978" s="50" t="str">
        <f t="shared" si="422"/>
        <v/>
      </c>
      <c r="F1978" s="47" t="str">
        <f>IF(COUNTA(archive!H1978:CI1978)=0,"",COUNTA(archive!H1978:CI1978))</f>
        <v/>
      </c>
      <c r="G1978" s="47" t="str">
        <f>IF(archive!G1978="","",archive!G1978)</f>
        <v/>
      </c>
      <c r="H1978" s="51" t="str">
        <f>IF(archive!CJ1978="","",archive!CJ1978)</f>
        <v/>
      </c>
      <c r="I1978" s="51" t="str">
        <f>IF(archive!CK1978="","",archive!CK1978)</f>
        <v/>
      </c>
      <c r="J1978" s="47" t="str">
        <f t="shared" si="423"/>
        <v/>
      </c>
      <c r="K1978" s="51" t="str">
        <f t="shared" si="424"/>
        <v/>
      </c>
      <c r="L1978" s="52" t="str">
        <f t="shared" si="425"/>
        <v/>
      </c>
      <c r="M1978" s="53" t="str">
        <f t="shared" si="426"/>
        <v/>
      </c>
      <c r="N1978" s="53" t="str">
        <f t="shared" si="427"/>
        <v/>
      </c>
      <c r="O1978" s="53" t="str">
        <f t="shared" si="428"/>
        <v/>
      </c>
      <c r="P1978" s="53" t="str">
        <f t="shared" si="429"/>
        <v/>
      </c>
      <c r="Q1978" s="53" t="str">
        <f t="shared" si="430"/>
        <v/>
      </c>
      <c r="R1978" s="53" t="str">
        <f t="shared" si="431"/>
        <v/>
      </c>
      <c r="S1978" s="53" t="str">
        <f t="shared" si="432"/>
        <v/>
      </c>
      <c r="T1978" s="53" t="str">
        <f t="shared" si="433"/>
        <v/>
      </c>
    </row>
    <row r="1979" spans="1:20">
      <c r="A1979" s="47" t="str">
        <f>IF(archive!E1979="","",archive!E1979)</f>
        <v/>
      </c>
      <c r="B1979" s="48" t="str">
        <f t="shared" si="420"/>
        <v/>
      </c>
      <c r="C1979" s="49" t="str">
        <f>IF(archive!F1979="","",archive!F1979)</f>
        <v/>
      </c>
      <c r="D1979" s="50" t="str">
        <f t="shared" si="421"/>
        <v/>
      </c>
      <c r="E1979" s="50" t="str">
        <f t="shared" si="422"/>
        <v/>
      </c>
      <c r="F1979" s="47" t="str">
        <f>IF(COUNTA(archive!H1979:CI1979)=0,"",COUNTA(archive!H1979:CI1979))</f>
        <v/>
      </c>
      <c r="G1979" s="47" t="str">
        <f>IF(archive!G1979="","",archive!G1979)</f>
        <v/>
      </c>
      <c r="H1979" s="51" t="str">
        <f>IF(archive!CJ1979="","",archive!CJ1979)</f>
        <v/>
      </c>
      <c r="I1979" s="51" t="str">
        <f>IF(archive!CK1979="","",archive!CK1979)</f>
        <v/>
      </c>
      <c r="J1979" s="47" t="str">
        <f t="shared" si="423"/>
        <v/>
      </c>
      <c r="K1979" s="51" t="str">
        <f t="shared" si="424"/>
        <v/>
      </c>
      <c r="L1979" s="52" t="str">
        <f t="shared" si="425"/>
        <v/>
      </c>
      <c r="M1979" s="53" t="str">
        <f t="shared" si="426"/>
        <v/>
      </c>
      <c r="N1979" s="53" t="str">
        <f t="shared" si="427"/>
        <v/>
      </c>
      <c r="O1979" s="53" t="str">
        <f t="shared" si="428"/>
        <v/>
      </c>
      <c r="P1979" s="53" t="str">
        <f t="shared" si="429"/>
        <v/>
      </c>
      <c r="Q1979" s="53" t="str">
        <f t="shared" si="430"/>
        <v/>
      </c>
      <c r="R1979" s="53" t="str">
        <f t="shared" si="431"/>
        <v/>
      </c>
      <c r="S1979" s="53" t="str">
        <f t="shared" si="432"/>
        <v/>
      </c>
      <c r="T1979" s="53" t="str">
        <f t="shared" si="433"/>
        <v/>
      </c>
    </row>
    <row r="1980" spans="1:20">
      <c r="A1980" s="47" t="str">
        <f>IF(archive!E1980="","",archive!E1980)</f>
        <v/>
      </c>
      <c r="B1980" s="48" t="str">
        <f t="shared" si="420"/>
        <v/>
      </c>
      <c r="C1980" s="49" t="str">
        <f>IF(archive!F1980="","",archive!F1980)</f>
        <v/>
      </c>
      <c r="D1980" s="50" t="str">
        <f t="shared" si="421"/>
        <v/>
      </c>
      <c r="E1980" s="50" t="str">
        <f t="shared" si="422"/>
        <v/>
      </c>
      <c r="F1980" s="47" t="str">
        <f>IF(COUNTA(archive!H1980:CI1980)=0,"",COUNTA(archive!H1980:CI1980))</f>
        <v/>
      </c>
      <c r="G1980" s="47" t="str">
        <f>IF(archive!G1980="","",archive!G1980)</f>
        <v/>
      </c>
      <c r="H1980" s="51" t="str">
        <f>IF(archive!CJ1980="","",archive!CJ1980)</f>
        <v/>
      </c>
      <c r="I1980" s="51" t="str">
        <f>IF(archive!CK1980="","",archive!CK1980)</f>
        <v/>
      </c>
      <c r="J1980" s="47" t="str">
        <f t="shared" si="423"/>
        <v/>
      </c>
      <c r="K1980" s="51" t="str">
        <f t="shared" si="424"/>
        <v/>
      </c>
      <c r="L1980" s="52" t="str">
        <f t="shared" si="425"/>
        <v/>
      </c>
      <c r="M1980" s="53" t="str">
        <f t="shared" si="426"/>
        <v/>
      </c>
      <c r="N1980" s="53" t="str">
        <f t="shared" si="427"/>
        <v/>
      </c>
      <c r="O1980" s="53" t="str">
        <f t="shared" si="428"/>
        <v/>
      </c>
      <c r="P1980" s="53" t="str">
        <f t="shared" si="429"/>
        <v/>
      </c>
      <c r="Q1980" s="53" t="str">
        <f t="shared" si="430"/>
        <v/>
      </c>
      <c r="R1980" s="53" t="str">
        <f t="shared" si="431"/>
        <v/>
      </c>
      <c r="S1980" s="53" t="str">
        <f t="shared" si="432"/>
        <v/>
      </c>
      <c r="T1980" s="53" t="str">
        <f t="shared" si="433"/>
        <v/>
      </c>
    </row>
    <row r="1981" spans="1:20">
      <c r="A1981" s="47" t="str">
        <f>IF(archive!E1981="","",archive!E1981)</f>
        <v/>
      </c>
      <c r="B1981" s="48" t="str">
        <f t="shared" si="420"/>
        <v/>
      </c>
      <c r="C1981" s="49" t="str">
        <f>IF(archive!F1981="","",archive!F1981)</f>
        <v/>
      </c>
      <c r="D1981" s="50" t="str">
        <f t="shared" si="421"/>
        <v/>
      </c>
      <c r="E1981" s="50" t="str">
        <f t="shared" si="422"/>
        <v/>
      </c>
      <c r="F1981" s="47" t="str">
        <f>IF(COUNTA(archive!H1981:CI1981)=0,"",COUNTA(archive!H1981:CI1981))</f>
        <v/>
      </c>
      <c r="G1981" s="47" t="str">
        <f>IF(archive!G1981="","",archive!G1981)</f>
        <v/>
      </c>
      <c r="H1981" s="51" t="str">
        <f>IF(archive!CJ1981="","",archive!CJ1981)</f>
        <v/>
      </c>
      <c r="I1981" s="51" t="str">
        <f>IF(archive!CK1981="","",archive!CK1981)</f>
        <v/>
      </c>
      <c r="J1981" s="47" t="str">
        <f t="shared" si="423"/>
        <v/>
      </c>
      <c r="K1981" s="51" t="str">
        <f t="shared" si="424"/>
        <v/>
      </c>
      <c r="L1981" s="52" t="str">
        <f t="shared" si="425"/>
        <v/>
      </c>
      <c r="M1981" s="53" t="str">
        <f t="shared" si="426"/>
        <v/>
      </c>
      <c r="N1981" s="53" t="str">
        <f t="shared" si="427"/>
        <v/>
      </c>
      <c r="O1981" s="53" t="str">
        <f t="shared" si="428"/>
        <v/>
      </c>
      <c r="P1981" s="53" t="str">
        <f t="shared" si="429"/>
        <v/>
      </c>
      <c r="Q1981" s="53" t="str">
        <f t="shared" si="430"/>
        <v/>
      </c>
      <c r="R1981" s="53" t="str">
        <f t="shared" si="431"/>
        <v/>
      </c>
      <c r="S1981" s="53" t="str">
        <f t="shared" si="432"/>
        <v/>
      </c>
      <c r="T1981" s="53" t="str">
        <f t="shared" si="433"/>
        <v/>
      </c>
    </row>
    <row r="1982" spans="1:20">
      <c r="A1982" s="47" t="str">
        <f>IF(archive!E1982="","",archive!E1982)</f>
        <v/>
      </c>
      <c r="B1982" s="48" t="str">
        <f t="shared" si="420"/>
        <v/>
      </c>
      <c r="C1982" s="49" t="str">
        <f>IF(archive!F1982="","",archive!F1982)</f>
        <v/>
      </c>
      <c r="D1982" s="50" t="str">
        <f t="shared" si="421"/>
        <v/>
      </c>
      <c r="E1982" s="50" t="str">
        <f t="shared" si="422"/>
        <v/>
      </c>
      <c r="F1982" s="47" t="str">
        <f>IF(COUNTA(archive!H1982:CI1982)=0,"",COUNTA(archive!H1982:CI1982))</f>
        <v/>
      </c>
      <c r="G1982" s="47" t="str">
        <f>IF(archive!G1982="","",archive!G1982)</f>
        <v/>
      </c>
      <c r="H1982" s="51" t="str">
        <f>IF(archive!CJ1982="","",archive!CJ1982)</f>
        <v/>
      </c>
      <c r="I1982" s="51" t="str">
        <f>IF(archive!CK1982="","",archive!CK1982)</f>
        <v/>
      </c>
      <c r="J1982" s="47" t="str">
        <f t="shared" si="423"/>
        <v/>
      </c>
      <c r="K1982" s="51" t="str">
        <f t="shared" si="424"/>
        <v/>
      </c>
      <c r="L1982" s="52" t="str">
        <f t="shared" si="425"/>
        <v/>
      </c>
      <c r="M1982" s="53" t="str">
        <f t="shared" si="426"/>
        <v/>
      </c>
      <c r="N1982" s="53" t="str">
        <f t="shared" si="427"/>
        <v/>
      </c>
      <c r="O1982" s="53" t="str">
        <f t="shared" si="428"/>
        <v/>
      </c>
      <c r="P1982" s="53" t="str">
        <f t="shared" si="429"/>
        <v/>
      </c>
      <c r="Q1982" s="53" t="str">
        <f t="shared" si="430"/>
        <v/>
      </c>
      <c r="R1982" s="53" t="str">
        <f t="shared" si="431"/>
        <v/>
      </c>
      <c r="S1982" s="53" t="str">
        <f t="shared" si="432"/>
        <v/>
      </c>
      <c r="T1982" s="53" t="str">
        <f t="shared" si="433"/>
        <v/>
      </c>
    </row>
    <row r="1983" spans="1:20">
      <c r="A1983" s="47" t="str">
        <f>IF(archive!E1983="","",archive!E1983)</f>
        <v/>
      </c>
      <c r="B1983" s="48" t="str">
        <f t="shared" si="420"/>
        <v/>
      </c>
      <c r="C1983" s="49" t="str">
        <f>IF(archive!F1983="","",archive!F1983)</f>
        <v/>
      </c>
      <c r="D1983" s="50" t="str">
        <f t="shared" si="421"/>
        <v/>
      </c>
      <c r="E1983" s="50" t="str">
        <f t="shared" si="422"/>
        <v/>
      </c>
      <c r="F1983" s="47" t="str">
        <f>IF(COUNTA(archive!H1983:CI1983)=0,"",COUNTA(archive!H1983:CI1983))</f>
        <v/>
      </c>
      <c r="G1983" s="47" t="str">
        <f>IF(archive!G1983="","",archive!G1983)</f>
        <v/>
      </c>
      <c r="H1983" s="51" t="str">
        <f>IF(archive!CJ1983="","",archive!CJ1983)</f>
        <v/>
      </c>
      <c r="I1983" s="51" t="str">
        <f>IF(archive!CK1983="","",archive!CK1983)</f>
        <v/>
      </c>
      <c r="J1983" s="47" t="str">
        <f t="shared" si="423"/>
        <v/>
      </c>
      <c r="K1983" s="51" t="str">
        <f t="shared" si="424"/>
        <v/>
      </c>
      <c r="L1983" s="52" t="str">
        <f t="shared" si="425"/>
        <v/>
      </c>
      <c r="M1983" s="53" t="str">
        <f t="shared" si="426"/>
        <v/>
      </c>
      <c r="N1983" s="53" t="str">
        <f t="shared" si="427"/>
        <v/>
      </c>
      <c r="O1983" s="53" t="str">
        <f t="shared" si="428"/>
        <v/>
      </c>
      <c r="P1983" s="53" t="str">
        <f t="shared" si="429"/>
        <v/>
      </c>
      <c r="Q1983" s="53" t="str">
        <f t="shared" si="430"/>
        <v/>
      </c>
      <c r="R1983" s="53" t="str">
        <f t="shared" si="431"/>
        <v/>
      </c>
      <c r="S1983" s="53" t="str">
        <f t="shared" si="432"/>
        <v/>
      </c>
      <c r="T1983" s="53" t="str">
        <f t="shared" si="433"/>
        <v/>
      </c>
    </row>
    <row r="1984" spans="1:20">
      <c r="A1984" s="47" t="str">
        <f>IF(archive!E1984="","",archive!E1984)</f>
        <v/>
      </c>
      <c r="B1984" s="48" t="str">
        <f t="shared" si="420"/>
        <v/>
      </c>
      <c r="C1984" s="49" t="str">
        <f>IF(archive!F1984="","",archive!F1984)</f>
        <v/>
      </c>
      <c r="D1984" s="50" t="str">
        <f t="shared" si="421"/>
        <v/>
      </c>
      <c r="E1984" s="50" t="str">
        <f t="shared" si="422"/>
        <v/>
      </c>
      <c r="F1984" s="47" t="str">
        <f>IF(COUNTA(archive!H1984:CI1984)=0,"",COUNTA(archive!H1984:CI1984))</f>
        <v/>
      </c>
      <c r="G1984" s="47" t="str">
        <f>IF(archive!G1984="","",archive!G1984)</f>
        <v/>
      </c>
      <c r="H1984" s="51" t="str">
        <f>IF(archive!CJ1984="","",archive!CJ1984)</f>
        <v/>
      </c>
      <c r="I1984" s="51" t="str">
        <f>IF(archive!CK1984="","",archive!CK1984)</f>
        <v/>
      </c>
      <c r="J1984" s="47" t="str">
        <f t="shared" si="423"/>
        <v/>
      </c>
      <c r="K1984" s="51" t="str">
        <f t="shared" si="424"/>
        <v/>
      </c>
      <c r="L1984" s="52" t="str">
        <f t="shared" si="425"/>
        <v/>
      </c>
      <c r="M1984" s="53" t="str">
        <f t="shared" si="426"/>
        <v/>
      </c>
      <c r="N1984" s="53" t="str">
        <f t="shared" si="427"/>
        <v/>
      </c>
      <c r="O1984" s="53" t="str">
        <f t="shared" si="428"/>
        <v/>
      </c>
      <c r="P1984" s="53" t="str">
        <f t="shared" si="429"/>
        <v/>
      </c>
      <c r="Q1984" s="53" t="str">
        <f t="shared" si="430"/>
        <v/>
      </c>
      <c r="R1984" s="53" t="str">
        <f t="shared" si="431"/>
        <v/>
      </c>
      <c r="S1984" s="53" t="str">
        <f t="shared" si="432"/>
        <v/>
      </c>
      <c r="T1984" s="53" t="str">
        <f t="shared" si="433"/>
        <v/>
      </c>
    </row>
    <row r="1985" spans="1:20">
      <c r="A1985" s="47" t="str">
        <f>IF(archive!E1985="","",archive!E1985)</f>
        <v/>
      </c>
      <c r="B1985" s="48" t="str">
        <f t="shared" si="420"/>
        <v/>
      </c>
      <c r="C1985" s="49" t="str">
        <f>IF(archive!F1985="","",archive!F1985)</f>
        <v/>
      </c>
      <c r="D1985" s="50" t="str">
        <f t="shared" si="421"/>
        <v/>
      </c>
      <c r="E1985" s="50" t="str">
        <f t="shared" si="422"/>
        <v/>
      </c>
      <c r="F1985" s="47" t="str">
        <f>IF(COUNTA(archive!H1985:CI1985)=0,"",COUNTA(archive!H1985:CI1985))</f>
        <v/>
      </c>
      <c r="G1985" s="47" t="str">
        <f>IF(archive!G1985="","",archive!G1985)</f>
        <v/>
      </c>
      <c r="H1985" s="51" t="str">
        <f>IF(archive!CJ1985="","",archive!CJ1985)</f>
        <v/>
      </c>
      <c r="I1985" s="51" t="str">
        <f>IF(archive!CK1985="","",archive!CK1985)</f>
        <v/>
      </c>
      <c r="J1985" s="47" t="str">
        <f t="shared" si="423"/>
        <v/>
      </c>
      <c r="K1985" s="51" t="str">
        <f t="shared" si="424"/>
        <v/>
      </c>
      <c r="L1985" s="52" t="str">
        <f t="shared" si="425"/>
        <v/>
      </c>
      <c r="M1985" s="53" t="str">
        <f t="shared" si="426"/>
        <v/>
      </c>
      <c r="N1985" s="53" t="str">
        <f t="shared" si="427"/>
        <v/>
      </c>
      <c r="O1985" s="53" t="str">
        <f t="shared" si="428"/>
        <v/>
      </c>
      <c r="P1985" s="53" t="str">
        <f t="shared" si="429"/>
        <v/>
      </c>
      <c r="Q1985" s="53" t="str">
        <f t="shared" si="430"/>
        <v/>
      </c>
      <c r="R1985" s="53" t="str">
        <f t="shared" si="431"/>
        <v/>
      </c>
      <c r="S1985" s="53" t="str">
        <f t="shared" si="432"/>
        <v/>
      </c>
      <c r="T1985" s="53" t="str">
        <f t="shared" si="433"/>
        <v/>
      </c>
    </row>
    <row r="1986" spans="1:20">
      <c r="A1986" s="47" t="str">
        <f>IF(archive!E1986="","",archive!E1986)</f>
        <v/>
      </c>
      <c r="B1986" s="48" t="str">
        <f t="shared" si="420"/>
        <v/>
      </c>
      <c r="C1986" s="49" t="str">
        <f>IF(archive!F1986="","",archive!F1986)</f>
        <v/>
      </c>
      <c r="D1986" s="50" t="str">
        <f t="shared" si="421"/>
        <v/>
      </c>
      <c r="E1986" s="50" t="str">
        <f t="shared" si="422"/>
        <v/>
      </c>
      <c r="F1986" s="47" t="str">
        <f>IF(COUNTA(archive!H1986:CI1986)=0,"",COUNTA(archive!H1986:CI1986))</f>
        <v/>
      </c>
      <c r="G1986" s="47" t="str">
        <f>IF(archive!G1986="","",archive!G1986)</f>
        <v/>
      </c>
      <c r="H1986" s="51" t="str">
        <f>IF(archive!CJ1986="","",archive!CJ1986)</f>
        <v/>
      </c>
      <c r="I1986" s="51" t="str">
        <f>IF(archive!CK1986="","",archive!CK1986)</f>
        <v/>
      </c>
      <c r="J1986" s="47" t="str">
        <f t="shared" si="423"/>
        <v/>
      </c>
      <c r="K1986" s="51" t="str">
        <f t="shared" si="424"/>
        <v/>
      </c>
      <c r="L1986" s="52" t="str">
        <f t="shared" si="425"/>
        <v/>
      </c>
      <c r="M1986" s="53" t="str">
        <f t="shared" si="426"/>
        <v/>
      </c>
      <c r="N1986" s="53" t="str">
        <f t="shared" si="427"/>
        <v/>
      </c>
      <c r="O1986" s="53" t="str">
        <f t="shared" si="428"/>
        <v/>
      </c>
      <c r="P1986" s="53" t="str">
        <f t="shared" si="429"/>
        <v/>
      </c>
      <c r="Q1986" s="53" t="str">
        <f t="shared" si="430"/>
        <v/>
      </c>
      <c r="R1986" s="53" t="str">
        <f t="shared" si="431"/>
        <v/>
      </c>
      <c r="S1986" s="53" t="str">
        <f t="shared" si="432"/>
        <v/>
      </c>
      <c r="T1986" s="53" t="str">
        <f t="shared" si="433"/>
        <v/>
      </c>
    </row>
    <row r="1987" spans="1:20">
      <c r="A1987" s="47" t="str">
        <f>IF(archive!E1987="","",archive!E1987)</f>
        <v/>
      </c>
      <c r="B1987" s="48" t="str">
        <f t="shared" si="420"/>
        <v/>
      </c>
      <c r="C1987" s="49" t="str">
        <f>IF(archive!F1987="","",archive!F1987)</f>
        <v/>
      </c>
      <c r="D1987" s="50" t="str">
        <f t="shared" si="421"/>
        <v/>
      </c>
      <c r="E1987" s="50" t="str">
        <f t="shared" si="422"/>
        <v/>
      </c>
      <c r="F1987" s="47" t="str">
        <f>IF(COUNTA(archive!H1987:CI1987)=0,"",COUNTA(archive!H1987:CI1987))</f>
        <v/>
      </c>
      <c r="G1987" s="47" t="str">
        <f>IF(archive!G1987="","",archive!G1987)</f>
        <v/>
      </c>
      <c r="H1987" s="51" t="str">
        <f>IF(archive!CJ1987="","",archive!CJ1987)</f>
        <v/>
      </c>
      <c r="I1987" s="51" t="str">
        <f>IF(archive!CK1987="","",archive!CK1987)</f>
        <v/>
      </c>
      <c r="J1987" s="47" t="str">
        <f t="shared" si="423"/>
        <v/>
      </c>
      <c r="K1987" s="51" t="str">
        <f t="shared" si="424"/>
        <v/>
      </c>
      <c r="L1987" s="52" t="str">
        <f t="shared" si="425"/>
        <v/>
      </c>
      <c r="M1987" s="53" t="str">
        <f t="shared" si="426"/>
        <v/>
      </c>
      <c r="N1987" s="53" t="str">
        <f t="shared" si="427"/>
        <v/>
      </c>
      <c r="O1987" s="53" t="str">
        <f t="shared" si="428"/>
        <v/>
      </c>
      <c r="P1987" s="53" t="str">
        <f t="shared" si="429"/>
        <v/>
      </c>
      <c r="Q1987" s="53" t="str">
        <f t="shared" si="430"/>
        <v/>
      </c>
      <c r="R1987" s="53" t="str">
        <f t="shared" si="431"/>
        <v/>
      </c>
      <c r="S1987" s="53" t="str">
        <f t="shared" si="432"/>
        <v/>
      </c>
      <c r="T1987" s="53" t="str">
        <f t="shared" si="433"/>
        <v/>
      </c>
    </row>
    <row r="1988" spans="1:20">
      <c r="A1988" s="47" t="str">
        <f>IF(archive!E1988="","",archive!E1988)</f>
        <v/>
      </c>
      <c r="B1988" s="48" t="str">
        <f t="shared" ref="B1988:B2051" si="434">IF(C1988="","",VLOOKUP($C1988,Tare,2,0))</f>
        <v/>
      </c>
      <c r="C1988" s="49" t="str">
        <f>IF(archive!F1988="","",archive!F1988)</f>
        <v/>
      </c>
      <c r="D1988" s="50" t="str">
        <f t="shared" ref="D1988:D2051" si="435">IF(C1988="","",C1988+B1988)</f>
        <v/>
      </c>
      <c r="E1988" s="50" t="str">
        <f t="shared" ref="E1988:E2051" si="436">IF(C1988="","",(C1988*0.025)+D1988)</f>
        <v/>
      </c>
      <c r="F1988" s="47" t="str">
        <f>IF(COUNTA(archive!H1988:CI1988)=0,"",COUNTA(archive!H1988:CI1988))</f>
        <v/>
      </c>
      <c r="G1988" s="47" t="str">
        <f>IF(archive!G1988="","",archive!G1988)</f>
        <v/>
      </c>
      <c r="H1988" s="51" t="str">
        <f>IF(archive!CJ1988="","",archive!CJ1988)</f>
        <v/>
      </c>
      <c r="I1988" s="51" t="str">
        <f>IF(archive!CK1988="","",archive!CK1988)</f>
        <v/>
      </c>
      <c r="J1988" s="47" t="str">
        <f t="shared" ref="J1988:J2051" si="437">IF(F1988="","",VLOOKUP(F1988,Valeur_g,2,0))</f>
        <v/>
      </c>
      <c r="K1988" s="51" t="str">
        <f t="shared" ref="K1988:K2051" si="438">IF(C1988="","",D1988+(J1988*I1988))</f>
        <v/>
      </c>
      <c r="L1988" s="52" t="str">
        <f t="shared" ref="L1988:L2051" si="439">IF(C1988="","",IF(K1988&lt;H1988,"Conforme","Non conforme"))</f>
        <v/>
      </c>
      <c r="M1988" s="53" t="str">
        <f t="shared" ref="M1988:M2051" si="440">IF(C1988="","",1)</f>
        <v/>
      </c>
      <c r="N1988" s="53" t="str">
        <f t="shared" ref="N1988:N2051" si="441">IF(L1988="","",COUNTIF(L1988,"Non conforme"))</f>
        <v/>
      </c>
      <c r="O1988" s="53" t="str">
        <f t="shared" ref="O1988:O2051" si="442">IF($C1988="","",IF($C1988=0.25,$G1988,"-"))</f>
        <v/>
      </c>
      <c r="P1988" s="53" t="str">
        <f t="shared" ref="P1988:P2051" si="443">IF($C1988="","",IF($C1988=0.4,$G1988,"-"))</f>
        <v/>
      </c>
      <c r="Q1988" s="53" t="str">
        <f t="shared" ref="Q1988:Q2051" si="444">IF($C1988="","",IF($C1988=0.5,$G1988,"-"))</f>
        <v/>
      </c>
      <c r="R1988" s="53" t="str">
        <f t="shared" ref="R1988:R2051" si="445">IF($C1988="","",IF($C1988=0.6,$G1988,"-"))</f>
        <v/>
      </c>
      <c r="S1988" s="53" t="str">
        <f t="shared" ref="S1988:S2051" si="446">IF($C1988="","",IF($C1988=0.8,$G1988,"-"))</f>
        <v/>
      </c>
      <c r="T1988" s="53" t="str">
        <f t="shared" ref="T1988:T2051" si="447">IF($C1988="","",IF($C1988=1,$G1988,"-"))</f>
        <v/>
      </c>
    </row>
    <row r="1989" spans="1:20">
      <c r="A1989" s="47" t="str">
        <f>IF(archive!E1989="","",archive!E1989)</f>
        <v/>
      </c>
      <c r="B1989" s="48" t="str">
        <f t="shared" si="434"/>
        <v/>
      </c>
      <c r="C1989" s="49" t="str">
        <f>IF(archive!F1989="","",archive!F1989)</f>
        <v/>
      </c>
      <c r="D1989" s="50" t="str">
        <f t="shared" si="435"/>
        <v/>
      </c>
      <c r="E1989" s="50" t="str">
        <f t="shared" si="436"/>
        <v/>
      </c>
      <c r="F1989" s="47" t="str">
        <f>IF(COUNTA(archive!H1989:CI1989)=0,"",COUNTA(archive!H1989:CI1989))</f>
        <v/>
      </c>
      <c r="G1989" s="47" t="str">
        <f>IF(archive!G1989="","",archive!G1989)</f>
        <v/>
      </c>
      <c r="H1989" s="51" t="str">
        <f>IF(archive!CJ1989="","",archive!CJ1989)</f>
        <v/>
      </c>
      <c r="I1989" s="51" t="str">
        <f>IF(archive!CK1989="","",archive!CK1989)</f>
        <v/>
      </c>
      <c r="J1989" s="47" t="str">
        <f t="shared" si="437"/>
        <v/>
      </c>
      <c r="K1989" s="51" t="str">
        <f t="shared" si="438"/>
        <v/>
      </c>
      <c r="L1989" s="52" t="str">
        <f t="shared" si="439"/>
        <v/>
      </c>
      <c r="M1989" s="53" t="str">
        <f t="shared" si="440"/>
        <v/>
      </c>
      <c r="N1989" s="53" t="str">
        <f t="shared" si="441"/>
        <v/>
      </c>
      <c r="O1989" s="53" t="str">
        <f t="shared" si="442"/>
        <v/>
      </c>
      <c r="P1989" s="53" t="str">
        <f t="shared" si="443"/>
        <v/>
      </c>
      <c r="Q1989" s="53" t="str">
        <f t="shared" si="444"/>
        <v/>
      </c>
      <c r="R1989" s="53" t="str">
        <f t="shared" si="445"/>
        <v/>
      </c>
      <c r="S1989" s="53" t="str">
        <f t="shared" si="446"/>
        <v/>
      </c>
      <c r="T1989" s="53" t="str">
        <f t="shared" si="447"/>
        <v/>
      </c>
    </row>
    <row r="1990" spans="1:20">
      <c r="A1990" s="47" t="str">
        <f>IF(archive!E1990="","",archive!E1990)</f>
        <v/>
      </c>
      <c r="B1990" s="48" t="str">
        <f t="shared" si="434"/>
        <v/>
      </c>
      <c r="C1990" s="49" t="str">
        <f>IF(archive!F1990="","",archive!F1990)</f>
        <v/>
      </c>
      <c r="D1990" s="50" t="str">
        <f t="shared" si="435"/>
        <v/>
      </c>
      <c r="E1990" s="50" t="str">
        <f t="shared" si="436"/>
        <v/>
      </c>
      <c r="F1990" s="47" t="str">
        <f>IF(COUNTA(archive!H1990:CI1990)=0,"",COUNTA(archive!H1990:CI1990))</f>
        <v/>
      </c>
      <c r="G1990" s="47" t="str">
        <f>IF(archive!G1990="","",archive!G1990)</f>
        <v/>
      </c>
      <c r="H1990" s="51" t="str">
        <f>IF(archive!CJ1990="","",archive!CJ1990)</f>
        <v/>
      </c>
      <c r="I1990" s="51" t="str">
        <f>IF(archive!CK1990="","",archive!CK1990)</f>
        <v/>
      </c>
      <c r="J1990" s="47" t="str">
        <f t="shared" si="437"/>
        <v/>
      </c>
      <c r="K1990" s="51" t="str">
        <f t="shared" si="438"/>
        <v/>
      </c>
      <c r="L1990" s="52" t="str">
        <f t="shared" si="439"/>
        <v/>
      </c>
      <c r="M1990" s="53" t="str">
        <f t="shared" si="440"/>
        <v/>
      </c>
      <c r="N1990" s="53" t="str">
        <f t="shared" si="441"/>
        <v/>
      </c>
      <c r="O1990" s="53" t="str">
        <f t="shared" si="442"/>
        <v/>
      </c>
      <c r="P1990" s="53" t="str">
        <f t="shared" si="443"/>
        <v/>
      </c>
      <c r="Q1990" s="53" t="str">
        <f t="shared" si="444"/>
        <v/>
      </c>
      <c r="R1990" s="53" t="str">
        <f t="shared" si="445"/>
        <v/>
      </c>
      <c r="S1990" s="53" t="str">
        <f t="shared" si="446"/>
        <v/>
      </c>
      <c r="T1990" s="53" t="str">
        <f t="shared" si="447"/>
        <v/>
      </c>
    </row>
    <row r="1991" spans="1:20">
      <c r="A1991" s="47" t="str">
        <f>IF(archive!E1991="","",archive!E1991)</f>
        <v/>
      </c>
      <c r="B1991" s="48" t="str">
        <f t="shared" si="434"/>
        <v/>
      </c>
      <c r="C1991" s="49" t="str">
        <f>IF(archive!F1991="","",archive!F1991)</f>
        <v/>
      </c>
      <c r="D1991" s="50" t="str">
        <f t="shared" si="435"/>
        <v/>
      </c>
      <c r="E1991" s="50" t="str">
        <f t="shared" si="436"/>
        <v/>
      </c>
      <c r="F1991" s="47" t="str">
        <f>IF(COUNTA(archive!H1991:CI1991)=0,"",COUNTA(archive!H1991:CI1991))</f>
        <v/>
      </c>
      <c r="G1991" s="47" t="str">
        <f>IF(archive!G1991="","",archive!G1991)</f>
        <v/>
      </c>
      <c r="H1991" s="51" t="str">
        <f>IF(archive!CJ1991="","",archive!CJ1991)</f>
        <v/>
      </c>
      <c r="I1991" s="51" t="str">
        <f>IF(archive!CK1991="","",archive!CK1991)</f>
        <v/>
      </c>
      <c r="J1991" s="47" t="str">
        <f t="shared" si="437"/>
        <v/>
      </c>
      <c r="K1991" s="51" t="str">
        <f t="shared" si="438"/>
        <v/>
      </c>
      <c r="L1991" s="52" t="str">
        <f t="shared" si="439"/>
        <v/>
      </c>
      <c r="M1991" s="53" t="str">
        <f t="shared" si="440"/>
        <v/>
      </c>
      <c r="N1991" s="53" t="str">
        <f t="shared" si="441"/>
        <v/>
      </c>
      <c r="O1991" s="53" t="str">
        <f t="shared" si="442"/>
        <v/>
      </c>
      <c r="P1991" s="53" t="str">
        <f t="shared" si="443"/>
        <v/>
      </c>
      <c r="Q1991" s="53" t="str">
        <f t="shared" si="444"/>
        <v/>
      </c>
      <c r="R1991" s="53" t="str">
        <f t="shared" si="445"/>
        <v/>
      </c>
      <c r="S1991" s="53" t="str">
        <f t="shared" si="446"/>
        <v/>
      </c>
      <c r="T1991" s="53" t="str">
        <f t="shared" si="447"/>
        <v/>
      </c>
    </row>
    <row r="1992" spans="1:20">
      <c r="A1992" s="47" t="str">
        <f>IF(archive!E1992="","",archive!E1992)</f>
        <v/>
      </c>
      <c r="B1992" s="48" t="str">
        <f t="shared" si="434"/>
        <v/>
      </c>
      <c r="C1992" s="49" t="str">
        <f>IF(archive!F1992="","",archive!F1992)</f>
        <v/>
      </c>
      <c r="D1992" s="50" t="str">
        <f t="shared" si="435"/>
        <v/>
      </c>
      <c r="E1992" s="50" t="str">
        <f t="shared" si="436"/>
        <v/>
      </c>
      <c r="F1992" s="47" t="str">
        <f>IF(COUNTA(archive!H1992:CI1992)=0,"",COUNTA(archive!H1992:CI1992))</f>
        <v/>
      </c>
      <c r="G1992" s="47" t="str">
        <f>IF(archive!G1992="","",archive!G1992)</f>
        <v/>
      </c>
      <c r="H1992" s="51" t="str">
        <f>IF(archive!CJ1992="","",archive!CJ1992)</f>
        <v/>
      </c>
      <c r="I1992" s="51" t="str">
        <f>IF(archive!CK1992="","",archive!CK1992)</f>
        <v/>
      </c>
      <c r="J1992" s="47" t="str">
        <f t="shared" si="437"/>
        <v/>
      </c>
      <c r="K1992" s="51" t="str">
        <f t="shared" si="438"/>
        <v/>
      </c>
      <c r="L1992" s="52" t="str">
        <f t="shared" si="439"/>
        <v/>
      </c>
      <c r="M1992" s="53" t="str">
        <f t="shared" si="440"/>
        <v/>
      </c>
      <c r="N1992" s="53" t="str">
        <f t="shared" si="441"/>
        <v/>
      </c>
      <c r="O1992" s="53" t="str">
        <f t="shared" si="442"/>
        <v/>
      </c>
      <c r="P1992" s="53" t="str">
        <f t="shared" si="443"/>
        <v/>
      </c>
      <c r="Q1992" s="53" t="str">
        <f t="shared" si="444"/>
        <v/>
      </c>
      <c r="R1992" s="53" t="str">
        <f t="shared" si="445"/>
        <v/>
      </c>
      <c r="S1992" s="53" t="str">
        <f t="shared" si="446"/>
        <v/>
      </c>
      <c r="T1992" s="53" t="str">
        <f t="shared" si="447"/>
        <v/>
      </c>
    </row>
    <row r="1993" spans="1:20">
      <c r="A1993" s="47" t="str">
        <f>IF(archive!E1993="","",archive!E1993)</f>
        <v/>
      </c>
      <c r="B1993" s="48" t="str">
        <f t="shared" si="434"/>
        <v/>
      </c>
      <c r="C1993" s="49" t="str">
        <f>IF(archive!F1993="","",archive!F1993)</f>
        <v/>
      </c>
      <c r="D1993" s="50" t="str">
        <f t="shared" si="435"/>
        <v/>
      </c>
      <c r="E1993" s="50" t="str">
        <f t="shared" si="436"/>
        <v/>
      </c>
      <c r="F1993" s="47" t="str">
        <f>IF(COUNTA(archive!H1993:CI1993)=0,"",COUNTA(archive!H1993:CI1993))</f>
        <v/>
      </c>
      <c r="G1993" s="47" t="str">
        <f>IF(archive!G1993="","",archive!G1993)</f>
        <v/>
      </c>
      <c r="H1993" s="51" t="str">
        <f>IF(archive!CJ1993="","",archive!CJ1993)</f>
        <v/>
      </c>
      <c r="I1993" s="51" t="str">
        <f>IF(archive!CK1993="","",archive!CK1993)</f>
        <v/>
      </c>
      <c r="J1993" s="47" t="str">
        <f t="shared" si="437"/>
        <v/>
      </c>
      <c r="K1993" s="51" t="str">
        <f t="shared" si="438"/>
        <v/>
      </c>
      <c r="L1993" s="52" t="str">
        <f t="shared" si="439"/>
        <v/>
      </c>
      <c r="M1993" s="53" t="str">
        <f t="shared" si="440"/>
        <v/>
      </c>
      <c r="N1993" s="53" t="str">
        <f t="shared" si="441"/>
        <v/>
      </c>
      <c r="O1993" s="53" t="str">
        <f t="shared" si="442"/>
        <v/>
      </c>
      <c r="P1993" s="53" t="str">
        <f t="shared" si="443"/>
        <v/>
      </c>
      <c r="Q1993" s="53" t="str">
        <f t="shared" si="444"/>
        <v/>
      </c>
      <c r="R1993" s="53" t="str">
        <f t="shared" si="445"/>
        <v/>
      </c>
      <c r="S1993" s="53" t="str">
        <f t="shared" si="446"/>
        <v/>
      </c>
      <c r="T1993" s="53" t="str">
        <f t="shared" si="447"/>
        <v/>
      </c>
    </row>
    <row r="1994" spans="1:20">
      <c r="A1994" s="47" t="str">
        <f>IF(archive!E1994="","",archive!E1994)</f>
        <v/>
      </c>
      <c r="B1994" s="48" t="str">
        <f t="shared" si="434"/>
        <v/>
      </c>
      <c r="C1994" s="49" t="str">
        <f>IF(archive!F1994="","",archive!F1994)</f>
        <v/>
      </c>
      <c r="D1994" s="50" t="str">
        <f t="shared" si="435"/>
        <v/>
      </c>
      <c r="E1994" s="50" t="str">
        <f t="shared" si="436"/>
        <v/>
      </c>
      <c r="F1994" s="47" t="str">
        <f>IF(COUNTA(archive!H1994:CI1994)=0,"",COUNTA(archive!H1994:CI1994))</f>
        <v/>
      </c>
      <c r="G1994" s="47" t="str">
        <f>IF(archive!G1994="","",archive!G1994)</f>
        <v/>
      </c>
      <c r="H1994" s="51" t="str">
        <f>IF(archive!CJ1994="","",archive!CJ1994)</f>
        <v/>
      </c>
      <c r="I1994" s="51" t="str">
        <f>IF(archive!CK1994="","",archive!CK1994)</f>
        <v/>
      </c>
      <c r="J1994" s="47" t="str">
        <f t="shared" si="437"/>
        <v/>
      </c>
      <c r="K1994" s="51" t="str">
        <f t="shared" si="438"/>
        <v/>
      </c>
      <c r="L1994" s="52" t="str">
        <f t="shared" si="439"/>
        <v/>
      </c>
      <c r="M1994" s="53" t="str">
        <f t="shared" si="440"/>
        <v/>
      </c>
      <c r="N1994" s="53" t="str">
        <f t="shared" si="441"/>
        <v/>
      </c>
      <c r="O1994" s="53" t="str">
        <f t="shared" si="442"/>
        <v/>
      </c>
      <c r="P1994" s="53" t="str">
        <f t="shared" si="443"/>
        <v/>
      </c>
      <c r="Q1994" s="53" t="str">
        <f t="shared" si="444"/>
        <v/>
      </c>
      <c r="R1994" s="53" t="str">
        <f t="shared" si="445"/>
        <v/>
      </c>
      <c r="S1994" s="53" t="str">
        <f t="shared" si="446"/>
        <v/>
      </c>
      <c r="T1994" s="53" t="str">
        <f t="shared" si="447"/>
        <v/>
      </c>
    </row>
    <row r="1995" spans="1:20">
      <c r="A1995" s="47" t="str">
        <f>IF(archive!E1995="","",archive!E1995)</f>
        <v/>
      </c>
      <c r="B1995" s="48" t="str">
        <f t="shared" si="434"/>
        <v/>
      </c>
      <c r="C1995" s="49" t="str">
        <f>IF(archive!F1995="","",archive!F1995)</f>
        <v/>
      </c>
      <c r="D1995" s="50" t="str">
        <f t="shared" si="435"/>
        <v/>
      </c>
      <c r="E1995" s="50" t="str">
        <f t="shared" si="436"/>
        <v/>
      </c>
      <c r="F1995" s="47" t="str">
        <f>IF(COUNTA(archive!H1995:CI1995)=0,"",COUNTA(archive!H1995:CI1995))</f>
        <v/>
      </c>
      <c r="G1995" s="47" t="str">
        <f>IF(archive!G1995="","",archive!G1995)</f>
        <v/>
      </c>
      <c r="H1995" s="51" t="str">
        <f>IF(archive!CJ1995="","",archive!CJ1995)</f>
        <v/>
      </c>
      <c r="I1995" s="51" t="str">
        <f>IF(archive!CK1995="","",archive!CK1995)</f>
        <v/>
      </c>
      <c r="J1995" s="47" t="str">
        <f t="shared" si="437"/>
        <v/>
      </c>
      <c r="K1995" s="51" t="str">
        <f t="shared" si="438"/>
        <v/>
      </c>
      <c r="L1995" s="52" t="str">
        <f t="shared" si="439"/>
        <v/>
      </c>
      <c r="M1995" s="53" t="str">
        <f t="shared" si="440"/>
        <v/>
      </c>
      <c r="N1995" s="53" t="str">
        <f t="shared" si="441"/>
        <v/>
      </c>
      <c r="O1995" s="53" t="str">
        <f t="shared" si="442"/>
        <v/>
      </c>
      <c r="P1995" s="53" t="str">
        <f t="shared" si="443"/>
        <v/>
      </c>
      <c r="Q1995" s="53" t="str">
        <f t="shared" si="444"/>
        <v/>
      </c>
      <c r="R1995" s="53" t="str">
        <f t="shared" si="445"/>
        <v/>
      </c>
      <c r="S1995" s="53" t="str">
        <f t="shared" si="446"/>
        <v/>
      </c>
      <c r="T1995" s="53" t="str">
        <f t="shared" si="447"/>
        <v/>
      </c>
    </row>
    <row r="1996" spans="1:20">
      <c r="A1996" s="47" t="str">
        <f>IF(archive!E1996="","",archive!E1996)</f>
        <v/>
      </c>
      <c r="B1996" s="48" t="str">
        <f t="shared" si="434"/>
        <v/>
      </c>
      <c r="C1996" s="49" t="str">
        <f>IF(archive!F1996="","",archive!F1996)</f>
        <v/>
      </c>
      <c r="D1996" s="50" t="str">
        <f t="shared" si="435"/>
        <v/>
      </c>
      <c r="E1996" s="50" t="str">
        <f t="shared" si="436"/>
        <v/>
      </c>
      <c r="F1996" s="47" t="str">
        <f>IF(COUNTA(archive!H1996:CI1996)=0,"",COUNTA(archive!H1996:CI1996))</f>
        <v/>
      </c>
      <c r="G1996" s="47" t="str">
        <f>IF(archive!G1996="","",archive!G1996)</f>
        <v/>
      </c>
      <c r="H1996" s="51" t="str">
        <f>IF(archive!CJ1996="","",archive!CJ1996)</f>
        <v/>
      </c>
      <c r="I1996" s="51" t="str">
        <f>IF(archive!CK1996="","",archive!CK1996)</f>
        <v/>
      </c>
      <c r="J1996" s="47" t="str">
        <f t="shared" si="437"/>
        <v/>
      </c>
      <c r="K1996" s="51" t="str">
        <f t="shared" si="438"/>
        <v/>
      </c>
      <c r="L1996" s="52" t="str">
        <f t="shared" si="439"/>
        <v/>
      </c>
      <c r="M1996" s="53" t="str">
        <f t="shared" si="440"/>
        <v/>
      </c>
      <c r="N1996" s="53" t="str">
        <f t="shared" si="441"/>
        <v/>
      </c>
      <c r="O1996" s="53" t="str">
        <f t="shared" si="442"/>
        <v/>
      </c>
      <c r="P1996" s="53" t="str">
        <f t="shared" si="443"/>
        <v/>
      </c>
      <c r="Q1996" s="53" t="str">
        <f t="shared" si="444"/>
        <v/>
      </c>
      <c r="R1996" s="53" t="str">
        <f t="shared" si="445"/>
        <v/>
      </c>
      <c r="S1996" s="53" t="str">
        <f t="shared" si="446"/>
        <v/>
      </c>
      <c r="T1996" s="53" t="str">
        <f t="shared" si="447"/>
        <v/>
      </c>
    </row>
    <row r="1997" spans="1:20">
      <c r="A1997" s="47" t="str">
        <f>IF(archive!E1997="","",archive!E1997)</f>
        <v/>
      </c>
      <c r="B1997" s="48" t="str">
        <f t="shared" si="434"/>
        <v/>
      </c>
      <c r="C1997" s="49" t="str">
        <f>IF(archive!F1997="","",archive!F1997)</f>
        <v/>
      </c>
      <c r="D1997" s="50" t="str">
        <f t="shared" si="435"/>
        <v/>
      </c>
      <c r="E1997" s="50" t="str">
        <f t="shared" si="436"/>
        <v/>
      </c>
      <c r="F1997" s="47" t="str">
        <f>IF(COUNTA(archive!H1997:CI1997)=0,"",COUNTA(archive!H1997:CI1997))</f>
        <v/>
      </c>
      <c r="G1997" s="47" t="str">
        <f>IF(archive!G1997="","",archive!G1997)</f>
        <v/>
      </c>
      <c r="H1997" s="51" t="str">
        <f>IF(archive!CJ1997="","",archive!CJ1997)</f>
        <v/>
      </c>
      <c r="I1997" s="51" t="str">
        <f>IF(archive!CK1997="","",archive!CK1997)</f>
        <v/>
      </c>
      <c r="J1997" s="47" t="str">
        <f t="shared" si="437"/>
        <v/>
      </c>
      <c r="K1997" s="51" t="str">
        <f t="shared" si="438"/>
        <v/>
      </c>
      <c r="L1997" s="52" t="str">
        <f t="shared" si="439"/>
        <v/>
      </c>
      <c r="M1997" s="53" t="str">
        <f t="shared" si="440"/>
        <v/>
      </c>
      <c r="N1997" s="53" t="str">
        <f t="shared" si="441"/>
        <v/>
      </c>
      <c r="O1997" s="53" t="str">
        <f t="shared" si="442"/>
        <v/>
      </c>
      <c r="P1997" s="53" t="str">
        <f t="shared" si="443"/>
        <v/>
      </c>
      <c r="Q1997" s="53" t="str">
        <f t="shared" si="444"/>
        <v/>
      </c>
      <c r="R1997" s="53" t="str">
        <f t="shared" si="445"/>
        <v/>
      </c>
      <c r="S1997" s="53" t="str">
        <f t="shared" si="446"/>
        <v/>
      </c>
      <c r="T1997" s="53" t="str">
        <f t="shared" si="447"/>
        <v/>
      </c>
    </row>
    <row r="1998" spans="1:20">
      <c r="A1998" s="47" t="str">
        <f>IF(archive!E1998="","",archive!E1998)</f>
        <v/>
      </c>
      <c r="B1998" s="48" t="str">
        <f t="shared" si="434"/>
        <v/>
      </c>
      <c r="C1998" s="49" t="str">
        <f>IF(archive!F1998="","",archive!F1998)</f>
        <v/>
      </c>
      <c r="D1998" s="50" t="str">
        <f t="shared" si="435"/>
        <v/>
      </c>
      <c r="E1998" s="50" t="str">
        <f t="shared" si="436"/>
        <v/>
      </c>
      <c r="F1998" s="47" t="str">
        <f>IF(COUNTA(archive!H1998:CI1998)=0,"",COUNTA(archive!H1998:CI1998))</f>
        <v/>
      </c>
      <c r="G1998" s="47" t="str">
        <f>IF(archive!G1998="","",archive!G1998)</f>
        <v/>
      </c>
      <c r="H1998" s="51" t="str">
        <f>IF(archive!CJ1998="","",archive!CJ1998)</f>
        <v/>
      </c>
      <c r="I1998" s="51" t="str">
        <f>IF(archive!CK1998="","",archive!CK1998)</f>
        <v/>
      </c>
      <c r="J1998" s="47" t="str">
        <f t="shared" si="437"/>
        <v/>
      </c>
      <c r="K1998" s="51" t="str">
        <f t="shared" si="438"/>
        <v/>
      </c>
      <c r="L1998" s="52" t="str">
        <f t="shared" si="439"/>
        <v/>
      </c>
      <c r="M1998" s="53" t="str">
        <f t="shared" si="440"/>
        <v/>
      </c>
      <c r="N1998" s="53" t="str">
        <f t="shared" si="441"/>
        <v/>
      </c>
      <c r="O1998" s="53" t="str">
        <f t="shared" si="442"/>
        <v/>
      </c>
      <c r="P1998" s="53" t="str">
        <f t="shared" si="443"/>
        <v/>
      </c>
      <c r="Q1998" s="53" t="str">
        <f t="shared" si="444"/>
        <v/>
      </c>
      <c r="R1998" s="53" t="str">
        <f t="shared" si="445"/>
        <v/>
      </c>
      <c r="S1998" s="53" t="str">
        <f t="shared" si="446"/>
        <v/>
      </c>
      <c r="T1998" s="53" t="str">
        <f t="shared" si="447"/>
        <v/>
      </c>
    </row>
    <row r="1999" spans="1:20">
      <c r="A1999" s="47" t="str">
        <f>IF(archive!E1999="","",archive!E1999)</f>
        <v/>
      </c>
      <c r="B1999" s="48" t="str">
        <f t="shared" si="434"/>
        <v/>
      </c>
      <c r="C1999" s="49" t="str">
        <f>IF(archive!F1999="","",archive!F1999)</f>
        <v/>
      </c>
      <c r="D1999" s="50" t="str">
        <f t="shared" si="435"/>
        <v/>
      </c>
      <c r="E1999" s="50" t="str">
        <f t="shared" si="436"/>
        <v/>
      </c>
      <c r="F1999" s="47" t="str">
        <f>IF(COUNTA(archive!H1999:CI1999)=0,"",COUNTA(archive!H1999:CI1999))</f>
        <v/>
      </c>
      <c r="G1999" s="47" t="str">
        <f>IF(archive!G1999="","",archive!G1999)</f>
        <v/>
      </c>
      <c r="H1999" s="51" t="str">
        <f>IF(archive!CJ1999="","",archive!CJ1999)</f>
        <v/>
      </c>
      <c r="I1999" s="51" t="str">
        <f>IF(archive!CK1999="","",archive!CK1999)</f>
        <v/>
      </c>
      <c r="J1999" s="47" t="str">
        <f t="shared" si="437"/>
        <v/>
      </c>
      <c r="K1999" s="51" t="str">
        <f t="shared" si="438"/>
        <v/>
      </c>
      <c r="L1999" s="52" t="str">
        <f t="shared" si="439"/>
        <v/>
      </c>
      <c r="M1999" s="53" t="str">
        <f t="shared" si="440"/>
        <v/>
      </c>
      <c r="N1999" s="53" t="str">
        <f t="shared" si="441"/>
        <v/>
      </c>
      <c r="O1999" s="53" t="str">
        <f t="shared" si="442"/>
        <v/>
      </c>
      <c r="P1999" s="53" t="str">
        <f t="shared" si="443"/>
        <v/>
      </c>
      <c r="Q1999" s="53" t="str">
        <f t="shared" si="444"/>
        <v/>
      </c>
      <c r="R1999" s="53" t="str">
        <f t="shared" si="445"/>
        <v/>
      </c>
      <c r="S1999" s="53" t="str">
        <f t="shared" si="446"/>
        <v/>
      </c>
      <c r="T1999" s="53" t="str">
        <f t="shared" si="447"/>
        <v/>
      </c>
    </row>
    <row r="2000" spans="1:20">
      <c r="A2000" s="47" t="str">
        <f>IF(archive!E2000="","",archive!E2000)</f>
        <v/>
      </c>
      <c r="B2000" s="48" t="str">
        <f t="shared" si="434"/>
        <v/>
      </c>
      <c r="C2000" s="49" t="str">
        <f>IF(archive!F2000="","",archive!F2000)</f>
        <v/>
      </c>
      <c r="D2000" s="50" t="str">
        <f t="shared" si="435"/>
        <v/>
      </c>
      <c r="E2000" s="50" t="str">
        <f t="shared" si="436"/>
        <v/>
      </c>
      <c r="F2000" s="47" t="str">
        <f>IF(COUNTA(archive!H2000:CI2000)=0,"",COUNTA(archive!H2000:CI2000))</f>
        <v/>
      </c>
      <c r="G2000" s="47" t="str">
        <f>IF(archive!G2000="","",archive!G2000)</f>
        <v/>
      </c>
      <c r="H2000" s="51" t="str">
        <f>IF(archive!CJ2000="","",archive!CJ2000)</f>
        <v/>
      </c>
      <c r="I2000" s="51" t="str">
        <f>IF(archive!CK2000="","",archive!CK2000)</f>
        <v/>
      </c>
      <c r="J2000" s="47" t="str">
        <f t="shared" si="437"/>
        <v/>
      </c>
      <c r="K2000" s="51" t="str">
        <f t="shared" si="438"/>
        <v/>
      </c>
      <c r="L2000" s="52" t="str">
        <f t="shared" si="439"/>
        <v/>
      </c>
      <c r="M2000" s="53" t="str">
        <f t="shared" si="440"/>
        <v/>
      </c>
      <c r="N2000" s="53" t="str">
        <f t="shared" si="441"/>
        <v/>
      </c>
      <c r="O2000" s="53" t="str">
        <f t="shared" si="442"/>
        <v/>
      </c>
      <c r="P2000" s="53" t="str">
        <f t="shared" si="443"/>
        <v/>
      </c>
      <c r="Q2000" s="53" t="str">
        <f t="shared" si="444"/>
        <v/>
      </c>
      <c r="R2000" s="53" t="str">
        <f t="shared" si="445"/>
        <v/>
      </c>
      <c r="S2000" s="53" t="str">
        <f t="shared" si="446"/>
        <v/>
      </c>
      <c r="T2000" s="53" t="str">
        <f t="shared" si="447"/>
        <v/>
      </c>
    </row>
    <row r="2001" spans="1:20">
      <c r="A2001" s="47" t="str">
        <f>IF(archive!E2001="","",archive!E2001)</f>
        <v/>
      </c>
      <c r="B2001" s="48" t="str">
        <f t="shared" si="434"/>
        <v/>
      </c>
      <c r="C2001" s="49" t="str">
        <f>IF(archive!F2001="","",archive!F2001)</f>
        <v/>
      </c>
      <c r="D2001" s="50" t="str">
        <f t="shared" si="435"/>
        <v/>
      </c>
      <c r="E2001" s="50" t="str">
        <f t="shared" si="436"/>
        <v/>
      </c>
      <c r="F2001" s="47" t="str">
        <f>IF(COUNTA(archive!H2001:CI2001)=0,"",COUNTA(archive!H2001:CI2001))</f>
        <v/>
      </c>
      <c r="G2001" s="47" t="str">
        <f>IF(archive!G2001="","",archive!G2001)</f>
        <v/>
      </c>
      <c r="H2001" s="51" t="str">
        <f>IF(archive!CJ2001="","",archive!CJ2001)</f>
        <v/>
      </c>
      <c r="I2001" s="51" t="str">
        <f>IF(archive!CK2001="","",archive!CK2001)</f>
        <v/>
      </c>
      <c r="J2001" s="47" t="str">
        <f t="shared" si="437"/>
        <v/>
      </c>
      <c r="K2001" s="51" t="str">
        <f t="shared" si="438"/>
        <v/>
      </c>
      <c r="L2001" s="52" t="str">
        <f t="shared" si="439"/>
        <v/>
      </c>
      <c r="M2001" s="53" t="str">
        <f t="shared" si="440"/>
        <v/>
      </c>
      <c r="N2001" s="53" t="str">
        <f t="shared" si="441"/>
        <v/>
      </c>
      <c r="O2001" s="53" t="str">
        <f t="shared" si="442"/>
        <v/>
      </c>
      <c r="P2001" s="53" t="str">
        <f t="shared" si="443"/>
        <v/>
      </c>
      <c r="Q2001" s="53" t="str">
        <f t="shared" si="444"/>
        <v/>
      </c>
      <c r="R2001" s="53" t="str">
        <f t="shared" si="445"/>
        <v/>
      </c>
      <c r="S2001" s="53" t="str">
        <f t="shared" si="446"/>
        <v/>
      </c>
      <c r="T2001" s="53" t="str">
        <f t="shared" si="447"/>
        <v/>
      </c>
    </row>
    <row r="2002" spans="1:20">
      <c r="A2002" s="47" t="str">
        <f>IF(archive!E2002="","",archive!E2002)</f>
        <v/>
      </c>
      <c r="B2002" s="48" t="str">
        <f t="shared" si="434"/>
        <v/>
      </c>
      <c r="C2002" s="49" t="str">
        <f>IF(archive!F2002="","",archive!F2002)</f>
        <v/>
      </c>
      <c r="D2002" s="50" t="str">
        <f t="shared" si="435"/>
        <v/>
      </c>
      <c r="E2002" s="50" t="str">
        <f t="shared" si="436"/>
        <v/>
      </c>
      <c r="F2002" s="47" t="str">
        <f>IF(COUNTA(archive!H2002:CI2002)=0,"",COUNTA(archive!H2002:CI2002))</f>
        <v/>
      </c>
      <c r="G2002" s="47" t="str">
        <f>IF(archive!G2002="","",archive!G2002)</f>
        <v/>
      </c>
      <c r="H2002" s="51" t="str">
        <f>IF(archive!CJ2002="","",archive!CJ2002)</f>
        <v/>
      </c>
      <c r="I2002" s="51" t="str">
        <f>IF(archive!CK2002="","",archive!CK2002)</f>
        <v/>
      </c>
      <c r="J2002" s="47" t="str">
        <f t="shared" si="437"/>
        <v/>
      </c>
      <c r="K2002" s="51" t="str">
        <f t="shared" si="438"/>
        <v/>
      </c>
      <c r="L2002" s="52" t="str">
        <f t="shared" si="439"/>
        <v/>
      </c>
      <c r="M2002" s="53" t="str">
        <f t="shared" si="440"/>
        <v/>
      </c>
      <c r="N2002" s="53" t="str">
        <f t="shared" si="441"/>
        <v/>
      </c>
      <c r="O2002" s="53" t="str">
        <f t="shared" si="442"/>
        <v/>
      </c>
      <c r="P2002" s="53" t="str">
        <f t="shared" si="443"/>
        <v/>
      </c>
      <c r="Q2002" s="53" t="str">
        <f t="shared" si="444"/>
        <v/>
      </c>
      <c r="R2002" s="53" t="str">
        <f t="shared" si="445"/>
        <v/>
      </c>
      <c r="S2002" s="53" t="str">
        <f t="shared" si="446"/>
        <v/>
      </c>
      <c r="T2002" s="53" t="str">
        <f t="shared" si="447"/>
        <v/>
      </c>
    </row>
    <row r="2003" spans="1:20">
      <c r="A2003" s="47" t="str">
        <f>IF(archive!E2003="","",archive!E2003)</f>
        <v/>
      </c>
      <c r="B2003" s="48" t="str">
        <f t="shared" si="434"/>
        <v/>
      </c>
      <c r="C2003" s="49" t="str">
        <f>IF(archive!F2003="","",archive!F2003)</f>
        <v/>
      </c>
      <c r="D2003" s="50" t="str">
        <f t="shared" si="435"/>
        <v/>
      </c>
      <c r="E2003" s="50" t="str">
        <f t="shared" si="436"/>
        <v/>
      </c>
      <c r="F2003" s="47" t="str">
        <f>IF(COUNTA(archive!H2003:CI2003)=0,"",COUNTA(archive!H2003:CI2003))</f>
        <v/>
      </c>
      <c r="G2003" s="47" t="str">
        <f>IF(archive!G2003="","",archive!G2003)</f>
        <v/>
      </c>
      <c r="H2003" s="51" t="str">
        <f>IF(archive!CJ2003="","",archive!CJ2003)</f>
        <v/>
      </c>
      <c r="I2003" s="51" t="str">
        <f>IF(archive!CK2003="","",archive!CK2003)</f>
        <v/>
      </c>
      <c r="J2003" s="47" t="str">
        <f t="shared" si="437"/>
        <v/>
      </c>
      <c r="K2003" s="51" t="str">
        <f t="shared" si="438"/>
        <v/>
      </c>
      <c r="L2003" s="52" t="str">
        <f t="shared" si="439"/>
        <v/>
      </c>
      <c r="M2003" s="53" t="str">
        <f t="shared" si="440"/>
        <v/>
      </c>
      <c r="N2003" s="53" t="str">
        <f t="shared" si="441"/>
        <v/>
      </c>
      <c r="O2003" s="53" t="str">
        <f t="shared" si="442"/>
        <v/>
      </c>
      <c r="P2003" s="53" t="str">
        <f t="shared" si="443"/>
        <v/>
      </c>
      <c r="Q2003" s="53" t="str">
        <f t="shared" si="444"/>
        <v/>
      </c>
      <c r="R2003" s="53" t="str">
        <f t="shared" si="445"/>
        <v/>
      </c>
      <c r="S2003" s="53" t="str">
        <f t="shared" si="446"/>
        <v/>
      </c>
      <c r="T2003" s="53" t="str">
        <f t="shared" si="447"/>
        <v/>
      </c>
    </row>
    <row r="2004" spans="1:20">
      <c r="A2004" s="47" t="str">
        <f>IF(archive!E2004="","",archive!E2004)</f>
        <v/>
      </c>
      <c r="B2004" s="48" t="str">
        <f t="shared" si="434"/>
        <v/>
      </c>
      <c r="C2004" s="49" t="str">
        <f>IF(archive!F2004="","",archive!F2004)</f>
        <v/>
      </c>
      <c r="D2004" s="50" t="str">
        <f t="shared" si="435"/>
        <v/>
      </c>
      <c r="E2004" s="50" t="str">
        <f t="shared" si="436"/>
        <v/>
      </c>
      <c r="F2004" s="47" t="str">
        <f>IF(COUNTA(archive!H2004:CI2004)=0,"",COUNTA(archive!H2004:CI2004))</f>
        <v/>
      </c>
      <c r="G2004" s="47" t="str">
        <f>IF(archive!G2004="","",archive!G2004)</f>
        <v/>
      </c>
      <c r="H2004" s="51" t="str">
        <f>IF(archive!CJ2004="","",archive!CJ2004)</f>
        <v/>
      </c>
      <c r="I2004" s="51" t="str">
        <f>IF(archive!CK2004="","",archive!CK2004)</f>
        <v/>
      </c>
      <c r="J2004" s="47" t="str">
        <f t="shared" si="437"/>
        <v/>
      </c>
      <c r="K2004" s="51" t="str">
        <f t="shared" si="438"/>
        <v/>
      </c>
      <c r="L2004" s="52" t="str">
        <f t="shared" si="439"/>
        <v/>
      </c>
      <c r="M2004" s="53" t="str">
        <f t="shared" si="440"/>
        <v/>
      </c>
      <c r="N2004" s="53" t="str">
        <f t="shared" si="441"/>
        <v/>
      </c>
      <c r="O2004" s="53" t="str">
        <f t="shared" si="442"/>
        <v/>
      </c>
      <c r="P2004" s="53" t="str">
        <f t="shared" si="443"/>
        <v/>
      </c>
      <c r="Q2004" s="53" t="str">
        <f t="shared" si="444"/>
        <v/>
      </c>
      <c r="R2004" s="53" t="str">
        <f t="shared" si="445"/>
        <v/>
      </c>
      <c r="S2004" s="53" t="str">
        <f t="shared" si="446"/>
        <v/>
      </c>
      <c r="T2004" s="53" t="str">
        <f t="shared" si="447"/>
        <v/>
      </c>
    </row>
    <row r="2005" spans="1:20">
      <c r="A2005" s="47" t="str">
        <f>IF(archive!E2005="","",archive!E2005)</f>
        <v/>
      </c>
      <c r="B2005" s="48" t="str">
        <f t="shared" si="434"/>
        <v/>
      </c>
      <c r="C2005" s="49" t="str">
        <f>IF(archive!F2005="","",archive!F2005)</f>
        <v/>
      </c>
      <c r="D2005" s="50" t="str">
        <f t="shared" si="435"/>
        <v/>
      </c>
      <c r="E2005" s="50" t="str">
        <f t="shared" si="436"/>
        <v/>
      </c>
      <c r="F2005" s="47" t="str">
        <f>IF(COUNTA(archive!H2005:CI2005)=0,"",COUNTA(archive!H2005:CI2005))</f>
        <v/>
      </c>
      <c r="G2005" s="47" t="str">
        <f>IF(archive!G2005="","",archive!G2005)</f>
        <v/>
      </c>
      <c r="H2005" s="51" t="str">
        <f>IF(archive!CJ2005="","",archive!CJ2005)</f>
        <v/>
      </c>
      <c r="I2005" s="51" t="str">
        <f>IF(archive!CK2005="","",archive!CK2005)</f>
        <v/>
      </c>
      <c r="J2005" s="47" t="str">
        <f t="shared" si="437"/>
        <v/>
      </c>
      <c r="K2005" s="51" t="str">
        <f t="shared" si="438"/>
        <v/>
      </c>
      <c r="L2005" s="52" t="str">
        <f t="shared" si="439"/>
        <v/>
      </c>
      <c r="M2005" s="53" t="str">
        <f t="shared" si="440"/>
        <v/>
      </c>
      <c r="N2005" s="53" t="str">
        <f t="shared" si="441"/>
        <v/>
      </c>
      <c r="O2005" s="53" t="str">
        <f t="shared" si="442"/>
        <v/>
      </c>
      <c r="P2005" s="53" t="str">
        <f t="shared" si="443"/>
        <v/>
      </c>
      <c r="Q2005" s="53" t="str">
        <f t="shared" si="444"/>
        <v/>
      </c>
      <c r="R2005" s="53" t="str">
        <f t="shared" si="445"/>
        <v/>
      </c>
      <c r="S2005" s="53" t="str">
        <f t="shared" si="446"/>
        <v/>
      </c>
      <c r="T2005" s="53" t="str">
        <f t="shared" si="447"/>
        <v/>
      </c>
    </row>
    <row r="2006" spans="1:20">
      <c r="A2006" s="47" t="str">
        <f>IF(archive!E2006="","",archive!E2006)</f>
        <v/>
      </c>
      <c r="B2006" s="48" t="str">
        <f t="shared" si="434"/>
        <v/>
      </c>
      <c r="C2006" s="49" t="str">
        <f>IF(archive!F2006="","",archive!F2006)</f>
        <v/>
      </c>
      <c r="D2006" s="50" t="str">
        <f t="shared" si="435"/>
        <v/>
      </c>
      <c r="E2006" s="50" t="str">
        <f t="shared" si="436"/>
        <v/>
      </c>
      <c r="F2006" s="47" t="str">
        <f>IF(COUNTA(archive!H2006:CI2006)=0,"",COUNTA(archive!H2006:CI2006))</f>
        <v/>
      </c>
      <c r="G2006" s="47" t="str">
        <f>IF(archive!G2006="","",archive!G2006)</f>
        <v/>
      </c>
      <c r="H2006" s="51" t="str">
        <f>IF(archive!CJ2006="","",archive!CJ2006)</f>
        <v/>
      </c>
      <c r="I2006" s="51" t="str">
        <f>IF(archive!CK2006="","",archive!CK2006)</f>
        <v/>
      </c>
      <c r="J2006" s="47" t="str">
        <f t="shared" si="437"/>
        <v/>
      </c>
      <c r="K2006" s="51" t="str">
        <f t="shared" si="438"/>
        <v/>
      </c>
      <c r="L2006" s="52" t="str">
        <f t="shared" si="439"/>
        <v/>
      </c>
      <c r="M2006" s="53" t="str">
        <f t="shared" si="440"/>
        <v/>
      </c>
      <c r="N2006" s="53" t="str">
        <f t="shared" si="441"/>
        <v/>
      </c>
      <c r="O2006" s="53" t="str">
        <f t="shared" si="442"/>
        <v/>
      </c>
      <c r="P2006" s="53" t="str">
        <f t="shared" si="443"/>
        <v/>
      </c>
      <c r="Q2006" s="53" t="str">
        <f t="shared" si="444"/>
        <v/>
      </c>
      <c r="R2006" s="53" t="str">
        <f t="shared" si="445"/>
        <v/>
      </c>
      <c r="S2006" s="53" t="str">
        <f t="shared" si="446"/>
        <v/>
      </c>
      <c r="T2006" s="53" t="str">
        <f t="shared" si="447"/>
        <v/>
      </c>
    </row>
    <row r="2007" spans="1:20">
      <c r="A2007" s="47" t="str">
        <f>IF(archive!E2007="","",archive!E2007)</f>
        <v/>
      </c>
      <c r="B2007" s="48" t="str">
        <f t="shared" si="434"/>
        <v/>
      </c>
      <c r="C2007" s="49" t="str">
        <f>IF(archive!F2007="","",archive!F2007)</f>
        <v/>
      </c>
      <c r="D2007" s="50" t="str">
        <f t="shared" si="435"/>
        <v/>
      </c>
      <c r="E2007" s="50" t="str">
        <f t="shared" si="436"/>
        <v/>
      </c>
      <c r="F2007" s="47" t="str">
        <f>IF(COUNTA(archive!H2007:CI2007)=0,"",COUNTA(archive!H2007:CI2007))</f>
        <v/>
      </c>
      <c r="G2007" s="47" t="str">
        <f>IF(archive!G2007="","",archive!G2007)</f>
        <v/>
      </c>
      <c r="H2007" s="51" t="str">
        <f>IF(archive!CJ2007="","",archive!CJ2007)</f>
        <v/>
      </c>
      <c r="I2007" s="51" t="str">
        <f>IF(archive!CK2007="","",archive!CK2007)</f>
        <v/>
      </c>
      <c r="J2007" s="47" t="str">
        <f t="shared" si="437"/>
        <v/>
      </c>
      <c r="K2007" s="51" t="str">
        <f t="shared" si="438"/>
        <v/>
      </c>
      <c r="L2007" s="52" t="str">
        <f t="shared" si="439"/>
        <v/>
      </c>
      <c r="M2007" s="53" t="str">
        <f t="shared" si="440"/>
        <v/>
      </c>
      <c r="N2007" s="53" t="str">
        <f t="shared" si="441"/>
        <v/>
      </c>
      <c r="O2007" s="53" t="str">
        <f t="shared" si="442"/>
        <v/>
      </c>
      <c r="P2007" s="53" t="str">
        <f t="shared" si="443"/>
        <v/>
      </c>
      <c r="Q2007" s="53" t="str">
        <f t="shared" si="444"/>
        <v/>
      </c>
      <c r="R2007" s="53" t="str">
        <f t="shared" si="445"/>
        <v/>
      </c>
      <c r="S2007" s="53" t="str">
        <f t="shared" si="446"/>
        <v/>
      </c>
      <c r="T2007" s="53" t="str">
        <f t="shared" si="447"/>
        <v/>
      </c>
    </row>
    <row r="2008" spans="1:20">
      <c r="A2008" s="47" t="str">
        <f>IF(archive!E2008="","",archive!E2008)</f>
        <v/>
      </c>
      <c r="B2008" s="48" t="str">
        <f t="shared" si="434"/>
        <v/>
      </c>
      <c r="C2008" s="49" t="str">
        <f>IF(archive!F2008="","",archive!F2008)</f>
        <v/>
      </c>
      <c r="D2008" s="50" t="str">
        <f t="shared" si="435"/>
        <v/>
      </c>
      <c r="E2008" s="50" t="str">
        <f t="shared" si="436"/>
        <v/>
      </c>
      <c r="F2008" s="47" t="str">
        <f>IF(COUNTA(archive!H2008:CI2008)=0,"",COUNTA(archive!H2008:CI2008))</f>
        <v/>
      </c>
      <c r="G2008" s="47" t="str">
        <f>IF(archive!G2008="","",archive!G2008)</f>
        <v/>
      </c>
      <c r="H2008" s="51" t="str">
        <f>IF(archive!CJ2008="","",archive!CJ2008)</f>
        <v/>
      </c>
      <c r="I2008" s="51" t="str">
        <f>IF(archive!CK2008="","",archive!CK2008)</f>
        <v/>
      </c>
      <c r="J2008" s="47" t="str">
        <f t="shared" si="437"/>
        <v/>
      </c>
      <c r="K2008" s="51" t="str">
        <f t="shared" si="438"/>
        <v/>
      </c>
      <c r="L2008" s="52" t="str">
        <f t="shared" si="439"/>
        <v/>
      </c>
      <c r="M2008" s="53" t="str">
        <f t="shared" si="440"/>
        <v/>
      </c>
      <c r="N2008" s="53" t="str">
        <f t="shared" si="441"/>
        <v/>
      </c>
      <c r="O2008" s="53" t="str">
        <f t="shared" si="442"/>
        <v/>
      </c>
      <c r="P2008" s="53" t="str">
        <f t="shared" si="443"/>
        <v/>
      </c>
      <c r="Q2008" s="53" t="str">
        <f t="shared" si="444"/>
        <v/>
      </c>
      <c r="R2008" s="53" t="str">
        <f t="shared" si="445"/>
        <v/>
      </c>
      <c r="S2008" s="53" t="str">
        <f t="shared" si="446"/>
        <v/>
      </c>
      <c r="T2008" s="53" t="str">
        <f t="shared" si="447"/>
        <v/>
      </c>
    </row>
    <row r="2009" spans="1:20">
      <c r="A2009" s="47" t="str">
        <f>IF(archive!E2009="","",archive!E2009)</f>
        <v/>
      </c>
      <c r="B2009" s="48" t="str">
        <f t="shared" si="434"/>
        <v/>
      </c>
      <c r="C2009" s="49" t="str">
        <f>IF(archive!F2009="","",archive!F2009)</f>
        <v/>
      </c>
      <c r="D2009" s="50" t="str">
        <f t="shared" si="435"/>
        <v/>
      </c>
      <c r="E2009" s="50" t="str">
        <f t="shared" si="436"/>
        <v/>
      </c>
      <c r="F2009" s="47" t="str">
        <f>IF(COUNTA(archive!H2009:CI2009)=0,"",COUNTA(archive!H2009:CI2009))</f>
        <v/>
      </c>
      <c r="G2009" s="47" t="str">
        <f>IF(archive!G2009="","",archive!G2009)</f>
        <v/>
      </c>
      <c r="H2009" s="51" t="str">
        <f>IF(archive!CJ2009="","",archive!CJ2009)</f>
        <v/>
      </c>
      <c r="I2009" s="51" t="str">
        <f>IF(archive!CK2009="","",archive!CK2009)</f>
        <v/>
      </c>
      <c r="J2009" s="47" t="str">
        <f t="shared" si="437"/>
        <v/>
      </c>
      <c r="K2009" s="51" t="str">
        <f t="shared" si="438"/>
        <v/>
      </c>
      <c r="L2009" s="52" t="str">
        <f t="shared" si="439"/>
        <v/>
      </c>
      <c r="M2009" s="53" t="str">
        <f t="shared" si="440"/>
        <v/>
      </c>
      <c r="N2009" s="53" t="str">
        <f t="shared" si="441"/>
        <v/>
      </c>
      <c r="O2009" s="53" t="str">
        <f t="shared" si="442"/>
        <v/>
      </c>
      <c r="P2009" s="53" t="str">
        <f t="shared" si="443"/>
        <v/>
      </c>
      <c r="Q2009" s="53" t="str">
        <f t="shared" si="444"/>
        <v/>
      </c>
      <c r="R2009" s="53" t="str">
        <f t="shared" si="445"/>
        <v/>
      </c>
      <c r="S2009" s="53" t="str">
        <f t="shared" si="446"/>
        <v/>
      </c>
      <c r="T2009" s="53" t="str">
        <f t="shared" si="447"/>
        <v/>
      </c>
    </row>
    <row r="2010" spans="1:20">
      <c r="A2010" s="47" t="str">
        <f>IF(archive!E2010="","",archive!E2010)</f>
        <v/>
      </c>
      <c r="B2010" s="48" t="str">
        <f t="shared" si="434"/>
        <v/>
      </c>
      <c r="C2010" s="49" t="str">
        <f>IF(archive!F2010="","",archive!F2010)</f>
        <v/>
      </c>
      <c r="D2010" s="50" t="str">
        <f t="shared" si="435"/>
        <v/>
      </c>
      <c r="E2010" s="50" t="str">
        <f t="shared" si="436"/>
        <v/>
      </c>
      <c r="F2010" s="47" t="str">
        <f>IF(COUNTA(archive!H2010:CI2010)=0,"",COUNTA(archive!H2010:CI2010))</f>
        <v/>
      </c>
      <c r="G2010" s="47" t="str">
        <f>IF(archive!G2010="","",archive!G2010)</f>
        <v/>
      </c>
      <c r="H2010" s="51" t="str">
        <f>IF(archive!CJ2010="","",archive!CJ2010)</f>
        <v/>
      </c>
      <c r="I2010" s="51" t="str">
        <f>IF(archive!CK2010="","",archive!CK2010)</f>
        <v/>
      </c>
      <c r="J2010" s="47" t="str">
        <f t="shared" si="437"/>
        <v/>
      </c>
      <c r="K2010" s="51" t="str">
        <f t="shared" si="438"/>
        <v/>
      </c>
      <c r="L2010" s="52" t="str">
        <f t="shared" si="439"/>
        <v/>
      </c>
      <c r="M2010" s="53" t="str">
        <f t="shared" si="440"/>
        <v/>
      </c>
      <c r="N2010" s="53" t="str">
        <f t="shared" si="441"/>
        <v/>
      </c>
      <c r="O2010" s="53" t="str">
        <f t="shared" si="442"/>
        <v/>
      </c>
      <c r="P2010" s="53" t="str">
        <f t="shared" si="443"/>
        <v/>
      </c>
      <c r="Q2010" s="53" t="str">
        <f t="shared" si="444"/>
        <v/>
      </c>
      <c r="R2010" s="53" t="str">
        <f t="shared" si="445"/>
        <v/>
      </c>
      <c r="S2010" s="53" t="str">
        <f t="shared" si="446"/>
        <v/>
      </c>
      <c r="T2010" s="53" t="str">
        <f t="shared" si="447"/>
        <v/>
      </c>
    </row>
    <row r="2011" spans="1:20">
      <c r="A2011" s="47" t="str">
        <f>IF(archive!E2011="","",archive!E2011)</f>
        <v/>
      </c>
      <c r="B2011" s="48" t="str">
        <f t="shared" si="434"/>
        <v/>
      </c>
      <c r="C2011" s="49" t="str">
        <f>IF(archive!F2011="","",archive!F2011)</f>
        <v/>
      </c>
      <c r="D2011" s="50" t="str">
        <f t="shared" si="435"/>
        <v/>
      </c>
      <c r="E2011" s="50" t="str">
        <f t="shared" si="436"/>
        <v/>
      </c>
      <c r="F2011" s="47" t="str">
        <f>IF(COUNTA(archive!H2011:CI2011)=0,"",COUNTA(archive!H2011:CI2011))</f>
        <v/>
      </c>
      <c r="G2011" s="47" t="str">
        <f>IF(archive!G2011="","",archive!G2011)</f>
        <v/>
      </c>
      <c r="H2011" s="51" t="str">
        <f>IF(archive!CJ2011="","",archive!CJ2011)</f>
        <v/>
      </c>
      <c r="I2011" s="51" t="str">
        <f>IF(archive!CK2011="","",archive!CK2011)</f>
        <v/>
      </c>
      <c r="J2011" s="47" t="str">
        <f t="shared" si="437"/>
        <v/>
      </c>
      <c r="K2011" s="51" t="str">
        <f t="shared" si="438"/>
        <v/>
      </c>
      <c r="L2011" s="52" t="str">
        <f t="shared" si="439"/>
        <v/>
      </c>
      <c r="M2011" s="53" t="str">
        <f t="shared" si="440"/>
        <v/>
      </c>
      <c r="N2011" s="53" t="str">
        <f t="shared" si="441"/>
        <v/>
      </c>
      <c r="O2011" s="53" t="str">
        <f t="shared" si="442"/>
        <v/>
      </c>
      <c r="P2011" s="53" t="str">
        <f t="shared" si="443"/>
        <v/>
      </c>
      <c r="Q2011" s="53" t="str">
        <f t="shared" si="444"/>
        <v/>
      </c>
      <c r="R2011" s="53" t="str">
        <f t="shared" si="445"/>
        <v/>
      </c>
      <c r="S2011" s="53" t="str">
        <f t="shared" si="446"/>
        <v/>
      </c>
      <c r="T2011" s="53" t="str">
        <f t="shared" si="447"/>
        <v/>
      </c>
    </row>
    <row r="2012" spans="1:20">
      <c r="A2012" s="47" t="str">
        <f>IF(archive!E2012="","",archive!E2012)</f>
        <v/>
      </c>
      <c r="B2012" s="48" t="str">
        <f t="shared" si="434"/>
        <v/>
      </c>
      <c r="C2012" s="49" t="str">
        <f>IF(archive!F2012="","",archive!F2012)</f>
        <v/>
      </c>
      <c r="D2012" s="50" t="str">
        <f t="shared" si="435"/>
        <v/>
      </c>
      <c r="E2012" s="50" t="str">
        <f t="shared" si="436"/>
        <v/>
      </c>
      <c r="F2012" s="47" t="str">
        <f>IF(COUNTA(archive!H2012:CI2012)=0,"",COUNTA(archive!H2012:CI2012))</f>
        <v/>
      </c>
      <c r="G2012" s="47" t="str">
        <f>IF(archive!G2012="","",archive!G2012)</f>
        <v/>
      </c>
      <c r="H2012" s="51" t="str">
        <f>IF(archive!CJ2012="","",archive!CJ2012)</f>
        <v/>
      </c>
      <c r="I2012" s="51" t="str">
        <f>IF(archive!CK2012="","",archive!CK2012)</f>
        <v/>
      </c>
      <c r="J2012" s="47" t="str">
        <f t="shared" si="437"/>
        <v/>
      </c>
      <c r="K2012" s="51" t="str">
        <f t="shared" si="438"/>
        <v/>
      </c>
      <c r="L2012" s="52" t="str">
        <f t="shared" si="439"/>
        <v/>
      </c>
      <c r="M2012" s="53" t="str">
        <f t="shared" si="440"/>
        <v/>
      </c>
      <c r="N2012" s="53" t="str">
        <f t="shared" si="441"/>
        <v/>
      </c>
      <c r="O2012" s="53" t="str">
        <f t="shared" si="442"/>
        <v/>
      </c>
      <c r="P2012" s="53" t="str">
        <f t="shared" si="443"/>
        <v/>
      </c>
      <c r="Q2012" s="53" t="str">
        <f t="shared" si="444"/>
        <v/>
      </c>
      <c r="R2012" s="53" t="str">
        <f t="shared" si="445"/>
        <v/>
      </c>
      <c r="S2012" s="53" t="str">
        <f t="shared" si="446"/>
        <v/>
      </c>
      <c r="T2012" s="53" t="str">
        <f t="shared" si="447"/>
        <v/>
      </c>
    </row>
    <row r="2013" spans="1:20">
      <c r="A2013" s="47" t="str">
        <f>IF(archive!E2013="","",archive!E2013)</f>
        <v/>
      </c>
      <c r="B2013" s="48" t="str">
        <f t="shared" si="434"/>
        <v/>
      </c>
      <c r="C2013" s="49" t="str">
        <f>IF(archive!F2013="","",archive!F2013)</f>
        <v/>
      </c>
      <c r="D2013" s="50" t="str">
        <f t="shared" si="435"/>
        <v/>
      </c>
      <c r="E2013" s="50" t="str">
        <f t="shared" si="436"/>
        <v/>
      </c>
      <c r="F2013" s="47" t="str">
        <f>IF(COUNTA(archive!H2013:CI2013)=0,"",COUNTA(archive!H2013:CI2013))</f>
        <v/>
      </c>
      <c r="G2013" s="47" t="str">
        <f>IF(archive!G2013="","",archive!G2013)</f>
        <v/>
      </c>
      <c r="H2013" s="51" t="str">
        <f>IF(archive!CJ2013="","",archive!CJ2013)</f>
        <v/>
      </c>
      <c r="I2013" s="51" t="str">
        <f>IF(archive!CK2013="","",archive!CK2013)</f>
        <v/>
      </c>
      <c r="J2013" s="47" t="str">
        <f t="shared" si="437"/>
        <v/>
      </c>
      <c r="K2013" s="51" t="str">
        <f t="shared" si="438"/>
        <v/>
      </c>
      <c r="L2013" s="52" t="str">
        <f t="shared" si="439"/>
        <v/>
      </c>
      <c r="M2013" s="53" t="str">
        <f t="shared" si="440"/>
        <v/>
      </c>
      <c r="N2013" s="53" t="str">
        <f t="shared" si="441"/>
        <v/>
      </c>
      <c r="O2013" s="53" t="str">
        <f t="shared" si="442"/>
        <v/>
      </c>
      <c r="P2013" s="53" t="str">
        <f t="shared" si="443"/>
        <v/>
      </c>
      <c r="Q2013" s="53" t="str">
        <f t="shared" si="444"/>
        <v/>
      </c>
      <c r="R2013" s="53" t="str">
        <f t="shared" si="445"/>
        <v/>
      </c>
      <c r="S2013" s="53" t="str">
        <f t="shared" si="446"/>
        <v/>
      </c>
      <c r="T2013" s="53" t="str">
        <f t="shared" si="447"/>
        <v/>
      </c>
    </row>
    <row r="2014" spans="1:20">
      <c r="A2014" s="47" t="str">
        <f>IF(archive!E2014="","",archive!E2014)</f>
        <v/>
      </c>
      <c r="B2014" s="48" t="str">
        <f t="shared" si="434"/>
        <v/>
      </c>
      <c r="C2014" s="49" t="str">
        <f>IF(archive!F2014="","",archive!F2014)</f>
        <v/>
      </c>
      <c r="D2014" s="50" t="str">
        <f t="shared" si="435"/>
        <v/>
      </c>
      <c r="E2014" s="50" t="str">
        <f t="shared" si="436"/>
        <v/>
      </c>
      <c r="F2014" s="47" t="str">
        <f>IF(COUNTA(archive!H2014:CI2014)=0,"",COUNTA(archive!H2014:CI2014))</f>
        <v/>
      </c>
      <c r="G2014" s="47" t="str">
        <f>IF(archive!G2014="","",archive!G2014)</f>
        <v/>
      </c>
      <c r="H2014" s="51" t="str">
        <f>IF(archive!CJ2014="","",archive!CJ2014)</f>
        <v/>
      </c>
      <c r="I2014" s="51" t="str">
        <f>IF(archive!CK2014="","",archive!CK2014)</f>
        <v/>
      </c>
      <c r="J2014" s="47" t="str">
        <f t="shared" si="437"/>
        <v/>
      </c>
      <c r="K2014" s="51" t="str">
        <f t="shared" si="438"/>
        <v/>
      </c>
      <c r="L2014" s="52" t="str">
        <f t="shared" si="439"/>
        <v/>
      </c>
      <c r="M2014" s="53" t="str">
        <f t="shared" si="440"/>
        <v/>
      </c>
      <c r="N2014" s="53" t="str">
        <f t="shared" si="441"/>
        <v/>
      </c>
      <c r="O2014" s="53" t="str">
        <f t="shared" si="442"/>
        <v/>
      </c>
      <c r="P2014" s="53" t="str">
        <f t="shared" si="443"/>
        <v/>
      </c>
      <c r="Q2014" s="53" t="str">
        <f t="shared" si="444"/>
        <v/>
      </c>
      <c r="R2014" s="53" t="str">
        <f t="shared" si="445"/>
        <v/>
      </c>
      <c r="S2014" s="53" t="str">
        <f t="shared" si="446"/>
        <v/>
      </c>
      <c r="T2014" s="53" t="str">
        <f t="shared" si="447"/>
        <v/>
      </c>
    </row>
    <row r="2015" spans="1:20">
      <c r="A2015" s="47" t="str">
        <f>IF(archive!E2015="","",archive!E2015)</f>
        <v/>
      </c>
      <c r="B2015" s="48" t="str">
        <f t="shared" si="434"/>
        <v/>
      </c>
      <c r="C2015" s="49" t="str">
        <f>IF(archive!F2015="","",archive!F2015)</f>
        <v/>
      </c>
      <c r="D2015" s="50" t="str">
        <f t="shared" si="435"/>
        <v/>
      </c>
      <c r="E2015" s="50" t="str">
        <f t="shared" si="436"/>
        <v/>
      </c>
      <c r="F2015" s="47" t="str">
        <f>IF(COUNTA(archive!H2015:CI2015)=0,"",COUNTA(archive!H2015:CI2015))</f>
        <v/>
      </c>
      <c r="G2015" s="47" t="str">
        <f>IF(archive!G2015="","",archive!G2015)</f>
        <v/>
      </c>
      <c r="H2015" s="51" t="str">
        <f>IF(archive!CJ2015="","",archive!CJ2015)</f>
        <v/>
      </c>
      <c r="I2015" s="51" t="str">
        <f>IF(archive!CK2015="","",archive!CK2015)</f>
        <v/>
      </c>
      <c r="J2015" s="47" t="str">
        <f t="shared" si="437"/>
        <v/>
      </c>
      <c r="K2015" s="51" t="str">
        <f t="shared" si="438"/>
        <v/>
      </c>
      <c r="L2015" s="52" t="str">
        <f t="shared" si="439"/>
        <v/>
      </c>
      <c r="M2015" s="53" t="str">
        <f t="shared" si="440"/>
        <v/>
      </c>
      <c r="N2015" s="53" t="str">
        <f t="shared" si="441"/>
        <v/>
      </c>
      <c r="O2015" s="53" t="str">
        <f t="shared" si="442"/>
        <v/>
      </c>
      <c r="P2015" s="53" t="str">
        <f t="shared" si="443"/>
        <v/>
      </c>
      <c r="Q2015" s="53" t="str">
        <f t="shared" si="444"/>
        <v/>
      </c>
      <c r="R2015" s="53" t="str">
        <f t="shared" si="445"/>
        <v/>
      </c>
      <c r="S2015" s="53" t="str">
        <f t="shared" si="446"/>
        <v/>
      </c>
      <c r="T2015" s="53" t="str">
        <f t="shared" si="447"/>
        <v/>
      </c>
    </row>
    <row r="2016" spans="1:20">
      <c r="A2016" s="47" t="str">
        <f>IF(archive!E2016="","",archive!E2016)</f>
        <v/>
      </c>
      <c r="B2016" s="48" t="str">
        <f t="shared" si="434"/>
        <v/>
      </c>
      <c r="C2016" s="49" t="str">
        <f>IF(archive!F2016="","",archive!F2016)</f>
        <v/>
      </c>
      <c r="D2016" s="50" t="str">
        <f t="shared" si="435"/>
        <v/>
      </c>
      <c r="E2016" s="50" t="str">
        <f t="shared" si="436"/>
        <v/>
      </c>
      <c r="F2016" s="47" t="str">
        <f>IF(COUNTA(archive!H2016:CI2016)=0,"",COUNTA(archive!H2016:CI2016))</f>
        <v/>
      </c>
      <c r="G2016" s="47" t="str">
        <f>IF(archive!G2016="","",archive!G2016)</f>
        <v/>
      </c>
      <c r="H2016" s="51" t="str">
        <f>IF(archive!CJ2016="","",archive!CJ2016)</f>
        <v/>
      </c>
      <c r="I2016" s="51" t="str">
        <f>IF(archive!CK2016="","",archive!CK2016)</f>
        <v/>
      </c>
      <c r="J2016" s="47" t="str">
        <f t="shared" si="437"/>
        <v/>
      </c>
      <c r="K2016" s="51" t="str">
        <f t="shared" si="438"/>
        <v/>
      </c>
      <c r="L2016" s="52" t="str">
        <f t="shared" si="439"/>
        <v/>
      </c>
      <c r="M2016" s="53" t="str">
        <f t="shared" si="440"/>
        <v/>
      </c>
      <c r="N2016" s="53" t="str">
        <f t="shared" si="441"/>
        <v/>
      </c>
      <c r="O2016" s="53" t="str">
        <f t="shared" si="442"/>
        <v/>
      </c>
      <c r="P2016" s="53" t="str">
        <f t="shared" si="443"/>
        <v/>
      </c>
      <c r="Q2016" s="53" t="str">
        <f t="shared" si="444"/>
        <v/>
      </c>
      <c r="R2016" s="53" t="str">
        <f t="shared" si="445"/>
        <v/>
      </c>
      <c r="S2016" s="53" t="str">
        <f t="shared" si="446"/>
        <v/>
      </c>
      <c r="T2016" s="53" t="str">
        <f t="shared" si="447"/>
        <v/>
      </c>
    </row>
    <row r="2017" spans="1:20">
      <c r="A2017" s="47" t="str">
        <f>IF(archive!E2017="","",archive!E2017)</f>
        <v/>
      </c>
      <c r="B2017" s="48" t="str">
        <f t="shared" si="434"/>
        <v/>
      </c>
      <c r="C2017" s="49" t="str">
        <f>IF(archive!F2017="","",archive!F2017)</f>
        <v/>
      </c>
      <c r="D2017" s="50" t="str">
        <f t="shared" si="435"/>
        <v/>
      </c>
      <c r="E2017" s="50" t="str">
        <f t="shared" si="436"/>
        <v/>
      </c>
      <c r="F2017" s="47" t="str">
        <f>IF(COUNTA(archive!H2017:CI2017)=0,"",COUNTA(archive!H2017:CI2017))</f>
        <v/>
      </c>
      <c r="G2017" s="47" t="str">
        <f>IF(archive!G2017="","",archive!G2017)</f>
        <v/>
      </c>
      <c r="H2017" s="51" t="str">
        <f>IF(archive!CJ2017="","",archive!CJ2017)</f>
        <v/>
      </c>
      <c r="I2017" s="51" t="str">
        <f>IF(archive!CK2017="","",archive!CK2017)</f>
        <v/>
      </c>
      <c r="J2017" s="47" t="str">
        <f t="shared" si="437"/>
        <v/>
      </c>
      <c r="K2017" s="51" t="str">
        <f t="shared" si="438"/>
        <v/>
      </c>
      <c r="L2017" s="52" t="str">
        <f t="shared" si="439"/>
        <v/>
      </c>
      <c r="M2017" s="53" t="str">
        <f t="shared" si="440"/>
        <v/>
      </c>
      <c r="N2017" s="53" t="str">
        <f t="shared" si="441"/>
        <v/>
      </c>
      <c r="O2017" s="53" t="str">
        <f t="shared" si="442"/>
        <v/>
      </c>
      <c r="P2017" s="53" t="str">
        <f t="shared" si="443"/>
        <v/>
      </c>
      <c r="Q2017" s="53" t="str">
        <f t="shared" si="444"/>
        <v/>
      </c>
      <c r="R2017" s="53" t="str">
        <f t="shared" si="445"/>
        <v/>
      </c>
      <c r="S2017" s="53" t="str">
        <f t="shared" si="446"/>
        <v/>
      </c>
      <c r="T2017" s="53" t="str">
        <f t="shared" si="447"/>
        <v/>
      </c>
    </row>
    <row r="2018" spans="1:20">
      <c r="A2018" s="47" t="str">
        <f>IF(archive!E2018="","",archive!E2018)</f>
        <v/>
      </c>
      <c r="B2018" s="48" t="str">
        <f t="shared" si="434"/>
        <v/>
      </c>
      <c r="C2018" s="49" t="str">
        <f>IF(archive!F2018="","",archive!F2018)</f>
        <v/>
      </c>
      <c r="D2018" s="50" t="str">
        <f t="shared" si="435"/>
        <v/>
      </c>
      <c r="E2018" s="50" t="str">
        <f t="shared" si="436"/>
        <v/>
      </c>
      <c r="F2018" s="47" t="str">
        <f>IF(COUNTA(archive!H2018:CI2018)=0,"",COUNTA(archive!H2018:CI2018))</f>
        <v/>
      </c>
      <c r="G2018" s="47" t="str">
        <f>IF(archive!G2018="","",archive!G2018)</f>
        <v/>
      </c>
      <c r="H2018" s="51" t="str">
        <f>IF(archive!CJ2018="","",archive!CJ2018)</f>
        <v/>
      </c>
      <c r="I2018" s="51" t="str">
        <f>IF(archive!CK2018="","",archive!CK2018)</f>
        <v/>
      </c>
      <c r="J2018" s="47" t="str">
        <f t="shared" si="437"/>
        <v/>
      </c>
      <c r="K2018" s="51" t="str">
        <f t="shared" si="438"/>
        <v/>
      </c>
      <c r="L2018" s="52" t="str">
        <f t="shared" si="439"/>
        <v/>
      </c>
      <c r="M2018" s="53" t="str">
        <f t="shared" si="440"/>
        <v/>
      </c>
      <c r="N2018" s="53" t="str">
        <f t="shared" si="441"/>
        <v/>
      </c>
      <c r="O2018" s="53" t="str">
        <f t="shared" si="442"/>
        <v/>
      </c>
      <c r="P2018" s="53" t="str">
        <f t="shared" si="443"/>
        <v/>
      </c>
      <c r="Q2018" s="53" t="str">
        <f t="shared" si="444"/>
        <v/>
      </c>
      <c r="R2018" s="53" t="str">
        <f t="shared" si="445"/>
        <v/>
      </c>
      <c r="S2018" s="53" t="str">
        <f t="shared" si="446"/>
        <v/>
      </c>
      <c r="T2018" s="53" t="str">
        <f t="shared" si="447"/>
        <v/>
      </c>
    </row>
    <row r="2019" spans="1:20">
      <c r="A2019" s="47" t="str">
        <f>IF(archive!E2019="","",archive!E2019)</f>
        <v/>
      </c>
      <c r="B2019" s="48" t="str">
        <f t="shared" si="434"/>
        <v/>
      </c>
      <c r="C2019" s="49" t="str">
        <f>IF(archive!F2019="","",archive!F2019)</f>
        <v/>
      </c>
      <c r="D2019" s="50" t="str">
        <f t="shared" si="435"/>
        <v/>
      </c>
      <c r="E2019" s="50" t="str">
        <f t="shared" si="436"/>
        <v/>
      </c>
      <c r="F2019" s="47" t="str">
        <f>IF(COUNTA(archive!H2019:CI2019)=0,"",COUNTA(archive!H2019:CI2019))</f>
        <v/>
      </c>
      <c r="G2019" s="47" t="str">
        <f>IF(archive!G2019="","",archive!G2019)</f>
        <v/>
      </c>
      <c r="H2019" s="51" t="str">
        <f>IF(archive!CJ2019="","",archive!CJ2019)</f>
        <v/>
      </c>
      <c r="I2019" s="51" t="str">
        <f>IF(archive!CK2019="","",archive!CK2019)</f>
        <v/>
      </c>
      <c r="J2019" s="47" t="str">
        <f t="shared" si="437"/>
        <v/>
      </c>
      <c r="K2019" s="51" t="str">
        <f t="shared" si="438"/>
        <v/>
      </c>
      <c r="L2019" s="52" t="str">
        <f t="shared" si="439"/>
        <v/>
      </c>
      <c r="M2019" s="53" t="str">
        <f t="shared" si="440"/>
        <v/>
      </c>
      <c r="N2019" s="53" t="str">
        <f t="shared" si="441"/>
        <v/>
      </c>
      <c r="O2019" s="53" t="str">
        <f t="shared" si="442"/>
        <v/>
      </c>
      <c r="P2019" s="53" t="str">
        <f t="shared" si="443"/>
        <v/>
      </c>
      <c r="Q2019" s="53" t="str">
        <f t="shared" si="444"/>
        <v/>
      </c>
      <c r="R2019" s="53" t="str">
        <f t="shared" si="445"/>
        <v/>
      </c>
      <c r="S2019" s="53" t="str">
        <f t="shared" si="446"/>
        <v/>
      </c>
      <c r="T2019" s="53" t="str">
        <f t="shared" si="447"/>
        <v/>
      </c>
    </row>
    <row r="2020" spans="1:20">
      <c r="A2020" s="47" t="str">
        <f>IF(archive!E2020="","",archive!E2020)</f>
        <v/>
      </c>
      <c r="B2020" s="48" t="str">
        <f t="shared" si="434"/>
        <v/>
      </c>
      <c r="C2020" s="49" t="str">
        <f>IF(archive!F2020="","",archive!F2020)</f>
        <v/>
      </c>
      <c r="D2020" s="50" t="str">
        <f t="shared" si="435"/>
        <v/>
      </c>
      <c r="E2020" s="50" t="str">
        <f t="shared" si="436"/>
        <v/>
      </c>
      <c r="F2020" s="47" t="str">
        <f>IF(COUNTA(archive!H2020:CI2020)=0,"",COUNTA(archive!H2020:CI2020))</f>
        <v/>
      </c>
      <c r="G2020" s="47" t="str">
        <f>IF(archive!G2020="","",archive!G2020)</f>
        <v/>
      </c>
      <c r="H2020" s="51" t="str">
        <f>IF(archive!CJ2020="","",archive!CJ2020)</f>
        <v/>
      </c>
      <c r="I2020" s="51" t="str">
        <f>IF(archive!CK2020="","",archive!CK2020)</f>
        <v/>
      </c>
      <c r="J2020" s="47" t="str">
        <f t="shared" si="437"/>
        <v/>
      </c>
      <c r="K2020" s="51" t="str">
        <f t="shared" si="438"/>
        <v/>
      </c>
      <c r="L2020" s="52" t="str">
        <f t="shared" si="439"/>
        <v/>
      </c>
      <c r="M2020" s="53" t="str">
        <f t="shared" si="440"/>
        <v/>
      </c>
      <c r="N2020" s="53" t="str">
        <f t="shared" si="441"/>
        <v/>
      </c>
      <c r="O2020" s="53" t="str">
        <f t="shared" si="442"/>
        <v/>
      </c>
      <c r="P2020" s="53" t="str">
        <f t="shared" si="443"/>
        <v/>
      </c>
      <c r="Q2020" s="53" t="str">
        <f t="shared" si="444"/>
        <v/>
      </c>
      <c r="R2020" s="53" t="str">
        <f t="shared" si="445"/>
        <v/>
      </c>
      <c r="S2020" s="53" t="str">
        <f t="shared" si="446"/>
        <v/>
      </c>
      <c r="T2020" s="53" t="str">
        <f t="shared" si="447"/>
        <v/>
      </c>
    </row>
    <row r="2021" spans="1:20">
      <c r="A2021" s="47" t="str">
        <f>IF(archive!E2021="","",archive!E2021)</f>
        <v/>
      </c>
      <c r="B2021" s="48" t="str">
        <f t="shared" si="434"/>
        <v/>
      </c>
      <c r="C2021" s="49" t="str">
        <f>IF(archive!F2021="","",archive!F2021)</f>
        <v/>
      </c>
      <c r="D2021" s="50" t="str">
        <f t="shared" si="435"/>
        <v/>
      </c>
      <c r="E2021" s="50" t="str">
        <f t="shared" si="436"/>
        <v/>
      </c>
      <c r="F2021" s="47" t="str">
        <f>IF(COUNTA(archive!H2021:CI2021)=0,"",COUNTA(archive!H2021:CI2021))</f>
        <v/>
      </c>
      <c r="G2021" s="47" t="str">
        <f>IF(archive!G2021="","",archive!G2021)</f>
        <v/>
      </c>
      <c r="H2021" s="51" t="str">
        <f>IF(archive!CJ2021="","",archive!CJ2021)</f>
        <v/>
      </c>
      <c r="I2021" s="51" t="str">
        <f>IF(archive!CK2021="","",archive!CK2021)</f>
        <v/>
      </c>
      <c r="J2021" s="47" t="str">
        <f t="shared" si="437"/>
        <v/>
      </c>
      <c r="K2021" s="51" t="str">
        <f t="shared" si="438"/>
        <v/>
      </c>
      <c r="L2021" s="52" t="str">
        <f t="shared" si="439"/>
        <v/>
      </c>
      <c r="M2021" s="53" t="str">
        <f t="shared" si="440"/>
        <v/>
      </c>
      <c r="N2021" s="53" t="str">
        <f t="shared" si="441"/>
        <v/>
      </c>
      <c r="O2021" s="53" t="str">
        <f t="shared" si="442"/>
        <v/>
      </c>
      <c r="P2021" s="53" t="str">
        <f t="shared" si="443"/>
        <v/>
      </c>
      <c r="Q2021" s="53" t="str">
        <f t="shared" si="444"/>
        <v/>
      </c>
      <c r="R2021" s="53" t="str">
        <f t="shared" si="445"/>
        <v/>
      </c>
      <c r="S2021" s="53" t="str">
        <f t="shared" si="446"/>
        <v/>
      </c>
      <c r="T2021" s="53" t="str">
        <f t="shared" si="447"/>
        <v/>
      </c>
    </row>
    <row r="2022" spans="1:20">
      <c r="A2022" s="47" t="str">
        <f>IF(archive!E2022="","",archive!E2022)</f>
        <v/>
      </c>
      <c r="B2022" s="48" t="str">
        <f t="shared" si="434"/>
        <v/>
      </c>
      <c r="C2022" s="49" t="str">
        <f>IF(archive!F2022="","",archive!F2022)</f>
        <v/>
      </c>
      <c r="D2022" s="50" t="str">
        <f t="shared" si="435"/>
        <v/>
      </c>
      <c r="E2022" s="50" t="str">
        <f t="shared" si="436"/>
        <v/>
      </c>
      <c r="F2022" s="47" t="str">
        <f>IF(COUNTA(archive!H2022:CI2022)=0,"",COUNTA(archive!H2022:CI2022))</f>
        <v/>
      </c>
      <c r="G2022" s="47" t="str">
        <f>IF(archive!G2022="","",archive!G2022)</f>
        <v/>
      </c>
      <c r="H2022" s="51" t="str">
        <f>IF(archive!CJ2022="","",archive!CJ2022)</f>
        <v/>
      </c>
      <c r="I2022" s="51" t="str">
        <f>IF(archive!CK2022="","",archive!CK2022)</f>
        <v/>
      </c>
      <c r="J2022" s="47" t="str">
        <f t="shared" si="437"/>
        <v/>
      </c>
      <c r="K2022" s="51" t="str">
        <f t="shared" si="438"/>
        <v/>
      </c>
      <c r="L2022" s="52" t="str">
        <f t="shared" si="439"/>
        <v/>
      </c>
      <c r="M2022" s="53" t="str">
        <f t="shared" si="440"/>
        <v/>
      </c>
      <c r="N2022" s="53" t="str">
        <f t="shared" si="441"/>
        <v/>
      </c>
      <c r="O2022" s="53" t="str">
        <f t="shared" si="442"/>
        <v/>
      </c>
      <c r="P2022" s="53" t="str">
        <f t="shared" si="443"/>
        <v/>
      </c>
      <c r="Q2022" s="53" t="str">
        <f t="shared" si="444"/>
        <v/>
      </c>
      <c r="R2022" s="53" t="str">
        <f t="shared" si="445"/>
        <v/>
      </c>
      <c r="S2022" s="53" t="str">
        <f t="shared" si="446"/>
        <v/>
      </c>
      <c r="T2022" s="53" t="str">
        <f t="shared" si="447"/>
        <v/>
      </c>
    </row>
    <row r="2023" spans="1:20">
      <c r="A2023" s="47" t="str">
        <f>IF(archive!E2023="","",archive!E2023)</f>
        <v/>
      </c>
      <c r="B2023" s="48" t="str">
        <f t="shared" si="434"/>
        <v/>
      </c>
      <c r="C2023" s="49" t="str">
        <f>IF(archive!F2023="","",archive!F2023)</f>
        <v/>
      </c>
      <c r="D2023" s="50" t="str">
        <f t="shared" si="435"/>
        <v/>
      </c>
      <c r="E2023" s="50" t="str">
        <f t="shared" si="436"/>
        <v/>
      </c>
      <c r="F2023" s="47" t="str">
        <f>IF(COUNTA(archive!H2023:CI2023)=0,"",COUNTA(archive!H2023:CI2023))</f>
        <v/>
      </c>
      <c r="G2023" s="47" t="str">
        <f>IF(archive!G2023="","",archive!G2023)</f>
        <v/>
      </c>
      <c r="H2023" s="51" t="str">
        <f>IF(archive!CJ2023="","",archive!CJ2023)</f>
        <v/>
      </c>
      <c r="I2023" s="51" t="str">
        <f>IF(archive!CK2023="","",archive!CK2023)</f>
        <v/>
      </c>
      <c r="J2023" s="47" t="str">
        <f t="shared" si="437"/>
        <v/>
      </c>
      <c r="K2023" s="51" t="str">
        <f t="shared" si="438"/>
        <v/>
      </c>
      <c r="L2023" s="52" t="str">
        <f t="shared" si="439"/>
        <v/>
      </c>
      <c r="M2023" s="53" t="str">
        <f t="shared" si="440"/>
        <v/>
      </c>
      <c r="N2023" s="53" t="str">
        <f t="shared" si="441"/>
        <v/>
      </c>
      <c r="O2023" s="53" t="str">
        <f t="shared" si="442"/>
        <v/>
      </c>
      <c r="P2023" s="53" t="str">
        <f t="shared" si="443"/>
        <v/>
      </c>
      <c r="Q2023" s="53" t="str">
        <f t="shared" si="444"/>
        <v/>
      </c>
      <c r="R2023" s="53" t="str">
        <f t="shared" si="445"/>
        <v/>
      </c>
      <c r="S2023" s="53" t="str">
        <f t="shared" si="446"/>
        <v/>
      </c>
      <c r="T2023" s="53" t="str">
        <f t="shared" si="447"/>
        <v/>
      </c>
    </row>
    <row r="2024" spans="1:20">
      <c r="A2024" s="47" t="str">
        <f>IF(archive!E2024="","",archive!E2024)</f>
        <v/>
      </c>
      <c r="B2024" s="48" t="str">
        <f t="shared" si="434"/>
        <v/>
      </c>
      <c r="C2024" s="49" t="str">
        <f>IF(archive!F2024="","",archive!F2024)</f>
        <v/>
      </c>
      <c r="D2024" s="50" t="str">
        <f t="shared" si="435"/>
        <v/>
      </c>
      <c r="E2024" s="50" t="str">
        <f t="shared" si="436"/>
        <v/>
      </c>
      <c r="F2024" s="47" t="str">
        <f>IF(COUNTA(archive!H2024:CI2024)=0,"",COUNTA(archive!H2024:CI2024))</f>
        <v/>
      </c>
      <c r="G2024" s="47" t="str">
        <f>IF(archive!G2024="","",archive!G2024)</f>
        <v/>
      </c>
      <c r="H2024" s="51" t="str">
        <f>IF(archive!CJ2024="","",archive!CJ2024)</f>
        <v/>
      </c>
      <c r="I2024" s="51" t="str">
        <f>IF(archive!CK2024="","",archive!CK2024)</f>
        <v/>
      </c>
      <c r="J2024" s="47" t="str">
        <f t="shared" si="437"/>
        <v/>
      </c>
      <c r="K2024" s="51" t="str">
        <f t="shared" si="438"/>
        <v/>
      </c>
      <c r="L2024" s="52" t="str">
        <f t="shared" si="439"/>
        <v/>
      </c>
      <c r="M2024" s="53" t="str">
        <f t="shared" si="440"/>
        <v/>
      </c>
      <c r="N2024" s="53" t="str">
        <f t="shared" si="441"/>
        <v/>
      </c>
      <c r="O2024" s="53" t="str">
        <f t="shared" si="442"/>
        <v/>
      </c>
      <c r="P2024" s="53" t="str">
        <f t="shared" si="443"/>
        <v/>
      </c>
      <c r="Q2024" s="53" t="str">
        <f t="shared" si="444"/>
        <v/>
      </c>
      <c r="R2024" s="53" t="str">
        <f t="shared" si="445"/>
        <v/>
      </c>
      <c r="S2024" s="53" t="str">
        <f t="shared" si="446"/>
        <v/>
      </c>
      <c r="T2024" s="53" t="str">
        <f t="shared" si="447"/>
        <v/>
      </c>
    </row>
    <row r="2025" spans="1:20">
      <c r="A2025" s="47" t="str">
        <f>IF(archive!E2025="","",archive!E2025)</f>
        <v/>
      </c>
      <c r="B2025" s="48" t="str">
        <f t="shared" si="434"/>
        <v/>
      </c>
      <c r="C2025" s="49" t="str">
        <f>IF(archive!F2025="","",archive!F2025)</f>
        <v/>
      </c>
      <c r="D2025" s="50" t="str">
        <f t="shared" si="435"/>
        <v/>
      </c>
      <c r="E2025" s="50" t="str">
        <f t="shared" si="436"/>
        <v/>
      </c>
      <c r="F2025" s="47" t="str">
        <f>IF(COUNTA(archive!H2025:CI2025)=0,"",COUNTA(archive!H2025:CI2025))</f>
        <v/>
      </c>
      <c r="G2025" s="47" t="str">
        <f>IF(archive!G2025="","",archive!G2025)</f>
        <v/>
      </c>
      <c r="H2025" s="51" t="str">
        <f>IF(archive!CJ2025="","",archive!CJ2025)</f>
        <v/>
      </c>
      <c r="I2025" s="51" t="str">
        <f>IF(archive!CK2025="","",archive!CK2025)</f>
        <v/>
      </c>
      <c r="J2025" s="47" t="str">
        <f t="shared" si="437"/>
        <v/>
      </c>
      <c r="K2025" s="51" t="str">
        <f t="shared" si="438"/>
        <v/>
      </c>
      <c r="L2025" s="52" t="str">
        <f t="shared" si="439"/>
        <v/>
      </c>
      <c r="M2025" s="53" t="str">
        <f t="shared" si="440"/>
        <v/>
      </c>
      <c r="N2025" s="53" t="str">
        <f t="shared" si="441"/>
        <v/>
      </c>
      <c r="O2025" s="53" t="str">
        <f t="shared" si="442"/>
        <v/>
      </c>
      <c r="P2025" s="53" t="str">
        <f t="shared" si="443"/>
        <v/>
      </c>
      <c r="Q2025" s="53" t="str">
        <f t="shared" si="444"/>
        <v/>
      </c>
      <c r="R2025" s="53" t="str">
        <f t="shared" si="445"/>
        <v/>
      </c>
      <c r="S2025" s="53" t="str">
        <f t="shared" si="446"/>
        <v/>
      </c>
      <c r="T2025" s="53" t="str">
        <f t="shared" si="447"/>
        <v/>
      </c>
    </row>
    <row r="2026" spans="1:20">
      <c r="A2026" s="47" t="str">
        <f>IF(archive!E2026="","",archive!E2026)</f>
        <v/>
      </c>
      <c r="B2026" s="48" t="str">
        <f t="shared" si="434"/>
        <v/>
      </c>
      <c r="C2026" s="49" t="str">
        <f>IF(archive!F2026="","",archive!F2026)</f>
        <v/>
      </c>
      <c r="D2026" s="50" t="str">
        <f t="shared" si="435"/>
        <v/>
      </c>
      <c r="E2026" s="50" t="str">
        <f t="shared" si="436"/>
        <v/>
      </c>
      <c r="F2026" s="47" t="str">
        <f>IF(COUNTA(archive!H2026:CI2026)=0,"",COUNTA(archive!H2026:CI2026))</f>
        <v/>
      </c>
      <c r="G2026" s="47" t="str">
        <f>IF(archive!G2026="","",archive!G2026)</f>
        <v/>
      </c>
      <c r="H2026" s="51" t="str">
        <f>IF(archive!CJ2026="","",archive!CJ2026)</f>
        <v/>
      </c>
      <c r="I2026" s="51" t="str">
        <f>IF(archive!CK2026="","",archive!CK2026)</f>
        <v/>
      </c>
      <c r="J2026" s="47" t="str">
        <f t="shared" si="437"/>
        <v/>
      </c>
      <c r="K2026" s="51" t="str">
        <f t="shared" si="438"/>
        <v/>
      </c>
      <c r="L2026" s="52" t="str">
        <f t="shared" si="439"/>
        <v/>
      </c>
      <c r="M2026" s="53" t="str">
        <f t="shared" si="440"/>
        <v/>
      </c>
      <c r="N2026" s="53" t="str">
        <f t="shared" si="441"/>
        <v/>
      </c>
      <c r="O2026" s="53" t="str">
        <f t="shared" si="442"/>
        <v/>
      </c>
      <c r="P2026" s="53" t="str">
        <f t="shared" si="443"/>
        <v/>
      </c>
      <c r="Q2026" s="53" t="str">
        <f t="shared" si="444"/>
        <v/>
      </c>
      <c r="R2026" s="53" t="str">
        <f t="shared" si="445"/>
        <v/>
      </c>
      <c r="S2026" s="53" t="str">
        <f t="shared" si="446"/>
        <v/>
      </c>
      <c r="T2026" s="53" t="str">
        <f t="shared" si="447"/>
        <v/>
      </c>
    </row>
    <row r="2027" spans="1:20">
      <c r="A2027" s="47" t="str">
        <f>IF(archive!E2027="","",archive!E2027)</f>
        <v/>
      </c>
      <c r="B2027" s="48" t="str">
        <f t="shared" si="434"/>
        <v/>
      </c>
      <c r="C2027" s="49" t="str">
        <f>IF(archive!F2027="","",archive!F2027)</f>
        <v/>
      </c>
      <c r="D2027" s="50" t="str">
        <f t="shared" si="435"/>
        <v/>
      </c>
      <c r="E2027" s="50" t="str">
        <f t="shared" si="436"/>
        <v/>
      </c>
      <c r="F2027" s="47" t="str">
        <f>IF(COUNTA(archive!H2027:CI2027)=0,"",COUNTA(archive!H2027:CI2027))</f>
        <v/>
      </c>
      <c r="G2027" s="47" t="str">
        <f>IF(archive!G2027="","",archive!G2027)</f>
        <v/>
      </c>
      <c r="H2027" s="51" t="str">
        <f>IF(archive!CJ2027="","",archive!CJ2027)</f>
        <v/>
      </c>
      <c r="I2027" s="51" t="str">
        <f>IF(archive!CK2027="","",archive!CK2027)</f>
        <v/>
      </c>
      <c r="J2027" s="47" t="str">
        <f t="shared" si="437"/>
        <v/>
      </c>
      <c r="K2027" s="51" t="str">
        <f t="shared" si="438"/>
        <v/>
      </c>
      <c r="L2027" s="52" t="str">
        <f t="shared" si="439"/>
        <v/>
      </c>
      <c r="M2027" s="53" t="str">
        <f t="shared" si="440"/>
        <v/>
      </c>
      <c r="N2027" s="53" t="str">
        <f t="shared" si="441"/>
        <v/>
      </c>
      <c r="O2027" s="53" t="str">
        <f t="shared" si="442"/>
        <v/>
      </c>
      <c r="P2027" s="53" t="str">
        <f t="shared" si="443"/>
        <v/>
      </c>
      <c r="Q2027" s="53" t="str">
        <f t="shared" si="444"/>
        <v/>
      </c>
      <c r="R2027" s="53" t="str">
        <f t="shared" si="445"/>
        <v/>
      </c>
      <c r="S2027" s="53" t="str">
        <f t="shared" si="446"/>
        <v/>
      </c>
      <c r="T2027" s="53" t="str">
        <f t="shared" si="447"/>
        <v/>
      </c>
    </row>
    <row r="2028" spans="1:20">
      <c r="A2028" s="47" t="str">
        <f>IF(archive!E2028="","",archive!E2028)</f>
        <v/>
      </c>
      <c r="B2028" s="48" t="str">
        <f t="shared" si="434"/>
        <v/>
      </c>
      <c r="C2028" s="49" t="str">
        <f>IF(archive!F2028="","",archive!F2028)</f>
        <v/>
      </c>
      <c r="D2028" s="50" t="str">
        <f t="shared" si="435"/>
        <v/>
      </c>
      <c r="E2028" s="50" t="str">
        <f t="shared" si="436"/>
        <v/>
      </c>
      <c r="F2028" s="47" t="str">
        <f>IF(COUNTA(archive!H2028:CI2028)=0,"",COUNTA(archive!H2028:CI2028))</f>
        <v/>
      </c>
      <c r="G2028" s="47" t="str">
        <f>IF(archive!G2028="","",archive!G2028)</f>
        <v/>
      </c>
      <c r="H2028" s="51" t="str">
        <f>IF(archive!CJ2028="","",archive!CJ2028)</f>
        <v/>
      </c>
      <c r="I2028" s="51" t="str">
        <f>IF(archive!CK2028="","",archive!CK2028)</f>
        <v/>
      </c>
      <c r="J2028" s="47" t="str">
        <f t="shared" si="437"/>
        <v/>
      </c>
      <c r="K2028" s="51" t="str">
        <f t="shared" si="438"/>
        <v/>
      </c>
      <c r="L2028" s="52" t="str">
        <f t="shared" si="439"/>
        <v/>
      </c>
      <c r="M2028" s="53" t="str">
        <f t="shared" si="440"/>
        <v/>
      </c>
      <c r="N2028" s="53" t="str">
        <f t="shared" si="441"/>
        <v/>
      </c>
      <c r="O2028" s="53" t="str">
        <f t="shared" si="442"/>
        <v/>
      </c>
      <c r="P2028" s="53" t="str">
        <f t="shared" si="443"/>
        <v/>
      </c>
      <c r="Q2028" s="53" t="str">
        <f t="shared" si="444"/>
        <v/>
      </c>
      <c r="R2028" s="53" t="str">
        <f t="shared" si="445"/>
        <v/>
      </c>
      <c r="S2028" s="53" t="str">
        <f t="shared" si="446"/>
        <v/>
      </c>
      <c r="T2028" s="53" t="str">
        <f t="shared" si="447"/>
        <v/>
      </c>
    </row>
    <row r="2029" spans="1:20">
      <c r="A2029" s="47" t="str">
        <f>IF(archive!E2029="","",archive!E2029)</f>
        <v/>
      </c>
      <c r="B2029" s="48" t="str">
        <f t="shared" si="434"/>
        <v/>
      </c>
      <c r="C2029" s="49" t="str">
        <f>IF(archive!F2029="","",archive!F2029)</f>
        <v/>
      </c>
      <c r="D2029" s="50" t="str">
        <f t="shared" si="435"/>
        <v/>
      </c>
      <c r="E2029" s="50" t="str">
        <f t="shared" si="436"/>
        <v/>
      </c>
      <c r="F2029" s="47" t="str">
        <f>IF(COUNTA(archive!H2029:CI2029)=0,"",COUNTA(archive!H2029:CI2029))</f>
        <v/>
      </c>
      <c r="G2029" s="47" t="str">
        <f>IF(archive!G2029="","",archive!G2029)</f>
        <v/>
      </c>
      <c r="H2029" s="51" t="str">
        <f>IF(archive!CJ2029="","",archive!CJ2029)</f>
        <v/>
      </c>
      <c r="I2029" s="51" t="str">
        <f>IF(archive!CK2029="","",archive!CK2029)</f>
        <v/>
      </c>
      <c r="J2029" s="47" t="str">
        <f t="shared" si="437"/>
        <v/>
      </c>
      <c r="K2029" s="51" t="str">
        <f t="shared" si="438"/>
        <v/>
      </c>
      <c r="L2029" s="52" t="str">
        <f t="shared" si="439"/>
        <v/>
      </c>
      <c r="M2029" s="53" t="str">
        <f t="shared" si="440"/>
        <v/>
      </c>
      <c r="N2029" s="53" t="str">
        <f t="shared" si="441"/>
        <v/>
      </c>
      <c r="O2029" s="53" t="str">
        <f t="shared" si="442"/>
        <v/>
      </c>
      <c r="P2029" s="53" t="str">
        <f t="shared" si="443"/>
        <v/>
      </c>
      <c r="Q2029" s="53" t="str">
        <f t="shared" si="444"/>
        <v/>
      </c>
      <c r="R2029" s="53" t="str">
        <f t="shared" si="445"/>
        <v/>
      </c>
      <c r="S2029" s="53" t="str">
        <f t="shared" si="446"/>
        <v/>
      </c>
      <c r="T2029" s="53" t="str">
        <f t="shared" si="447"/>
        <v/>
      </c>
    </row>
    <row r="2030" spans="1:20">
      <c r="A2030" s="47" t="str">
        <f>IF(archive!E2030="","",archive!E2030)</f>
        <v/>
      </c>
      <c r="B2030" s="48" t="str">
        <f t="shared" si="434"/>
        <v/>
      </c>
      <c r="C2030" s="49" t="str">
        <f>IF(archive!F2030="","",archive!F2030)</f>
        <v/>
      </c>
      <c r="D2030" s="50" t="str">
        <f t="shared" si="435"/>
        <v/>
      </c>
      <c r="E2030" s="50" t="str">
        <f t="shared" si="436"/>
        <v/>
      </c>
      <c r="F2030" s="47" t="str">
        <f>IF(COUNTA(archive!H2030:CI2030)=0,"",COUNTA(archive!H2030:CI2030))</f>
        <v/>
      </c>
      <c r="G2030" s="47" t="str">
        <f>IF(archive!G2030="","",archive!G2030)</f>
        <v/>
      </c>
      <c r="H2030" s="51" t="str">
        <f>IF(archive!CJ2030="","",archive!CJ2030)</f>
        <v/>
      </c>
      <c r="I2030" s="51" t="str">
        <f>IF(archive!CK2030="","",archive!CK2030)</f>
        <v/>
      </c>
      <c r="J2030" s="47" t="str">
        <f t="shared" si="437"/>
        <v/>
      </c>
      <c r="K2030" s="51" t="str">
        <f t="shared" si="438"/>
        <v/>
      </c>
      <c r="L2030" s="52" t="str">
        <f t="shared" si="439"/>
        <v/>
      </c>
      <c r="M2030" s="53" t="str">
        <f t="shared" si="440"/>
        <v/>
      </c>
      <c r="N2030" s="53" t="str">
        <f t="shared" si="441"/>
        <v/>
      </c>
      <c r="O2030" s="53" t="str">
        <f t="shared" si="442"/>
        <v/>
      </c>
      <c r="P2030" s="53" t="str">
        <f t="shared" si="443"/>
        <v/>
      </c>
      <c r="Q2030" s="53" t="str">
        <f t="shared" si="444"/>
        <v/>
      </c>
      <c r="R2030" s="53" t="str">
        <f t="shared" si="445"/>
        <v/>
      </c>
      <c r="S2030" s="53" t="str">
        <f t="shared" si="446"/>
        <v/>
      </c>
      <c r="T2030" s="53" t="str">
        <f t="shared" si="447"/>
        <v/>
      </c>
    </row>
    <row r="2031" spans="1:20">
      <c r="A2031" s="47" t="str">
        <f>IF(archive!E2031="","",archive!E2031)</f>
        <v/>
      </c>
      <c r="B2031" s="48" t="str">
        <f t="shared" si="434"/>
        <v/>
      </c>
      <c r="C2031" s="49" t="str">
        <f>IF(archive!F2031="","",archive!F2031)</f>
        <v/>
      </c>
      <c r="D2031" s="50" t="str">
        <f t="shared" si="435"/>
        <v/>
      </c>
      <c r="E2031" s="50" t="str">
        <f t="shared" si="436"/>
        <v/>
      </c>
      <c r="F2031" s="47" t="str">
        <f>IF(COUNTA(archive!H2031:CI2031)=0,"",COUNTA(archive!H2031:CI2031))</f>
        <v/>
      </c>
      <c r="G2031" s="47" t="str">
        <f>IF(archive!G2031="","",archive!G2031)</f>
        <v/>
      </c>
      <c r="H2031" s="51" t="str">
        <f>IF(archive!CJ2031="","",archive!CJ2031)</f>
        <v/>
      </c>
      <c r="I2031" s="51" t="str">
        <f>IF(archive!CK2031="","",archive!CK2031)</f>
        <v/>
      </c>
      <c r="J2031" s="47" t="str">
        <f t="shared" si="437"/>
        <v/>
      </c>
      <c r="K2031" s="51" t="str">
        <f t="shared" si="438"/>
        <v/>
      </c>
      <c r="L2031" s="52" t="str">
        <f t="shared" si="439"/>
        <v/>
      </c>
      <c r="M2031" s="53" t="str">
        <f t="shared" si="440"/>
        <v/>
      </c>
      <c r="N2031" s="53" t="str">
        <f t="shared" si="441"/>
        <v/>
      </c>
      <c r="O2031" s="53" t="str">
        <f t="shared" si="442"/>
        <v/>
      </c>
      <c r="P2031" s="53" t="str">
        <f t="shared" si="443"/>
        <v/>
      </c>
      <c r="Q2031" s="53" t="str">
        <f t="shared" si="444"/>
        <v/>
      </c>
      <c r="R2031" s="53" t="str">
        <f t="shared" si="445"/>
        <v/>
      </c>
      <c r="S2031" s="53" t="str">
        <f t="shared" si="446"/>
        <v/>
      </c>
      <c r="T2031" s="53" t="str">
        <f t="shared" si="447"/>
        <v/>
      </c>
    </row>
    <row r="2032" spans="1:20">
      <c r="A2032" s="47" t="str">
        <f>IF(archive!E2032="","",archive!E2032)</f>
        <v/>
      </c>
      <c r="B2032" s="48" t="str">
        <f t="shared" si="434"/>
        <v/>
      </c>
      <c r="C2032" s="49" t="str">
        <f>IF(archive!F2032="","",archive!F2032)</f>
        <v/>
      </c>
      <c r="D2032" s="50" t="str">
        <f t="shared" si="435"/>
        <v/>
      </c>
      <c r="E2032" s="50" t="str">
        <f t="shared" si="436"/>
        <v/>
      </c>
      <c r="F2032" s="47" t="str">
        <f>IF(COUNTA(archive!H2032:CI2032)=0,"",COUNTA(archive!H2032:CI2032))</f>
        <v/>
      </c>
      <c r="G2032" s="47" t="str">
        <f>IF(archive!G2032="","",archive!G2032)</f>
        <v/>
      </c>
      <c r="H2032" s="51" t="str">
        <f>IF(archive!CJ2032="","",archive!CJ2032)</f>
        <v/>
      </c>
      <c r="I2032" s="51" t="str">
        <f>IF(archive!CK2032="","",archive!CK2032)</f>
        <v/>
      </c>
      <c r="J2032" s="47" t="str">
        <f t="shared" si="437"/>
        <v/>
      </c>
      <c r="K2032" s="51" t="str">
        <f t="shared" si="438"/>
        <v/>
      </c>
      <c r="L2032" s="52" t="str">
        <f t="shared" si="439"/>
        <v/>
      </c>
      <c r="M2032" s="53" t="str">
        <f t="shared" si="440"/>
        <v/>
      </c>
      <c r="N2032" s="53" t="str">
        <f t="shared" si="441"/>
        <v/>
      </c>
      <c r="O2032" s="53" t="str">
        <f t="shared" si="442"/>
        <v/>
      </c>
      <c r="P2032" s="53" t="str">
        <f t="shared" si="443"/>
        <v/>
      </c>
      <c r="Q2032" s="53" t="str">
        <f t="shared" si="444"/>
        <v/>
      </c>
      <c r="R2032" s="53" t="str">
        <f t="shared" si="445"/>
        <v/>
      </c>
      <c r="S2032" s="53" t="str">
        <f t="shared" si="446"/>
        <v/>
      </c>
      <c r="T2032" s="53" t="str">
        <f t="shared" si="447"/>
        <v/>
      </c>
    </row>
    <row r="2033" spans="1:20">
      <c r="A2033" s="47" t="str">
        <f>IF(archive!E2033="","",archive!E2033)</f>
        <v/>
      </c>
      <c r="B2033" s="48" t="str">
        <f t="shared" si="434"/>
        <v/>
      </c>
      <c r="C2033" s="49" t="str">
        <f>IF(archive!F2033="","",archive!F2033)</f>
        <v/>
      </c>
      <c r="D2033" s="50" t="str">
        <f t="shared" si="435"/>
        <v/>
      </c>
      <c r="E2033" s="50" t="str">
        <f t="shared" si="436"/>
        <v/>
      </c>
      <c r="F2033" s="47" t="str">
        <f>IF(COUNTA(archive!H2033:CI2033)=0,"",COUNTA(archive!H2033:CI2033))</f>
        <v/>
      </c>
      <c r="G2033" s="47" t="str">
        <f>IF(archive!G2033="","",archive!G2033)</f>
        <v/>
      </c>
      <c r="H2033" s="51" t="str">
        <f>IF(archive!CJ2033="","",archive!CJ2033)</f>
        <v/>
      </c>
      <c r="I2033" s="51" t="str">
        <f>IF(archive!CK2033="","",archive!CK2033)</f>
        <v/>
      </c>
      <c r="J2033" s="47" t="str">
        <f t="shared" si="437"/>
        <v/>
      </c>
      <c r="K2033" s="51" t="str">
        <f t="shared" si="438"/>
        <v/>
      </c>
      <c r="L2033" s="52" t="str">
        <f t="shared" si="439"/>
        <v/>
      </c>
      <c r="M2033" s="53" t="str">
        <f t="shared" si="440"/>
        <v/>
      </c>
      <c r="N2033" s="53" t="str">
        <f t="shared" si="441"/>
        <v/>
      </c>
      <c r="O2033" s="53" t="str">
        <f t="shared" si="442"/>
        <v/>
      </c>
      <c r="P2033" s="53" t="str">
        <f t="shared" si="443"/>
        <v/>
      </c>
      <c r="Q2033" s="53" t="str">
        <f t="shared" si="444"/>
        <v/>
      </c>
      <c r="R2033" s="53" t="str">
        <f t="shared" si="445"/>
        <v/>
      </c>
      <c r="S2033" s="53" t="str">
        <f t="shared" si="446"/>
        <v/>
      </c>
      <c r="T2033" s="53" t="str">
        <f t="shared" si="447"/>
        <v/>
      </c>
    </row>
    <row r="2034" spans="1:20">
      <c r="A2034" s="47" t="str">
        <f>IF(archive!E2034="","",archive!E2034)</f>
        <v/>
      </c>
      <c r="B2034" s="48" t="str">
        <f t="shared" si="434"/>
        <v/>
      </c>
      <c r="C2034" s="49" t="str">
        <f>IF(archive!F2034="","",archive!F2034)</f>
        <v/>
      </c>
      <c r="D2034" s="50" t="str">
        <f t="shared" si="435"/>
        <v/>
      </c>
      <c r="E2034" s="50" t="str">
        <f t="shared" si="436"/>
        <v/>
      </c>
      <c r="F2034" s="47" t="str">
        <f>IF(COUNTA(archive!H2034:CI2034)=0,"",COUNTA(archive!H2034:CI2034))</f>
        <v/>
      </c>
      <c r="G2034" s="47" t="str">
        <f>IF(archive!G2034="","",archive!G2034)</f>
        <v/>
      </c>
      <c r="H2034" s="51" t="str">
        <f>IF(archive!CJ2034="","",archive!CJ2034)</f>
        <v/>
      </c>
      <c r="I2034" s="51" t="str">
        <f>IF(archive!CK2034="","",archive!CK2034)</f>
        <v/>
      </c>
      <c r="J2034" s="47" t="str">
        <f t="shared" si="437"/>
        <v/>
      </c>
      <c r="K2034" s="51" t="str">
        <f t="shared" si="438"/>
        <v/>
      </c>
      <c r="L2034" s="52" t="str">
        <f t="shared" si="439"/>
        <v/>
      </c>
      <c r="M2034" s="53" t="str">
        <f t="shared" si="440"/>
        <v/>
      </c>
      <c r="N2034" s="53" t="str">
        <f t="shared" si="441"/>
        <v/>
      </c>
      <c r="O2034" s="53" t="str">
        <f t="shared" si="442"/>
        <v/>
      </c>
      <c r="P2034" s="53" t="str">
        <f t="shared" si="443"/>
        <v/>
      </c>
      <c r="Q2034" s="53" t="str">
        <f t="shared" si="444"/>
        <v/>
      </c>
      <c r="R2034" s="53" t="str">
        <f t="shared" si="445"/>
        <v/>
      </c>
      <c r="S2034" s="53" t="str">
        <f t="shared" si="446"/>
        <v/>
      </c>
      <c r="T2034" s="53" t="str">
        <f t="shared" si="447"/>
        <v/>
      </c>
    </row>
    <row r="2035" spans="1:20">
      <c r="A2035" s="47" t="str">
        <f>IF(archive!E2035="","",archive!E2035)</f>
        <v/>
      </c>
      <c r="B2035" s="48" t="str">
        <f t="shared" si="434"/>
        <v/>
      </c>
      <c r="C2035" s="49" t="str">
        <f>IF(archive!F2035="","",archive!F2035)</f>
        <v/>
      </c>
      <c r="D2035" s="50" t="str">
        <f t="shared" si="435"/>
        <v/>
      </c>
      <c r="E2035" s="50" t="str">
        <f t="shared" si="436"/>
        <v/>
      </c>
      <c r="F2035" s="47" t="str">
        <f>IF(COUNTA(archive!H2035:CI2035)=0,"",COUNTA(archive!H2035:CI2035))</f>
        <v/>
      </c>
      <c r="G2035" s="47" t="str">
        <f>IF(archive!G2035="","",archive!G2035)</f>
        <v/>
      </c>
      <c r="H2035" s="51" t="str">
        <f>IF(archive!CJ2035="","",archive!CJ2035)</f>
        <v/>
      </c>
      <c r="I2035" s="51" t="str">
        <f>IF(archive!CK2035="","",archive!CK2035)</f>
        <v/>
      </c>
      <c r="J2035" s="47" t="str">
        <f t="shared" si="437"/>
        <v/>
      </c>
      <c r="K2035" s="51" t="str">
        <f t="shared" si="438"/>
        <v/>
      </c>
      <c r="L2035" s="52" t="str">
        <f t="shared" si="439"/>
        <v/>
      </c>
      <c r="M2035" s="53" t="str">
        <f t="shared" si="440"/>
        <v/>
      </c>
      <c r="N2035" s="53" t="str">
        <f t="shared" si="441"/>
        <v/>
      </c>
      <c r="O2035" s="53" t="str">
        <f t="shared" si="442"/>
        <v/>
      </c>
      <c r="P2035" s="53" t="str">
        <f t="shared" si="443"/>
        <v/>
      </c>
      <c r="Q2035" s="53" t="str">
        <f t="shared" si="444"/>
        <v/>
      </c>
      <c r="R2035" s="53" t="str">
        <f t="shared" si="445"/>
        <v/>
      </c>
      <c r="S2035" s="53" t="str">
        <f t="shared" si="446"/>
        <v/>
      </c>
      <c r="T2035" s="53" t="str">
        <f t="shared" si="447"/>
        <v/>
      </c>
    </row>
    <row r="2036" spans="1:20">
      <c r="A2036" s="47" t="str">
        <f>IF(archive!E2036="","",archive!E2036)</f>
        <v/>
      </c>
      <c r="B2036" s="48" t="str">
        <f t="shared" si="434"/>
        <v/>
      </c>
      <c r="C2036" s="49" t="str">
        <f>IF(archive!F2036="","",archive!F2036)</f>
        <v/>
      </c>
      <c r="D2036" s="50" t="str">
        <f t="shared" si="435"/>
        <v/>
      </c>
      <c r="E2036" s="50" t="str">
        <f t="shared" si="436"/>
        <v/>
      </c>
      <c r="F2036" s="47" t="str">
        <f>IF(COUNTA(archive!H2036:CI2036)=0,"",COUNTA(archive!H2036:CI2036))</f>
        <v/>
      </c>
      <c r="G2036" s="47" t="str">
        <f>IF(archive!G2036="","",archive!G2036)</f>
        <v/>
      </c>
      <c r="H2036" s="51" t="str">
        <f>IF(archive!CJ2036="","",archive!CJ2036)</f>
        <v/>
      </c>
      <c r="I2036" s="51" t="str">
        <f>IF(archive!CK2036="","",archive!CK2036)</f>
        <v/>
      </c>
      <c r="J2036" s="47" t="str">
        <f t="shared" si="437"/>
        <v/>
      </c>
      <c r="K2036" s="51" t="str">
        <f t="shared" si="438"/>
        <v/>
      </c>
      <c r="L2036" s="52" t="str">
        <f t="shared" si="439"/>
        <v/>
      </c>
      <c r="M2036" s="53" t="str">
        <f t="shared" si="440"/>
        <v/>
      </c>
      <c r="N2036" s="53" t="str">
        <f t="shared" si="441"/>
        <v/>
      </c>
      <c r="O2036" s="53" t="str">
        <f t="shared" si="442"/>
        <v/>
      </c>
      <c r="P2036" s="53" t="str">
        <f t="shared" si="443"/>
        <v/>
      </c>
      <c r="Q2036" s="53" t="str">
        <f t="shared" si="444"/>
        <v/>
      </c>
      <c r="R2036" s="53" t="str">
        <f t="shared" si="445"/>
        <v/>
      </c>
      <c r="S2036" s="53" t="str">
        <f t="shared" si="446"/>
        <v/>
      </c>
      <c r="T2036" s="53" t="str">
        <f t="shared" si="447"/>
        <v/>
      </c>
    </row>
    <row r="2037" spans="1:20">
      <c r="A2037" s="47" t="str">
        <f>IF(archive!E2037="","",archive!E2037)</f>
        <v/>
      </c>
      <c r="B2037" s="48" t="str">
        <f t="shared" si="434"/>
        <v/>
      </c>
      <c r="C2037" s="49" t="str">
        <f>IF(archive!F2037="","",archive!F2037)</f>
        <v/>
      </c>
      <c r="D2037" s="50" t="str">
        <f t="shared" si="435"/>
        <v/>
      </c>
      <c r="E2037" s="50" t="str">
        <f t="shared" si="436"/>
        <v/>
      </c>
      <c r="F2037" s="47" t="str">
        <f>IF(COUNTA(archive!H2037:CI2037)=0,"",COUNTA(archive!H2037:CI2037))</f>
        <v/>
      </c>
      <c r="G2037" s="47" t="str">
        <f>IF(archive!G2037="","",archive!G2037)</f>
        <v/>
      </c>
      <c r="H2037" s="51" t="str">
        <f>IF(archive!CJ2037="","",archive!CJ2037)</f>
        <v/>
      </c>
      <c r="I2037" s="51" t="str">
        <f>IF(archive!CK2037="","",archive!CK2037)</f>
        <v/>
      </c>
      <c r="J2037" s="47" t="str">
        <f t="shared" si="437"/>
        <v/>
      </c>
      <c r="K2037" s="51" t="str">
        <f t="shared" si="438"/>
        <v/>
      </c>
      <c r="L2037" s="52" t="str">
        <f t="shared" si="439"/>
        <v/>
      </c>
      <c r="M2037" s="53" t="str">
        <f t="shared" si="440"/>
        <v/>
      </c>
      <c r="N2037" s="53" t="str">
        <f t="shared" si="441"/>
        <v/>
      </c>
      <c r="O2037" s="53" t="str">
        <f t="shared" si="442"/>
        <v/>
      </c>
      <c r="P2037" s="53" t="str">
        <f t="shared" si="443"/>
        <v/>
      </c>
      <c r="Q2037" s="53" t="str">
        <f t="shared" si="444"/>
        <v/>
      </c>
      <c r="R2037" s="53" t="str">
        <f t="shared" si="445"/>
        <v/>
      </c>
      <c r="S2037" s="53" t="str">
        <f t="shared" si="446"/>
        <v/>
      </c>
      <c r="T2037" s="53" t="str">
        <f t="shared" si="447"/>
        <v/>
      </c>
    </row>
    <row r="2038" spans="1:20">
      <c r="A2038" s="47" t="str">
        <f>IF(archive!E2038="","",archive!E2038)</f>
        <v/>
      </c>
      <c r="B2038" s="48" t="str">
        <f t="shared" si="434"/>
        <v/>
      </c>
      <c r="C2038" s="49" t="str">
        <f>IF(archive!F2038="","",archive!F2038)</f>
        <v/>
      </c>
      <c r="D2038" s="50" t="str">
        <f t="shared" si="435"/>
        <v/>
      </c>
      <c r="E2038" s="50" t="str">
        <f t="shared" si="436"/>
        <v/>
      </c>
      <c r="F2038" s="47" t="str">
        <f>IF(COUNTA(archive!H2038:CI2038)=0,"",COUNTA(archive!H2038:CI2038))</f>
        <v/>
      </c>
      <c r="G2038" s="47" t="str">
        <f>IF(archive!G2038="","",archive!G2038)</f>
        <v/>
      </c>
      <c r="H2038" s="51" t="str">
        <f>IF(archive!CJ2038="","",archive!CJ2038)</f>
        <v/>
      </c>
      <c r="I2038" s="51" t="str">
        <f>IF(archive!CK2038="","",archive!CK2038)</f>
        <v/>
      </c>
      <c r="J2038" s="47" t="str">
        <f t="shared" si="437"/>
        <v/>
      </c>
      <c r="K2038" s="51" t="str">
        <f t="shared" si="438"/>
        <v/>
      </c>
      <c r="L2038" s="52" t="str">
        <f t="shared" si="439"/>
        <v/>
      </c>
      <c r="M2038" s="53" t="str">
        <f t="shared" si="440"/>
        <v/>
      </c>
      <c r="N2038" s="53" t="str">
        <f t="shared" si="441"/>
        <v/>
      </c>
      <c r="O2038" s="53" t="str">
        <f t="shared" si="442"/>
        <v/>
      </c>
      <c r="P2038" s="53" t="str">
        <f t="shared" si="443"/>
        <v/>
      </c>
      <c r="Q2038" s="53" t="str">
        <f t="shared" si="444"/>
        <v/>
      </c>
      <c r="R2038" s="53" t="str">
        <f t="shared" si="445"/>
        <v/>
      </c>
      <c r="S2038" s="53" t="str">
        <f t="shared" si="446"/>
        <v/>
      </c>
      <c r="T2038" s="53" t="str">
        <f t="shared" si="447"/>
        <v/>
      </c>
    </row>
    <row r="2039" spans="1:20">
      <c r="A2039" s="47" t="str">
        <f>IF(archive!E2039="","",archive!E2039)</f>
        <v/>
      </c>
      <c r="B2039" s="48" t="str">
        <f t="shared" si="434"/>
        <v/>
      </c>
      <c r="C2039" s="49" t="str">
        <f>IF(archive!F2039="","",archive!F2039)</f>
        <v/>
      </c>
      <c r="D2039" s="50" t="str">
        <f t="shared" si="435"/>
        <v/>
      </c>
      <c r="E2039" s="50" t="str">
        <f t="shared" si="436"/>
        <v/>
      </c>
      <c r="F2039" s="47" t="str">
        <f>IF(COUNTA(archive!H2039:CI2039)=0,"",COUNTA(archive!H2039:CI2039))</f>
        <v/>
      </c>
      <c r="G2039" s="47" t="str">
        <f>IF(archive!G2039="","",archive!G2039)</f>
        <v/>
      </c>
      <c r="H2039" s="51" t="str">
        <f>IF(archive!CJ2039="","",archive!CJ2039)</f>
        <v/>
      </c>
      <c r="I2039" s="51" t="str">
        <f>IF(archive!CK2039="","",archive!CK2039)</f>
        <v/>
      </c>
      <c r="J2039" s="47" t="str">
        <f t="shared" si="437"/>
        <v/>
      </c>
      <c r="K2039" s="51" t="str">
        <f t="shared" si="438"/>
        <v/>
      </c>
      <c r="L2039" s="52" t="str">
        <f t="shared" si="439"/>
        <v/>
      </c>
      <c r="M2039" s="53" t="str">
        <f t="shared" si="440"/>
        <v/>
      </c>
      <c r="N2039" s="53" t="str">
        <f t="shared" si="441"/>
        <v/>
      </c>
      <c r="O2039" s="53" t="str">
        <f t="shared" si="442"/>
        <v/>
      </c>
      <c r="P2039" s="53" t="str">
        <f t="shared" si="443"/>
        <v/>
      </c>
      <c r="Q2039" s="53" t="str">
        <f t="shared" si="444"/>
        <v/>
      </c>
      <c r="R2039" s="53" t="str">
        <f t="shared" si="445"/>
        <v/>
      </c>
      <c r="S2039" s="53" t="str">
        <f t="shared" si="446"/>
        <v/>
      </c>
      <c r="T2039" s="53" t="str">
        <f t="shared" si="447"/>
        <v/>
      </c>
    </row>
    <row r="2040" spans="1:20">
      <c r="A2040" s="47" t="str">
        <f>IF(archive!E2040="","",archive!E2040)</f>
        <v/>
      </c>
      <c r="B2040" s="48" t="str">
        <f t="shared" si="434"/>
        <v/>
      </c>
      <c r="C2040" s="49" t="str">
        <f>IF(archive!F2040="","",archive!F2040)</f>
        <v/>
      </c>
      <c r="D2040" s="50" t="str">
        <f t="shared" si="435"/>
        <v/>
      </c>
      <c r="E2040" s="50" t="str">
        <f t="shared" si="436"/>
        <v/>
      </c>
      <c r="F2040" s="47" t="str">
        <f>IF(COUNTA(archive!H2040:CI2040)=0,"",COUNTA(archive!H2040:CI2040))</f>
        <v/>
      </c>
      <c r="G2040" s="47" t="str">
        <f>IF(archive!G2040="","",archive!G2040)</f>
        <v/>
      </c>
      <c r="H2040" s="51" t="str">
        <f>IF(archive!CJ2040="","",archive!CJ2040)</f>
        <v/>
      </c>
      <c r="I2040" s="51" t="str">
        <f>IF(archive!CK2040="","",archive!CK2040)</f>
        <v/>
      </c>
      <c r="J2040" s="47" t="str">
        <f t="shared" si="437"/>
        <v/>
      </c>
      <c r="K2040" s="51" t="str">
        <f t="shared" si="438"/>
        <v/>
      </c>
      <c r="L2040" s="52" t="str">
        <f t="shared" si="439"/>
        <v/>
      </c>
      <c r="M2040" s="53" t="str">
        <f t="shared" si="440"/>
        <v/>
      </c>
      <c r="N2040" s="53" t="str">
        <f t="shared" si="441"/>
        <v/>
      </c>
      <c r="O2040" s="53" t="str">
        <f t="shared" si="442"/>
        <v/>
      </c>
      <c r="P2040" s="53" t="str">
        <f t="shared" si="443"/>
        <v/>
      </c>
      <c r="Q2040" s="53" t="str">
        <f t="shared" si="444"/>
        <v/>
      </c>
      <c r="R2040" s="53" t="str">
        <f t="shared" si="445"/>
        <v/>
      </c>
      <c r="S2040" s="53" t="str">
        <f t="shared" si="446"/>
        <v/>
      </c>
      <c r="T2040" s="53" t="str">
        <f t="shared" si="447"/>
        <v/>
      </c>
    </row>
    <row r="2041" spans="1:20">
      <c r="A2041" s="47" t="str">
        <f>IF(archive!E2041="","",archive!E2041)</f>
        <v/>
      </c>
      <c r="B2041" s="48" t="str">
        <f t="shared" si="434"/>
        <v/>
      </c>
      <c r="C2041" s="49" t="str">
        <f>IF(archive!F2041="","",archive!F2041)</f>
        <v/>
      </c>
      <c r="D2041" s="50" t="str">
        <f t="shared" si="435"/>
        <v/>
      </c>
      <c r="E2041" s="50" t="str">
        <f t="shared" si="436"/>
        <v/>
      </c>
      <c r="F2041" s="47" t="str">
        <f>IF(COUNTA(archive!H2041:CI2041)=0,"",COUNTA(archive!H2041:CI2041))</f>
        <v/>
      </c>
      <c r="G2041" s="47" t="str">
        <f>IF(archive!G2041="","",archive!G2041)</f>
        <v/>
      </c>
      <c r="H2041" s="51" t="str">
        <f>IF(archive!CJ2041="","",archive!CJ2041)</f>
        <v/>
      </c>
      <c r="I2041" s="51" t="str">
        <f>IF(archive!CK2041="","",archive!CK2041)</f>
        <v/>
      </c>
      <c r="J2041" s="47" t="str">
        <f t="shared" si="437"/>
        <v/>
      </c>
      <c r="K2041" s="51" t="str">
        <f t="shared" si="438"/>
        <v/>
      </c>
      <c r="L2041" s="52" t="str">
        <f t="shared" si="439"/>
        <v/>
      </c>
      <c r="M2041" s="53" t="str">
        <f t="shared" si="440"/>
        <v/>
      </c>
      <c r="N2041" s="53" t="str">
        <f t="shared" si="441"/>
        <v/>
      </c>
      <c r="O2041" s="53" t="str">
        <f t="shared" si="442"/>
        <v/>
      </c>
      <c r="P2041" s="53" t="str">
        <f t="shared" si="443"/>
        <v/>
      </c>
      <c r="Q2041" s="53" t="str">
        <f t="shared" si="444"/>
        <v/>
      </c>
      <c r="R2041" s="53" t="str">
        <f t="shared" si="445"/>
        <v/>
      </c>
      <c r="S2041" s="53" t="str">
        <f t="shared" si="446"/>
        <v/>
      </c>
      <c r="T2041" s="53" t="str">
        <f t="shared" si="447"/>
        <v/>
      </c>
    </row>
    <row r="2042" spans="1:20">
      <c r="A2042" s="47" t="str">
        <f>IF(archive!E2042="","",archive!E2042)</f>
        <v/>
      </c>
      <c r="B2042" s="48" t="str">
        <f t="shared" si="434"/>
        <v/>
      </c>
      <c r="C2042" s="49" t="str">
        <f>IF(archive!F2042="","",archive!F2042)</f>
        <v/>
      </c>
      <c r="D2042" s="50" t="str">
        <f t="shared" si="435"/>
        <v/>
      </c>
      <c r="E2042" s="50" t="str">
        <f t="shared" si="436"/>
        <v/>
      </c>
      <c r="F2042" s="47" t="str">
        <f>IF(COUNTA(archive!H2042:CI2042)=0,"",COUNTA(archive!H2042:CI2042))</f>
        <v/>
      </c>
      <c r="G2042" s="47" t="str">
        <f>IF(archive!G2042="","",archive!G2042)</f>
        <v/>
      </c>
      <c r="H2042" s="51" t="str">
        <f>IF(archive!CJ2042="","",archive!CJ2042)</f>
        <v/>
      </c>
      <c r="I2042" s="51" t="str">
        <f>IF(archive!CK2042="","",archive!CK2042)</f>
        <v/>
      </c>
      <c r="J2042" s="47" t="str">
        <f t="shared" si="437"/>
        <v/>
      </c>
      <c r="K2042" s="51" t="str">
        <f t="shared" si="438"/>
        <v/>
      </c>
      <c r="L2042" s="52" t="str">
        <f t="shared" si="439"/>
        <v/>
      </c>
      <c r="M2042" s="53" t="str">
        <f t="shared" si="440"/>
        <v/>
      </c>
      <c r="N2042" s="53" t="str">
        <f t="shared" si="441"/>
        <v/>
      </c>
      <c r="O2042" s="53" t="str">
        <f t="shared" si="442"/>
        <v/>
      </c>
      <c r="P2042" s="53" t="str">
        <f t="shared" si="443"/>
        <v/>
      </c>
      <c r="Q2042" s="53" t="str">
        <f t="shared" si="444"/>
        <v/>
      </c>
      <c r="R2042" s="53" t="str">
        <f t="shared" si="445"/>
        <v/>
      </c>
      <c r="S2042" s="53" t="str">
        <f t="shared" si="446"/>
        <v/>
      </c>
      <c r="T2042" s="53" t="str">
        <f t="shared" si="447"/>
        <v/>
      </c>
    </row>
    <row r="2043" spans="1:20">
      <c r="A2043" s="47" t="str">
        <f>IF(archive!E2043="","",archive!E2043)</f>
        <v/>
      </c>
      <c r="B2043" s="48" t="str">
        <f t="shared" si="434"/>
        <v/>
      </c>
      <c r="C2043" s="49" t="str">
        <f>IF(archive!F2043="","",archive!F2043)</f>
        <v/>
      </c>
      <c r="D2043" s="50" t="str">
        <f t="shared" si="435"/>
        <v/>
      </c>
      <c r="E2043" s="50" t="str">
        <f t="shared" si="436"/>
        <v/>
      </c>
      <c r="F2043" s="47" t="str">
        <f>IF(COUNTA(archive!H2043:CI2043)=0,"",COUNTA(archive!H2043:CI2043))</f>
        <v/>
      </c>
      <c r="G2043" s="47" t="str">
        <f>IF(archive!G2043="","",archive!G2043)</f>
        <v/>
      </c>
      <c r="H2043" s="51" t="str">
        <f>IF(archive!CJ2043="","",archive!CJ2043)</f>
        <v/>
      </c>
      <c r="I2043" s="51" t="str">
        <f>IF(archive!CK2043="","",archive!CK2043)</f>
        <v/>
      </c>
      <c r="J2043" s="47" t="str">
        <f t="shared" si="437"/>
        <v/>
      </c>
      <c r="K2043" s="51" t="str">
        <f t="shared" si="438"/>
        <v/>
      </c>
      <c r="L2043" s="52" t="str">
        <f t="shared" si="439"/>
        <v/>
      </c>
      <c r="M2043" s="53" t="str">
        <f t="shared" si="440"/>
        <v/>
      </c>
      <c r="N2043" s="53" t="str">
        <f t="shared" si="441"/>
        <v/>
      </c>
      <c r="O2043" s="53" t="str">
        <f t="shared" si="442"/>
        <v/>
      </c>
      <c r="P2043" s="53" t="str">
        <f t="shared" si="443"/>
        <v/>
      </c>
      <c r="Q2043" s="53" t="str">
        <f t="shared" si="444"/>
        <v/>
      </c>
      <c r="R2043" s="53" t="str">
        <f t="shared" si="445"/>
        <v/>
      </c>
      <c r="S2043" s="53" t="str">
        <f t="shared" si="446"/>
        <v/>
      </c>
      <c r="T2043" s="53" t="str">
        <f t="shared" si="447"/>
        <v/>
      </c>
    </row>
    <row r="2044" spans="1:20">
      <c r="A2044" s="47" t="str">
        <f>IF(archive!E2044="","",archive!E2044)</f>
        <v/>
      </c>
      <c r="B2044" s="48" t="str">
        <f t="shared" si="434"/>
        <v/>
      </c>
      <c r="C2044" s="49" t="str">
        <f>IF(archive!F2044="","",archive!F2044)</f>
        <v/>
      </c>
      <c r="D2044" s="50" t="str">
        <f t="shared" si="435"/>
        <v/>
      </c>
      <c r="E2044" s="50" t="str">
        <f t="shared" si="436"/>
        <v/>
      </c>
      <c r="F2044" s="47" t="str">
        <f>IF(COUNTA(archive!H2044:CI2044)=0,"",COUNTA(archive!H2044:CI2044))</f>
        <v/>
      </c>
      <c r="G2044" s="47" t="str">
        <f>IF(archive!G2044="","",archive!G2044)</f>
        <v/>
      </c>
      <c r="H2044" s="51" t="str">
        <f>IF(archive!CJ2044="","",archive!CJ2044)</f>
        <v/>
      </c>
      <c r="I2044" s="51" t="str">
        <f>IF(archive!CK2044="","",archive!CK2044)</f>
        <v/>
      </c>
      <c r="J2044" s="47" t="str">
        <f t="shared" si="437"/>
        <v/>
      </c>
      <c r="K2044" s="51" t="str">
        <f t="shared" si="438"/>
        <v/>
      </c>
      <c r="L2044" s="52" t="str">
        <f t="shared" si="439"/>
        <v/>
      </c>
      <c r="M2044" s="53" t="str">
        <f t="shared" si="440"/>
        <v/>
      </c>
      <c r="N2044" s="53" t="str">
        <f t="shared" si="441"/>
        <v/>
      </c>
      <c r="O2044" s="53" t="str">
        <f t="shared" si="442"/>
        <v/>
      </c>
      <c r="P2044" s="53" t="str">
        <f t="shared" si="443"/>
        <v/>
      </c>
      <c r="Q2044" s="53" t="str">
        <f t="shared" si="444"/>
        <v/>
      </c>
      <c r="R2044" s="53" t="str">
        <f t="shared" si="445"/>
        <v/>
      </c>
      <c r="S2044" s="53" t="str">
        <f t="shared" si="446"/>
        <v/>
      </c>
      <c r="T2044" s="53" t="str">
        <f t="shared" si="447"/>
        <v/>
      </c>
    </row>
    <row r="2045" spans="1:20">
      <c r="A2045" s="47" t="str">
        <f>IF(archive!E2045="","",archive!E2045)</f>
        <v/>
      </c>
      <c r="B2045" s="48" t="str">
        <f t="shared" si="434"/>
        <v/>
      </c>
      <c r="C2045" s="49" t="str">
        <f>IF(archive!F2045="","",archive!F2045)</f>
        <v/>
      </c>
      <c r="D2045" s="50" t="str">
        <f t="shared" si="435"/>
        <v/>
      </c>
      <c r="E2045" s="50" t="str">
        <f t="shared" si="436"/>
        <v/>
      </c>
      <c r="F2045" s="47" t="str">
        <f>IF(COUNTA(archive!H2045:CI2045)=0,"",COUNTA(archive!H2045:CI2045))</f>
        <v/>
      </c>
      <c r="G2045" s="47" t="str">
        <f>IF(archive!G2045="","",archive!G2045)</f>
        <v/>
      </c>
      <c r="H2045" s="51" t="str">
        <f>IF(archive!CJ2045="","",archive!CJ2045)</f>
        <v/>
      </c>
      <c r="I2045" s="51" t="str">
        <f>IF(archive!CK2045="","",archive!CK2045)</f>
        <v/>
      </c>
      <c r="J2045" s="47" t="str">
        <f t="shared" si="437"/>
        <v/>
      </c>
      <c r="K2045" s="51" t="str">
        <f t="shared" si="438"/>
        <v/>
      </c>
      <c r="L2045" s="52" t="str">
        <f t="shared" si="439"/>
        <v/>
      </c>
      <c r="M2045" s="53" t="str">
        <f t="shared" si="440"/>
        <v/>
      </c>
      <c r="N2045" s="53" t="str">
        <f t="shared" si="441"/>
        <v/>
      </c>
      <c r="O2045" s="53" t="str">
        <f t="shared" si="442"/>
        <v/>
      </c>
      <c r="P2045" s="53" t="str">
        <f t="shared" si="443"/>
        <v/>
      </c>
      <c r="Q2045" s="53" t="str">
        <f t="shared" si="444"/>
        <v/>
      </c>
      <c r="R2045" s="53" t="str">
        <f t="shared" si="445"/>
        <v/>
      </c>
      <c r="S2045" s="53" t="str">
        <f t="shared" si="446"/>
        <v/>
      </c>
      <c r="T2045" s="53" t="str">
        <f t="shared" si="447"/>
        <v/>
      </c>
    </row>
    <row r="2046" spans="1:20">
      <c r="A2046" s="47" t="str">
        <f>IF(archive!E2046="","",archive!E2046)</f>
        <v/>
      </c>
      <c r="B2046" s="48" t="str">
        <f t="shared" si="434"/>
        <v/>
      </c>
      <c r="C2046" s="49" t="str">
        <f>IF(archive!F2046="","",archive!F2046)</f>
        <v/>
      </c>
      <c r="D2046" s="50" t="str">
        <f t="shared" si="435"/>
        <v/>
      </c>
      <c r="E2046" s="50" t="str">
        <f t="shared" si="436"/>
        <v/>
      </c>
      <c r="F2046" s="47" t="str">
        <f>IF(COUNTA(archive!H2046:CI2046)=0,"",COUNTA(archive!H2046:CI2046))</f>
        <v/>
      </c>
      <c r="G2046" s="47" t="str">
        <f>IF(archive!G2046="","",archive!G2046)</f>
        <v/>
      </c>
      <c r="H2046" s="51" t="str">
        <f>IF(archive!CJ2046="","",archive!CJ2046)</f>
        <v/>
      </c>
      <c r="I2046" s="51" t="str">
        <f>IF(archive!CK2046="","",archive!CK2046)</f>
        <v/>
      </c>
      <c r="J2046" s="47" t="str">
        <f t="shared" si="437"/>
        <v/>
      </c>
      <c r="K2046" s="51" t="str">
        <f t="shared" si="438"/>
        <v/>
      </c>
      <c r="L2046" s="52" t="str">
        <f t="shared" si="439"/>
        <v/>
      </c>
      <c r="M2046" s="53" t="str">
        <f t="shared" si="440"/>
        <v/>
      </c>
      <c r="N2046" s="53" t="str">
        <f t="shared" si="441"/>
        <v/>
      </c>
      <c r="O2046" s="53" t="str">
        <f t="shared" si="442"/>
        <v/>
      </c>
      <c r="P2046" s="53" t="str">
        <f t="shared" si="443"/>
        <v/>
      </c>
      <c r="Q2046" s="53" t="str">
        <f t="shared" si="444"/>
        <v/>
      </c>
      <c r="R2046" s="53" t="str">
        <f t="shared" si="445"/>
        <v/>
      </c>
      <c r="S2046" s="53" t="str">
        <f t="shared" si="446"/>
        <v/>
      </c>
      <c r="T2046" s="53" t="str">
        <f t="shared" si="447"/>
        <v/>
      </c>
    </row>
    <row r="2047" spans="1:20">
      <c r="A2047" s="47" t="str">
        <f>IF(archive!E2047="","",archive!E2047)</f>
        <v/>
      </c>
      <c r="B2047" s="48" t="str">
        <f t="shared" si="434"/>
        <v/>
      </c>
      <c r="C2047" s="49" t="str">
        <f>IF(archive!F2047="","",archive!F2047)</f>
        <v/>
      </c>
      <c r="D2047" s="50" t="str">
        <f t="shared" si="435"/>
        <v/>
      </c>
      <c r="E2047" s="50" t="str">
        <f t="shared" si="436"/>
        <v/>
      </c>
      <c r="F2047" s="47" t="str">
        <f>IF(COUNTA(archive!H2047:CI2047)=0,"",COUNTA(archive!H2047:CI2047))</f>
        <v/>
      </c>
      <c r="G2047" s="47" t="str">
        <f>IF(archive!G2047="","",archive!G2047)</f>
        <v/>
      </c>
      <c r="H2047" s="51" t="str">
        <f>IF(archive!CJ2047="","",archive!CJ2047)</f>
        <v/>
      </c>
      <c r="I2047" s="51" t="str">
        <f>IF(archive!CK2047="","",archive!CK2047)</f>
        <v/>
      </c>
      <c r="J2047" s="47" t="str">
        <f t="shared" si="437"/>
        <v/>
      </c>
      <c r="K2047" s="51" t="str">
        <f t="shared" si="438"/>
        <v/>
      </c>
      <c r="L2047" s="52" t="str">
        <f t="shared" si="439"/>
        <v/>
      </c>
      <c r="M2047" s="53" t="str">
        <f t="shared" si="440"/>
        <v/>
      </c>
      <c r="N2047" s="53" t="str">
        <f t="shared" si="441"/>
        <v/>
      </c>
      <c r="O2047" s="53" t="str">
        <f t="shared" si="442"/>
        <v/>
      </c>
      <c r="P2047" s="53" t="str">
        <f t="shared" si="443"/>
        <v/>
      </c>
      <c r="Q2047" s="53" t="str">
        <f t="shared" si="444"/>
        <v/>
      </c>
      <c r="R2047" s="53" t="str">
        <f t="shared" si="445"/>
        <v/>
      </c>
      <c r="S2047" s="53" t="str">
        <f t="shared" si="446"/>
        <v/>
      </c>
      <c r="T2047" s="53" t="str">
        <f t="shared" si="447"/>
        <v/>
      </c>
    </row>
    <row r="2048" spans="1:20">
      <c r="A2048" s="47" t="str">
        <f>IF(archive!E2048="","",archive!E2048)</f>
        <v/>
      </c>
      <c r="B2048" s="48" t="str">
        <f t="shared" si="434"/>
        <v/>
      </c>
      <c r="C2048" s="49" t="str">
        <f>IF(archive!F2048="","",archive!F2048)</f>
        <v/>
      </c>
      <c r="D2048" s="50" t="str">
        <f t="shared" si="435"/>
        <v/>
      </c>
      <c r="E2048" s="50" t="str">
        <f t="shared" si="436"/>
        <v/>
      </c>
      <c r="F2048" s="47" t="str">
        <f>IF(COUNTA(archive!H2048:CI2048)=0,"",COUNTA(archive!H2048:CI2048))</f>
        <v/>
      </c>
      <c r="G2048" s="47" t="str">
        <f>IF(archive!G2048="","",archive!G2048)</f>
        <v/>
      </c>
      <c r="H2048" s="51" t="str">
        <f>IF(archive!CJ2048="","",archive!CJ2048)</f>
        <v/>
      </c>
      <c r="I2048" s="51" t="str">
        <f>IF(archive!CK2048="","",archive!CK2048)</f>
        <v/>
      </c>
      <c r="J2048" s="47" t="str">
        <f t="shared" si="437"/>
        <v/>
      </c>
      <c r="K2048" s="51" t="str">
        <f t="shared" si="438"/>
        <v/>
      </c>
      <c r="L2048" s="52" t="str">
        <f t="shared" si="439"/>
        <v/>
      </c>
      <c r="M2048" s="53" t="str">
        <f t="shared" si="440"/>
        <v/>
      </c>
      <c r="N2048" s="53" t="str">
        <f t="shared" si="441"/>
        <v/>
      </c>
      <c r="O2048" s="53" t="str">
        <f t="shared" si="442"/>
        <v/>
      </c>
      <c r="P2048" s="53" t="str">
        <f t="shared" si="443"/>
        <v/>
      </c>
      <c r="Q2048" s="53" t="str">
        <f t="shared" si="444"/>
        <v/>
      </c>
      <c r="R2048" s="53" t="str">
        <f t="shared" si="445"/>
        <v/>
      </c>
      <c r="S2048" s="53" t="str">
        <f t="shared" si="446"/>
        <v/>
      </c>
      <c r="T2048" s="53" t="str">
        <f t="shared" si="447"/>
        <v/>
      </c>
    </row>
    <row r="2049" spans="1:20">
      <c r="A2049" s="47" t="str">
        <f>IF(archive!E2049="","",archive!E2049)</f>
        <v/>
      </c>
      <c r="B2049" s="48" t="str">
        <f t="shared" si="434"/>
        <v/>
      </c>
      <c r="C2049" s="49" t="str">
        <f>IF(archive!F2049="","",archive!F2049)</f>
        <v/>
      </c>
      <c r="D2049" s="50" t="str">
        <f t="shared" si="435"/>
        <v/>
      </c>
      <c r="E2049" s="50" t="str">
        <f t="shared" si="436"/>
        <v/>
      </c>
      <c r="F2049" s="47" t="str">
        <f>IF(COUNTA(archive!H2049:CI2049)=0,"",COUNTA(archive!H2049:CI2049))</f>
        <v/>
      </c>
      <c r="G2049" s="47" t="str">
        <f>IF(archive!G2049="","",archive!G2049)</f>
        <v/>
      </c>
      <c r="H2049" s="51" t="str">
        <f>IF(archive!CJ2049="","",archive!CJ2049)</f>
        <v/>
      </c>
      <c r="I2049" s="51" t="str">
        <f>IF(archive!CK2049="","",archive!CK2049)</f>
        <v/>
      </c>
      <c r="J2049" s="47" t="str">
        <f t="shared" si="437"/>
        <v/>
      </c>
      <c r="K2049" s="51" t="str">
        <f t="shared" si="438"/>
        <v/>
      </c>
      <c r="L2049" s="52" t="str">
        <f t="shared" si="439"/>
        <v/>
      </c>
      <c r="M2049" s="53" t="str">
        <f t="shared" si="440"/>
        <v/>
      </c>
      <c r="N2049" s="53" t="str">
        <f t="shared" si="441"/>
        <v/>
      </c>
      <c r="O2049" s="53" t="str">
        <f t="shared" si="442"/>
        <v/>
      </c>
      <c r="P2049" s="53" t="str">
        <f t="shared" si="443"/>
        <v/>
      </c>
      <c r="Q2049" s="53" t="str">
        <f t="shared" si="444"/>
        <v/>
      </c>
      <c r="R2049" s="53" t="str">
        <f t="shared" si="445"/>
        <v/>
      </c>
      <c r="S2049" s="53" t="str">
        <f t="shared" si="446"/>
        <v/>
      </c>
      <c r="T2049" s="53" t="str">
        <f t="shared" si="447"/>
        <v/>
      </c>
    </row>
    <row r="2050" spans="1:20">
      <c r="A2050" s="47" t="str">
        <f>IF(archive!E2050="","",archive!E2050)</f>
        <v/>
      </c>
      <c r="B2050" s="48" t="str">
        <f t="shared" si="434"/>
        <v/>
      </c>
      <c r="C2050" s="49" t="str">
        <f>IF(archive!F2050="","",archive!F2050)</f>
        <v/>
      </c>
      <c r="D2050" s="50" t="str">
        <f t="shared" si="435"/>
        <v/>
      </c>
      <c r="E2050" s="50" t="str">
        <f t="shared" si="436"/>
        <v/>
      </c>
      <c r="F2050" s="47" t="str">
        <f>IF(COUNTA(archive!H2050:CI2050)=0,"",COUNTA(archive!H2050:CI2050))</f>
        <v/>
      </c>
      <c r="G2050" s="47" t="str">
        <f>IF(archive!G2050="","",archive!G2050)</f>
        <v/>
      </c>
      <c r="H2050" s="51" t="str">
        <f>IF(archive!CJ2050="","",archive!CJ2050)</f>
        <v/>
      </c>
      <c r="I2050" s="51" t="str">
        <f>IF(archive!CK2050="","",archive!CK2050)</f>
        <v/>
      </c>
      <c r="J2050" s="47" t="str">
        <f t="shared" si="437"/>
        <v/>
      </c>
      <c r="K2050" s="51" t="str">
        <f t="shared" si="438"/>
        <v/>
      </c>
      <c r="L2050" s="52" t="str">
        <f t="shared" si="439"/>
        <v/>
      </c>
      <c r="M2050" s="53" t="str">
        <f t="shared" si="440"/>
        <v/>
      </c>
      <c r="N2050" s="53" t="str">
        <f t="shared" si="441"/>
        <v/>
      </c>
      <c r="O2050" s="53" t="str">
        <f t="shared" si="442"/>
        <v/>
      </c>
      <c r="P2050" s="53" t="str">
        <f t="shared" si="443"/>
        <v/>
      </c>
      <c r="Q2050" s="53" t="str">
        <f t="shared" si="444"/>
        <v/>
      </c>
      <c r="R2050" s="53" t="str">
        <f t="shared" si="445"/>
        <v/>
      </c>
      <c r="S2050" s="53" t="str">
        <f t="shared" si="446"/>
        <v/>
      </c>
      <c r="T2050" s="53" t="str">
        <f t="shared" si="447"/>
        <v/>
      </c>
    </row>
    <row r="2051" spans="1:20">
      <c r="A2051" s="47" t="str">
        <f>IF(archive!E2051="","",archive!E2051)</f>
        <v/>
      </c>
      <c r="B2051" s="48" t="str">
        <f t="shared" si="434"/>
        <v/>
      </c>
      <c r="C2051" s="49" t="str">
        <f>IF(archive!F2051="","",archive!F2051)</f>
        <v/>
      </c>
      <c r="D2051" s="50" t="str">
        <f t="shared" si="435"/>
        <v/>
      </c>
      <c r="E2051" s="50" t="str">
        <f t="shared" si="436"/>
        <v/>
      </c>
      <c r="F2051" s="47" t="str">
        <f>IF(COUNTA(archive!H2051:CI2051)=0,"",COUNTA(archive!H2051:CI2051))</f>
        <v/>
      </c>
      <c r="G2051" s="47" t="str">
        <f>IF(archive!G2051="","",archive!G2051)</f>
        <v/>
      </c>
      <c r="H2051" s="51" t="str">
        <f>IF(archive!CJ2051="","",archive!CJ2051)</f>
        <v/>
      </c>
      <c r="I2051" s="51" t="str">
        <f>IF(archive!CK2051="","",archive!CK2051)</f>
        <v/>
      </c>
      <c r="J2051" s="47" t="str">
        <f t="shared" si="437"/>
        <v/>
      </c>
      <c r="K2051" s="51" t="str">
        <f t="shared" si="438"/>
        <v/>
      </c>
      <c r="L2051" s="52" t="str">
        <f t="shared" si="439"/>
        <v/>
      </c>
      <c r="M2051" s="53" t="str">
        <f t="shared" si="440"/>
        <v/>
      </c>
      <c r="N2051" s="53" t="str">
        <f t="shared" si="441"/>
        <v/>
      </c>
      <c r="O2051" s="53" t="str">
        <f t="shared" si="442"/>
        <v/>
      </c>
      <c r="P2051" s="53" t="str">
        <f t="shared" si="443"/>
        <v/>
      </c>
      <c r="Q2051" s="53" t="str">
        <f t="shared" si="444"/>
        <v/>
      </c>
      <c r="R2051" s="53" t="str">
        <f t="shared" si="445"/>
        <v/>
      </c>
      <c r="S2051" s="53" t="str">
        <f t="shared" si="446"/>
        <v/>
      </c>
      <c r="T2051" s="53" t="str">
        <f t="shared" si="447"/>
        <v/>
      </c>
    </row>
    <row r="2052" spans="1:20">
      <c r="A2052" s="47" t="str">
        <f>IF(archive!E2052="","",archive!E2052)</f>
        <v/>
      </c>
      <c r="B2052" s="48" t="str">
        <f t="shared" ref="B2052:B2115" si="448">IF(C2052="","",VLOOKUP($C2052,Tare,2,0))</f>
        <v/>
      </c>
      <c r="C2052" s="49" t="str">
        <f>IF(archive!F2052="","",archive!F2052)</f>
        <v/>
      </c>
      <c r="D2052" s="50" t="str">
        <f t="shared" ref="D2052:D2115" si="449">IF(C2052="","",C2052+B2052)</f>
        <v/>
      </c>
      <c r="E2052" s="50" t="str">
        <f t="shared" ref="E2052:E2115" si="450">IF(C2052="","",(C2052*0.025)+D2052)</f>
        <v/>
      </c>
      <c r="F2052" s="47" t="str">
        <f>IF(COUNTA(archive!H2052:CI2052)=0,"",COUNTA(archive!H2052:CI2052))</f>
        <v/>
      </c>
      <c r="G2052" s="47" t="str">
        <f>IF(archive!G2052="","",archive!G2052)</f>
        <v/>
      </c>
      <c r="H2052" s="51" t="str">
        <f>IF(archive!CJ2052="","",archive!CJ2052)</f>
        <v/>
      </c>
      <c r="I2052" s="51" t="str">
        <f>IF(archive!CK2052="","",archive!CK2052)</f>
        <v/>
      </c>
      <c r="J2052" s="47" t="str">
        <f t="shared" ref="J2052:J2115" si="451">IF(F2052="","",VLOOKUP(F2052,Valeur_g,2,0))</f>
        <v/>
      </c>
      <c r="K2052" s="51" t="str">
        <f t="shared" ref="K2052:K2115" si="452">IF(C2052="","",D2052+(J2052*I2052))</f>
        <v/>
      </c>
      <c r="L2052" s="52" t="str">
        <f t="shared" ref="L2052:L2115" si="453">IF(C2052="","",IF(K2052&lt;H2052,"Conforme","Non conforme"))</f>
        <v/>
      </c>
      <c r="M2052" s="53" t="str">
        <f t="shared" ref="M2052:M2115" si="454">IF(C2052="","",1)</f>
        <v/>
      </c>
      <c r="N2052" s="53" t="str">
        <f t="shared" ref="N2052:N2115" si="455">IF(L2052="","",COUNTIF(L2052,"Non conforme"))</f>
        <v/>
      </c>
      <c r="O2052" s="53" t="str">
        <f t="shared" ref="O2052:O2115" si="456">IF($C2052="","",IF($C2052=0.25,$G2052,"-"))</f>
        <v/>
      </c>
      <c r="P2052" s="53" t="str">
        <f t="shared" ref="P2052:P2115" si="457">IF($C2052="","",IF($C2052=0.4,$G2052,"-"))</f>
        <v/>
      </c>
      <c r="Q2052" s="53" t="str">
        <f t="shared" ref="Q2052:Q2115" si="458">IF($C2052="","",IF($C2052=0.5,$G2052,"-"))</f>
        <v/>
      </c>
      <c r="R2052" s="53" t="str">
        <f t="shared" ref="R2052:R2115" si="459">IF($C2052="","",IF($C2052=0.6,$G2052,"-"))</f>
        <v/>
      </c>
      <c r="S2052" s="53" t="str">
        <f t="shared" ref="S2052:S2115" si="460">IF($C2052="","",IF($C2052=0.8,$G2052,"-"))</f>
        <v/>
      </c>
      <c r="T2052" s="53" t="str">
        <f t="shared" ref="T2052:T2115" si="461">IF($C2052="","",IF($C2052=1,$G2052,"-"))</f>
        <v/>
      </c>
    </row>
    <row r="2053" spans="1:20">
      <c r="A2053" s="47" t="str">
        <f>IF(archive!E2053="","",archive!E2053)</f>
        <v/>
      </c>
      <c r="B2053" s="48" t="str">
        <f t="shared" si="448"/>
        <v/>
      </c>
      <c r="C2053" s="49" t="str">
        <f>IF(archive!F2053="","",archive!F2053)</f>
        <v/>
      </c>
      <c r="D2053" s="50" t="str">
        <f t="shared" si="449"/>
        <v/>
      </c>
      <c r="E2053" s="50" t="str">
        <f t="shared" si="450"/>
        <v/>
      </c>
      <c r="F2053" s="47" t="str">
        <f>IF(COUNTA(archive!H2053:CI2053)=0,"",COUNTA(archive!H2053:CI2053))</f>
        <v/>
      </c>
      <c r="G2053" s="47" t="str">
        <f>IF(archive!G2053="","",archive!G2053)</f>
        <v/>
      </c>
      <c r="H2053" s="51" t="str">
        <f>IF(archive!CJ2053="","",archive!CJ2053)</f>
        <v/>
      </c>
      <c r="I2053" s="51" t="str">
        <f>IF(archive!CK2053="","",archive!CK2053)</f>
        <v/>
      </c>
      <c r="J2053" s="47" t="str">
        <f t="shared" si="451"/>
        <v/>
      </c>
      <c r="K2053" s="51" t="str">
        <f t="shared" si="452"/>
        <v/>
      </c>
      <c r="L2053" s="52" t="str">
        <f t="shared" si="453"/>
        <v/>
      </c>
      <c r="M2053" s="53" t="str">
        <f t="shared" si="454"/>
        <v/>
      </c>
      <c r="N2053" s="53" t="str">
        <f t="shared" si="455"/>
        <v/>
      </c>
      <c r="O2053" s="53" t="str">
        <f t="shared" si="456"/>
        <v/>
      </c>
      <c r="P2053" s="53" t="str">
        <f t="shared" si="457"/>
        <v/>
      </c>
      <c r="Q2053" s="53" t="str">
        <f t="shared" si="458"/>
        <v/>
      </c>
      <c r="R2053" s="53" t="str">
        <f t="shared" si="459"/>
        <v/>
      </c>
      <c r="S2053" s="53" t="str">
        <f t="shared" si="460"/>
        <v/>
      </c>
      <c r="T2053" s="53" t="str">
        <f t="shared" si="461"/>
        <v/>
      </c>
    </row>
    <row r="2054" spans="1:20">
      <c r="A2054" s="47" t="str">
        <f>IF(archive!E2054="","",archive!E2054)</f>
        <v/>
      </c>
      <c r="B2054" s="48" t="str">
        <f t="shared" si="448"/>
        <v/>
      </c>
      <c r="C2054" s="49" t="str">
        <f>IF(archive!F2054="","",archive!F2054)</f>
        <v/>
      </c>
      <c r="D2054" s="50" t="str">
        <f t="shared" si="449"/>
        <v/>
      </c>
      <c r="E2054" s="50" t="str">
        <f t="shared" si="450"/>
        <v/>
      </c>
      <c r="F2054" s="47" t="str">
        <f>IF(COUNTA(archive!H2054:CI2054)=0,"",COUNTA(archive!H2054:CI2054))</f>
        <v/>
      </c>
      <c r="G2054" s="47" t="str">
        <f>IF(archive!G2054="","",archive!G2054)</f>
        <v/>
      </c>
      <c r="H2054" s="51" t="str">
        <f>IF(archive!CJ2054="","",archive!CJ2054)</f>
        <v/>
      </c>
      <c r="I2054" s="51" t="str">
        <f>IF(archive!CK2054="","",archive!CK2054)</f>
        <v/>
      </c>
      <c r="J2054" s="47" t="str">
        <f t="shared" si="451"/>
        <v/>
      </c>
      <c r="K2054" s="51" t="str">
        <f t="shared" si="452"/>
        <v/>
      </c>
      <c r="L2054" s="52" t="str">
        <f t="shared" si="453"/>
        <v/>
      </c>
      <c r="M2054" s="53" t="str">
        <f t="shared" si="454"/>
        <v/>
      </c>
      <c r="N2054" s="53" t="str">
        <f t="shared" si="455"/>
        <v/>
      </c>
      <c r="O2054" s="53" t="str">
        <f t="shared" si="456"/>
        <v/>
      </c>
      <c r="P2054" s="53" t="str">
        <f t="shared" si="457"/>
        <v/>
      </c>
      <c r="Q2054" s="53" t="str">
        <f t="shared" si="458"/>
        <v/>
      </c>
      <c r="R2054" s="53" t="str">
        <f t="shared" si="459"/>
        <v/>
      </c>
      <c r="S2054" s="53" t="str">
        <f t="shared" si="460"/>
        <v/>
      </c>
      <c r="T2054" s="53" t="str">
        <f t="shared" si="461"/>
        <v/>
      </c>
    </row>
    <row r="2055" spans="1:20">
      <c r="A2055" s="47" t="str">
        <f>IF(archive!E2055="","",archive!E2055)</f>
        <v/>
      </c>
      <c r="B2055" s="48" t="str">
        <f t="shared" si="448"/>
        <v/>
      </c>
      <c r="C2055" s="49" t="str">
        <f>IF(archive!F2055="","",archive!F2055)</f>
        <v/>
      </c>
      <c r="D2055" s="50" t="str">
        <f t="shared" si="449"/>
        <v/>
      </c>
      <c r="E2055" s="50" t="str">
        <f t="shared" si="450"/>
        <v/>
      </c>
      <c r="F2055" s="47" t="str">
        <f>IF(COUNTA(archive!H2055:CI2055)=0,"",COUNTA(archive!H2055:CI2055))</f>
        <v/>
      </c>
      <c r="G2055" s="47" t="str">
        <f>IF(archive!G2055="","",archive!G2055)</f>
        <v/>
      </c>
      <c r="H2055" s="51" t="str">
        <f>IF(archive!CJ2055="","",archive!CJ2055)</f>
        <v/>
      </c>
      <c r="I2055" s="51" t="str">
        <f>IF(archive!CK2055="","",archive!CK2055)</f>
        <v/>
      </c>
      <c r="J2055" s="47" t="str">
        <f t="shared" si="451"/>
        <v/>
      </c>
      <c r="K2055" s="51" t="str">
        <f t="shared" si="452"/>
        <v/>
      </c>
      <c r="L2055" s="52" t="str">
        <f t="shared" si="453"/>
        <v/>
      </c>
      <c r="M2055" s="53" t="str">
        <f t="shared" si="454"/>
        <v/>
      </c>
      <c r="N2055" s="53" t="str">
        <f t="shared" si="455"/>
        <v/>
      </c>
      <c r="O2055" s="53" t="str">
        <f t="shared" si="456"/>
        <v/>
      </c>
      <c r="P2055" s="53" t="str">
        <f t="shared" si="457"/>
        <v/>
      </c>
      <c r="Q2055" s="53" t="str">
        <f t="shared" si="458"/>
        <v/>
      </c>
      <c r="R2055" s="53" t="str">
        <f t="shared" si="459"/>
        <v/>
      </c>
      <c r="S2055" s="53" t="str">
        <f t="shared" si="460"/>
        <v/>
      </c>
      <c r="T2055" s="53" t="str">
        <f t="shared" si="461"/>
        <v/>
      </c>
    </row>
    <row r="2056" spans="1:20">
      <c r="A2056" s="47" t="str">
        <f>IF(archive!E2056="","",archive!E2056)</f>
        <v/>
      </c>
      <c r="B2056" s="48" t="str">
        <f t="shared" si="448"/>
        <v/>
      </c>
      <c r="C2056" s="49" t="str">
        <f>IF(archive!F2056="","",archive!F2056)</f>
        <v/>
      </c>
      <c r="D2056" s="50" t="str">
        <f t="shared" si="449"/>
        <v/>
      </c>
      <c r="E2056" s="50" t="str">
        <f t="shared" si="450"/>
        <v/>
      </c>
      <c r="F2056" s="47" t="str">
        <f>IF(COUNTA(archive!H2056:CI2056)=0,"",COUNTA(archive!H2056:CI2056))</f>
        <v/>
      </c>
      <c r="G2056" s="47" t="str">
        <f>IF(archive!G2056="","",archive!G2056)</f>
        <v/>
      </c>
      <c r="H2056" s="51" t="str">
        <f>IF(archive!CJ2056="","",archive!CJ2056)</f>
        <v/>
      </c>
      <c r="I2056" s="51" t="str">
        <f>IF(archive!CK2056="","",archive!CK2056)</f>
        <v/>
      </c>
      <c r="J2056" s="47" t="str">
        <f t="shared" si="451"/>
        <v/>
      </c>
      <c r="K2056" s="51" t="str">
        <f t="shared" si="452"/>
        <v/>
      </c>
      <c r="L2056" s="52" t="str">
        <f t="shared" si="453"/>
        <v/>
      </c>
      <c r="M2056" s="53" t="str">
        <f t="shared" si="454"/>
        <v/>
      </c>
      <c r="N2056" s="53" t="str">
        <f t="shared" si="455"/>
        <v/>
      </c>
      <c r="O2056" s="53" t="str">
        <f t="shared" si="456"/>
        <v/>
      </c>
      <c r="P2056" s="53" t="str">
        <f t="shared" si="457"/>
        <v/>
      </c>
      <c r="Q2056" s="53" t="str">
        <f t="shared" si="458"/>
        <v/>
      </c>
      <c r="R2056" s="53" t="str">
        <f t="shared" si="459"/>
        <v/>
      </c>
      <c r="S2056" s="53" t="str">
        <f t="shared" si="460"/>
        <v/>
      </c>
      <c r="T2056" s="53" t="str">
        <f t="shared" si="461"/>
        <v/>
      </c>
    </row>
    <row r="2057" spans="1:20">
      <c r="A2057" s="47" t="str">
        <f>IF(archive!E2057="","",archive!E2057)</f>
        <v/>
      </c>
      <c r="B2057" s="48" t="str">
        <f t="shared" si="448"/>
        <v/>
      </c>
      <c r="C2057" s="49" t="str">
        <f>IF(archive!F2057="","",archive!F2057)</f>
        <v/>
      </c>
      <c r="D2057" s="50" t="str">
        <f t="shared" si="449"/>
        <v/>
      </c>
      <c r="E2057" s="50" t="str">
        <f t="shared" si="450"/>
        <v/>
      </c>
      <c r="F2057" s="47" t="str">
        <f>IF(COUNTA(archive!H2057:CI2057)=0,"",COUNTA(archive!H2057:CI2057))</f>
        <v/>
      </c>
      <c r="G2057" s="47" t="str">
        <f>IF(archive!G2057="","",archive!G2057)</f>
        <v/>
      </c>
      <c r="H2057" s="51" t="str">
        <f>IF(archive!CJ2057="","",archive!CJ2057)</f>
        <v/>
      </c>
      <c r="I2057" s="51" t="str">
        <f>IF(archive!CK2057="","",archive!CK2057)</f>
        <v/>
      </c>
      <c r="J2057" s="47" t="str">
        <f t="shared" si="451"/>
        <v/>
      </c>
      <c r="K2057" s="51" t="str">
        <f t="shared" si="452"/>
        <v/>
      </c>
      <c r="L2057" s="52" t="str">
        <f t="shared" si="453"/>
        <v/>
      </c>
      <c r="M2057" s="53" t="str">
        <f t="shared" si="454"/>
        <v/>
      </c>
      <c r="N2057" s="53" t="str">
        <f t="shared" si="455"/>
        <v/>
      </c>
      <c r="O2057" s="53" t="str">
        <f t="shared" si="456"/>
        <v/>
      </c>
      <c r="P2057" s="53" t="str">
        <f t="shared" si="457"/>
        <v/>
      </c>
      <c r="Q2057" s="53" t="str">
        <f t="shared" si="458"/>
        <v/>
      </c>
      <c r="R2057" s="53" t="str">
        <f t="shared" si="459"/>
        <v/>
      </c>
      <c r="S2057" s="53" t="str">
        <f t="shared" si="460"/>
        <v/>
      </c>
      <c r="T2057" s="53" t="str">
        <f t="shared" si="461"/>
        <v/>
      </c>
    </row>
    <row r="2058" spans="1:20">
      <c r="A2058" s="47" t="str">
        <f>IF(archive!E2058="","",archive!E2058)</f>
        <v/>
      </c>
      <c r="B2058" s="48" t="str">
        <f t="shared" si="448"/>
        <v/>
      </c>
      <c r="C2058" s="49" t="str">
        <f>IF(archive!F2058="","",archive!F2058)</f>
        <v/>
      </c>
      <c r="D2058" s="50" t="str">
        <f t="shared" si="449"/>
        <v/>
      </c>
      <c r="E2058" s="50" t="str">
        <f t="shared" si="450"/>
        <v/>
      </c>
      <c r="F2058" s="47" t="str">
        <f>IF(COUNTA(archive!H2058:CI2058)=0,"",COUNTA(archive!H2058:CI2058))</f>
        <v/>
      </c>
      <c r="G2058" s="47" t="str">
        <f>IF(archive!G2058="","",archive!G2058)</f>
        <v/>
      </c>
      <c r="H2058" s="51" t="str">
        <f>IF(archive!CJ2058="","",archive!CJ2058)</f>
        <v/>
      </c>
      <c r="I2058" s="51" t="str">
        <f>IF(archive!CK2058="","",archive!CK2058)</f>
        <v/>
      </c>
      <c r="J2058" s="47" t="str">
        <f t="shared" si="451"/>
        <v/>
      </c>
      <c r="K2058" s="51" t="str">
        <f t="shared" si="452"/>
        <v/>
      </c>
      <c r="L2058" s="52" t="str">
        <f t="shared" si="453"/>
        <v/>
      </c>
      <c r="M2058" s="53" t="str">
        <f t="shared" si="454"/>
        <v/>
      </c>
      <c r="N2058" s="53" t="str">
        <f t="shared" si="455"/>
        <v/>
      </c>
      <c r="O2058" s="53" t="str">
        <f t="shared" si="456"/>
        <v/>
      </c>
      <c r="P2058" s="53" t="str">
        <f t="shared" si="457"/>
        <v/>
      </c>
      <c r="Q2058" s="53" t="str">
        <f t="shared" si="458"/>
        <v/>
      </c>
      <c r="R2058" s="53" t="str">
        <f t="shared" si="459"/>
        <v/>
      </c>
      <c r="S2058" s="53" t="str">
        <f t="shared" si="460"/>
        <v/>
      </c>
      <c r="T2058" s="53" t="str">
        <f t="shared" si="461"/>
        <v/>
      </c>
    </row>
    <row r="2059" spans="1:20">
      <c r="A2059" s="47" t="str">
        <f>IF(archive!E2059="","",archive!E2059)</f>
        <v/>
      </c>
      <c r="B2059" s="48" t="str">
        <f t="shared" si="448"/>
        <v/>
      </c>
      <c r="C2059" s="49" t="str">
        <f>IF(archive!F2059="","",archive!F2059)</f>
        <v/>
      </c>
      <c r="D2059" s="50" t="str">
        <f t="shared" si="449"/>
        <v/>
      </c>
      <c r="E2059" s="50" t="str">
        <f t="shared" si="450"/>
        <v/>
      </c>
      <c r="F2059" s="47" t="str">
        <f>IF(COUNTA(archive!H2059:CI2059)=0,"",COUNTA(archive!H2059:CI2059))</f>
        <v/>
      </c>
      <c r="G2059" s="47" t="str">
        <f>IF(archive!G2059="","",archive!G2059)</f>
        <v/>
      </c>
      <c r="H2059" s="51" t="str">
        <f>IF(archive!CJ2059="","",archive!CJ2059)</f>
        <v/>
      </c>
      <c r="I2059" s="51" t="str">
        <f>IF(archive!CK2059="","",archive!CK2059)</f>
        <v/>
      </c>
      <c r="J2059" s="47" t="str">
        <f t="shared" si="451"/>
        <v/>
      </c>
      <c r="K2059" s="51" t="str">
        <f t="shared" si="452"/>
        <v/>
      </c>
      <c r="L2059" s="52" t="str">
        <f t="shared" si="453"/>
        <v/>
      </c>
      <c r="M2059" s="53" t="str">
        <f t="shared" si="454"/>
        <v/>
      </c>
      <c r="N2059" s="53" t="str">
        <f t="shared" si="455"/>
        <v/>
      </c>
      <c r="O2059" s="53" t="str">
        <f t="shared" si="456"/>
        <v/>
      </c>
      <c r="P2059" s="53" t="str">
        <f t="shared" si="457"/>
        <v/>
      </c>
      <c r="Q2059" s="53" t="str">
        <f t="shared" si="458"/>
        <v/>
      </c>
      <c r="R2059" s="53" t="str">
        <f t="shared" si="459"/>
        <v/>
      </c>
      <c r="S2059" s="53" t="str">
        <f t="shared" si="460"/>
        <v/>
      </c>
      <c r="T2059" s="53" t="str">
        <f t="shared" si="461"/>
        <v/>
      </c>
    </row>
    <row r="2060" spans="1:20">
      <c r="A2060" s="47" t="str">
        <f>IF(archive!E2060="","",archive!E2060)</f>
        <v/>
      </c>
      <c r="B2060" s="48" t="str">
        <f t="shared" si="448"/>
        <v/>
      </c>
      <c r="C2060" s="49" t="str">
        <f>IF(archive!F2060="","",archive!F2060)</f>
        <v/>
      </c>
      <c r="D2060" s="50" t="str">
        <f t="shared" si="449"/>
        <v/>
      </c>
      <c r="E2060" s="50" t="str">
        <f t="shared" si="450"/>
        <v/>
      </c>
      <c r="F2060" s="47" t="str">
        <f>IF(COUNTA(archive!H2060:CI2060)=0,"",COUNTA(archive!H2060:CI2060))</f>
        <v/>
      </c>
      <c r="G2060" s="47" t="str">
        <f>IF(archive!G2060="","",archive!G2060)</f>
        <v/>
      </c>
      <c r="H2060" s="51" t="str">
        <f>IF(archive!CJ2060="","",archive!CJ2060)</f>
        <v/>
      </c>
      <c r="I2060" s="51" t="str">
        <f>IF(archive!CK2060="","",archive!CK2060)</f>
        <v/>
      </c>
      <c r="J2060" s="47" t="str">
        <f t="shared" si="451"/>
        <v/>
      </c>
      <c r="K2060" s="51" t="str">
        <f t="shared" si="452"/>
        <v/>
      </c>
      <c r="L2060" s="52" t="str">
        <f t="shared" si="453"/>
        <v/>
      </c>
      <c r="M2060" s="53" t="str">
        <f t="shared" si="454"/>
        <v/>
      </c>
      <c r="N2060" s="53" t="str">
        <f t="shared" si="455"/>
        <v/>
      </c>
      <c r="O2060" s="53" t="str">
        <f t="shared" si="456"/>
        <v/>
      </c>
      <c r="P2060" s="53" t="str">
        <f t="shared" si="457"/>
        <v/>
      </c>
      <c r="Q2060" s="53" t="str">
        <f t="shared" si="458"/>
        <v/>
      </c>
      <c r="R2060" s="53" t="str">
        <f t="shared" si="459"/>
        <v/>
      </c>
      <c r="S2060" s="53" t="str">
        <f t="shared" si="460"/>
        <v/>
      </c>
      <c r="T2060" s="53" t="str">
        <f t="shared" si="461"/>
        <v/>
      </c>
    </row>
    <row r="2061" spans="1:20">
      <c r="A2061" s="47" t="str">
        <f>IF(archive!E2061="","",archive!E2061)</f>
        <v/>
      </c>
      <c r="B2061" s="48" t="str">
        <f t="shared" si="448"/>
        <v/>
      </c>
      <c r="C2061" s="49" t="str">
        <f>IF(archive!F2061="","",archive!F2061)</f>
        <v/>
      </c>
      <c r="D2061" s="50" t="str">
        <f t="shared" si="449"/>
        <v/>
      </c>
      <c r="E2061" s="50" t="str">
        <f t="shared" si="450"/>
        <v/>
      </c>
      <c r="F2061" s="47" t="str">
        <f>IF(COUNTA(archive!H2061:CI2061)=0,"",COUNTA(archive!H2061:CI2061))</f>
        <v/>
      </c>
      <c r="G2061" s="47" t="str">
        <f>IF(archive!G2061="","",archive!G2061)</f>
        <v/>
      </c>
      <c r="H2061" s="51" t="str">
        <f>IF(archive!CJ2061="","",archive!CJ2061)</f>
        <v/>
      </c>
      <c r="I2061" s="51" t="str">
        <f>IF(archive!CK2061="","",archive!CK2061)</f>
        <v/>
      </c>
      <c r="J2061" s="47" t="str">
        <f t="shared" si="451"/>
        <v/>
      </c>
      <c r="K2061" s="51" t="str">
        <f t="shared" si="452"/>
        <v/>
      </c>
      <c r="L2061" s="52" t="str">
        <f t="shared" si="453"/>
        <v/>
      </c>
      <c r="M2061" s="53" t="str">
        <f t="shared" si="454"/>
        <v/>
      </c>
      <c r="N2061" s="53" t="str">
        <f t="shared" si="455"/>
        <v/>
      </c>
      <c r="O2061" s="53" t="str">
        <f t="shared" si="456"/>
        <v/>
      </c>
      <c r="P2061" s="53" t="str">
        <f t="shared" si="457"/>
        <v/>
      </c>
      <c r="Q2061" s="53" t="str">
        <f t="shared" si="458"/>
        <v/>
      </c>
      <c r="R2061" s="53" t="str">
        <f t="shared" si="459"/>
        <v/>
      </c>
      <c r="S2061" s="53" t="str">
        <f t="shared" si="460"/>
        <v/>
      </c>
      <c r="T2061" s="53" t="str">
        <f t="shared" si="461"/>
        <v/>
      </c>
    </row>
    <row r="2062" spans="1:20">
      <c r="A2062" s="47" t="str">
        <f>IF(archive!E2062="","",archive!E2062)</f>
        <v/>
      </c>
      <c r="B2062" s="48" t="str">
        <f t="shared" si="448"/>
        <v/>
      </c>
      <c r="C2062" s="49" t="str">
        <f>IF(archive!F2062="","",archive!F2062)</f>
        <v/>
      </c>
      <c r="D2062" s="50" t="str">
        <f t="shared" si="449"/>
        <v/>
      </c>
      <c r="E2062" s="50" t="str">
        <f t="shared" si="450"/>
        <v/>
      </c>
      <c r="F2062" s="47" t="str">
        <f>IF(COUNTA(archive!H2062:CI2062)=0,"",COUNTA(archive!H2062:CI2062))</f>
        <v/>
      </c>
      <c r="G2062" s="47" t="str">
        <f>IF(archive!G2062="","",archive!G2062)</f>
        <v/>
      </c>
      <c r="H2062" s="51" t="str">
        <f>IF(archive!CJ2062="","",archive!CJ2062)</f>
        <v/>
      </c>
      <c r="I2062" s="51" t="str">
        <f>IF(archive!CK2062="","",archive!CK2062)</f>
        <v/>
      </c>
      <c r="J2062" s="47" t="str">
        <f t="shared" si="451"/>
        <v/>
      </c>
      <c r="K2062" s="51" t="str">
        <f t="shared" si="452"/>
        <v/>
      </c>
      <c r="L2062" s="52" t="str">
        <f t="shared" si="453"/>
        <v/>
      </c>
      <c r="M2062" s="53" t="str">
        <f t="shared" si="454"/>
        <v/>
      </c>
      <c r="N2062" s="53" t="str">
        <f t="shared" si="455"/>
        <v/>
      </c>
      <c r="O2062" s="53" t="str">
        <f t="shared" si="456"/>
        <v/>
      </c>
      <c r="P2062" s="53" t="str">
        <f t="shared" si="457"/>
        <v/>
      </c>
      <c r="Q2062" s="53" t="str">
        <f t="shared" si="458"/>
        <v/>
      </c>
      <c r="R2062" s="53" t="str">
        <f t="shared" si="459"/>
        <v/>
      </c>
      <c r="S2062" s="53" t="str">
        <f t="shared" si="460"/>
        <v/>
      </c>
      <c r="T2062" s="53" t="str">
        <f t="shared" si="461"/>
        <v/>
      </c>
    </row>
    <row r="2063" spans="1:20">
      <c r="A2063" s="47" t="str">
        <f>IF(archive!E2063="","",archive!E2063)</f>
        <v/>
      </c>
      <c r="B2063" s="48" t="str">
        <f t="shared" si="448"/>
        <v/>
      </c>
      <c r="C2063" s="49" t="str">
        <f>IF(archive!F2063="","",archive!F2063)</f>
        <v/>
      </c>
      <c r="D2063" s="50" t="str">
        <f t="shared" si="449"/>
        <v/>
      </c>
      <c r="E2063" s="50" t="str">
        <f t="shared" si="450"/>
        <v/>
      </c>
      <c r="F2063" s="47" t="str">
        <f>IF(COUNTA(archive!H2063:CI2063)=0,"",COUNTA(archive!H2063:CI2063))</f>
        <v/>
      </c>
      <c r="G2063" s="47" t="str">
        <f>IF(archive!G2063="","",archive!G2063)</f>
        <v/>
      </c>
      <c r="H2063" s="51" t="str">
        <f>IF(archive!CJ2063="","",archive!CJ2063)</f>
        <v/>
      </c>
      <c r="I2063" s="51" t="str">
        <f>IF(archive!CK2063="","",archive!CK2063)</f>
        <v/>
      </c>
      <c r="J2063" s="47" t="str">
        <f t="shared" si="451"/>
        <v/>
      </c>
      <c r="K2063" s="51" t="str">
        <f t="shared" si="452"/>
        <v/>
      </c>
      <c r="L2063" s="52" t="str">
        <f t="shared" si="453"/>
        <v/>
      </c>
      <c r="M2063" s="53" t="str">
        <f t="shared" si="454"/>
        <v/>
      </c>
      <c r="N2063" s="53" t="str">
        <f t="shared" si="455"/>
        <v/>
      </c>
      <c r="O2063" s="53" t="str">
        <f t="shared" si="456"/>
        <v/>
      </c>
      <c r="P2063" s="53" t="str">
        <f t="shared" si="457"/>
        <v/>
      </c>
      <c r="Q2063" s="53" t="str">
        <f t="shared" si="458"/>
        <v/>
      </c>
      <c r="R2063" s="53" t="str">
        <f t="shared" si="459"/>
        <v/>
      </c>
      <c r="S2063" s="53" t="str">
        <f t="shared" si="460"/>
        <v/>
      </c>
      <c r="T2063" s="53" t="str">
        <f t="shared" si="461"/>
        <v/>
      </c>
    </row>
    <row r="2064" spans="1:20">
      <c r="A2064" s="47" t="str">
        <f>IF(archive!E2064="","",archive!E2064)</f>
        <v/>
      </c>
      <c r="B2064" s="48" t="str">
        <f t="shared" si="448"/>
        <v/>
      </c>
      <c r="C2064" s="49" t="str">
        <f>IF(archive!F2064="","",archive!F2064)</f>
        <v/>
      </c>
      <c r="D2064" s="50" t="str">
        <f t="shared" si="449"/>
        <v/>
      </c>
      <c r="E2064" s="50" t="str">
        <f t="shared" si="450"/>
        <v/>
      </c>
      <c r="F2064" s="47" t="str">
        <f>IF(COUNTA(archive!H2064:CI2064)=0,"",COUNTA(archive!H2064:CI2064))</f>
        <v/>
      </c>
      <c r="G2064" s="47" t="str">
        <f>IF(archive!G2064="","",archive!G2064)</f>
        <v/>
      </c>
      <c r="H2064" s="51" t="str">
        <f>IF(archive!CJ2064="","",archive!CJ2064)</f>
        <v/>
      </c>
      <c r="I2064" s="51" t="str">
        <f>IF(archive!CK2064="","",archive!CK2064)</f>
        <v/>
      </c>
      <c r="J2064" s="47" t="str">
        <f t="shared" si="451"/>
        <v/>
      </c>
      <c r="K2064" s="51" t="str">
        <f t="shared" si="452"/>
        <v/>
      </c>
      <c r="L2064" s="52" t="str">
        <f t="shared" si="453"/>
        <v/>
      </c>
      <c r="M2064" s="53" t="str">
        <f t="shared" si="454"/>
        <v/>
      </c>
      <c r="N2064" s="53" t="str">
        <f t="shared" si="455"/>
        <v/>
      </c>
      <c r="O2064" s="53" t="str">
        <f t="shared" si="456"/>
        <v/>
      </c>
      <c r="P2064" s="53" t="str">
        <f t="shared" si="457"/>
        <v/>
      </c>
      <c r="Q2064" s="53" t="str">
        <f t="shared" si="458"/>
        <v/>
      </c>
      <c r="R2064" s="53" t="str">
        <f t="shared" si="459"/>
        <v/>
      </c>
      <c r="S2064" s="53" t="str">
        <f t="shared" si="460"/>
        <v/>
      </c>
      <c r="T2064" s="53" t="str">
        <f t="shared" si="461"/>
        <v/>
      </c>
    </row>
    <row r="2065" spans="1:20">
      <c r="A2065" s="47" t="str">
        <f>IF(archive!E2065="","",archive!E2065)</f>
        <v/>
      </c>
      <c r="B2065" s="48" t="str">
        <f t="shared" si="448"/>
        <v/>
      </c>
      <c r="C2065" s="49" t="str">
        <f>IF(archive!F2065="","",archive!F2065)</f>
        <v/>
      </c>
      <c r="D2065" s="50" t="str">
        <f t="shared" si="449"/>
        <v/>
      </c>
      <c r="E2065" s="50" t="str">
        <f t="shared" si="450"/>
        <v/>
      </c>
      <c r="F2065" s="47" t="str">
        <f>IF(COUNTA(archive!H2065:CI2065)=0,"",COUNTA(archive!H2065:CI2065))</f>
        <v/>
      </c>
      <c r="G2065" s="47" t="str">
        <f>IF(archive!G2065="","",archive!G2065)</f>
        <v/>
      </c>
      <c r="H2065" s="51" t="str">
        <f>IF(archive!CJ2065="","",archive!CJ2065)</f>
        <v/>
      </c>
      <c r="I2065" s="51" t="str">
        <f>IF(archive!CK2065="","",archive!CK2065)</f>
        <v/>
      </c>
      <c r="J2065" s="47" t="str">
        <f t="shared" si="451"/>
        <v/>
      </c>
      <c r="K2065" s="51" t="str">
        <f t="shared" si="452"/>
        <v/>
      </c>
      <c r="L2065" s="52" t="str">
        <f t="shared" si="453"/>
        <v/>
      </c>
      <c r="M2065" s="53" t="str">
        <f t="shared" si="454"/>
        <v/>
      </c>
      <c r="N2065" s="53" t="str">
        <f t="shared" si="455"/>
        <v/>
      </c>
      <c r="O2065" s="53" t="str">
        <f t="shared" si="456"/>
        <v/>
      </c>
      <c r="P2065" s="53" t="str">
        <f t="shared" si="457"/>
        <v/>
      </c>
      <c r="Q2065" s="53" t="str">
        <f t="shared" si="458"/>
        <v/>
      </c>
      <c r="R2065" s="53" t="str">
        <f t="shared" si="459"/>
        <v/>
      </c>
      <c r="S2065" s="53" t="str">
        <f t="shared" si="460"/>
        <v/>
      </c>
      <c r="T2065" s="53" t="str">
        <f t="shared" si="461"/>
        <v/>
      </c>
    </row>
    <row r="2066" spans="1:20">
      <c r="A2066" s="47" t="str">
        <f>IF(archive!E2066="","",archive!E2066)</f>
        <v/>
      </c>
      <c r="B2066" s="48" t="str">
        <f t="shared" si="448"/>
        <v/>
      </c>
      <c r="C2066" s="49" t="str">
        <f>IF(archive!F2066="","",archive!F2066)</f>
        <v/>
      </c>
      <c r="D2066" s="50" t="str">
        <f t="shared" si="449"/>
        <v/>
      </c>
      <c r="E2066" s="50" t="str">
        <f t="shared" si="450"/>
        <v/>
      </c>
      <c r="F2066" s="47" t="str">
        <f>IF(COUNTA(archive!H2066:CI2066)=0,"",COUNTA(archive!H2066:CI2066))</f>
        <v/>
      </c>
      <c r="G2066" s="47" t="str">
        <f>IF(archive!G2066="","",archive!G2066)</f>
        <v/>
      </c>
      <c r="H2066" s="51" t="str">
        <f>IF(archive!CJ2066="","",archive!CJ2066)</f>
        <v/>
      </c>
      <c r="I2066" s="51" t="str">
        <f>IF(archive!CK2066="","",archive!CK2066)</f>
        <v/>
      </c>
      <c r="J2066" s="47" t="str">
        <f t="shared" si="451"/>
        <v/>
      </c>
      <c r="K2066" s="51" t="str">
        <f t="shared" si="452"/>
        <v/>
      </c>
      <c r="L2066" s="52" t="str">
        <f t="shared" si="453"/>
        <v/>
      </c>
      <c r="M2066" s="53" t="str">
        <f t="shared" si="454"/>
        <v/>
      </c>
      <c r="N2066" s="53" t="str">
        <f t="shared" si="455"/>
        <v/>
      </c>
      <c r="O2066" s="53" t="str">
        <f t="shared" si="456"/>
        <v/>
      </c>
      <c r="P2066" s="53" t="str">
        <f t="shared" si="457"/>
        <v/>
      </c>
      <c r="Q2066" s="53" t="str">
        <f t="shared" si="458"/>
        <v/>
      </c>
      <c r="R2066" s="53" t="str">
        <f t="shared" si="459"/>
        <v/>
      </c>
      <c r="S2066" s="53" t="str">
        <f t="shared" si="460"/>
        <v/>
      </c>
      <c r="T2066" s="53" t="str">
        <f t="shared" si="461"/>
        <v/>
      </c>
    </row>
    <row r="2067" spans="1:20">
      <c r="A2067" s="47" t="str">
        <f>IF(archive!E2067="","",archive!E2067)</f>
        <v/>
      </c>
      <c r="B2067" s="48" t="str">
        <f t="shared" si="448"/>
        <v/>
      </c>
      <c r="C2067" s="49" t="str">
        <f>IF(archive!F2067="","",archive!F2067)</f>
        <v/>
      </c>
      <c r="D2067" s="50" t="str">
        <f t="shared" si="449"/>
        <v/>
      </c>
      <c r="E2067" s="50" t="str">
        <f t="shared" si="450"/>
        <v/>
      </c>
      <c r="F2067" s="47" t="str">
        <f>IF(COUNTA(archive!H2067:CI2067)=0,"",COUNTA(archive!H2067:CI2067))</f>
        <v/>
      </c>
      <c r="G2067" s="47" t="str">
        <f>IF(archive!G2067="","",archive!G2067)</f>
        <v/>
      </c>
      <c r="H2067" s="51" t="str">
        <f>IF(archive!CJ2067="","",archive!CJ2067)</f>
        <v/>
      </c>
      <c r="I2067" s="51" t="str">
        <f>IF(archive!CK2067="","",archive!CK2067)</f>
        <v/>
      </c>
      <c r="J2067" s="47" t="str">
        <f t="shared" si="451"/>
        <v/>
      </c>
      <c r="K2067" s="51" t="str">
        <f t="shared" si="452"/>
        <v/>
      </c>
      <c r="L2067" s="52" t="str">
        <f t="shared" si="453"/>
        <v/>
      </c>
      <c r="M2067" s="53" t="str">
        <f t="shared" si="454"/>
        <v/>
      </c>
      <c r="N2067" s="53" t="str">
        <f t="shared" si="455"/>
        <v/>
      </c>
      <c r="O2067" s="53" t="str">
        <f t="shared" si="456"/>
        <v/>
      </c>
      <c r="P2067" s="53" t="str">
        <f t="shared" si="457"/>
        <v/>
      </c>
      <c r="Q2067" s="53" t="str">
        <f t="shared" si="458"/>
        <v/>
      </c>
      <c r="R2067" s="53" t="str">
        <f t="shared" si="459"/>
        <v/>
      </c>
      <c r="S2067" s="53" t="str">
        <f t="shared" si="460"/>
        <v/>
      </c>
      <c r="T2067" s="53" t="str">
        <f t="shared" si="461"/>
        <v/>
      </c>
    </row>
    <row r="2068" spans="1:20">
      <c r="A2068" s="47" t="str">
        <f>IF(archive!E2068="","",archive!E2068)</f>
        <v/>
      </c>
      <c r="B2068" s="48" t="str">
        <f t="shared" si="448"/>
        <v/>
      </c>
      <c r="C2068" s="49" t="str">
        <f>IF(archive!F2068="","",archive!F2068)</f>
        <v/>
      </c>
      <c r="D2068" s="50" t="str">
        <f t="shared" si="449"/>
        <v/>
      </c>
      <c r="E2068" s="50" t="str">
        <f t="shared" si="450"/>
        <v/>
      </c>
      <c r="F2068" s="47" t="str">
        <f>IF(COUNTA(archive!H2068:CI2068)=0,"",COUNTA(archive!H2068:CI2068))</f>
        <v/>
      </c>
      <c r="G2068" s="47" t="str">
        <f>IF(archive!G2068="","",archive!G2068)</f>
        <v/>
      </c>
      <c r="H2068" s="51" t="str">
        <f>IF(archive!CJ2068="","",archive!CJ2068)</f>
        <v/>
      </c>
      <c r="I2068" s="51" t="str">
        <f>IF(archive!CK2068="","",archive!CK2068)</f>
        <v/>
      </c>
      <c r="J2068" s="47" t="str">
        <f t="shared" si="451"/>
        <v/>
      </c>
      <c r="K2068" s="51" t="str">
        <f t="shared" si="452"/>
        <v/>
      </c>
      <c r="L2068" s="52" t="str">
        <f t="shared" si="453"/>
        <v/>
      </c>
      <c r="M2068" s="53" t="str">
        <f t="shared" si="454"/>
        <v/>
      </c>
      <c r="N2068" s="53" t="str">
        <f t="shared" si="455"/>
        <v/>
      </c>
      <c r="O2068" s="53" t="str">
        <f t="shared" si="456"/>
        <v/>
      </c>
      <c r="P2068" s="53" t="str">
        <f t="shared" si="457"/>
        <v/>
      </c>
      <c r="Q2068" s="53" t="str">
        <f t="shared" si="458"/>
        <v/>
      </c>
      <c r="R2068" s="53" t="str">
        <f t="shared" si="459"/>
        <v/>
      </c>
      <c r="S2068" s="53" t="str">
        <f t="shared" si="460"/>
        <v/>
      </c>
      <c r="T2068" s="53" t="str">
        <f t="shared" si="461"/>
        <v/>
      </c>
    </row>
    <row r="2069" spans="1:20">
      <c r="A2069" s="47" t="str">
        <f>IF(archive!E2069="","",archive!E2069)</f>
        <v/>
      </c>
      <c r="B2069" s="48" t="str">
        <f t="shared" si="448"/>
        <v/>
      </c>
      <c r="C2069" s="49" t="str">
        <f>IF(archive!F2069="","",archive!F2069)</f>
        <v/>
      </c>
      <c r="D2069" s="50" t="str">
        <f t="shared" si="449"/>
        <v/>
      </c>
      <c r="E2069" s="50" t="str">
        <f t="shared" si="450"/>
        <v/>
      </c>
      <c r="F2069" s="47" t="str">
        <f>IF(COUNTA(archive!H2069:CI2069)=0,"",COUNTA(archive!H2069:CI2069))</f>
        <v/>
      </c>
      <c r="G2069" s="47" t="str">
        <f>IF(archive!G2069="","",archive!G2069)</f>
        <v/>
      </c>
      <c r="H2069" s="51" t="str">
        <f>IF(archive!CJ2069="","",archive!CJ2069)</f>
        <v/>
      </c>
      <c r="I2069" s="51" t="str">
        <f>IF(archive!CK2069="","",archive!CK2069)</f>
        <v/>
      </c>
      <c r="J2069" s="47" t="str">
        <f t="shared" si="451"/>
        <v/>
      </c>
      <c r="K2069" s="51" t="str">
        <f t="shared" si="452"/>
        <v/>
      </c>
      <c r="L2069" s="52" t="str">
        <f t="shared" si="453"/>
        <v/>
      </c>
      <c r="M2069" s="53" t="str">
        <f t="shared" si="454"/>
        <v/>
      </c>
      <c r="N2069" s="53" t="str">
        <f t="shared" si="455"/>
        <v/>
      </c>
      <c r="O2069" s="53" t="str">
        <f t="shared" si="456"/>
        <v/>
      </c>
      <c r="P2069" s="53" t="str">
        <f t="shared" si="457"/>
        <v/>
      </c>
      <c r="Q2069" s="53" t="str">
        <f t="shared" si="458"/>
        <v/>
      </c>
      <c r="R2069" s="53" t="str">
        <f t="shared" si="459"/>
        <v/>
      </c>
      <c r="S2069" s="53" t="str">
        <f t="shared" si="460"/>
        <v/>
      </c>
      <c r="T2069" s="53" t="str">
        <f t="shared" si="461"/>
        <v/>
      </c>
    </row>
    <row r="2070" spans="1:20">
      <c r="A2070" s="47" t="str">
        <f>IF(archive!E2070="","",archive!E2070)</f>
        <v/>
      </c>
      <c r="B2070" s="48" t="str">
        <f t="shared" si="448"/>
        <v/>
      </c>
      <c r="C2070" s="49" t="str">
        <f>IF(archive!F2070="","",archive!F2070)</f>
        <v/>
      </c>
      <c r="D2070" s="50" t="str">
        <f t="shared" si="449"/>
        <v/>
      </c>
      <c r="E2070" s="50" t="str">
        <f t="shared" si="450"/>
        <v/>
      </c>
      <c r="F2070" s="47" t="str">
        <f>IF(COUNTA(archive!H2070:CI2070)=0,"",COUNTA(archive!H2070:CI2070))</f>
        <v/>
      </c>
      <c r="G2070" s="47" t="str">
        <f>IF(archive!G2070="","",archive!G2070)</f>
        <v/>
      </c>
      <c r="H2070" s="51" t="str">
        <f>IF(archive!CJ2070="","",archive!CJ2070)</f>
        <v/>
      </c>
      <c r="I2070" s="51" t="str">
        <f>IF(archive!CK2070="","",archive!CK2070)</f>
        <v/>
      </c>
      <c r="J2070" s="47" t="str">
        <f t="shared" si="451"/>
        <v/>
      </c>
      <c r="K2070" s="51" t="str">
        <f t="shared" si="452"/>
        <v/>
      </c>
      <c r="L2070" s="52" t="str">
        <f t="shared" si="453"/>
        <v/>
      </c>
      <c r="M2070" s="53" t="str">
        <f t="shared" si="454"/>
        <v/>
      </c>
      <c r="N2070" s="53" t="str">
        <f t="shared" si="455"/>
        <v/>
      </c>
      <c r="O2070" s="53" t="str">
        <f t="shared" si="456"/>
        <v/>
      </c>
      <c r="P2070" s="53" t="str">
        <f t="shared" si="457"/>
        <v/>
      </c>
      <c r="Q2070" s="53" t="str">
        <f t="shared" si="458"/>
        <v/>
      </c>
      <c r="R2070" s="53" t="str">
        <f t="shared" si="459"/>
        <v/>
      </c>
      <c r="S2070" s="53" t="str">
        <f t="shared" si="460"/>
        <v/>
      </c>
      <c r="T2070" s="53" t="str">
        <f t="shared" si="461"/>
        <v/>
      </c>
    </row>
    <row r="2071" spans="1:20">
      <c r="A2071" s="47" t="str">
        <f>IF(archive!E2071="","",archive!E2071)</f>
        <v/>
      </c>
      <c r="B2071" s="48" t="str">
        <f t="shared" si="448"/>
        <v/>
      </c>
      <c r="C2071" s="49" t="str">
        <f>IF(archive!F2071="","",archive!F2071)</f>
        <v/>
      </c>
      <c r="D2071" s="50" t="str">
        <f t="shared" si="449"/>
        <v/>
      </c>
      <c r="E2071" s="50" t="str">
        <f t="shared" si="450"/>
        <v/>
      </c>
      <c r="F2071" s="47" t="str">
        <f>IF(COUNTA(archive!H2071:CI2071)=0,"",COUNTA(archive!H2071:CI2071))</f>
        <v/>
      </c>
      <c r="G2071" s="47" t="str">
        <f>IF(archive!G2071="","",archive!G2071)</f>
        <v/>
      </c>
      <c r="H2071" s="51" t="str">
        <f>IF(archive!CJ2071="","",archive!CJ2071)</f>
        <v/>
      </c>
      <c r="I2071" s="51" t="str">
        <f>IF(archive!CK2071="","",archive!CK2071)</f>
        <v/>
      </c>
      <c r="J2071" s="47" t="str">
        <f t="shared" si="451"/>
        <v/>
      </c>
      <c r="K2071" s="51" t="str">
        <f t="shared" si="452"/>
        <v/>
      </c>
      <c r="L2071" s="52" t="str">
        <f t="shared" si="453"/>
        <v/>
      </c>
      <c r="M2071" s="53" t="str">
        <f t="shared" si="454"/>
        <v/>
      </c>
      <c r="N2071" s="53" t="str">
        <f t="shared" si="455"/>
        <v/>
      </c>
      <c r="O2071" s="53" t="str">
        <f t="shared" si="456"/>
        <v/>
      </c>
      <c r="P2071" s="53" t="str">
        <f t="shared" si="457"/>
        <v/>
      </c>
      <c r="Q2071" s="53" t="str">
        <f t="shared" si="458"/>
        <v/>
      </c>
      <c r="R2071" s="53" t="str">
        <f t="shared" si="459"/>
        <v/>
      </c>
      <c r="S2071" s="53" t="str">
        <f t="shared" si="460"/>
        <v/>
      </c>
      <c r="T2071" s="53" t="str">
        <f t="shared" si="461"/>
        <v/>
      </c>
    </row>
    <row r="2072" spans="1:20">
      <c r="A2072" s="47" t="str">
        <f>IF(archive!E2072="","",archive!E2072)</f>
        <v/>
      </c>
      <c r="B2072" s="48" t="str">
        <f t="shared" si="448"/>
        <v/>
      </c>
      <c r="C2072" s="49" t="str">
        <f>IF(archive!F2072="","",archive!F2072)</f>
        <v/>
      </c>
      <c r="D2072" s="50" t="str">
        <f t="shared" si="449"/>
        <v/>
      </c>
      <c r="E2072" s="50" t="str">
        <f t="shared" si="450"/>
        <v/>
      </c>
      <c r="F2072" s="47" t="str">
        <f>IF(COUNTA(archive!H2072:CI2072)=0,"",COUNTA(archive!H2072:CI2072))</f>
        <v/>
      </c>
      <c r="G2072" s="47" t="str">
        <f>IF(archive!G2072="","",archive!G2072)</f>
        <v/>
      </c>
      <c r="H2072" s="51" t="str">
        <f>IF(archive!CJ2072="","",archive!CJ2072)</f>
        <v/>
      </c>
      <c r="I2072" s="51" t="str">
        <f>IF(archive!CK2072="","",archive!CK2072)</f>
        <v/>
      </c>
      <c r="J2072" s="47" t="str">
        <f t="shared" si="451"/>
        <v/>
      </c>
      <c r="K2072" s="51" t="str">
        <f t="shared" si="452"/>
        <v/>
      </c>
      <c r="L2072" s="52" t="str">
        <f t="shared" si="453"/>
        <v/>
      </c>
      <c r="M2072" s="53" t="str">
        <f t="shared" si="454"/>
        <v/>
      </c>
      <c r="N2072" s="53" t="str">
        <f t="shared" si="455"/>
        <v/>
      </c>
      <c r="O2072" s="53" t="str">
        <f t="shared" si="456"/>
        <v/>
      </c>
      <c r="P2072" s="53" t="str">
        <f t="shared" si="457"/>
        <v/>
      </c>
      <c r="Q2072" s="53" t="str">
        <f t="shared" si="458"/>
        <v/>
      </c>
      <c r="R2072" s="53" t="str">
        <f t="shared" si="459"/>
        <v/>
      </c>
      <c r="S2072" s="53" t="str">
        <f t="shared" si="460"/>
        <v/>
      </c>
      <c r="T2072" s="53" t="str">
        <f t="shared" si="461"/>
        <v/>
      </c>
    </row>
    <row r="2073" spans="1:20">
      <c r="A2073" s="47" t="str">
        <f>IF(archive!E2073="","",archive!E2073)</f>
        <v/>
      </c>
      <c r="B2073" s="48" t="str">
        <f t="shared" si="448"/>
        <v/>
      </c>
      <c r="C2073" s="49" t="str">
        <f>IF(archive!F2073="","",archive!F2073)</f>
        <v/>
      </c>
      <c r="D2073" s="50" t="str">
        <f t="shared" si="449"/>
        <v/>
      </c>
      <c r="E2073" s="50" t="str">
        <f t="shared" si="450"/>
        <v/>
      </c>
      <c r="F2073" s="47" t="str">
        <f>IF(COUNTA(archive!H2073:CI2073)=0,"",COUNTA(archive!H2073:CI2073))</f>
        <v/>
      </c>
      <c r="G2073" s="47" t="str">
        <f>IF(archive!G2073="","",archive!G2073)</f>
        <v/>
      </c>
      <c r="H2073" s="51" t="str">
        <f>IF(archive!CJ2073="","",archive!CJ2073)</f>
        <v/>
      </c>
      <c r="I2073" s="51" t="str">
        <f>IF(archive!CK2073="","",archive!CK2073)</f>
        <v/>
      </c>
      <c r="J2073" s="47" t="str">
        <f t="shared" si="451"/>
        <v/>
      </c>
      <c r="K2073" s="51" t="str">
        <f t="shared" si="452"/>
        <v/>
      </c>
      <c r="L2073" s="52" t="str">
        <f t="shared" si="453"/>
        <v/>
      </c>
      <c r="M2073" s="53" t="str">
        <f t="shared" si="454"/>
        <v/>
      </c>
      <c r="N2073" s="53" t="str">
        <f t="shared" si="455"/>
        <v/>
      </c>
      <c r="O2073" s="53" t="str">
        <f t="shared" si="456"/>
        <v/>
      </c>
      <c r="P2073" s="53" t="str">
        <f t="shared" si="457"/>
        <v/>
      </c>
      <c r="Q2073" s="53" t="str">
        <f t="shared" si="458"/>
        <v/>
      </c>
      <c r="R2073" s="53" t="str">
        <f t="shared" si="459"/>
        <v/>
      </c>
      <c r="S2073" s="53" t="str">
        <f t="shared" si="460"/>
        <v/>
      </c>
      <c r="T2073" s="53" t="str">
        <f t="shared" si="461"/>
        <v/>
      </c>
    </row>
    <row r="2074" spans="1:20">
      <c r="A2074" s="47" t="str">
        <f>IF(archive!E2074="","",archive!E2074)</f>
        <v/>
      </c>
      <c r="B2074" s="48" t="str">
        <f t="shared" si="448"/>
        <v/>
      </c>
      <c r="C2074" s="49" t="str">
        <f>IF(archive!F2074="","",archive!F2074)</f>
        <v/>
      </c>
      <c r="D2074" s="50" t="str">
        <f t="shared" si="449"/>
        <v/>
      </c>
      <c r="E2074" s="50" t="str">
        <f t="shared" si="450"/>
        <v/>
      </c>
      <c r="F2074" s="47" t="str">
        <f>IF(COUNTA(archive!H2074:CI2074)=0,"",COUNTA(archive!H2074:CI2074))</f>
        <v/>
      </c>
      <c r="G2074" s="47" t="str">
        <f>IF(archive!G2074="","",archive!G2074)</f>
        <v/>
      </c>
      <c r="H2074" s="51" t="str">
        <f>IF(archive!CJ2074="","",archive!CJ2074)</f>
        <v/>
      </c>
      <c r="I2074" s="51" t="str">
        <f>IF(archive!CK2074="","",archive!CK2074)</f>
        <v/>
      </c>
      <c r="J2074" s="47" t="str">
        <f t="shared" si="451"/>
        <v/>
      </c>
      <c r="K2074" s="51" t="str">
        <f t="shared" si="452"/>
        <v/>
      </c>
      <c r="L2074" s="52" t="str">
        <f t="shared" si="453"/>
        <v/>
      </c>
      <c r="M2074" s="53" t="str">
        <f t="shared" si="454"/>
        <v/>
      </c>
      <c r="N2074" s="53" t="str">
        <f t="shared" si="455"/>
        <v/>
      </c>
      <c r="O2074" s="53" t="str">
        <f t="shared" si="456"/>
        <v/>
      </c>
      <c r="P2074" s="53" t="str">
        <f t="shared" si="457"/>
        <v/>
      </c>
      <c r="Q2074" s="53" t="str">
        <f t="shared" si="458"/>
        <v/>
      </c>
      <c r="R2074" s="53" t="str">
        <f t="shared" si="459"/>
        <v/>
      </c>
      <c r="S2074" s="53" t="str">
        <f t="shared" si="460"/>
        <v/>
      </c>
      <c r="T2074" s="53" t="str">
        <f t="shared" si="461"/>
        <v/>
      </c>
    </row>
    <row r="2075" spans="1:20">
      <c r="A2075" s="47" t="str">
        <f>IF(archive!E2075="","",archive!E2075)</f>
        <v/>
      </c>
      <c r="B2075" s="48" t="str">
        <f t="shared" si="448"/>
        <v/>
      </c>
      <c r="C2075" s="49" t="str">
        <f>IF(archive!F2075="","",archive!F2075)</f>
        <v/>
      </c>
      <c r="D2075" s="50" t="str">
        <f t="shared" si="449"/>
        <v/>
      </c>
      <c r="E2075" s="50" t="str">
        <f t="shared" si="450"/>
        <v/>
      </c>
      <c r="F2075" s="47" t="str">
        <f>IF(COUNTA(archive!H2075:CI2075)=0,"",COUNTA(archive!H2075:CI2075))</f>
        <v/>
      </c>
      <c r="G2075" s="47" t="str">
        <f>IF(archive!G2075="","",archive!G2075)</f>
        <v/>
      </c>
      <c r="H2075" s="51" t="str">
        <f>IF(archive!CJ2075="","",archive!CJ2075)</f>
        <v/>
      </c>
      <c r="I2075" s="51" t="str">
        <f>IF(archive!CK2075="","",archive!CK2075)</f>
        <v/>
      </c>
      <c r="J2075" s="47" t="str">
        <f t="shared" si="451"/>
        <v/>
      </c>
      <c r="K2075" s="51" t="str">
        <f t="shared" si="452"/>
        <v/>
      </c>
      <c r="L2075" s="52" t="str">
        <f t="shared" si="453"/>
        <v/>
      </c>
      <c r="M2075" s="53" t="str">
        <f t="shared" si="454"/>
        <v/>
      </c>
      <c r="N2075" s="53" t="str">
        <f t="shared" si="455"/>
        <v/>
      </c>
      <c r="O2075" s="53" t="str">
        <f t="shared" si="456"/>
        <v/>
      </c>
      <c r="P2075" s="53" t="str">
        <f t="shared" si="457"/>
        <v/>
      </c>
      <c r="Q2075" s="53" t="str">
        <f t="shared" si="458"/>
        <v/>
      </c>
      <c r="R2075" s="53" t="str">
        <f t="shared" si="459"/>
        <v/>
      </c>
      <c r="S2075" s="53" t="str">
        <f t="shared" si="460"/>
        <v/>
      </c>
      <c r="T2075" s="53" t="str">
        <f t="shared" si="461"/>
        <v/>
      </c>
    </row>
    <row r="2076" spans="1:20">
      <c r="A2076" s="47" t="str">
        <f>IF(archive!E2076="","",archive!E2076)</f>
        <v/>
      </c>
      <c r="B2076" s="48" t="str">
        <f t="shared" si="448"/>
        <v/>
      </c>
      <c r="C2076" s="49" t="str">
        <f>IF(archive!F2076="","",archive!F2076)</f>
        <v/>
      </c>
      <c r="D2076" s="50" t="str">
        <f t="shared" si="449"/>
        <v/>
      </c>
      <c r="E2076" s="50" t="str">
        <f t="shared" si="450"/>
        <v/>
      </c>
      <c r="F2076" s="47" t="str">
        <f>IF(COUNTA(archive!H2076:CI2076)=0,"",COUNTA(archive!H2076:CI2076))</f>
        <v/>
      </c>
      <c r="G2076" s="47" t="str">
        <f>IF(archive!G2076="","",archive!G2076)</f>
        <v/>
      </c>
      <c r="H2076" s="51" t="str">
        <f>IF(archive!CJ2076="","",archive!CJ2076)</f>
        <v/>
      </c>
      <c r="I2076" s="51" t="str">
        <f>IF(archive!CK2076="","",archive!CK2076)</f>
        <v/>
      </c>
      <c r="J2076" s="47" t="str">
        <f t="shared" si="451"/>
        <v/>
      </c>
      <c r="K2076" s="51" t="str">
        <f t="shared" si="452"/>
        <v/>
      </c>
      <c r="L2076" s="52" t="str">
        <f t="shared" si="453"/>
        <v/>
      </c>
      <c r="M2076" s="53" t="str">
        <f t="shared" si="454"/>
        <v/>
      </c>
      <c r="N2076" s="53" t="str">
        <f t="shared" si="455"/>
        <v/>
      </c>
      <c r="O2076" s="53" t="str">
        <f t="shared" si="456"/>
        <v/>
      </c>
      <c r="P2076" s="53" t="str">
        <f t="shared" si="457"/>
        <v/>
      </c>
      <c r="Q2076" s="53" t="str">
        <f t="shared" si="458"/>
        <v/>
      </c>
      <c r="R2076" s="53" t="str">
        <f t="shared" si="459"/>
        <v/>
      </c>
      <c r="S2076" s="53" t="str">
        <f t="shared" si="460"/>
        <v/>
      </c>
      <c r="T2076" s="53" t="str">
        <f t="shared" si="461"/>
        <v/>
      </c>
    </row>
    <row r="2077" spans="1:20">
      <c r="A2077" s="47" t="str">
        <f>IF(archive!E2077="","",archive!E2077)</f>
        <v/>
      </c>
      <c r="B2077" s="48" t="str">
        <f t="shared" si="448"/>
        <v/>
      </c>
      <c r="C2077" s="49" t="str">
        <f>IF(archive!F2077="","",archive!F2077)</f>
        <v/>
      </c>
      <c r="D2077" s="50" t="str">
        <f t="shared" si="449"/>
        <v/>
      </c>
      <c r="E2077" s="50" t="str">
        <f t="shared" si="450"/>
        <v/>
      </c>
      <c r="F2077" s="47" t="str">
        <f>IF(COUNTA(archive!H2077:CI2077)=0,"",COUNTA(archive!H2077:CI2077))</f>
        <v/>
      </c>
      <c r="G2077" s="47" t="str">
        <f>IF(archive!G2077="","",archive!G2077)</f>
        <v/>
      </c>
      <c r="H2077" s="51" t="str">
        <f>IF(archive!CJ2077="","",archive!CJ2077)</f>
        <v/>
      </c>
      <c r="I2077" s="51" t="str">
        <f>IF(archive!CK2077="","",archive!CK2077)</f>
        <v/>
      </c>
      <c r="J2077" s="47" t="str">
        <f t="shared" si="451"/>
        <v/>
      </c>
      <c r="K2077" s="51" t="str">
        <f t="shared" si="452"/>
        <v/>
      </c>
      <c r="L2077" s="52" t="str">
        <f t="shared" si="453"/>
        <v/>
      </c>
      <c r="M2077" s="53" t="str">
        <f t="shared" si="454"/>
        <v/>
      </c>
      <c r="N2077" s="53" t="str">
        <f t="shared" si="455"/>
        <v/>
      </c>
      <c r="O2077" s="53" t="str">
        <f t="shared" si="456"/>
        <v/>
      </c>
      <c r="P2077" s="53" t="str">
        <f t="shared" si="457"/>
        <v/>
      </c>
      <c r="Q2077" s="53" t="str">
        <f t="shared" si="458"/>
        <v/>
      </c>
      <c r="R2077" s="53" t="str">
        <f t="shared" si="459"/>
        <v/>
      </c>
      <c r="S2077" s="53" t="str">
        <f t="shared" si="460"/>
        <v/>
      </c>
      <c r="T2077" s="53" t="str">
        <f t="shared" si="461"/>
        <v/>
      </c>
    </row>
    <row r="2078" spans="1:20">
      <c r="A2078" s="47" t="str">
        <f>IF(archive!E2078="","",archive!E2078)</f>
        <v/>
      </c>
      <c r="B2078" s="48" t="str">
        <f t="shared" si="448"/>
        <v/>
      </c>
      <c r="C2078" s="49" t="str">
        <f>IF(archive!F2078="","",archive!F2078)</f>
        <v/>
      </c>
      <c r="D2078" s="50" t="str">
        <f t="shared" si="449"/>
        <v/>
      </c>
      <c r="E2078" s="50" t="str">
        <f t="shared" si="450"/>
        <v/>
      </c>
      <c r="F2078" s="47" t="str">
        <f>IF(COUNTA(archive!H2078:CI2078)=0,"",COUNTA(archive!H2078:CI2078))</f>
        <v/>
      </c>
      <c r="G2078" s="47" t="str">
        <f>IF(archive!G2078="","",archive!G2078)</f>
        <v/>
      </c>
      <c r="H2078" s="51" t="str">
        <f>IF(archive!CJ2078="","",archive!CJ2078)</f>
        <v/>
      </c>
      <c r="I2078" s="51" t="str">
        <f>IF(archive!CK2078="","",archive!CK2078)</f>
        <v/>
      </c>
      <c r="J2078" s="47" t="str">
        <f t="shared" si="451"/>
        <v/>
      </c>
      <c r="K2078" s="51" t="str">
        <f t="shared" si="452"/>
        <v/>
      </c>
      <c r="L2078" s="52" t="str">
        <f t="shared" si="453"/>
        <v/>
      </c>
      <c r="M2078" s="53" t="str">
        <f t="shared" si="454"/>
        <v/>
      </c>
      <c r="N2078" s="53" t="str">
        <f t="shared" si="455"/>
        <v/>
      </c>
      <c r="O2078" s="53" t="str">
        <f t="shared" si="456"/>
        <v/>
      </c>
      <c r="P2078" s="53" t="str">
        <f t="shared" si="457"/>
        <v/>
      </c>
      <c r="Q2078" s="53" t="str">
        <f t="shared" si="458"/>
        <v/>
      </c>
      <c r="R2078" s="53" t="str">
        <f t="shared" si="459"/>
        <v/>
      </c>
      <c r="S2078" s="53" t="str">
        <f t="shared" si="460"/>
        <v/>
      </c>
      <c r="T2078" s="53" t="str">
        <f t="shared" si="461"/>
        <v/>
      </c>
    </row>
    <row r="2079" spans="1:20">
      <c r="A2079" s="47" t="str">
        <f>IF(archive!E2079="","",archive!E2079)</f>
        <v/>
      </c>
      <c r="B2079" s="48" t="str">
        <f t="shared" si="448"/>
        <v/>
      </c>
      <c r="C2079" s="49" t="str">
        <f>IF(archive!F2079="","",archive!F2079)</f>
        <v/>
      </c>
      <c r="D2079" s="50" t="str">
        <f t="shared" si="449"/>
        <v/>
      </c>
      <c r="E2079" s="50" t="str">
        <f t="shared" si="450"/>
        <v/>
      </c>
      <c r="F2079" s="47" t="str">
        <f>IF(COUNTA(archive!H2079:CI2079)=0,"",COUNTA(archive!H2079:CI2079))</f>
        <v/>
      </c>
      <c r="G2079" s="47" t="str">
        <f>IF(archive!G2079="","",archive!G2079)</f>
        <v/>
      </c>
      <c r="H2079" s="51" t="str">
        <f>IF(archive!CJ2079="","",archive!CJ2079)</f>
        <v/>
      </c>
      <c r="I2079" s="51" t="str">
        <f>IF(archive!CK2079="","",archive!CK2079)</f>
        <v/>
      </c>
      <c r="J2079" s="47" t="str">
        <f t="shared" si="451"/>
        <v/>
      </c>
      <c r="K2079" s="51" t="str">
        <f t="shared" si="452"/>
        <v/>
      </c>
      <c r="L2079" s="52" t="str">
        <f t="shared" si="453"/>
        <v/>
      </c>
      <c r="M2079" s="53" t="str">
        <f t="shared" si="454"/>
        <v/>
      </c>
      <c r="N2079" s="53" t="str">
        <f t="shared" si="455"/>
        <v/>
      </c>
      <c r="O2079" s="53" t="str">
        <f t="shared" si="456"/>
        <v/>
      </c>
      <c r="P2079" s="53" t="str">
        <f t="shared" si="457"/>
        <v/>
      </c>
      <c r="Q2079" s="53" t="str">
        <f t="shared" si="458"/>
        <v/>
      </c>
      <c r="R2079" s="53" t="str">
        <f t="shared" si="459"/>
        <v/>
      </c>
      <c r="S2079" s="53" t="str">
        <f t="shared" si="460"/>
        <v/>
      </c>
      <c r="T2079" s="53" t="str">
        <f t="shared" si="461"/>
        <v/>
      </c>
    </row>
    <row r="2080" spans="1:20">
      <c r="A2080" s="47" t="str">
        <f>IF(archive!E2080="","",archive!E2080)</f>
        <v/>
      </c>
      <c r="B2080" s="48" t="str">
        <f t="shared" si="448"/>
        <v/>
      </c>
      <c r="C2080" s="49" t="str">
        <f>IF(archive!F2080="","",archive!F2080)</f>
        <v/>
      </c>
      <c r="D2080" s="50" t="str">
        <f t="shared" si="449"/>
        <v/>
      </c>
      <c r="E2080" s="50" t="str">
        <f t="shared" si="450"/>
        <v/>
      </c>
      <c r="F2080" s="47" t="str">
        <f>IF(COUNTA(archive!H2080:CI2080)=0,"",COUNTA(archive!H2080:CI2080))</f>
        <v/>
      </c>
      <c r="G2080" s="47" t="str">
        <f>IF(archive!G2080="","",archive!G2080)</f>
        <v/>
      </c>
      <c r="H2080" s="51" t="str">
        <f>IF(archive!CJ2080="","",archive!CJ2080)</f>
        <v/>
      </c>
      <c r="I2080" s="51" t="str">
        <f>IF(archive!CK2080="","",archive!CK2080)</f>
        <v/>
      </c>
      <c r="J2080" s="47" t="str">
        <f t="shared" si="451"/>
        <v/>
      </c>
      <c r="K2080" s="51" t="str">
        <f t="shared" si="452"/>
        <v/>
      </c>
      <c r="L2080" s="52" t="str">
        <f t="shared" si="453"/>
        <v/>
      </c>
      <c r="M2080" s="53" t="str">
        <f t="shared" si="454"/>
        <v/>
      </c>
      <c r="N2080" s="53" t="str">
        <f t="shared" si="455"/>
        <v/>
      </c>
      <c r="O2080" s="53" t="str">
        <f t="shared" si="456"/>
        <v/>
      </c>
      <c r="P2080" s="53" t="str">
        <f t="shared" si="457"/>
        <v/>
      </c>
      <c r="Q2080" s="53" t="str">
        <f t="shared" si="458"/>
        <v/>
      </c>
      <c r="R2080" s="53" t="str">
        <f t="shared" si="459"/>
        <v/>
      </c>
      <c r="S2080" s="53" t="str">
        <f t="shared" si="460"/>
        <v/>
      </c>
      <c r="T2080" s="53" t="str">
        <f t="shared" si="461"/>
        <v/>
      </c>
    </row>
    <row r="2081" spans="1:20">
      <c r="A2081" s="47" t="str">
        <f>IF(archive!E2081="","",archive!E2081)</f>
        <v/>
      </c>
      <c r="B2081" s="48" t="str">
        <f t="shared" si="448"/>
        <v/>
      </c>
      <c r="C2081" s="49" t="str">
        <f>IF(archive!F2081="","",archive!F2081)</f>
        <v/>
      </c>
      <c r="D2081" s="50" t="str">
        <f t="shared" si="449"/>
        <v/>
      </c>
      <c r="E2081" s="50" t="str">
        <f t="shared" si="450"/>
        <v/>
      </c>
      <c r="F2081" s="47" t="str">
        <f>IF(COUNTA(archive!H2081:CI2081)=0,"",COUNTA(archive!H2081:CI2081))</f>
        <v/>
      </c>
      <c r="G2081" s="47" t="str">
        <f>IF(archive!G2081="","",archive!G2081)</f>
        <v/>
      </c>
      <c r="H2081" s="51" t="str">
        <f>IF(archive!CJ2081="","",archive!CJ2081)</f>
        <v/>
      </c>
      <c r="I2081" s="51" t="str">
        <f>IF(archive!CK2081="","",archive!CK2081)</f>
        <v/>
      </c>
      <c r="J2081" s="47" t="str">
        <f t="shared" si="451"/>
        <v/>
      </c>
      <c r="K2081" s="51" t="str">
        <f t="shared" si="452"/>
        <v/>
      </c>
      <c r="L2081" s="52" t="str">
        <f t="shared" si="453"/>
        <v/>
      </c>
      <c r="M2081" s="53" t="str">
        <f t="shared" si="454"/>
        <v/>
      </c>
      <c r="N2081" s="53" t="str">
        <f t="shared" si="455"/>
        <v/>
      </c>
      <c r="O2081" s="53" t="str">
        <f t="shared" si="456"/>
        <v/>
      </c>
      <c r="P2081" s="53" t="str">
        <f t="shared" si="457"/>
        <v/>
      </c>
      <c r="Q2081" s="53" t="str">
        <f t="shared" si="458"/>
        <v/>
      </c>
      <c r="R2081" s="53" t="str">
        <f t="shared" si="459"/>
        <v/>
      </c>
      <c r="S2081" s="53" t="str">
        <f t="shared" si="460"/>
        <v/>
      </c>
      <c r="T2081" s="53" t="str">
        <f t="shared" si="461"/>
        <v/>
      </c>
    </row>
    <row r="2082" spans="1:20">
      <c r="A2082" s="47" t="str">
        <f>IF(archive!E2082="","",archive!E2082)</f>
        <v/>
      </c>
      <c r="B2082" s="48" t="str">
        <f t="shared" si="448"/>
        <v/>
      </c>
      <c r="C2082" s="49" t="str">
        <f>IF(archive!F2082="","",archive!F2082)</f>
        <v/>
      </c>
      <c r="D2082" s="50" t="str">
        <f t="shared" si="449"/>
        <v/>
      </c>
      <c r="E2082" s="50" t="str">
        <f t="shared" si="450"/>
        <v/>
      </c>
      <c r="F2082" s="47" t="str">
        <f>IF(COUNTA(archive!H2082:CI2082)=0,"",COUNTA(archive!H2082:CI2082))</f>
        <v/>
      </c>
      <c r="G2082" s="47" t="str">
        <f>IF(archive!G2082="","",archive!G2082)</f>
        <v/>
      </c>
      <c r="H2082" s="51" t="str">
        <f>IF(archive!CJ2082="","",archive!CJ2082)</f>
        <v/>
      </c>
      <c r="I2082" s="51" t="str">
        <f>IF(archive!CK2082="","",archive!CK2082)</f>
        <v/>
      </c>
      <c r="J2082" s="47" t="str">
        <f t="shared" si="451"/>
        <v/>
      </c>
      <c r="K2082" s="51" t="str">
        <f t="shared" si="452"/>
        <v/>
      </c>
      <c r="L2082" s="52" t="str">
        <f t="shared" si="453"/>
        <v/>
      </c>
      <c r="M2082" s="53" t="str">
        <f t="shared" si="454"/>
        <v/>
      </c>
      <c r="N2082" s="53" t="str">
        <f t="shared" si="455"/>
        <v/>
      </c>
      <c r="O2082" s="53" t="str">
        <f t="shared" si="456"/>
        <v/>
      </c>
      <c r="P2082" s="53" t="str">
        <f t="shared" si="457"/>
        <v/>
      </c>
      <c r="Q2082" s="53" t="str">
        <f t="shared" si="458"/>
        <v/>
      </c>
      <c r="R2082" s="53" t="str">
        <f t="shared" si="459"/>
        <v/>
      </c>
      <c r="S2082" s="53" t="str">
        <f t="shared" si="460"/>
        <v/>
      </c>
      <c r="T2082" s="53" t="str">
        <f t="shared" si="461"/>
        <v/>
      </c>
    </row>
    <row r="2083" spans="1:20">
      <c r="A2083" s="47" t="str">
        <f>IF(archive!E2083="","",archive!E2083)</f>
        <v/>
      </c>
      <c r="B2083" s="48" t="str">
        <f t="shared" si="448"/>
        <v/>
      </c>
      <c r="C2083" s="49" t="str">
        <f>IF(archive!F2083="","",archive!F2083)</f>
        <v/>
      </c>
      <c r="D2083" s="50" t="str">
        <f t="shared" si="449"/>
        <v/>
      </c>
      <c r="E2083" s="50" t="str">
        <f t="shared" si="450"/>
        <v/>
      </c>
      <c r="F2083" s="47" t="str">
        <f>IF(COUNTA(archive!H2083:CI2083)=0,"",COUNTA(archive!H2083:CI2083))</f>
        <v/>
      </c>
      <c r="G2083" s="47" t="str">
        <f>IF(archive!G2083="","",archive!G2083)</f>
        <v/>
      </c>
      <c r="H2083" s="51" t="str">
        <f>IF(archive!CJ2083="","",archive!CJ2083)</f>
        <v/>
      </c>
      <c r="I2083" s="51" t="str">
        <f>IF(archive!CK2083="","",archive!CK2083)</f>
        <v/>
      </c>
      <c r="J2083" s="47" t="str">
        <f t="shared" si="451"/>
        <v/>
      </c>
      <c r="K2083" s="51" t="str">
        <f t="shared" si="452"/>
        <v/>
      </c>
      <c r="L2083" s="52" t="str">
        <f t="shared" si="453"/>
        <v/>
      </c>
      <c r="M2083" s="53" t="str">
        <f t="shared" si="454"/>
        <v/>
      </c>
      <c r="N2083" s="53" t="str">
        <f t="shared" si="455"/>
        <v/>
      </c>
      <c r="O2083" s="53" t="str">
        <f t="shared" si="456"/>
        <v/>
      </c>
      <c r="P2083" s="53" t="str">
        <f t="shared" si="457"/>
        <v/>
      </c>
      <c r="Q2083" s="53" t="str">
        <f t="shared" si="458"/>
        <v/>
      </c>
      <c r="R2083" s="53" t="str">
        <f t="shared" si="459"/>
        <v/>
      </c>
      <c r="S2083" s="53" t="str">
        <f t="shared" si="460"/>
        <v/>
      </c>
      <c r="T2083" s="53" t="str">
        <f t="shared" si="461"/>
        <v/>
      </c>
    </row>
    <row r="2084" spans="1:20">
      <c r="A2084" s="47" t="str">
        <f>IF(archive!E2084="","",archive!E2084)</f>
        <v/>
      </c>
      <c r="B2084" s="48" t="str">
        <f t="shared" si="448"/>
        <v/>
      </c>
      <c r="C2084" s="49" t="str">
        <f>IF(archive!F2084="","",archive!F2084)</f>
        <v/>
      </c>
      <c r="D2084" s="50" t="str">
        <f t="shared" si="449"/>
        <v/>
      </c>
      <c r="E2084" s="50" t="str">
        <f t="shared" si="450"/>
        <v/>
      </c>
      <c r="F2084" s="47" t="str">
        <f>IF(COUNTA(archive!H2084:CI2084)=0,"",COUNTA(archive!H2084:CI2084))</f>
        <v/>
      </c>
      <c r="G2084" s="47" t="str">
        <f>IF(archive!G2084="","",archive!G2084)</f>
        <v/>
      </c>
      <c r="H2084" s="51" t="str">
        <f>IF(archive!CJ2084="","",archive!CJ2084)</f>
        <v/>
      </c>
      <c r="I2084" s="51" t="str">
        <f>IF(archive!CK2084="","",archive!CK2084)</f>
        <v/>
      </c>
      <c r="J2084" s="47" t="str">
        <f t="shared" si="451"/>
        <v/>
      </c>
      <c r="K2084" s="51" t="str">
        <f t="shared" si="452"/>
        <v/>
      </c>
      <c r="L2084" s="52" t="str">
        <f t="shared" si="453"/>
        <v/>
      </c>
      <c r="M2084" s="53" t="str">
        <f t="shared" si="454"/>
        <v/>
      </c>
      <c r="N2084" s="53" t="str">
        <f t="shared" si="455"/>
        <v/>
      </c>
      <c r="O2084" s="53" t="str">
        <f t="shared" si="456"/>
        <v/>
      </c>
      <c r="P2084" s="53" t="str">
        <f t="shared" si="457"/>
        <v/>
      </c>
      <c r="Q2084" s="53" t="str">
        <f t="shared" si="458"/>
        <v/>
      </c>
      <c r="R2084" s="53" t="str">
        <f t="shared" si="459"/>
        <v/>
      </c>
      <c r="S2084" s="53" t="str">
        <f t="shared" si="460"/>
        <v/>
      </c>
      <c r="T2084" s="53" t="str">
        <f t="shared" si="461"/>
        <v/>
      </c>
    </row>
    <row r="2085" spans="1:20">
      <c r="A2085" s="47" t="str">
        <f>IF(archive!E2085="","",archive!E2085)</f>
        <v/>
      </c>
      <c r="B2085" s="48" t="str">
        <f t="shared" si="448"/>
        <v/>
      </c>
      <c r="C2085" s="49" t="str">
        <f>IF(archive!F2085="","",archive!F2085)</f>
        <v/>
      </c>
      <c r="D2085" s="50" t="str">
        <f t="shared" si="449"/>
        <v/>
      </c>
      <c r="E2085" s="50" t="str">
        <f t="shared" si="450"/>
        <v/>
      </c>
      <c r="F2085" s="47" t="str">
        <f>IF(COUNTA(archive!H2085:CI2085)=0,"",COUNTA(archive!H2085:CI2085))</f>
        <v/>
      </c>
      <c r="G2085" s="47" t="str">
        <f>IF(archive!G2085="","",archive!G2085)</f>
        <v/>
      </c>
      <c r="H2085" s="51" t="str">
        <f>IF(archive!CJ2085="","",archive!CJ2085)</f>
        <v/>
      </c>
      <c r="I2085" s="51" t="str">
        <f>IF(archive!CK2085="","",archive!CK2085)</f>
        <v/>
      </c>
      <c r="J2085" s="47" t="str">
        <f t="shared" si="451"/>
        <v/>
      </c>
      <c r="K2085" s="51" t="str">
        <f t="shared" si="452"/>
        <v/>
      </c>
      <c r="L2085" s="52" t="str">
        <f t="shared" si="453"/>
        <v/>
      </c>
      <c r="M2085" s="53" t="str">
        <f t="shared" si="454"/>
        <v/>
      </c>
      <c r="N2085" s="53" t="str">
        <f t="shared" si="455"/>
        <v/>
      </c>
      <c r="O2085" s="53" t="str">
        <f t="shared" si="456"/>
        <v/>
      </c>
      <c r="P2085" s="53" t="str">
        <f t="shared" si="457"/>
        <v/>
      </c>
      <c r="Q2085" s="53" t="str">
        <f t="shared" si="458"/>
        <v/>
      </c>
      <c r="R2085" s="53" t="str">
        <f t="shared" si="459"/>
        <v/>
      </c>
      <c r="S2085" s="53" t="str">
        <f t="shared" si="460"/>
        <v/>
      </c>
      <c r="T2085" s="53" t="str">
        <f t="shared" si="461"/>
        <v/>
      </c>
    </row>
    <row r="2086" spans="1:20">
      <c r="A2086" s="47" t="str">
        <f>IF(archive!E2086="","",archive!E2086)</f>
        <v/>
      </c>
      <c r="B2086" s="48" t="str">
        <f t="shared" si="448"/>
        <v/>
      </c>
      <c r="C2086" s="49" t="str">
        <f>IF(archive!F2086="","",archive!F2086)</f>
        <v/>
      </c>
      <c r="D2086" s="50" t="str">
        <f t="shared" si="449"/>
        <v/>
      </c>
      <c r="E2086" s="50" t="str">
        <f t="shared" si="450"/>
        <v/>
      </c>
      <c r="F2086" s="47" t="str">
        <f>IF(COUNTA(archive!H2086:CI2086)=0,"",COUNTA(archive!H2086:CI2086))</f>
        <v/>
      </c>
      <c r="G2086" s="47" t="str">
        <f>IF(archive!G2086="","",archive!G2086)</f>
        <v/>
      </c>
      <c r="H2086" s="51" t="str">
        <f>IF(archive!CJ2086="","",archive!CJ2086)</f>
        <v/>
      </c>
      <c r="I2086" s="51" t="str">
        <f>IF(archive!CK2086="","",archive!CK2086)</f>
        <v/>
      </c>
      <c r="J2086" s="47" t="str">
        <f t="shared" si="451"/>
        <v/>
      </c>
      <c r="K2086" s="51" t="str">
        <f t="shared" si="452"/>
        <v/>
      </c>
      <c r="L2086" s="52" t="str">
        <f t="shared" si="453"/>
        <v/>
      </c>
      <c r="M2086" s="53" t="str">
        <f t="shared" si="454"/>
        <v/>
      </c>
      <c r="N2086" s="53" t="str">
        <f t="shared" si="455"/>
        <v/>
      </c>
      <c r="O2086" s="53" t="str">
        <f t="shared" si="456"/>
        <v/>
      </c>
      <c r="P2086" s="53" t="str">
        <f t="shared" si="457"/>
        <v/>
      </c>
      <c r="Q2086" s="53" t="str">
        <f t="shared" si="458"/>
        <v/>
      </c>
      <c r="R2086" s="53" t="str">
        <f t="shared" si="459"/>
        <v/>
      </c>
      <c r="S2086" s="53" t="str">
        <f t="shared" si="460"/>
        <v/>
      </c>
      <c r="T2086" s="53" t="str">
        <f t="shared" si="461"/>
        <v/>
      </c>
    </row>
    <row r="2087" spans="1:20">
      <c r="A2087" s="47" t="str">
        <f>IF(archive!E2087="","",archive!E2087)</f>
        <v/>
      </c>
      <c r="B2087" s="48" t="str">
        <f t="shared" si="448"/>
        <v/>
      </c>
      <c r="C2087" s="49" t="str">
        <f>IF(archive!F2087="","",archive!F2087)</f>
        <v/>
      </c>
      <c r="D2087" s="50" t="str">
        <f t="shared" si="449"/>
        <v/>
      </c>
      <c r="E2087" s="50" t="str">
        <f t="shared" si="450"/>
        <v/>
      </c>
      <c r="F2087" s="47" t="str">
        <f>IF(COUNTA(archive!H2087:CI2087)=0,"",COUNTA(archive!H2087:CI2087))</f>
        <v/>
      </c>
      <c r="G2087" s="47" t="str">
        <f>IF(archive!G2087="","",archive!G2087)</f>
        <v/>
      </c>
      <c r="H2087" s="51" t="str">
        <f>IF(archive!CJ2087="","",archive!CJ2087)</f>
        <v/>
      </c>
      <c r="I2087" s="51" t="str">
        <f>IF(archive!CK2087="","",archive!CK2087)</f>
        <v/>
      </c>
      <c r="J2087" s="47" t="str">
        <f t="shared" si="451"/>
        <v/>
      </c>
      <c r="K2087" s="51" t="str">
        <f t="shared" si="452"/>
        <v/>
      </c>
      <c r="L2087" s="52" t="str">
        <f t="shared" si="453"/>
        <v/>
      </c>
      <c r="M2087" s="53" t="str">
        <f t="shared" si="454"/>
        <v/>
      </c>
      <c r="N2087" s="53" t="str">
        <f t="shared" si="455"/>
        <v/>
      </c>
      <c r="O2087" s="53" t="str">
        <f t="shared" si="456"/>
        <v/>
      </c>
      <c r="P2087" s="53" t="str">
        <f t="shared" si="457"/>
        <v/>
      </c>
      <c r="Q2087" s="53" t="str">
        <f t="shared" si="458"/>
        <v/>
      </c>
      <c r="R2087" s="53" t="str">
        <f t="shared" si="459"/>
        <v/>
      </c>
      <c r="S2087" s="53" t="str">
        <f t="shared" si="460"/>
        <v/>
      </c>
      <c r="T2087" s="53" t="str">
        <f t="shared" si="461"/>
        <v/>
      </c>
    </row>
    <row r="2088" spans="1:20">
      <c r="A2088" s="47" t="str">
        <f>IF(archive!E2088="","",archive!E2088)</f>
        <v/>
      </c>
      <c r="B2088" s="48" t="str">
        <f t="shared" si="448"/>
        <v/>
      </c>
      <c r="C2088" s="49" t="str">
        <f>IF(archive!F2088="","",archive!F2088)</f>
        <v/>
      </c>
      <c r="D2088" s="50" t="str">
        <f t="shared" si="449"/>
        <v/>
      </c>
      <c r="E2088" s="50" t="str">
        <f t="shared" si="450"/>
        <v/>
      </c>
      <c r="F2088" s="47" t="str">
        <f>IF(COUNTA(archive!H2088:CI2088)=0,"",COUNTA(archive!H2088:CI2088))</f>
        <v/>
      </c>
      <c r="G2088" s="47" t="str">
        <f>IF(archive!G2088="","",archive!G2088)</f>
        <v/>
      </c>
      <c r="H2088" s="51" t="str">
        <f>IF(archive!CJ2088="","",archive!CJ2088)</f>
        <v/>
      </c>
      <c r="I2088" s="51" t="str">
        <f>IF(archive!CK2088="","",archive!CK2088)</f>
        <v/>
      </c>
      <c r="J2088" s="47" t="str">
        <f t="shared" si="451"/>
        <v/>
      </c>
      <c r="K2088" s="51" t="str">
        <f t="shared" si="452"/>
        <v/>
      </c>
      <c r="L2088" s="52" t="str">
        <f t="shared" si="453"/>
        <v/>
      </c>
      <c r="M2088" s="53" t="str">
        <f t="shared" si="454"/>
        <v/>
      </c>
      <c r="N2088" s="53" t="str">
        <f t="shared" si="455"/>
        <v/>
      </c>
      <c r="O2088" s="53" t="str">
        <f t="shared" si="456"/>
        <v/>
      </c>
      <c r="P2088" s="53" t="str">
        <f t="shared" si="457"/>
        <v/>
      </c>
      <c r="Q2088" s="53" t="str">
        <f t="shared" si="458"/>
        <v/>
      </c>
      <c r="R2088" s="53" t="str">
        <f t="shared" si="459"/>
        <v/>
      </c>
      <c r="S2088" s="53" t="str">
        <f t="shared" si="460"/>
        <v/>
      </c>
      <c r="T2088" s="53" t="str">
        <f t="shared" si="461"/>
        <v/>
      </c>
    </row>
    <row r="2089" spans="1:20">
      <c r="A2089" s="47" t="str">
        <f>IF(archive!E2089="","",archive!E2089)</f>
        <v/>
      </c>
      <c r="B2089" s="48" t="str">
        <f t="shared" si="448"/>
        <v/>
      </c>
      <c r="C2089" s="49" t="str">
        <f>IF(archive!F2089="","",archive!F2089)</f>
        <v/>
      </c>
      <c r="D2089" s="50" t="str">
        <f t="shared" si="449"/>
        <v/>
      </c>
      <c r="E2089" s="50" t="str">
        <f t="shared" si="450"/>
        <v/>
      </c>
      <c r="F2089" s="47" t="str">
        <f>IF(COUNTA(archive!H2089:CI2089)=0,"",COUNTA(archive!H2089:CI2089))</f>
        <v/>
      </c>
      <c r="G2089" s="47" t="str">
        <f>IF(archive!G2089="","",archive!G2089)</f>
        <v/>
      </c>
      <c r="H2089" s="51" t="str">
        <f>IF(archive!CJ2089="","",archive!CJ2089)</f>
        <v/>
      </c>
      <c r="I2089" s="51" t="str">
        <f>IF(archive!CK2089="","",archive!CK2089)</f>
        <v/>
      </c>
      <c r="J2089" s="47" t="str">
        <f t="shared" si="451"/>
        <v/>
      </c>
      <c r="K2089" s="51" t="str">
        <f t="shared" si="452"/>
        <v/>
      </c>
      <c r="L2089" s="52" t="str">
        <f t="shared" si="453"/>
        <v/>
      </c>
      <c r="M2089" s="53" t="str">
        <f t="shared" si="454"/>
        <v/>
      </c>
      <c r="N2089" s="53" t="str">
        <f t="shared" si="455"/>
        <v/>
      </c>
      <c r="O2089" s="53" t="str">
        <f t="shared" si="456"/>
        <v/>
      </c>
      <c r="P2089" s="53" t="str">
        <f t="shared" si="457"/>
        <v/>
      </c>
      <c r="Q2089" s="53" t="str">
        <f t="shared" si="458"/>
        <v/>
      </c>
      <c r="R2089" s="53" t="str">
        <f t="shared" si="459"/>
        <v/>
      </c>
      <c r="S2089" s="53" t="str">
        <f t="shared" si="460"/>
        <v/>
      </c>
      <c r="T2089" s="53" t="str">
        <f t="shared" si="461"/>
        <v/>
      </c>
    </row>
    <row r="2090" spans="1:20">
      <c r="A2090" s="47" t="str">
        <f>IF(archive!E2090="","",archive!E2090)</f>
        <v/>
      </c>
      <c r="B2090" s="48" t="str">
        <f t="shared" si="448"/>
        <v/>
      </c>
      <c r="C2090" s="49" t="str">
        <f>IF(archive!F2090="","",archive!F2090)</f>
        <v/>
      </c>
      <c r="D2090" s="50" t="str">
        <f t="shared" si="449"/>
        <v/>
      </c>
      <c r="E2090" s="50" t="str">
        <f t="shared" si="450"/>
        <v/>
      </c>
      <c r="F2090" s="47" t="str">
        <f>IF(COUNTA(archive!H2090:CI2090)=0,"",COUNTA(archive!H2090:CI2090))</f>
        <v/>
      </c>
      <c r="G2090" s="47" t="str">
        <f>IF(archive!G2090="","",archive!G2090)</f>
        <v/>
      </c>
      <c r="H2090" s="51" t="str">
        <f>IF(archive!CJ2090="","",archive!CJ2090)</f>
        <v/>
      </c>
      <c r="I2090" s="51" t="str">
        <f>IF(archive!CK2090="","",archive!CK2090)</f>
        <v/>
      </c>
      <c r="J2090" s="47" t="str">
        <f t="shared" si="451"/>
        <v/>
      </c>
      <c r="K2090" s="51" t="str">
        <f t="shared" si="452"/>
        <v/>
      </c>
      <c r="L2090" s="52" t="str">
        <f t="shared" si="453"/>
        <v/>
      </c>
      <c r="M2090" s="53" t="str">
        <f t="shared" si="454"/>
        <v/>
      </c>
      <c r="N2090" s="53" t="str">
        <f t="shared" si="455"/>
        <v/>
      </c>
      <c r="O2090" s="53" t="str">
        <f t="shared" si="456"/>
        <v/>
      </c>
      <c r="P2090" s="53" t="str">
        <f t="shared" si="457"/>
        <v/>
      </c>
      <c r="Q2090" s="53" t="str">
        <f t="shared" si="458"/>
        <v/>
      </c>
      <c r="R2090" s="53" t="str">
        <f t="shared" si="459"/>
        <v/>
      </c>
      <c r="S2090" s="53" t="str">
        <f t="shared" si="460"/>
        <v/>
      </c>
      <c r="T2090" s="53" t="str">
        <f t="shared" si="461"/>
        <v/>
      </c>
    </row>
    <row r="2091" spans="1:20">
      <c r="A2091" s="47" t="str">
        <f>IF(archive!E2091="","",archive!E2091)</f>
        <v/>
      </c>
      <c r="B2091" s="48" t="str">
        <f t="shared" si="448"/>
        <v/>
      </c>
      <c r="C2091" s="49" t="str">
        <f>IF(archive!F2091="","",archive!F2091)</f>
        <v/>
      </c>
      <c r="D2091" s="50" t="str">
        <f t="shared" si="449"/>
        <v/>
      </c>
      <c r="E2091" s="50" t="str">
        <f t="shared" si="450"/>
        <v/>
      </c>
      <c r="F2091" s="47" t="str">
        <f>IF(COUNTA(archive!H2091:CI2091)=0,"",COUNTA(archive!H2091:CI2091))</f>
        <v/>
      </c>
      <c r="G2091" s="47" t="str">
        <f>IF(archive!G2091="","",archive!G2091)</f>
        <v/>
      </c>
      <c r="H2091" s="51" t="str">
        <f>IF(archive!CJ2091="","",archive!CJ2091)</f>
        <v/>
      </c>
      <c r="I2091" s="51" t="str">
        <f>IF(archive!CK2091="","",archive!CK2091)</f>
        <v/>
      </c>
      <c r="J2091" s="47" t="str">
        <f t="shared" si="451"/>
        <v/>
      </c>
      <c r="K2091" s="51" t="str">
        <f t="shared" si="452"/>
        <v/>
      </c>
      <c r="L2091" s="52" t="str">
        <f t="shared" si="453"/>
        <v/>
      </c>
      <c r="M2091" s="53" t="str">
        <f t="shared" si="454"/>
        <v/>
      </c>
      <c r="N2091" s="53" t="str">
        <f t="shared" si="455"/>
        <v/>
      </c>
      <c r="O2091" s="53" t="str">
        <f t="shared" si="456"/>
        <v/>
      </c>
      <c r="P2091" s="53" t="str">
        <f t="shared" si="457"/>
        <v/>
      </c>
      <c r="Q2091" s="53" t="str">
        <f t="shared" si="458"/>
        <v/>
      </c>
      <c r="R2091" s="53" t="str">
        <f t="shared" si="459"/>
        <v/>
      </c>
      <c r="S2091" s="53" t="str">
        <f t="shared" si="460"/>
        <v/>
      </c>
      <c r="T2091" s="53" t="str">
        <f t="shared" si="461"/>
        <v/>
      </c>
    </row>
    <row r="2092" spans="1:20">
      <c r="A2092" s="47" t="str">
        <f>IF(archive!E2092="","",archive!E2092)</f>
        <v/>
      </c>
      <c r="B2092" s="48" t="str">
        <f t="shared" si="448"/>
        <v/>
      </c>
      <c r="C2092" s="49" t="str">
        <f>IF(archive!F2092="","",archive!F2092)</f>
        <v/>
      </c>
      <c r="D2092" s="50" t="str">
        <f t="shared" si="449"/>
        <v/>
      </c>
      <c r="E2092" s="50" t="str">
        <f t="shared" si="450"/>
        <v/>
      </c>
      <c r="F2092" s="47" t="str">
        <f>IF(COUNTA(archive!H2092:CI2092)=0,"",COUNTA(archive!H2092:CI2092))</f>
        <v/>
      </c>
      <c r="G2092" s="47" t="str">
        <f>IF(archive!G2092="","",archive!G2092)</f>
        <v/>
      </c>
      <c r="H2092" s="51" t="str">
        <f>IF(archive!CJ2092="","",archive!CJ2092)</f>
        <v/>
      </c>
      <c r="I2092" s="51" t="str">
        <f>IF(archive!CK2092="","",archive!CK2092)</f>
        <v/>
      </c>
      <c r="J2092" s="47" t="str">
        <f t="shared" si="451"/>
        <v/>
      </c>
      <c r="K2092" s="51" t="str">
        <f t="shared" si="452"/>
        <v/>
      </c>
      <c r="L2092" s="52" t="str">
        <f t="shared" si="453"/>
        <v/>
      </c>
      <c r="M2092" s="53" t="str">
        <f t="shared" si="454"/>
        <v/>
      </c>
      <c r="N2092" s="53" t="str">
        <f t="shared" si="455"/>
        <v/>
      </c>
      <c r="O2092" s="53" t="str">
        <f t="shared" si="456"/>
        <v/>
      </c>
      <c r="P2092" s="53" t="str">
        <f t="shared" si="457"/>
        <v/>
      </c>
      <c r="Q2092" s="53" t="str">
        <f t="shared" si="458"/>
        <v/>
      </c>
      <c r="R2092" s="53" t="str">
        <f t="shared" si="459"/>
        <v/>
      </c>
      <c r="S2092" s="53" t="str">
        <f t="shared" si="460"/>
        <v/>
      </c>
      <c r="T2092" s="53" t="str">
        <f t="shared" si="461"/>
        <v/>
      </c>
    </row>
    <row r="2093" spans="1:20">
      <c r="A2093" s="47" t="str">
        <f>IF(archive!E2093="","",archive!E2093)</f>
        <v/>
      </c>
      <c r="B2093" s="48" t="str">
        <f t="shared" si="448"/>
        <v/>
      </c>
      <c r="C2093" s="49" t="str">
        <f>IF(archive!F2093="","",archive!F2093)</f>
        <v/>
      </c>
      <c r="D2093" s="50" t="str">
        <f t="shared" si="449"/>
        <v/>
      </c>
      <c r="E2093" s="50" t="str">
        <f t="shared" si="450"/>
        <v/>
      </c>
      <c r="F2093" s="47" t="str">
        <f>IF(COUNTA(archive!H2093:CI2093)=0,"",COUNTA(archive!H2093:CI2093))</f>
        <v/>
      </c>
      <c r="G2093" s="47" t="str">
        <f>IF(archive!G2093="","",archive!G2093)</f>
        <v/>
      </c>
      <c r="H2093" s="51" t="str">
        <f>IF(archive!CJ2093="","",archive!CJ2093)</f>
        <v/>
      </c>
      <c r="I2093" s="51" t="str">
        <f>IF(archive!CK2093="","",archive!CK2093)</f>
        <v/>
      </c>
      <c r="J2093" s="47" t="str">
        <f t="shared" si="451"/>
        <v/>
      </c>
      <c r="K2093" s="51" t="str">
        <f t="shared" si="452"/>
        <v/>
      </c>
      <c r="L2093" s="52" t="str">
        <f t="shared" si="453"/>
        <v/>
      </c>
      <c r="M2093" s="53" t="str">
        <f t="shared" si="454"/>
        <v/>
      </c>
      <c r="N2093" s="53" t="str">
        <f t="shared" si="455"/>
        <v/>
      </c>
      <c r="O2093" s="53" t="str">
        <f t="shared" si="456"/>
        <v/>
      </c>
      <c r="P2093" s="53" t="str">
        <f t="shared" si="457"/>
        <v/>
      </c>
      <c r="Q2093" s="53" t="str">
        <f t="shared" si="458"/>
        <v/>
      </c>
      <c r="R2093" s="53" t="str">
        <f t="shared" si="459"/>
        <v/>
      </c>
      <c r="S2093" s="53" t="str">
        <f t="shared" si="460"/>
        <v/>
      </c>
      <c r="T2093" s="53" t="str">
        <f t="shared" si="461"/>
        <v/>
      </c>
    </row>
    <row r="2094" spans="1:20">
      <c r="A2094" s="47" t="str">
        <f>IF(archive!E2094="","",archive!E2094)</f>
        <v/>
      </c>
      <c r="B2094" s="48" t="str">
        <f t="shared" si="448"/>
        <v/>
      </c>
      <c r="C2094" s="49" t="str">
        <f>IF(archive!F2094="","",archive!F2094)</f>
        <v/>
      </c>
      <c r="D2094" s="50" t="str">
        <f t="shared" si="449"/>
        <v/>
      </c>
      <c r="E2094" s="50" t="str">
        <f t="shared" si="450"/>
        <v/>
      </c>
      <c r="F2094" s="47" t="str">
        <f>IF(COUNTA(archive!H2094:CI2094)=0,"",COUNTA(archive!H2094:CI2094))</f>
        <v/>
      </c>
      <c r="G2094" s="47" t="str">
        <f>IF(archive!G2094="","",archive!G2094)</f>
        <v/>
      </c>
      <c r="H2094" s="51" t="str">
        <f>IF(archive!CJ2094="","",archive!CJ2094)</f>
        <v/>
      </c>
      <c r="I2094" s="51" t="str">
        <f>IF(archive!CK2094="","",archive!CK2094)</f>
        <v/>
      </c>
      <c r="J2094" s="47" t="str">
        <f t="shared" si="451"/>
        <v/>
      </c>
      <c r="K2094" s="51" t="str">
        <f t="shared" si="452"/>
        <v/>
      </c>
      <c r="L2094" s="52" t="str">
        <f t="shared" si="453"/>
        <v/>
      </c>
      <c r="M2094" s="53" t="str">
        <f t="shared" si="454"/>
        <v/>
      </c>
      <c r="N2094" s="53" t="str">
        <f t="shared" si="455"/>
        <v/>
      </c>
      <c r="O2094" s="53" t="str">
        <f t="shared" si="456"/>
        <v/>
      </c>
      <c r="P2094" s="53" t="str">
        <f t="shared" si="457"/>
        <v/>
      </c>
      <c r="Q2094" s="53" t="str">
        <f t="shared" si="458"/>
        <v/>
      </c>
      <c r="R2094" s="53" t="str">
        <f t="shared" si="459"/>
        <v/>
      </c>
      <c r="S2094" s="53" t="str">
        <f t="shared" si="460"/>
        <v/>
      </c>
      <c r="T2094" s="53" t="str">
        <f t="shared" si="461"/>
        <v/>
      </c>
    </row>
    <row r="2095" spans="1:20">
      <c r="A2095" s="47" t="str">
        <f>IF(archive!E2095="","",archive!E2095)</f>
        <v/>
      </c>
      <c r="B2095" s="48" t="str">
        <f t="shared" si="448"/>
        <v/>
      </c>
      <c r="C2095" s="49" t="str">
        <f>IF(archive!F2095="","",archive!F2095)</f>
        <v/>
      </c>
      <c r="D2095" s="50" t="str">
        <f t="shared" si="449"/>
        <v/>
      </c>
      <c r="E2095" s="50" t="str">
        <f t="shared" si="450"/>
        <v/>
      </c>
      <c r="F2095" s="47" t="str">
        <f>IF(COUNTA(archive!H2095:CI2095)=0,"",COUNTA(archive!H2095:CI2095))</f>
        <v/>
      </c>
      <c r="G2095" s="47" t="str">
        <f>IF(archive!G2095="","",archive!G2095)</f>
        <v/>
      </c>
      <c r="H2095" s="51" t="str">
        <f>IF(archive!CJ2095="","",archive!CJ2095)</f>
        <v/>
      </c>
      <c r="I2095" s="51" t="str">
        <f>IF(archive!CK2095="","",archive!CK2095)</f>
        <v/>
      </c>
      <c r="J2095" s="47" t="str">
        <f t="shared" si="451"/>
        <v/>
      </c>
      <c r="K2095" s="51" t="str">
        <f t="shared" si="452"/>
        <v/>
      </c>
      <c r="L2095" s="52" t="str">
        <f t="shared" si="453"/>
        <v/>
      </c>
      <c r="M2095" s="53" t="str">
        <f t="shared" si="454"/>
        <v/>
      </c>
      <c r="N2095" s="53" t="str">
        <f t="shared" si="455"/>
        <v/>
      </c>
      <c r="O2095" s="53" t="str">
        <f t="shared" si="456"/>
        <v/>
      </c>
      <c r="P2095" s="53" t="str">
        <f t="shared" si="457"/>
        <v/>
      </c>
      <c r="Q2095" s="53" t="str">
        <f t="shared" si="458"/>
        <v/>
      </c>
      <c r="R2095" s="53" t="str">
        <f t="shared" si="459"/>
        <v/>
      </c>
      <c r="S2095" s="53" t="str">
        <f t="shared" si="460"/>
        <v/>
      </c>
      <c r="T2095" s="53" t="str">
        <f t="shared" si="461"/>
        <v/>
      </c>
    </row>
    <row r="2096" spans="1:20">
      <c r="A2096" s="47" t="str">
        <f>IF(archive!E2096="","",archive!E2096)</f>
        <v/>
      </c>
      <c r="B2096" s="48" t="str">
        <f t="shared" si="448"/>
        <v/>
      </c>
      <c r="C2096" s="49" t="str">
        <f>IF(archive!F2096="","",archive!F2096)</f>
        <v/>
      </c>
      <c r="D2096" s="50" t="str">
        <f t="shared" si="449"/>
        <v/>
      </c>
      <c r="E2096" s="50" t="str">
        <f t="shared" si="450"/>
        <v/>
      </c>
      <c r="F2096" s="47" t="str">
        <f>IF(COUNTA(archive!H2096:CI2096)=0,"",COUNTA(archive!H2096:CI2096))</f>
        <v/>
      </c>
      <c r="G2096" s="47" t="str">
        <f>IF(archive!G2096="","",archive!G2096)</f>
        <v/>
      </c>
      <c r="H2096" s="51" t="str">
        <f>IF(archive!CJ2096="","",archive!CJ2096)</f>
        <v/>
      </c>
      <c r="I2096" s="51" t="str">
        <f>IF(archive!CK2096="","",archive!CK2096)</f>
        <v/>
      </c>
      <c r="J2096" s="47" t="str">
        <f t="shared" si="451"/>
        <v/>
      </c>
      <c r="K2096" s="51" t="str">
        <f t="shared" si="452"/>
        <v/>
      </c>
      <c r="L2096" s="52" t="str">
        <f t="shared" si="453"/>
        <v/>
      </c>
      <c r="M2096" s="53" t="str">
        <f t="shared" si="454"/>
        <v/>
      </c>
      <c r="N2096" s="53" t="str">
        <f t="shared" si="455"/>
        <v/>
      </c>
      <c r="O2096" s="53" t="str">
        <f t="shared" si="456"/>
        <v/>
      </c>
      <c r="P2096" s="53" t="str">
        <f t="shared" si="457"/>
        <v/>
      </c>
      <c r="Q2096" s="53" t="str">
        <f t="shared" si="458"/>
        <v/>
      </c>
      <c r="R2096" s="53" t="str">
        <f t="shared" si="459"/>
        <v/>
      </c>
      <c r="S2096" s="53" t="str">
        <f t="shared" si="460"/>
        <v/>
      </c>
      <c r="T2096" s="53" t="str">
        <f t="shared" si="461"/>
        <v/>
      </c>
    </row>
    <row r="2097" spans="1:20">
      <c r="A2097" s="47" t="str">
        <f>IF(archive!E2097="","",archive!E2097)</f>
        <v/>
      </c>
      <c r="B2097" s="48" t="str">
        <f t="shared" si="448"/>
        <v/>
      </c>
      <c r="C2097" s="49" t="str">
        <f>IF(archive!F2097="","",archive!F2097)</f>
        <v/>
      </c>
      <c r="D2097" s="50" t="str">
        <f t="shared" si="449"/>
        <v/>
      </c>
      <c r="E2097" s="50" t="str">
        <f t="shared" si="450"/>
        <v/>
      </c>
      <c r="F2097" s="47" t="str">
        <f>IF(COUNTA(archive!H2097:CI2097)=0,"",COUNTA(archive!H2097:CI2097))</f>
        <v/>
      </c>
      <c r="G2097" s="47" t="str">
        <f>IF(archive!G2097="","",archive!G2097)</f>
        <v/>
      </c>
      <c r="H2097" s="51" t="str">
        <f>IF(archive!CJ2097="","",archive!CJ2097)</f>
        <v/>
      </c>
      <c r="I2097" s="51" t="str">
        <f>IF(archive!CK2097="","",archive!CK2097)</f>
        <v/>
      </c>
      <c r="J2097" s="47" t="str">
        <f t="shared" si="451"/>
        <v/>
      </c>
      <c r="K2097" s="51" t="str">
        <f t="shared" si="452"/>
        <v/>
      </c>
      <c r="L2097" s="52" t="str">
        <f t="shared" si="453"/>
        <v/>
      </c>
      <c r="M2097" s="53" t="str">
        <f t="shared" si="454"/>
        <v/>
      </c>
      <c r="N2097" s="53" t="str">
        <f t="shared" si="455"/>
        <v/>
      </c>
      <c r="O2097" s="53" t="str">
        <f t="shared" si="456"/>
        <v/>
      </c>
      <c r="P2097" s="53" t="str">
        <f t="shared" si="457"/>
        <v/>
      </c>
      <c r="Q2097" s="53" t="str">
        <f t="shared" si="458"/>
        <v/>
      </c>
      <c r="R2097" s="53" t="str">
        <f t="shared" si="459"/>
        <v/>
      </c>
      <c r="S2097" s="53" t="str">
        <f t="shared" si="460"/>
        <v/>
      </c>
      <c r="T2097" s="53" t="str">
        <f t="shared" si="461"/>
        <v/>
      </c>
    </row>
    <row r="2098" spans="1:20">
      <c r="A2098" s="47" t="str">
        <f>IF(archive!E2098="","",archive!E2098)</f>
        <v/>
      </c>
      <c r="B2098" s="48" t="str">
        <f t="shared" si="448"/>
        <v/>
      </c>
      <c r="C2098" s="49" t="str">
        <f>IF(archive!F2098="","",archive!F2098)</f>
        <v/>
      </c>
      <c r="D2098" s="50" t="str">
        <f t="shared" si="449"/>
        <v/>
      </c>
      <c r="E2098" s="50" t="str">
        <f t="shared" si="450"/>
        <v/>
      </c>
      <c r="F2098" s="47" t="str">
        <f>IF(COUNTA(archive!H2098:CI2098)=0,"",COUNTA(archive!H2098:CI2098))</f>
        <v/>
      </c>
      <c r="G2098" s="47" t="str">
        <f>IF(archive!G2098="","",archive!G2098)</f>
        <v/>
      </c>
      <c r="H2098" s="51" t="str">
        <f>IF(archive!CJ2098="","",archive!CJ2098)</f>
        <v/>
      </c>
      <c r="I2098" s="51" t="str">
        <f>IF(archive!CK2098="","",archive!CK2098)</f>
        <v/>
      </c>
      <c r="J2098" s="47" t="str">
        <f t="shared" si="451"/>
        <v/>
      </c>
      <c r="K2098" s="51" t="str">
        <f t="shared" si="452"/>
        <v/>
      </c>
      <c r="L2098" s="52" t="str">
        <f t="shared" si="453"/>
        <v/>
      </c>
      <c r="M2098" s="53" t="str">
        <f t="shared" si="454"/>
        <v/>
      </c>
      <c r="N2098" s="53" t="str">
        <f t="shared" si="455"/>
        <v/>
      </c>
      <c r="O2098" s="53" t="str">
        <f t="shared" si="456"/>
        <v/>
      </c>
      <c r="P2098" s="53" t="str">
        <f t="shared" si="457"/>
        <v/>
      </c>
      <c r="Q2098" s="53" t="str">
        <f t="shared" si="458"/>
        <v/>
      </c>
      <c r="R2098" s="53" t="str">
        <f t="shared" si="459"/>
        <v/>
      </c>
      <c r="S2098" s="53" t="str">
        <f t="shared" si="460"/>
        <v/>
      </c>
      <c r="T2098" s="53" t="str">
        <f t="shared" si="461"/>
        <v/>
      </c>
    </row>
    <row r="2099" spans="1:20">
      <c r="A2099" s="47" t="str">
        <f>IF(archive!E2099="","",archive!E2099)</f>
        <v/>
      </c>
      <c r="B2099" s="48" t="str">
        <f t="shared" si="448"/>
        <v/>
      </c>
      <c r="C2099" s="49" t="str">
        <f>IF(archive!F2099="","",archive!F2099)</f>
        <v/>
      </c>
      <c r="D2099" s="50" t="str">
        <f t="shared" si="449"/>
        <v/>
      </c>
      <c r="E2099" s="50" t="str">
        <f t="shared" si="450"/>
        <v/>
      </c>
      <c r="F2099" s="47" t="str">
        <f>IF(COUNTA(archive!H2099:CI2099)=0,"",COUNTA(archive!H2099:CI2099))</f>
        <v/>
      </c>
      <c r="G2099" s="47" t="str">
        <f>IF(archive!G2099="","",archive!G2099)</f>
        <v/>
      </c>
      <c r="H2099" s="51" t="str">
        <f>IF(archive!CJ2099="","",archive!CJ2099)</f>
        <v/>
      </c>
      <c r="I2099" s="51" t="str">
        <f>IF(archive!CK2099="","",archive!CK2099)</f>
        <v/>
      </c>
      <c r="J2099" s="47" t="str">
        <f t="shared" si="451"/>
        <v/>
      </c>
      <c r="K2099" s="51" t="str">
        <f t="shared" si="452"/>
        <v/>
      </c>
      <c r="L2099" s="52" t="str">
        <f t="shared" si="453"/>
        <v/>
      </c>
      <c r="M2099" s="53" t="str">
        <f t="shared" si="454"/>
        <v/>
      </c>
      <c r="N2099" s="53" t="str">
        <f t="shared" si="455"/>
        <v/>
      </c>
      <c r="O2099" s="53" t="str">
        <f t="shared" si="456"/>
        <v/>
      </c>
      <c r="P2099" s="53" t="str">
        <f t="shared" si="457"/>
        <v/>
      </c>
      <c r="Q2099" s="53" t="str">
        <f t="shared" si="458"/>
        <v/>
      </c>
      <c r="R2099" s="53" t="str">
        <f t="shared" si="459"/>
        <v/>
      </c>
      <c r="S2099" s="53" t="str">
        <f t="shared" si="460"/>
        <v/>
      </c>
      <c r="T2099" s="53" t="str">
        <f t="shared" si="461"/>
        <v/>
      </c>
    </row>
    <row r="2100" spans="1:20">
      <c r="A2100" s="47" t="str">
        <f>IF(archive!E2100="","",archive!E2100)</f>
        <v/>
      </c>
      <c r="B2100" s="48" t="str">
        <f t="shared" si="448"/>
        <v/>
      </c>
      <c r="C2100" s="49" t="str">
        <f>IF(archive!F2100="","",archive!F2100)</f>
        <v/>
      </c>
      <c r="D2100" s="50" t="str">
        <f t="shared" si="449"/>
        <v/>
      </c>
      <c r="E2100" s="50" t="str">
        <f t="shared" si="450"/>
        <v/>
      </c>
      <c r="F2100" s="47" t="str">
        <f>IF(COUNTA(archive!H2100:CI2100)=0,"",COUNTA(archive!H2100:CI2100))</f>
        <v/>
      </c>
      <c r="G2100" s="47" t="str">
        <f>IF(archive!G2100="","",archive!G2100)</f>
        <v/>
      </c>
      <c r="H2100" s="51" t="str">
        <f>IF(archive!CJ2100="","",archive!CJ2100)</f>
        <v/>
      </c>
      <c r="I2100" s="51" t="str">
        <f>IF(archive!CK2100="","",archive!CK2100)</f>
        <v/>
      </c>
      <c r="J2100" s="47" t="str">
        <f t="shared" si="451"/>
        <v/>
      </c>
      <c r="K2100" s="51" t="str">
        <f t="shared" si="452"/>
        <v/>
      </c>
      <c r="L2100" s="52" t="str">
        <f t="shared" si="453"/>
        <v/>
      </c>
      <c r="M2100" s="53" t="str">
        <f t="shared" si="454"/>
        <v/>
      </c>
      <c r="N2100" s="53" t="str">
        <f t="shared" si="455"/>
        <v/>
      </c>
      <c r="O2100" s="53" t="str">
        <f t="shared" si="456"/>
        <v/>
      </c>
      <c r="P2100" s="53" t="str">
        <f t="shared" si="457"/>
        <v/>
      </c>
      <c r="Q2100" s="53" t="str">
        <f t="shared" si="458"/>
        <v/>
      </c>
      <c r="R2100" s="53" t="str">
        <f t="shared" si="459"/>
        <v/>
      </c>
      <c r="S2100" s="53" t="str">
        <f t="shared" si="460"/>
        <v/>
      </c>
      <c r="T2100" s="53" t="str">
        <f t="shared" si="461"/>
        <v/>
      </c>
    </row>
    <row r="2101" spans="1:20">
      <c r="A2101" s="47" t="str">
        <f>IF(archive!E2101="","",archive!E2101)</f>
        <v/>
      </c>
      <c r="B2101" s="48" t="str">
        <f t="shared" si="448"/>
        <v/>
      </c>
      <c r="C2101" s="49" t="str">
        <f>IF(archive!F2101="","",archive!F2101)</f>
        <v/>
      </c>
      <c r="D2101" s="50" t="str">
        <f t="shared" si="449"/>
        <v/>
      </c>
      <c r="E2101" s="50" t="str">
        <f t="shared" si="450"/>
        <v/>
      </c>
      <c r="F2101" s="47" t="str">
        <f>IF(COUNTA(archive!H2101:CI2101)=0,"",COUNTA(archive!H2101:CI2101))</f>
        <v/>
      </c>
      <c r="G2101" s="47" t="str">
        <f>IF(archive!G2101="","",archive!G2101)</f>
        <v/>
      </c>
      <c r="H2101" s="51" t="str">
        <f>IF(archive!CJ2101="","",archive!CJ2101)</f>
        <v/>
      </c>
      <c r="I2101" s="51" t="str">
        <f>IF(archive!CK2101="","",archive!CK2101)</f>
        <v/>
      </c>
      <c r="J2101" s="47" t="str">
        <f t="shared" si="451"/>
        <v/>
      </c>
      <c r="K2101" s="51" t="str">
        <f t="shared" si="452"/>
        <v/>
      </c>
      <c r="L2101" s="52" t="str">
        <f t="shared" si="453"/>
        <v/>
      </c>
      <c r="M2101" s="53" t="str">
        <f t="shared" si="454"/>
        <v/>
      </c>
      <c r="N2101" s="53" t="str">
        <f t="shared" si="455"/>
        <v/>
      </c>
      <c r="O2101" s="53" t="str">
        <f t="shared" si="456"/>
        <v/>
      </c>
      <c r="P2101" s="53" t="str">
        <f t="shared" si="457"/>
        <v/>
      </c>
      <c r="Q2101" s="53" t="str">
        <f t="shared" si="458"/>
        <v/>
      </c>
      <c r="R2101" s="53" t="str">
        <f t="shared" si="459"/>
        <v/>
      </c>
      <c r="S2101" s="53" t="str">
        <f t="shared" si="460"/>
        <v/>
      </c>
      <c r="T2101" s="53" t="str">
        <f t="shared" si="461"/>
        <v/>
      </c>
    </row>
    <row r="2102" spans="1:20">
      <c r="A2102" s="47" t="str">
        <f>IF(archive!E2102="","",archive!E2102)</f>
        <v/>
      </c>
      <c r="B2102" s="48" t="str">
        <f t="shared" si="448"/>
        <v/>
      </c>
      <c r="C2102" s="49" t="str">
        <f>IF(archive!F2102="","",archive!F2102)</f>
        <v/>
      </c>
      <c r="D2102" s="50" t="str">
        <f t="shared" si="449"/>
        <v/>
      </c>
      <c r="E2102" s="50" t="str">
        <f t="shared" si="450"/>
        <v/>
      </c>
      <c r="F2102" s="47" t="str">
        <f>IF(COUNTA(archive!H2102:CI2102)=0,"",COUNTA(archive!H2102:CI2102))</f>
        <v/>
      </c>
      <c r="G2102" s="47" t="str">
        <f>IF(archive!G2102="","",archive!G2102)</f>
        <v/>
      </c>
      <c r="H2102" s="51" t="str">
        <f>IF(archive!CJ2102="","",archive!CJ2102)</f>
        <v/>
      </c>
      <c r="I2102" s="51" t="str">
        <f>IF(archive!CK2102="","",archive!CK2102)</f>
        <v/>
      </c>
      <c r="J2102" s="47" t="str">
        <f t="shared" si="451"/>
        <v/>
      </c>
      <c r="K2102" s="51" t="str">
        <f t="shared" si="452"/>
        <v/>
      </c>
      <c r="L2102" s="52" t="str">
        <f t="shared" si="453"/>
        <v/>
      </c>
      <c r="M2102" s="53" t="str">
        <f t="shared" si="454"/>
        <v/>
      </c>
      <c r="N2102" s="53" t="str">
        <f t="shared" si="455"/>
        <v/>
      </c>
      <c r="O2102" s="53" t="str">
        <f t="shared" si="456"/>
        <v/>
      </c>
      <c r="P2102" s="53" t="str">
        <f t="shared" si="457"/>
        <v/>
      </c>
      <c r="Q2102" s="53" t="str">
        <f t="shared" si="458"/>
        <v/>
      </c>
      <c r="R2102" s="53" t="str">
        <f t="shared" si="459"/>
        <v/>
      </c>
      <c r="S2102" s="53" t="str">
        <f t="shared" si="460"/>
        <v/>
      </c>
      <c r="T2102" s="53" t="str">
        <f t="shared" si="461"/>
        <v/>
      </c>
    </row>
    <row r="2103" spans="1:20">
      <c r="A2103" s="47" t="str">
        <f>IF(archive!E2103="","",archive!E2103)</f>
        <v/>
      </c>
      <c r="B2103" s="48" t="str">
        <f t="shared" si="448"/>
        <v/>
      </c>
      <c r="C2103" s="49" t="str">
        <f>IF(archive!F2103="","",archive!F2103)</f>
        <v/>
      </c>
      <c r="D2103" s="50" t="str">
        <f t="shared" si="449"/>
        <v/>
      </c>
      <c r="E2103" s="50" t="str">
        <f t="shared" si="450"/>
        <v/>
      </c>
      <c r="F2103" s="47" t="str">
        <f>IF(COUNTA(archive!H2103:CI2103)=0,"",COUNTA(archive!H2103:CI2103))</f>
        <v/>
      </c>
      <c r="G2103" s="47" t="str">
        <f>IF(archive!G2103="","",archive!G2103)</f>
        <v/>
      </c>
      <c r="H2103" s="51" t="str">
        <f>IF(archive!CJ2103="","",archive!CJ2103)</f>
        <v/>
      </c>
      <c r="I2103" s="51" t="str">
        <f>IF(archive!CK2103="","",archive!CK2103)</f>
        <v/>
      </c>
      <c r="J2103" s="47" t="str">
        <f t="shared" si="451"/>
        <v/>
      </c>
      <c r="K2103" s="51" t="str">
        <f t="shared" si="452"/>
        <v/>
      </c>
      <c r="L2103" s="52" t="str">
        <f t="shared" si="453"/>
        <v/>
      </c>
      <c r="M2103" s="53" t="str">
        <f t="shared" si="454"/>
        <v/>
      </c>
      <c r="N2103" s="53" t="str">
        <f t="shared" si="455"/>
        <v/>
      </c>
      <c r="O2103" s="53" t="str">
        <f t="shared" si="456"/>
        <v/>
      </c>
      <c r="P2103" s="53" t="str">
        <f t="shared" si="457"/>
        <v/>
      </c>
      <c r="Q2103" s="53" t="str">
        <f t="shared" si="458"/>
        <v/>
      </c>
      <c r="R2103" s="53" t="str">
        <f t="shared" si="459"/>
        <v/>
      </c>
      <c r="S2103" s="53" t="str">
        <f t="shared" si="460"/>
        <v/>
      </c>
      <c r="T2103" s="53" t="str">
        <f t="shared" si="461"/>
        <v/>
      </c>
    </row>
    <row r="2104" spans="1:20">
      <c r="A2104" s="47" t="str">
        <f>IF(archive!E2104="","",archive!E2104)</f>
        <v/>
      </c>
      <c r="B2104" s="48" t="str">
        <f t="shared" si="448"/>
        <v/>
      </c>
      <c r="C2104" s="49" t="str">
        <f>IF(archive!F2104="","",archive!F2104)</f>
        <v/>
      </c>
      <c r="D2104" s="50" t="str">
        <f t="shared" si="449"/>
        <v/>
      </c>
      <c r="E2104" s="50" t="str">
        <f t="shared" si="450"/>
        <v/>
      </c>
      <c r="F2104" s="47" t="str">
        <f>IF(COUNTA(archive!H2104:CI2104)=0,"",COUNTA(archive!H2104:CI2104))</f>
        <v/>
      </c>
      <c r="G2104" s="47" t="str">
        <f>IF(archive!G2104="","",archive!G2104)</f>
        <v/>
      </c>
      <c r="H2104" s="51" t="str">
        <f>IF(archive!CJ2104="","",archive!CJ2104)</f>
        <v/>
      </c>
      <c r="I2104" s="51" t="str">
        <f>IF(archive!CK2104="","",archive!CK2104)</f>
        <v/>
      </c>
      <c r="J2104" s="47" t="str">
        <f t="shared" si="451"/>
        <v/>
      </c>
      <c r="K2104" s="51" t="str">
        <f t="shared" si="452"/>
        <v/>
      </c>
      <c r="L2104" s="52" t="str">
        <f t="shared" si="453"/>
        <v/>
      </c>
      <c r="M2104" s="53" t="str">
        <f t="shared" si="454"/>
        <v/>
      </c>
      <c r="N2104" s="53" t="str">
        <f t="shared" si="455"/>
        <v/>
      </c>
      <c r="O2104" s="53" t="str">
        <f t="shared" si="456"/>
        <v/>
      </c>
      <c r="P2104" s="53" t="str">
        <f t="shared" si="457"/>
        <v/>
      </c>
      <c r="Q2104" s="53" t="str">
        <f t="shared" si="458"/>
        <v/>
      </c>
      <c r="R2104" s="53" t="str">
        <f t="shared" si="459"/>
        <v/>
      </c>
      <c r="S2104" s="53" t="str">
        <f t="shared" si="460"/>
        <v/>
      </c>
      <c r="T2104" s="53" t="str">
        <f t="shared" si="461"/>
        <v/>
      </c>
    </row>
    <row r="2105" spans="1:20">
      <c r="A2105" s="47" t="str">
        <f>IF(archive!E2105="","",archive!E2105)</f>
        <v/>
      </c>
      <c r="B2105" s="48" t="str">
        <f t="shared" si="448"/>
        <v/>
      </c>
      <c r="C2105" s="49" t="str">
        <f>IF(archive!F2105="","",archive!F2105)</f>
        <v/>
      </c>
      <c r="D2105" s="50" t="str">
        <f t="shared" si="449"/>
        <v/>
      </c>
      <c r="E2105" s="50" t="str">
        <f t="shared" si="450"/>
        <v/>
      </c>
      <c r="F2105" s="47" t="str">
        <f>IF(COUNTA(archive!H2105:CI2105)=0,"",COUNTA(archive!H2105:CI2105))</f>
        <v/>
      </c>
      <c r="G2105" s="47" t="str">
        <f>IF(archive!G2105="","",archive!G2105)</f>
        <v/>
      </c>
      <c r="H2105" s="51" t="str">
        <f>IF(archive!CJ2105="","",archive!CJ2105)</f>
        <v/>
      </c>
      <c r="I2105" s="51" t="str">
        <f>IF(archive!CK2105="","",archive!CK2105)</f>
        <v/>
      </c>
      <c r="J2105" s="47" t="str">
        <f t="shared" si="451"/>
        <v/>
      </c>
      <c r="K2105" s="51" t="str">
        <f t="shared" si="452"/>
        <v/>
      </c>
      <c r="L2105" s="52" t="str">
        <f t="shared" si="453"/>
        <v/>
      </c>
      <c r="M2105" s="53" t="str">
        <f t="shared" si="454"/>
        <v/>
      </c>
      <c r="N2105" s="53" t="str">
        <f t="shared" si="455"/>
        <v/>
      </c>
      <c r="O2105" s="53" t="str">
        <f t="shared" si="456"/>
        <v/>
      </c>
      <c r="P2105" s="53" t="str">
        <f t="shared" si="457"/>
        <v/>
      </c>
      <c r="Q2105" s="53" t="str">
        <f t="shared" si="458"/>
        <v/>
      </c>
      <c r="R2105" s="53" t="str">
        <f t="shared" si="459"/>
        <v/>
      </c>
      <c r="S2105" s="53" t="str">
        <f t="shared" si="460"/>
        <v/>
      </c>
      <c r="T2105" s="53" t="str">
        <f t="shared" si="461"/>
        <v/>
      </c>
    </row>
    <row r="2106" spans="1:20">
      <c r="A2106" s="47" t="str">
        <f>IF(archive!E2106="","",archive!E2106)</f>
        <v/>
      </c>
      <c r="B2106" s="48" t="str">
        <f t="shared" si="448"/>
        <v/>
      </c>
      <c r="C2106" s="49" t="str">
        <f>IF(archive!F2106="","",archive!F2106)</f>
        <v/>
      </c>
      <c r="D2106" s="50" t="str">
        <f t="shared" si="449"/>
        <v/>
      </c>
      <c r="E2106" s="50" t="str">
        <f t="shared" si="450"/>
        <v/>
      </c>
      <c r="F2106" s="47" t="str">
        <f>IF(COUNTA(archive!H2106:CI2106)=0,"",COUNTA(archive!H2106:CI2106))</f>
        <v/>
      </c>
      <c r="G2106" s="47" t="str">
        <f>IF(archive!G2106="","",archive!G2106)</f>
        <v/>
      </c>
      <c r="H2106" s="51" t="str">
        <f>IF(archive!CJ2106="","",archive!CJ2106)</f>
        <v/>
      </c>
      <c r="I2106" s="51" t="str">
        <f>IF(archive!CK2106="","",archive!CK2106)</f>
        <v/>
      </c>
      <c r="J2106" s="47" t="str">
        <f t="shared" si="451"/>
        <v/>
      </c>
      <c r="K2106" s="51" t="str">
        <f t="shared" si="452"/>
        <v/>
      </c>
      <c r="L2106" s="52" t="str">
        <f t="shared" si="453"/>
        <v/>
      </c>
      <c r="M2106" s="53" t="str">
        <f t="shared" si="454"/>
        <v/>
      </c>
      <c r="N2106" s="53" t="str">
        <f t="shared" si="455"/>
        <v/>
      </c>
      <c r="O2106" s="53" t="str">
        <f t="shared" si="456"/>
        <v/>
      </c>
      <c r="P2106" s="53" t="str">
        <f t="shared" si="457"/>
        <v/>
      </c>
      <c r="Q2106" s="53" t="str">
        <f t="shared" si="458"/>
        <v/>
      </c>
      <c r="R2106" s="53" t="str">
        <f t="shared" si="459"/>
        <v/>
      </c>
      <c r="S2106" s="53" t="str">
        <f t="shared" si="460"/>
        <v/>
      </c>
      <c r="T2106" s="53" t="str">
        <f t="shared" si="461"/>
        <v/>
      </c>
    </row>
    <row r="2107" spans="1:20">
      <c r="A2107" s="47" t="str">
        <f>IF(archive!E2107="","",archive!E2107)</f>
        <v/>
      </c>
      <c r="B2107" s="48" t="str">
        <f t="shared" si="448"/>
        <v/>
      </c>
      <c r="C2107" s="49" t="str">
        <f>IF(archive!F2107="","",archive!F2107)</f>
        <v/>
      </c>
      <c r="D2107" s="50" t="str">
        <f t="shared" si="449"/>
        <v/>
      </c>
      <c r="E2107" s="50" t="str">
        <f t="shared" si="450"/>
        <v/>
      </c>
      <c r="F2107" s="47" t="str">
        <f>IF(COUNTA(archive!H2107:CI2107)=0,"",COUNTA(archive!H2107:CI2107))</f>
        <v/>
      </c>
      <c r="G2107" s="47" t="str">
        <f>IF(archive!G2107="","",archive!G2107)</f>
        <v/>
      </c>
      <c r="H2107" s="51" t="str">
        <f>IF(archive!CJ2107="","",archive!CJ2107)</f>
        <v/>
      </c>
      <c r="I2107" s="51" t="str">
        <f>IF(archive!CK2107="","",archive!CK2107)</f>
        <v/>
      </c>
      <c r="J2107" s="47" t="str">
        <f t="shared" si="451"/>
        <v/>
      </c>
      <c r="K2107" s="51" t="str">
        <f t="shared" si="452"/>
        <v/>
      </c>
      <c r="L2107" s="52" t="str">
        <f t="shared" si="453"/>
        <v/>
      </c>
      <c r="M2107" s="53" t="str">
        <f t="shared" si="454"/>
        <v/>
      </c>
      <c r="N2107" s="53" t="str">
        <f t="shared" si="455"/>
        <v/>
      </c>
      <c r="O2107" s="53" t="str">
        <f t="shared" si="456"/>
        <v/>
      </c>
      <c r="P2107" s="53" t="str">
        <f t="shared" si="457"/>
        <v/>
      </c>
      <c r="Q2107" s="53" t="str">
        <f t="shared" si="458"/>
        <v/>
      </c>
      <c r="R2107" s="53" t="str">
        <f t="shared" si="459"/>
        <v/>
      </c>
      <c r="S2107" s="53" t="str">
        <f t="shared" si="460"/>
        <v/>
      </c>
      <c r="T2107" s="53" t="str">
        <f t="shared" si="461"/>
        <v/>
      </c>
    </row>
    <row r="2108" spans="1:20">
      <c r="A2108" s="47" t="str">
        <f>IF(archive!E2108="","",archive!E2108)</f>
        <v/>
      </c>
      <c r="B2108" s="48" t="str">
        <f t="shared" si="448"/>
        <v/>
      </c>
      <c r="C2108" s="49" t="str">
        <f>IF(archive!F2108="","",archive!F2108)</f>
        <v/>
      </c>
      <c r="D2108" s="50" t="str">
        <f t="shared" si="449"/>
        <v/>
      </c>
      <c r="E2108" s="50" t="str">
        <f t="shared" si="450"/>
        <v/>
      </c>
      <c r="F2108" s="47" t="str">
        <f>IF(COUNTA(archive!H2108:CI2108)=0,"",COUNTA(archive!H2108:CI2108))</f>
        <v/>
      </c>
      <c r="G2108" s="47" t="str">
        <f>IF(archive!G2108="","",archive!G2108)</f>
        <v/>
      </c>
      <c r="H2108" s="51" t="str">
        <f>IF(archive!CJ2108="","",archive!CJ2108)</f>
        <v/>
      </c>
      <c r="I2108" s="51" t="str">
        <f>IF(archive!CK2108="","",archive!CK2108)</f>
        <v/>
      </c>
      <c r="J2108" s="47" t="str">
        <f t="shared" si="451"/>
        <v/>
      </c>
      <c r="K2108" s="51" t="str">
        <f t="shared" si="452"/>
        <v/>
      </c>
      <c r="L2108" s="52" t="str">
        <f t="shared" si="453"/>
        <v/>
      </c>
      <c r="M2108" s="53" t="str">
        <f t="shared" si="454"/>
        <v/>
      </c>
      <c r="N2108" s="53" t="str">
        <f t="shared" si="455"/>
        <v/>
      </c>
      <c r="O2108" s="53" t="str">
        <f t="shared" si="456"/>
        <v/>
      </c>
      <c r="P2108" s="53" t="str">
        <f t="shared" si="457"/>
        <v/>
      </c>
      <c r="Q2108" s="53" t="str">
        <f t="shared" si="458"/>
        <v/>
      </c>
      <c r="R2108" s="53" t="str">
        <f t="shared" si="459"/>
        <v/>
      </c>
      <c r="S2108" s="53" t="str">
        <f t="shared" si="460"/>
        <v/>
      </c>
      <c r="T2108" s="53" t="str">
        <f t="shared" si="461"/>
        <v/>
      </c>
    </row>
    <row r="2109" spans="1:20">
      <c r="A2109" s="47" t="str">
        <f>IF(archive!E2109="","",archive!E2109)</f>
        <v/>
      </c>
      <c r="B2109" s="48" t="str">
        <f t="shared" si="448"/>
        <v/>
      </c>
      <c r="C2109" s="49" t="str">
        <f>IF(archive!F2109="","",archive!F2109)</f>
        <v/>
      </c>
      <c r="D2109" s="50" t="str">
        <f t="shared" si="449"/>
        <v/>
      </c>
      <c r="E2109" s="50" t="str">
        <f t="shared" si="450"/>
        <v/>
      </c>
      <c r="F2109" s="47" t="str">
        <f>IF(COUNTA(archive!H2109:CI2109)=0,"",COUNTA(archive!H2109:CI2109))</f>
        <v/>
      </c>
      <c r="G2109" s="47" t="str">
        <f>IF(archive!G2109="","",archive!G2109)</f>
        <v/>
      </c>
      <c r="H2109" s="51" t="str">
        <f>IF(archive!CJ2109="","",archive!CJ2109)</f>
        <v/>
      </c>
      <c r="I2109" s="51" t="str">
        <f>IF(archive!CK2109="","",archive!CK2109)</f>
        <v/>
      </c>
      <c r="J2109" s="47" t="str">
        <f t="shared" si="451"/>
        <v/>
      </c>
      <c r="K2109" s="51" t="str">
        <f t="shared" si="452"/>
        <v/>
      </c>
      <c r="L2109" s="52" t="str">
        <f t="shared" si="453"/>
        <v/>
      </c>
      <c r="M2109" s="53" t="str">
        <f t="shared" si="454"/>
        <v/>
      </c>
      <c r="N2109" s="53" t="str">
        <f t="shared" si="455"/>
        <v/>
      </c>
      <c r="O2109" s="53" t="str">
        <f t="shared" si="456"/>
        <v/>
      </c>
      <c r="P2109" s="53" t="str">
        <f t="shared" si="457"/>
        <v/>
      </c>
      <c r="Q2109" s="53" t="str">
        <f t="shared" si="458"/>
        <v/>
      </c>
      <c r="R2109" s="53" t="str">
        <f t="shared" si="459"/>
        <v/>
      </c>
      <c r="S2109" s="53" t="str">
        <f t="shared" si="460"/>
        <v/>
      </c>
      <c r="T2109" s="53" t="str">
        <f t="shared" si="461"/>
        <v/>
      </c>
    </row>
    <row r="2110" spans="1:20">
      <c r="A2110" s="47" t="str">
        <f>IF(archive!E2110="","",archive!E2110)</f>
        <v/>
      </c>
      <c r="B2110" s="48" t="str">
        <f t="shared" si="448"/>
        <v/>
      </c>
      <c r="C2110" s="49" t="str">
        <f>IF(archive!F2110="","",archive!F2110)</f>
        <v/>
      </c>
      <c r="D2110" s="50" t="str">
        <f t="shared" si="449"/>
        <v/>
      </c>
      <c r="E2110" s="50" t="str">
        <f t="shared" si="450"/>
        <v/>
      </c>
      <c r="F2110" s="47" t="str">
        <f>IF(COUNTA(archive!H2110:CI2110)=0,"",COUNTA(archive!H2110:CI2110))</f>
        <v/>
      </c>
      <c r="G2110" s="47" t="str">
        <f>IF(archive!G2110="","",archive!G2110)</f>
        <v/>
      </c>
      <c r="H2110" s="51" t="str">
        <f>IF(archive!CJ2110="","",archive!CJ2110)</f>
        <v/>
      </c>
      <c r="I2110" s="51" t="str">
        <f>IF(archive!CK2110="","",archive!CK2110)</f>
        <v/>
      </c>
      <c r="J2110" s="47" t="str">
        <f t="shared" si="451"/>
        <v/>
      </c>
      <c r="K2110" s="51" t="str">
        <f t="shared" si="452"/>
        <v/>
      </c>
      <c r="L2110" s="52" t="str">
        <f t="shared" si="453"/>
        <v/>
      </c>
      <c r="M2110" s="53" t="str">
        <f t="shared" si="454"/>
        <v/>
      </c>
      <c r="N2110" s="53" t="str">
        <f t="shared" si="455"/>
        <v/>
      </c>
      <c r="O2110" s="53" t="str">
        <f t="shared" si="456"/>
        <v/>
      </c>
      <c r="P2110" s="53" t="str">
        <f t="shared" si="457"/>
        <v/>
      </c>
      <c r="Q2110" s="53" t="str">
        <f t="shared" si="458"/>
        <v/>
      </c>
      <c r="R2110" s="53" t="str">
        <f t="shared" si="459"/>
        <v/>
      </c>
      <c r="S2110" s="53" t="str">
        <f t="shared" si="460"/>
        <v/>
      </c>
      <c r="T2110" s="53" t="str">
        <f t="shared" si="461"/>
        <v/>
      </c>
    </row>
    <row r="2111" spans="1:20">
      <c r="A2111" s="47" t="str">
        <f>IF(archive!E2111="","",archive!E2111)</f>
        <v/>
      </c>
      <c r="B2111" s="48" t="str">
        <f t="shared" si="448"/>
        <v/>
      </c>
      <c r="C2111" s="49" t="str">
        <f>IF(archive!F2111="","",archive!F2111)</f>
        <v/>
      </c>
      <c r="D2111" s="50" t="str">
        <f t="shared" si="449"/>
        <v/>
      </c>
      <c r="E2111" s="50" t="str">
        <f t="shared" si="450"/>
        <v/>
      </c>
      <c r="F2111" s="47" t="str">
        <f>IF(COUNTA(archive!H2111:CI2111)=0,"",COUNTA(archive!H2111:CI2111))</f>
        <v/>
      </c>
      <c r="G2111" s="47" t="str">
        <f>IF(archive!G2111="","",archive!G2111)</f>
        <v/>
      </c>
      <c r="H2111" s="51" t="str">
        <f>IF(archive!CJ2111="","",archive!CJ2111)</f>
        <v/>
      </c>
      <c r="I2111" s="51" t="str">
        <f>IF(archive!CK2111="","",archive!CK2111)</f>
        <v/>
      </c>
      <c r="J2111" s="47" t="str">
        <f t="shared" si="451"/>
        <v/>
      </c>
      <c r="K2111" s="51" t="str">
        <f t="shared" si="452"/>
        <v/>
      </c>
      <c r="L2111" s="52" t="str">
        <f t="shared" si="453"/>
        <v/>
      </c>
      <c r="M2111" s="53" t="str">
        <f t="shared" si="454"/>
        <v/>
      </c>
      <c r="N2111" s="53" t="str">
        <f t="shared" si="455"/>
        <v/>
      </c>
      <c r="O2111" s="53" t="str">
        <f t="shared" si="456"/>
        <v/>
      </c>
      <c r="P2111" s="53" t="str">
        <f t="shared" si="457"/>
        <v/>
      </c>
      <c r="Q2111" s="53" t="str">
        <f t="shared" si="458"/>
        <v/>
      </c>
      <c r="R2111" s="53" t="str">
        <f t="shared" si="459"/>
        <v/>
      </c>
      <c r="S2111" s="53" t="str">
        <f t="shared" si="460"/>
        <v/>
      </c>
      <c r="T2111" s="53" t="str">
        <f t="shared" si="461"/>
        <v/>
      </c>
    </row>
    <row r="2112" spans="1:20">
      <c r="A2112" s="47" t="str">
        <f>IF(archive!E2112="","",archive!E2112)</f>
        <v/>
      </c>
      <c r="B2112" s="48" t="str">
        <f t="shared" si="448"/>
        <v/>
      </c>
      <c r="C2112" s="49" t="str">
        <f>IF(archive!F2112="","",archive!F2112)</f>
        <v/>
      </c>
      <c r="D2112" s="50" t="str">
        <f t="shared" si="449"/>
        <v/>
      </c>
      <c r="E2112" s="50" t="str">
        <f t="shared" si="450"/>
        <v/>
      </c>
      <c r="F2112" s="47" t="str">
        <f>IF(COUNTA(archive!H2112:CI2112)=0,"",COUNTA(archive!H2112:CI2112))</f>
        <v/>
      </c>
      <c r="G2112" s="47" t="str">
        <f>IF(archive!G2112="","",archive!G2112)</f>
        <v/>
      </c>
      <c r="H2112" s="51" t="str">
        <f>IF(archive!CJ2112="","",archive!CJ2112)</f>
        <v/>
      </c>
      <c r="I2112" s="51" t="str">
        <f>IF(archive!CK2112="","",archive!CK2112)</f>
        <v/>
      </c>
      <c r="J2112" s="47" t="str">
        <f t="shared" si="451"/>
        <v/>
      </c>
      <c r="K2112" s="51" t="str">
        <f t="shared" si="452"/>
        <v/>
      </c>
      <c r="L2112" s="52" t="str">
        <f t="shared" si="453"/>
        <v/>
      </c>
      <c r="M2112" s="53" t="str">
        <f t="shared" si="454"/>
        <v/>
      </c>
      <c r="N2112" s="53" t="str">
        <f t="shared" si="455"/>
        <v/>
      </c>
      <c r="O2112" s="53" t="str">
        <f t="shared" si="456"/>
        <v/>
      </c>
      <c r="P2112" s="53" t="str">
        <f t="shared" si="457"/>
        <v/>
      </c>
      <c r="Q2112" s="53" t="str">
        <f t="shared" si="458"/>
        <v/>
      </c>
      <c r="R2112" s="53" t="str">
        <f t="shared" si="459"/>
        <v/>
      </c>
      <c r="S2112" s="53" t="str">
        <f t="shared" si="460"/>
        <v/>
      </c>
      <c r="T2112" s="53" t="str">
        <f t="shared" si="461"/>
        <v/>
      </c>
    </row>
    <row r="2113" spans="1:20">
      <c r="A2113" s="47" t="str">
        <f>IF(archive!E2113="","",archive!E2113)</f>
        <v/>
      </c>
      <c r="B2113" s="48" t="str">
        <f t="shared" si="448"/>
        <v/>
      </c>
      <c r="C2113" s="49" t="str">
        <f>IF(archive!F2113="","",archive!F2113)</f>
        <v/>
      </c>
      <c r="D2113" s="50" t="str">
        <f t="shared" si="449"/>
        <v/>
      </c>
      <c r="E2113" s="50" t="str">
        <f t="shared" si="450"/>
        <v/>
      </c>
      <c r="F2113" s="47" t="str">
        <f>IF(COUNTA(archive!H2113:CI2113)=0,"",COUNTA(archive!H2113:CI2113))</f>
        <v/>
      </c>
      <c r="G2113" s="47" t="str">
        <f>IF(archive!G2113="","",archive!G2113)</f>
        <v/>
      </c>
      <c r="H2113" s="51" t="str">
        <f>IF(archive!CJ2113="","",archive!CJ2113)</f>
        <v/>
      </c>
      <c r="I2113" s="51" t="str">
        <f>IF(archive!CK2113="","",archive!CK2113)</f>
        <v/>
      </c>
      <c r="J2113" s="47" t="str">
        <f t="shared" si="451"/>
        <v/>
      </c>
      <c r="K2113" s="51" t="str">
        <f t="shared" si="452"/>
        <v/>
      </c>
      <c r="L2113" s="52" t="str">
        <f t="shared" si="453"/>
        <v/>
      </c>
      <c r="M2113" s="53" t="str">
        <f t="shared" si="454"/>
        <v/>
      </c>
      <c r="N2113" s="53" t="str">
        <f t="shared" si="455"/>
        <v/>
      </c>
      <c r="O2113" s="53" t="str">
        <f t="shared" si="456"/>
        <v/>
      </c>
      <c r="P2113" s="53" t="str">
        <f t="shared" si="457"/>
        <v/>
      </c>
      <c r="Q2113" s="53" t="str">
        <f t="shared" si="458"/>
        <v/>
      </c>
      <c r="R2113" s="53" t="str">
        <f t="shared" si="459"/>
        <v/>
      </c>
      <c r="S2113" s="53" t="str">
        <f t="shared" si="460"/>
        <v/>
      </c>
      <c r="T2113" s="53" t="str">
        <f t="shared" si="461"/>
        <v/>
      </c>
    </row>
    <row r="2114" spans="1:20">
      <c r="A2114" s="47" t="str">
        <f>IF(archive!E2114="","",archive!E2114)</f>
        <v/>
      </c>
      <c r="B2114" s="48" t="str">
        <f t="shared" si="448"/>
        <v/>
      </c>
      <c r="C2114" s="49" t="str">
        <f>IF(archive!F2114="","",archive!F2114)</f>
        <v/>
      </c>
      <c r="D2114" s="50" t="str">
        <f t="shared" si="449"/>
        <v/>
      </c>
      <c r="E2114" s="50" t="str">
        <f t="shared" si="450"/>
        <v/>
      </c>
      <c r="F2114" s="47" t="str">
        <f>IF(COUNTA(archive!H2114:CI2114)=0,"",COUNTA(archive!H2114:CI2114))</f>
        <v/>
      </c>
      <c r="G2114" s="47" t="str">
        <f>IF(archive!G2114="","",archive!G2114)</f>
        <v/>
      </c>
      <c r="H2114" s="51" t="str">
        <f>IF(archive!CJ2114="","",archive!CJ2114)</f>
        <v/>
      </c>
      <c r="I2114" s="51" t="str">
        <f>IF(archive!CK2114="","",archive!CK2114)</f>
        <v/>
      </c>
      <c r="J2114" s="47" t="str">
        <f t="shared" si="451"/>
        <v/>
      </c>
      <c r="K2114" s="51" t="str">
        <f t="shared" si="452"/>
        <v/>
      </c>
      <c r="L2114" s="52" t="str">
        <f t="shared" si="453"/>
        <v/>
      </c>
      <c r="M2114" s="53" t="str">
        <f t="shared" si="454"/>
        <v/>
      </c>
      <c r="N2114" s="53" t="str">
        <f t="shared" si="455"/>
        <v/>
      </c>
      <c r="O2114" s="53" t="str">
        <f t="shared" si="456"/>
        <v/>
      </c>
      <c r="P2114" s="53" t="str">
        <f t="shared" si="457"/>
        <v/>
      </c>
      <c r="Q2114" s="53" t="str">
        <f t="shared" si="458"/>
        <v/>
      </c>
      <c r="R2114" s="53" t="str">
        <f t="shared" si="459"/>
        <v/>
      </c>
      <c r="S2114" s="53" t="str">
        <f t="shared" si="460"/>
        <v/>
      </c>
      <c r="T2114" s="53" t="str">
        <f t="shared" si="461"/>
        <v/>
      </c>
    </row>
    <row r="2115" spans="1:20">
      <c r="A2115" s="47" t="str">
        <f>IF(archive!E2115="","",archive!E2115)</f>
        <v/>
      </c>
      <c r="B2115" s="48" t="str">
        <f t="shared" si="448"/>
        <v/>
      </c>
      <c r="C2115" s="49" t="str">
        <f>IF(archive!F2115="","",archive!F2115)</f>
        <v/>
      </c>
      <c r="D2115" s="50" t="str">
        <f t="shared" si="449"/>
        <v/>
      </c>
      <c r="E2115" s="50" t="str">
        <f t="shared" si="450"/>
        <v/>
      </c>
      <c r="F2115" s="47" t="str">
        <f>IF(COUNTA(archive!H2115:CI2115)=0,"",COUNTA(archive!H2115:CI2115))</f>
        <v/>
      </c>
      <c r="G2115" s="47" t="str">
        <f>IF(archive!G2115="","",archive!G2115)</f>
        <v/>
      </c>
      <c r="H2115" s="51" t="str">
        <f>IF(archive!CJ2115="","",archive!CJ2115)</f>
        <v/>
      </c>
      <c r="I2115" s="51" t="str">
        <f>IF(archive!CK2115="","",archive!CK2115)</f>
        <v/>
      </c>
      <c r="J2115" s="47" t="str">
        <f t="shared" si="451"/>
        <v/>
      </c>
      <c r="K2115" s="51" t="str">
        <f t="shared" si="452"/>
        <v/>
      </c>
      <c r="L2115" s="52" t="str">
        <f t="shared" si="453"/>
        <v/>
      </c>
      <c r="M2115" s="53" t="str">
        <f t="shared" si="454"/>
        <v/>
      </c>
      <c r="N2115" s="53" t="str">
        <f t="shared" si="455"/>
        <v/>
      </c>
      <c r="O2115" s="53" t="str">
        <f t="shared" si="456"/>
        <v/>
      </c>
      <c r="P2115" s="53" t="str">
        <f t="shared" si="457"/>
        <v/>
      </c>
      <c r="Q2115" s="53" t="str">
        <f t="shared" si="458"/>
        <v/>
      </c>
      <c r="R2115" s="53" t="str">
        <f t="shared" si="459"/>
        <v/>
      </c>
      <c r="S2115" s="53" t="str">
        <f t="shared" si="460"/>
        <v/>
      </c>
      <c r="T2115" s="53" t="str">
        <f t="shared" si="461"/>
        <v/>
      </c>
    </row>
    <row r="2116" spans="1:20">
      <c r="A2116" s="47" t="str">
        <f>IF(archive!E2116="","",archive!E2116)</f>
        <v/>
      </c>
      <c r="B2116" s="48" t="str">
        <f t="shared" ref="B2116:B2179" si="462">IF(C2116="","",VLOOKUP($C2116,Tare,2,0))</f>
        <v/>
      </c>
      <c r="C2116" s="49" t="str">
        <f>IF(archive!F2116="","",archive!F2116)</f>
        <v/>
      </c>
      <c r="D2116" s="50" t="str">
        <f t="shared" ref="D2116:D2179" si="463">IF(C2116="","",C2116+B2116)</f>
        <v/>
      </c>
      <c r="E2116" s="50" t="str">
        <f t="shared" ref="E2116:E2179" si="464">IF(C2116="","",(C2116*0.025)+D2116)</f>
        <v/>
      </c>
      <c r="F2116" s="47" t="str">
        <f>IF(COUNTA(archive!H2116:CI2116)=0,"",COUNTA(archive!H2116:CI2116))</f>
        <v/>
      </c>
      <c r="G2116" s="47" t="str">
        <f>IF(archive!G2116="","",archive!G2116)</f>
        <v/>
      </c>
      <c r="H2116" s="51" t="str">
        <f>IF(archive!CJ2116="","",archive!CJ2116)</f>
        <v/>
      </c>
      <c r="I2116" s="51" t="str">
        <f>IF(archive!CK2116="","",archive!CK2116)</f>
        <v/>
      </c>
      <c r="J2116" s="47" t="str">
        <f t="shared" ref="J2116:J2179" si="465">IF(F2116="","",VLOOKUP(F2116,Valeur_g,2,0))</f>
        <v/>
      </c>
      <c r="K2116" s="51" t="str">
        <f t="shared" ref="K2116:K2179" si="466">IF(C2116="","",D2116+(J2116*I2116))</f>
        <v/>
      </c>
      <c r="L2116" s="52" t="str">
        <f t="shared" ref="L2116:L2179" si="467">IF(C2116="","",IF(K2116&lt;H2116,"Conforme","Non conforme"))</f>
        <v/>
      </c>
      <c r="M2116" s="53" t="str">
        <f t="shared" ref="M2116:M2179" si="468">IF(C2116="","",1)</f>
        <v/>
      </c>
      <c r="N2116" s="53" t="str">
        <f t="shared" ref="N2116:N2179" si="469">IF(L2116="","",COUNTIF(L2116,"Non conforme"))</f>
        <v/>
      </c>
      <c r="O2116" s="53" t="str">
        <f t="shared" ref="O2116:O2179" si="470">IF($C2116="","",IF($C2116=0.25,$G2116,"-"))</f>
        <v/>
      </c>
      <c r="P2116" s="53" t="str">
        <f t="shared" ref="P2116:P2179" si="471">IF($C2116="","",IF($C2116=0.4,$G2116,"-"))</f>
        <v/>
      </c>
      <c r="Q2116" s="53" t="str">
        <f t="shared" ref="Q2116:Q2179" si="472">IF($C2116="","",IF($C2116=0.5,$G2116,"-"))</f>
        <v/>
      </c>
      <c r="R2116" s="53" t="str">
        <f t="shared" ref="R2116:R2179" si="473">IF($C2116="","",IF($C2116=0.6,$G2116,"-"))</f>
        <v/>
      </c>
      <c r="S2116" s="53" t="str">
        <f t="shared" ref="S2116:S2179" si="474">IF($C2116="","",IF($C2116=0.8,$G2116,"-"))</f>
        <v/>
      </c>
      <c r="T2116" s="53" t="str">
        <f t="shared" ref="T2116:T2179" si="475">IF($C2116="","",IF($C2116=1,$G2116,"-"))</f>
        <v/>
      </c>
    </row>
    <row r="2117" spans="1:20">
      <c r="A2117" s="47" t="str">
        <f>IF(archive!E2117="","",archive!E2117)</f>
        <v/>
      </c>
      <c r="B2117" s="48" t="str">
        <f t="shared" si="462"/>
        <v/>
      </c>
      <c r="C2117" s="49" t="str">
        <f>IF(archive!F2117="","",archive!F2117)</f>
        <v/>
      </c>
      <c r="D2117" s="50" t="str">
        <f t="shared" si="463"/>
        <v/>
      </c>
      <c r="E2117" s="50" t="str">
        <f t="shared" si="464"/>
        <v/>
      </c>
      <c r="F2117" s="47" t="str">
        <f>IF(COUNTA(archive!H2117:CI2117)=0,"",COUNTA(archive!H2117:CI2117))</f>
        <v/>
      </c>
      <c r="G2117" s="47" t="str">
        <f>IF(archive!G2117="","",archive!G2117)</f>
        <v/>
      </c>
      <c r="H2117" s="51" t="str">
        <f>IF(archive!CJ2117="","",archive!CJ2117)</f>
        <v/>
      </c>
      <c r="I2117" s="51" t="str">
        <f>IF(archive!CK2117="","",archive!CK2117)</f>
        <v/>
      </c>
      <c r="J2117" s="47" t="str">
        <f t="shared" si="465"/>
        <v/>
      </c>
      <c r="K2117" s="51" t="str">
        <f t="shared" si="466"/>
        <v/>
      </c>
      <c r="L2117" s="52" t="str">
        <f t="shared" si="467"/>
        <v/>
      </c>
      <c r="M2117" s="53" t="str">
        <f t="shared" si="468"/>
        <v/>
      </c>
      <c r="N2117" s="53" t="str">
        <f t="shared" si="469"/>
        <v/>
      </c>
      <c r="O2117" s="53" t="str">
        <f t="shared" si="470"/>
        <v/>
      </c>
      <c r="P2117" s="53" t="str">
        <f t="shared" si="471"/>
        <v/>
      </c>
      <c r="Q2117" s="53" t="str">
        <f t="shared" si="472"/>
        <v/>
      </c>
      <c r="R2117" s="53" t="str">
        <f t="shared" si="473"/>
        <v/>
      </c>
      <c r="S2117" s="53" t="str">
        <f t="shared" si="474"/>
        <v/>
      </c>
      <c r="T2117" s="53" t="str">
        <f t="shared" si="475"/>
        <v/>
      </c>
    </row>
    <row r="2118" spans="1:20">
      <c r="A2118" s="47" t="str">
        <f>IF(archive!E2118="","",archive!E2118)</f>
        <v/>
      </c>
      <c r="B2118" s="48" t="str">
        <f t="shared" si="462"/>
        <v/>
      </c>
      <c r="C2118" s="49" t="str">
        <f>IF(archive!F2118="","",archive!F2118)</f>
        <v/>
      </c>
      <c r="D2118" s="50" t="str">
        <f t="shared" si="463"/>
        <v/>
      </c>
      <c r="E2118" s="50" t="str">
        <f t="shared" si="464"/>
        <v/>
      </c>
      <c r="F2118" s="47" t="str">
        <f>IF(COUNTA(archive!H2118:CI2118)=0,"",COUNTA(archive!H2118:CI2118))</f>
        <v/>
      </c>
      <c r="G2118" s="47" t="str">
        <f>IF(archive!G2118="","",archive!G2118)</f>
        <v/>
      </c>
      <c r="H2118" s="51" t="str">
        <f>IF(archive!CJ2118="","",archive!CJ2118)</f>
        <v/>
      </c>
      <c r="I2118" s="51" t="str">
        <f>IF(archive!CK2118="","",archive!CK2118)</f>
        <v/>
      </c>
      <c r="J2118" s="47" t="str">
        <f t="shared" si="465"/>
        <v/>
      </c>
      <c r="K2118" s="51" t="str">
        <f t="shared" si="466"/>
        <v/>
      </c>
      <c r="L2118" s="52" t="str">
        <f t="shared" si="467"/>
        <v/>
      </c>
      <c r="M2118" s="53" t="str">
        <f t="shared" si="468"/>
        <v/>
      </c>
      <c r="N2118" s="53" t="str">
        <f t="shared" si="469"/>
        <v/>
      </c>
      <c r="O2118" s="53" t="str">
        <f t="shared" si="470"/>
        <v/>
      </c>
      <c r="P2118" s="53" t="str">
        <f t="shared" si="471"/>
        <v/>
      </c>
      <c r="Q2118" s="53" t="str">
        <f t="shared" si="472"/>
        <v/>
      </c>
      <c r="R2118" s="53" t="str">
        <f t="shared" si="473"/>
        <v/>
      </c>
      <c r="S2118" s="53" t="str">
        <f t="shared" si="474"/>
        <v/>
      </c>
      <c r="T2118" s="53" t="str">
        <f t="shared" si="475"/>
        <v/>
      </c>
    </row>
    <row r="2119" spans="1:20">
      <c r="A2119" s="47" t="str">
        <f>IF(archive!E2119="","",archive!E2119)</f>
        <v/>
      </c>
      <c r="B2119" s="48" t="str">
        <f t="shared" si="462"/>
        <v/>
      </c>
      <c r="C2119" s="49" t="str">
        <f>IF(archive!F2119="","",archive!F2119)</f>
        <v/>
      </c>
      <c r="D2119" s="50" t="str">
        <f t="shared" si="463"/>
        <v/>
      </c>
      <c r="E2119" s="50" t="str">
        <f t="shared" si="464"/>
        <v/>
      </c>
      <c r="F2119" s="47" t="str">
        <f>IF(COUNTA(archive!H2119:CI2119)=0,"",COUNTA(archive!H2119:CI2119))</f>
        <v/>
      </c>
      <c r="G2119" s="47" t="str">
        <f>IF(archive!G2119="","",archive!G2119)</f>
        <v/>
      </c>
      <c r="H2119" s="51" t="str">
        <f>IF(archive!CJ2119="","",archive!CJ2119)</f>
        <v/>
      </c>
      <c r="I2119" s="51" t="str">
        <f>IF(archive!CK2119="","",archive!CK2119)</f>
        <v/>
      </c>
      <c r="J2119" s="47" t="str">
        <f t="shared" si="465"/>
        <v/>
      </c>
      <c r="K2119" s="51" t="str">
        <f t="shared" si="466"/>
        <v/>
      </c>
      <c r="L2119" s="52" t="str">
        <f t="shared" si="467"/>
        <v/>
      </c>
      <c r="M2119" s="53" t="str">
        <f t="shared" si="468"/>
        <v/>
      </c>
      <c r="N2119" s="53" t="str">
        <f t="shared" si="469"/>
        <v/>
      </c>
      <c r="O2119" s="53" t="str">
        <f t="shared" si="470"/>
        <v/>
      </c>
      <c r="P2119" s="53" t="str">
        <f t="shared" si="471"/>
        <v/>
      </c>
      <c r="Q2119" s="53" t="str">
        <f t="shared" si="472"/>
        <v/>
      </c>
      <c r="R2119" s="53" t="str">
        <f t="shared" si="473"/>
        <v/>
      </c>
      <c r="S2119" s="53" t="str">
        <f t="shared" si="474"/>
        <v/>
      </c>
      <c r="T2119" s="53" t="str">
        <f t="shared" si="475"/>
        <v/>
      </c>
    </row>
    <row r="2120" spans="1:20">
      <c r="A2120" s="47" t="str">
        <f>IF(archive!E2120="","",archive!E2120)</f>
        <v/>
      </c>
      <c r="B2120" s="48" t="str">
        <f t="shared" si="462"/>
        <v/>
      </c>
      <c r="C2120" s="49" t="str">
        <f>IF(archive!F2120="","",archive!F2120)</f>
        <v/>
      </c>
      <c r="D2120" s="50" t="str">
        <f t="shared" si="463"/>
        <v/>
      </c>
      <c r="E2120" s="50" t="str">
        <f t="shared" si="464"/>
        <v/>
      </c>
      <c r="F2120" s="47" t="str">
        <f>IF(COUNTA(archive!H2120:CI2120)=0,"",COUNTA(archive!H2120:CI2120))</f>
        <v/>
      </c>
      <c r="G2120" s="47" t="str">
        <f>IF(archive!G2120="","",archive!G2120)</f>
        <v/>
      </c>
      <c r="H2120" s="51" t="str">
        <f>IF(archive!CJ2120="","",archive!CJ2120)</f>
        <v/>
      </c>
      <c r="I2120" s="51" t="str">
        <f>IF(archive!CK2120="","",archive!CK2120)</f>
        <v/>
      </c>
      <c r="J2120" s="47" t="str">
        <f t="shared" si="465"/>
        <v/>
      </c>
      <c r="K2120" s="51" t="str">
        <f t="shared" si="466"/>
        <v/>
      </c>
      <c r="L2120" s="52" t="str">
        <f t="shared" si="467"/>
        <v/>
      </c>
      <c r="M2120" s="53" t="str">
        <f t="shared" si="468"/>
        <v/>
      </c>
      <c r="N2120" s="53" t="str">
        <f t="shared" si="469"/>
        <v/>
      </c>
      <c r="O2120" s="53" t="str">
        <f t="shared" si="470"/>
        <v/>
      </c>
      <c r="P2120" s="53" t="str">
        <f t="shared" si="471"/>
        <v/>
      </c>
      <c r="Q2120" s="53" t="str">
        <f t="shared" si="472"/>
        <v/>
      </c>
      <c r="R2120" s="53" t="str">
        <f t="shared" si="473"/>
        <v/>
      </c>
      <c r="S2120" s="53" t="str">
        <f t="shared" si="474"/>
        <v/>
      </c>
      <c r="T2120" s="53" t="str">
        <f t="shared" si="475"/>
        <v/>
      </c>
    </row>
    <row r="2121" spans="1:20">
      <c r="A2121" s="47" t="str">
        <f>IF(archive!E2121="","",archive!E2121)</f>
        <v/>
      </c>
      <c r="B2121" s="48" t="str">
        <f t="shared" si="462"/>
        <v/>
      </c>
      <c r="C2121" s="49" t="str">
        <f>IF(archive!F2121="","",archive!F2121)</f>
        <v/>
      </c>
      <c r="D2121" s="50" t="str">
        <f t="shared" si="463"/>
        <v/>
      </c>
      <c r="E2121" s="50" t="str">
        <f t="shared" si="464"/>
        <v/>
      </c>
      <c r="F2121" s="47" t="str">
        <f>IF(COUNTA(archive!H2121:CI2121)=0,"",COUNTA(archive!H2121:CI2121))</f>
        <v/>
      </c>
      <c r="G2121" s="47" t="str">
        <f>IF(archive!G2121="","",archive!G2121)</f>
        <v/>
      </c>
      <c r="H2121" s="51" t="str">
        <f>IF(archive!CJ2121="","",archive!CJ2121)</f>
        <v/>
      </c>
      <c r="I2121" s="51" t="str">
        <f>IF(archive!CK2121="","",archive!CK2121)</f>
        <v/>
      </c>
      <c r="J2121" s="47" t="str">
        <f t="shared" si="465"/>
        <v/>
      </c>
      <c r="K2121" s="51" t="str">
        <f t="shared" si="466"/>
        <v/>
      </c>
      <c r="L2121" s="52" t="str">
        <f t="shared" si="467"/>
        <v/>
      </c>
      <c r="M2121" s="53" t="str">
        <f t="shared" si="468"/>
        <v/>
      </c>
      <c r="N2121" s="53" t="str">
        <f t="shared" si="469"/>
        <v/>
      </c>
      <c r="O2121" s="53" t="str">
        <f t="shared" si="470"/>
        <v/>
      </c>
      <c r="P2121" s="53" t="str">
        <f t="shared" si="471"/>
        <v/>
      </c>
      <c r="Q2121" s="53" t="str">
        <f t="shared" si="472"/>
        <v/>
      </c>
      <c r="R2121" s="53" t="str">
        <f t="shared" si="473"/>
        <v/>
      </c>
      <c r="S2121" s="53" t="str">
        <f t="shared" si="474"/>
        <v/>
      </c>
      <c r="T2121" s="53" t="str">
        <f t="shared" si="475"/>
        <v/>
      </c>
    </row>
    <row r="2122" spans="1:20">
      <c r="A2122" s="47" t="str">
        <f>IF(archive!E2122="","",archive!E2122)</f>
        <v/>
      </c>
      <c r="B2122" s="48" t="str">
        <f t="shared" si="462"/>
        <v/>
      </c>
      <c r="C2122" s="49" t="str">
        <f>IF(archive!F2122="","",archive!F2122)</f>
        <v/>
      </c>
      <c r="D2122" s="50" t="str">
        <f t="shared" si="463"/>
        <v/>
      </c>
      <c r="E2122" s="50" t="str">
        <f t="shared" si="464"/>
        <v/>
      </c>
      <c r="F2122" s="47" t="str">
        <f>IF(COUNTA(archive!H2122:CI2122)=0,"",COUNTA(archive!H2122:CI2122))</f>
        <v/>
      </c>
      <c r="G2122" s="47" t="str">
        <f>IF(archive!G2122="","",archive!G2122)</f>
        <v/>
      </c>
      <c r="H2122" s="51" t="str">
        <f>IF(archive!CJ2122="","",archive!CJ2122)</f>
        <v/>
      </c>
      <c r="I2122" s="51" t="str">
        <f>IF(archive!CK2122="","",archive!CK2122)</f>
        <v/>
      </c>
      <c r="J2122" s="47" t="str">
        <f t="shared" si="465"/>
        <v/>
      </c>
      <c r="K2122" s="51" t="str">
        <f t="shared" si="466"/>
        <v/>
      </c>
      <c r="L2122" s="52" t="str">
        <f t="shared" si="467"/>
        <v/>
      </c>
      <c r="M2122" s="53" t="str">
        <f t="shared" si="468"/>
        <v/>
      </c>
      <c r="N2122" s="53" t="str">
        <f t="shared" si="469"/>
        <v/>
      </c>
      <c r="O2122" s="53" t="str">
        <f t="shared" si="470"/>
        <v/>
      </c>
      <c r="P2122" s="53" t="str">
        <f t="shared" si="471"/>
        <v/>
      </c>
      <c r="Q2122" s="53" t="str">
        <f t="shared" si="472"/>
        <v/>
      </c>
      <c r="R2122" s="53" t="str">
        <f t="shared" si="473"/>
        <v/>
      </c>
      <c r="S2122" s="53" t="str">
        <f t="shared" si="474"/>
        <v/>
      </c>
      <c r="T2122" s="53" t="str">
        <f t="shared" si="475"/>
        <v/>
      </c>
    </row>
    <row r="2123" spans="1:20">
      <c r="A2123" s="47" t="str">
        <f>IF(archive!E2123="","",archive!E2123)</f>
        <v/>
      </c>
      <c r="B2123" s="48" t="str">
        <f t="shared" si="462"/>
        <v/>
      </c>
      <c r="C2123" s="49" t="str">
        <f>IF(archive!F2123="","",archive!F2123)</f>
        <v/>
      </c>
      <c r="D2123" s="50" t="str">
        <f t="shared" si="463"/>
        <v/>
      </c>
      <c r="E2123" s="50" t="str">
        <f t="shared" si="464"/>
        <v/>
      </c>
      <c r="F2123" s="47" t="str">
        <f>IF(COUNTA(archive!H2123:CI2123)=0,"",COUNTA(archive!H2123:CI2123))</f>
        <v/>
      </c>
      <c r="G2123" s="47" t="str">
        <f>IF(archive!G2123="","",archive!G2123)</f>
        <v/>
      </c>
      <c r="H2123" s="51" t="str">
        <f>IF(archive!CJ2123="","",archive!CJ2123)</f>
        <v/>
      </c>
      <c r="I2123" s="51" t="str">
        <f>IF(archive!CK2123="","",archive!CK2123)</f>
        <v/>
      </c>
      <c r="J2123" s="47" t="str">
        <f t="shared" si="465"/>
        <v/>
      </c>
      <c r="K2123" s="51" t="str">
        <f t="shared" si="466"/>
        <v/>
      </c>
      <c r="L2123" s="52" t="str">
        <f t="shared" si="467"/>
        <v/>
      </c>
      <c r="M2123" s="53" t="str">
        <f t="shared" si="468"/>
        <v/>
      </c>
      <c r="N2123" s="53" t="str">
        <f t="shared" si="469"/>
        <v/>
      </c>
      <c r="O2123" s="53" t="str">
        <f t="shared" si="470"/>
        <v/>
      </c>
      <c r="P2123" s="53" t="str">
        <f t="shared" si="471"/>
        <v/>
      </c>
      <c r="Q2123" s="53" t="str">
        <f t="shared" si="472"/>
        <v/>
      </c>
      <c r="R2123" s="53" t="str">
        <f t="shared" si="473"/>
        <v/>
      </c>
      <c r="S2123" s="53" t="str">
        <f t="shared" si="474"/>
        <v/>
      </c>
      <c r="T2123" s="53" t="str">
        <f t="shared" si="475"/>
        <v/>
      </c>
    </row>
    <row r="2124" spans="1:20">
      <c r="A2124" s="47" t="str">
        <f>IF(archive!E2124="","",archive!E2124)</f>
        <v/>
      </c>
      <c r="B2124" s="48" t="str">
        <f t="shared" si="462"/>
        <v/>
      </c>
      <c r="C2124" s="49" t="str">
        <f>IF(archive!F2124="","",archive!F2124)</f>
        <v/>
      </c>
      <c r="D2124" s="50" t="str">
        <f t="shared" si="463"/>
        <v/>
      </c>
      <c r="E2124" s="50" t="str">
        <f t="shared" si="464"/>
        <v/>
      </c>
      <c r="F2124" s="47" t="str">
        <f>IF(COUNTA(archive!H2124:CI2124)=0,"",COUNTA(archive!H2124:CI2124))</f>
        <v/>
      </c>
      <c r="G2124" s="47" t="str">
        <f>IF(archive!G2124="","",archive!G2124)</f>
        <v/>
      </c>
      <c r="H2124" s="51" t="str">
        <f>IF(archive!CJ2124="","",archive!CJ2124)</f>
        <v/>
      </c>
      <c r="I2124" s="51" t="str">
        <f>IF(archive!CK2124="","",archive!CK2124)</f>
        <v/>
      </c>
      <c r="J2124" s="47" t="str">
        <f t="shared" si="465"/>
        <v/>
      </c>
      <c r="K2124" s="51" t="str">
        <f t="shared" si="466"/>
        <v/>
      </c>
      <c r="L2124" s="52" t="str">
        <f t="shared" si="467"/>
        <v/>
      </c>
      <c r="M2124" s="53" t="str">
        <f t="shared" si="468"/>
        <v/>
      </c>
      <c r="N2124" s="53" t="str">
        <f t="shared" si="469"/>
        <v/>
      </c>
      <c r="O2124" s="53" t="str">
        <f t="shared" si="470"/>
        <v/>
      </c>
      <c r="P2124" s="53" t="str">
        <f t="shared" si="471"/>
        <v/>
      </c>
      <c r="Q2124" s="53" t="str">
        <f t="shared" si="472"/>
        <v/>
      </c>
      <c r="R2124" s="53" t="str">
        <f t="shared" si="473"/>
        <v/>
      </c>
      <c r="S2124" s="53" t="str">
        <f t="shared" si="474"/>
        <v/>
      </c>
      <c r="T2124" s="53" t="str">
        <f t="shared" si="475"/>
        <v/>
      </c>
    </row>
    <row r="2125" spans="1:20">
      <c r="A2125" s="47" t="str">
        <f>IF(archive!E2125="","",archive!E2125)</f>
        <v/>
      </c>
      <c r="B2125" s="48" t="str">
        <f t="shared" si="462"/>
        <v/>
      </c>
      <c r="C2125" s="49" t="str">
        <f>IF(archive!F2125="","",archive!F2125)</f>
        <v/>
      </c>
      <c r="D2125" s="50" t="str">
        <f t="shared" si="463"/>
        <v/>
      </c>
      <c r="E2125" s="50" t="str">
        <f t="shared" si="464"/>
        <v/>
      </c>
      <c r="F2125" s="47" t="str">
        <f>IF(COUNTA(archive!H2125:CI2125)=0,"",COUNTA(archive!H2125:CI2125))</f>
        <v/>
      </c>
      <c r="G2125" s="47" t="str">
        <f>IF(archive!G2125="","",archive!G2125)</f>
        <v/>
      </c>
      <c r="H2125" s="51" t="str">
        <f>IF(archive!CJ2125="","",archive!CJ2125)</f>
        <v/>
      </c>
      <c r="I2125" s="51" t="str">
        <f>IF(archive!CK2125="","",archive!CK2125)</f>
        <v/>
      </c>
      <c r="J2125" s="47" t="str">
        <f t="shared" si="465"/>
        <v/>
      </c>
      <c r="K2125" s="51" t="str">
        <f t="shared" si="466"/>
        <v/>
      </c>
      <c r="L2125" s="52" t="str">
        <f t="shared" si="467"/>
        <v/>
      </c>
      <c r="M2125" s="53" t="str">
        <f t="shared" si="468"/>
        <v/>
      </c>
      <c r="N2125" s="53" t="str">
        <f t="shared" si="469"/>
        <v/>
      </c>
      <c r="O2125" s="53" t="str">
        <f t="shared" si="470"/>
        <v/>
      </c>
      <c r="P2125" s="53" t="str">
        <f t="shared" si="471"/>
        <v/>
      </c>
      <c r="Q2125" s="53" t="str">
        <f t="shared" si="472"/>
        <v/>
      </c>
      <c r="R2125" s="53" t="str">
        <f t="shared" si="473"/>
        <v/>
      </c>
      <c r="S2125" s="53" t="str">
        <f t="shared" si="474"/>
        <v/>
      </c>
      <c r="T2125" s="53" t="str">
        <f t="shared" si="475"/>
        <v/>
      </c>
    </row>
    <row r="2126" spans="1:20">
      <c r="A2126" s="47" t="str">
        <f>IF(archive!E2126="","",archive!E2126)</f>
        <v/>
      </c>
      <c r="B2126" s="48" t="str">
        <f t="shared" si="462"/>
        <v/>
      </c>
      <c r="C2126" s="49" t="str">
        <f>IF(archive!F2126="","",archive!F2126)</f>
        <v/>
      </c>
      <c r="D2126" s="50" t="str">
        <f t="shared" si="463"/>
        <v/>
      </c>
      <c r="E2126" s="50" t="str">
        <f t="shared" si="464"/>
        <v/>
      </c>
      <c r="F2126" s="47" t="str">
        <f>IF(COUNTA(archive!H2126:CI2126)=0,"",COUNTA(archive!H2126:CI2126))</f>
        <v/>
      </c>
      <c r="G2126" s="47" t="str">
        <f>IF(archive!G2126="","",archive!G2126)</f>
        <v/>
      </c>
      <c r="H2126" s="51" t="str">
        <f>IF(archive!CJ2126="","",archive!CJ2126)</f>
        <v/>
      </c>
      <c r="I2126" s="51" t="str">
        <f>IF(archive!CK2126="","",archive!CK2126)</f>
        <v/>
      </c>
      <c r="J2126" s="47" t="str">
        <f t="shared" si="465"/>
        <v/>
      </c>
      <c r="K2126" s="51" t="str">
        <f t="shared" si="466"/>
        <v/>
      </c>
      <c r="L2126" s="52" t="str">
        <f t="shared" si="467"/>
        <v/>
      </c>
      <c r="M2126" s="53" t="str">
        <f t="shared" si="468"/>
        <v/>
      </c>
      <c r="N2126" s="53" t="str">
        <f t="shared" si="469"/>
        <v/>
      </c>
      <c r="O2126" s="53" t="str">
        <f t="shared" si="470"/>
        <v/>
      </c>
      <c r="P2126" s="53" t="str">
        <f t="shared" si="471"/>
        <v/>
      </c>
      <c r="Q2126" s="53" t="str">
        <f t="shared" si="472"/>
        <v/>
      </c>
      <c r="R2126" s="53" t="str">
        <f t="shared" si="473"/>
        <v/>
      </c>
      <c r="S2126" s="53" t="str">
        <f t="shared" si="474"/>
        <v/>
      </c>
      <c r="T2126" s="53" t="str">
        <f t="shared" si="475"/>
        <v/>
      </c>
    </row>
    <row r="2127" spans="1:20">
      <c r="A2127" s="47" t="str">
        <f>IF(archive!E2127="","",archive!E2127)</f>
        <v/>
      </c>
      <c r="B2127" s="48" t="str">
        <f t="shared" si="462"/>
        <v/>
      </c>
      <c r="C2127" s="49" t="str">
        <f>IF(archive!F2127="","",archive!F2127)</f>
        <v/>
      </c>
      <c r="D2127" s="50" t="str">
        <f t="shared" si="463"/>
        <v/>
      </c>
      <c r="E2127" s="50" t="str">
        <f t="shared" si="464"/>
        <v/>
      </c>
      <c r="F2127" s="47" t="str">
        <f>IF(COUNTA(archive!H2127:CI2127)=0,"",COUNTA(archive!H2127:CI2127))</f>
        <v/>
      </c>
      <c r="G2127" s="47" t="str">
        <f>IF(archive!G2127="","",archive!G2127)</f>
        <v/>
      </c>
      <c r="H2127" s="51" t="str">
        <f>IF(archive!CJ2127="","",archive!CJ2127)</f>
        <v/>
      </c>
      <c r="I2127" s="51" t="str">
        <f>IF(archive!CK2127="","",archive!CK2127)</f>
        <v/>
      </c>
      <c r="J2127" s="47" t="str">
        <f t="shared" si="465"/>
        <v/>
      </c>
      <c r="K2127" s="51" t="str">
        <f t="shared" si="466"/>
        <v/>
      </c>
      <c r="L2127" s="52" t="str">
        <f t="shared" si="467"/>
        <v/>
      </c>
      <c r="M2127" s="53" t="str">
        <f t="shared" si="468"/>
        <v/>
      </c>
      <c r="N2127" s="53" t="str">
        <f t="shared" si="469"/>
        <v/>
      </c>
      <c r="O2127" s="53" t="str">
        <f t="shared" si="470"/>
        <v/>
      </c>
      <c r="P2127" s="53" t="str">
        <f t="shared" si="471"/>
        <v/>
      </c>
      <c r="Q2127" s="53" t="str">
        <f t="shared" si="472"/>
        <v/>
      </c>
      <c r="R2127" s="53" t="str">
        <f t="shared" si="473"/>
        <v/>
      </c>
      <c r="S2127" s="53" t="str">
        <f t="shared" si="474"/>
        <v/>
      </c>
      <c r="T2127" s="53" t="str">
        <f t="shared" si="475"/>
        <v/>
      </c>
    </row>
    <row r="2128" spans="1:20">
      <c r="A2128" s="47" t="str">
        <f>IF(archive!E2128="","",archive!E2128)</f>
        <v/>
      </c>
      <c r="B2128" s="48" t="str">
        <f t="shared" si="462"/>
        <v/>
      </c>
      <c r="C2128" s="49" t="str">
        <f>IF(archive!F2128="","",archive!F2128)</f>
        <v/>
      </c>
      <c r="D2128" s="50" t="str">
        <f t="shared" si="463"/>
        <v/>
      </c>
      <c r="E2128" s="50" t="str">
        <f t="shared" si="464"/>
        <v/>
      </c>
      <c r="F2128" s="47" t="str">
        <f>IF(COUNTA(archive!H2128:CI2128)=0,"",COUNTA(archive!H2128:CI2128))</f>
        <v/>
      </c>
      <c r="G2128" s="47" t="str">
        <f>IF(archive!G2128="","",archive!G2128)</f>
        <v/>
      </c>
      <c r="H2128" s="51" t="str">
        <f>IF(archive!CJ2128="","",archive!CJ2128)</f>
        <v/>
      </c>
      <c r="I2128" s="51" t="str">
        <f>IF(archive!CK2128="","",archive!CK2128)</f>
        <v/>
      </c>
      <c r="J2128" s="47" t="str">
        <f t="shared" si="465"/>
        <v/>
      </c>
      <c r="K2128" s="51" t="str">
        <f t="shared" si="466"/>
        <v/>
      </c>
      <c r="L2128" s="52" t="str">
        <f t="shared" si="467"/>
        <v/>
      </c>
      <c r="M2128" s="53" t="str">
        <f t="shared" si="468"/>
        <v/>
      </c>
      <c r="N2128" s="53" t="str">
        <f t="shared" si="469"/>
        <v/>
      </c>
      <c r="O2128" s="53" t="str">
        <f t="shared" si="470"/>
        <v/>
      </c>
      <c r="P2128" s="53" t="str">
        <f t="shared" si="471"/>
        <v/>
      </c>
      <c r="Q2128" s="53" t="str">
        <f t="shared" si="472"/>
        <v/>
      </c>
      <c r="R2128" s="53" t="str">
        <f t="shared" si="473"/>
        <v/>
      </c>
      <c r="S2128" s="53" t="str">
        <f t="shared" si="474"/>
        <v/>
      </c>
      <c r="T2128" s="53" t="str">
        <f t="shared" si="475"/>
        <v/>
      </c>
    </row>
    <row r="2129" spans="1:20">
      <c r="A2129" s="47" t="str">
        <f>IF(archive!E2129="","",archive!E2129)</f>
        <v/>
      </c>
      <c r="B2129" s="48" t="str">
        <f t="shared" si="462"/>
        <v/>
      </c>
      <c r="C2129" s="49" t="str">
        <f>IF(archive!F2129="","",archive!F2129)</f>
        <v/>
      </c>
      <c r="D2129" s="50" t="str">
        <f t="shared" si="463"/>
        <v/>
      </c>
      <c r="E2129" s="50" t="str">
        <f t="shared" si="464"/>
        <v/>
      </c>
      <c r="F2129" s="47" t="str">
        <f>IF(COUNTA(archive!H2129:CI2129)=0,"",COUNTA(archive!H2129:CI2129))</f>
        <v/>
      </c>
      <c r="G2129" s="47" t="str">
        <f>IF(archive!G2129="","",archive!G2129)</f>
        <v/>
      </c>
      <c r="H2129" s="51" t="str">
        <f>IF(archive!CJ2129="","",archive!CJ2129)</f>
        <v/>
      </c>
      <c r="I2129" s="51" t="str">
        <f>IF(archive!CK2129="","",archive!CK2129)</f>
        <v/>
      </c>
      <c r="J2129" s="47" t="str">
        <f t="shared" si="465"/>
        <v/>
      </c>
      <c r="K2129" s="51" t="str">
        <f t="shared" si="466"/>
        <v/>
      </c>
      <c r="L2129" s="52" t="str">
        <f t="shared" si="467"/>
        <v/>
      </c>
      <c r="M2129" s="53" t="str">
        <f t="shared" si="468"/>
        <v/>
      </c>
      <c r="N2129" s="53" t="str">
        <f t="shared" si="469"/>
        <v/>
      </c>
      <c r="O2129" s="53" t="str">
        <f t="shared" si="470"/>
        <v/>
      </c>
      <c r="P2129" s="53" t="str">
        <f t="shared" si="471"/>
        <v/>
      </c>
      <c r="Q2129" s="53" t="str">
        <f t="shared" si="472"/>
        <v/>
      </c>
      <c r="R2129" s="53" t="str">
        <f t="shared" si="473"/>
        <v/>
      </c>
      <c r="S2129" s="53" t="str">
        <f t="shared" si="474"/>
        <v/>
      </c>
      <c r="T2129" s="53" t="str">
        <f t="shared" si="475"/>
        <v/>
      </c>
    </row>
    <row r="2130" spans="1:20">
      <c r="A2130" s="47" t="str">
        <f>IF(archive!E2130="","",archive!E2130)</f>
        <v/>
      </c>
      <c r="B2130" s="48" t="str">
        <f t="shared" si="462"/>
        <v/>
      </c>
      <c r="C2130" s="49" t="str">
        <f>IF(archive!F2130="","",archive!F2130)</f>
        <v/>
      </c>
      <c r="D2130" s="50" t="str">
        <f t="shared" si="463"/>
        <v/>
      </c>
      <c r="E2130" s="50" t="str">
        <f t="shared" si="464"/>
        <v/>
      </c>
      <c r="F2130" s="47" t="str">
        <f>IF(COUNTA(archive!H2130:CI2130)=0,"",COUNTA(archive!H2130:CI2130))</f>
        <v/>
      </c>
      <c r="G2130" s="47" t="str">
        <f>IF(archive!G2130="","",archive!G2130)</f>
        <v/>
      </c>
      <c r="H2130" s="51" t="str">
        <f>IF(archive!CJ2130="","",archive!CJ2130)</f>
        <v/>
      </c>
      <c r="I2130" s="51" t="str">
        <f>IF(archive!CK2130="","",archive!CK2130)</f>
        <v/>
      </c>
      <c r="J2130" s="47" t="str">
        <f t="shared" si="465"/>
        <v/>
      </c>
      <c r="K2130" s="51" t="str">
        <f t="shared" si="466"/>
        <v/>
      </c>
      <c r="L2130" s="52" t="str">
        <f t="shared" si="467"/>
        <v/>
      </c>
      <c r="M2130" s="53" t="str">
        <f t="shared" si="468"/>
        <v/>
      </c>
      <c r="N2130" s="53" t="str">
        <f t="shared" si="469"/>
        <v/>
      </c>
      <c r="O2130" s="53" t="str">
        <f t="shared" si="470"/>
        <v/>
      </c>
      <c r="P2130" s="53" t="str">
        <f t="shared" si="471"/>
        <v/>
      </c>
      <c r="Q2130" s="53" t="str">
        <f t="shared" si="472"/>
        <v/>
      </c>
      <c r="R2130" s="53" t="str">
        <f t="shared" si="473"/>
        <v/>
      </c>
      <c r="S2130" s="53" t="str">
        <f t="shared" si="474"/>
        <v/>
      </c>
      <c r="T2130" s="53" t="str">
        <f t="shared" si="475"/>
        <v/>
      </c>
    </row>
    <row r="2131" spans="1:20">
      <c r="A2131" s="47" t="str">
        <f>IF(archive!E2131="","",archive!E2131)</f>
        <v/>
      </c>
      <c r="B2131" s="48" t="str">
        <f t="shared" si="462"/>
        <v/>
      </c>
      <c r="C2131" s="49" t="str">
        <f>IF(archive!F2131="","",archive!F2131)</f>
        <v/>
      </c>
      <c r="D2131" s="50" t="str">
        <f t="shared" si="463"/>
        <v/>
      </c>
      <c r="E2131" s="50" t="str">
        <f t="shared" si="464"/>
        <v/>
      </c>
      <c r="F2131" s="47" t="str">
        <f>IF(COUNTA(archive!H2131:CI2131)=0,"",COUNTA(archive!H2131:CI2131))</f>
        <v/>
      </c>
      <c r="G2131" s="47" t="str">
        <f>IF(archive!G2131="","",archive!G2131)</f>
        <v/>
      </c>
      <c r="H2131" s="51" t="str">
        <f>IF(archive!CJ2131="","",archive!CJ2131)</f>
        <v/>
      </c>
      <c r="I2131" s="51" t="str">
        <f>IF(archive!CK2131="","",archive!CK2131)</f>
        <v/>
      </c>
      <c r="J2131" s="47" t="str">
        <f t="shared" si="465"/>
        <v/>
      </c>
      <c r="K2131" s="51" t="str">
        <f t="shared" si="466"/>
        <v/>
      </c>
      <c r="L2131" s="52" t="str">
        <f t="shared" si="467"/>
        <v/>
      </c>
      <c r="M2131" s="53" t="str">
        <f t="shared" si="468"/>
        <v/>
      </c>
      <c r="N2131" s="53" t="str">
        <f t="shared" si="469"/>
        <v/>
      </c>
      <c r="O2131" s="53" t="str">
        <f t="shared" si="470"/>
        <v/>
      </c>
      <c r="P2131" s="53" t="str">
        <f t="shared" si="471"/>
        <v/>
      </c>
      <c r="Q2131" s="53" t="str">
        <f t="shared" si="472"/>
        <v/>
      </c>
      <c r="R2131" s="53" t="str">
        <f t="shared" si="473"/>
        <v/>
      </c>
      <c r="S2131" s="53" t="str">
        <f t="shared" si="474"/>
        <v/>
      </c>
      <c r="T2131" s="53" t="str">
        <f t="shared" si="475"/>
        <v/>
      </c>
    </row>
    <row r="2132" spans="1:20">
      <c r="A2132" s="47" t="str">
        <f>IF(archive!E2132="","",archive!E2132)</f>
        <v/>
      </c>
      <c r="B2132" s="48" t="str">
        <f t="shared" si="462"/>
        <v/>
      </c>
      <c r="C2132" s="49" t="str">
        <f>IF(archive!F2132="","",archive!F2132)</f>
        <v/>
      </c>
      <c r="D2132" s="50" t="str">
        <f t="shared" si="463"/>
        <v/>
      </c>
      <c r="E2132" s="50" t="str">
        <f t="shared" si="464"/>
        <v/>
      </c>
      <c r="F2132" s="47" t="str">
        <f>IF(COUNTA(archive!H2132:CI2132)=0,"",COUNTA(archive!H2132:CI2132))</f>
        <v/>
      </c>
      <c r="G2132" s="47" t="str">
        <f>IF(archive!G2132="","",archive!G2132)</f>
        <v/>
      </c>
      <c r="H2132" s="51" t="str">
        <f>IF(archive!CJ2132="","",archive!CJ2132)</f>
        <v/>
      </c>
      <c r="I2132" s="51" t="str">
        <f>IF(archive!CK2132="","",archive!CK2132)</f>
        <v/>
      </c>
      <c r="J2132" s="47" t="str">
        <f t="shared" si="465"/>
        <v/>
      </c>
      <c r="K2132" s="51" t="str">
        <f t="shared" si="466"/>
        <v/>
      </c>
      <c r="L2132" s="52" t="str">
        <f t="shared" si="467"/>
        <v/>
      </c>
      <c r="M2132" s="53" t="str">
        <f t="shared" si="468"/>
        <v/>
      </c>
      <c r="N2132" s="53" t="str">
        <f t="shared" si="469"/>
        <v/>
      </c>
      <c r="O2132" s="53" t="str">
        <f t="shared" si="470"/>
        <v/>
      </c>
      <c r="P2132" s="53" t="str">
        <f t="shared" si="471"/>
        <v/>
      </c>
      <c r="Q2132" s="53" t="str">
        <f t="shared" si="472"/>
        <v/>
      </c>
      <c r="R2132" s="53" t="str">
        <f t="shared" si="473"/>
        <v/>
      </c>
      <c r="S2132" s="53" t="str">
        <f t="shared" si="474"/>
        <v/>
      </c>
      <c r="T2132" s="53" t="str">
        <f t="shared" si="475"/>
        <v/>
      </c>
    </row>
    <row r="2133" spans="1:20">
      <c r="A2133" s="47" t="str">
        <f>IF(archive!E2133="","",archive!E2133)</f>
        <v/>
      </c>
      <c r="B2133" s="48" t="str">
        <f t="shared" si="462"/>
        <v/>
      </c>
      <c r="C2133" s="49" t="str">
        <f>IF(archive!F2133="","",archive!F2133)</f>
        <v/>
      </c>
      <c r="D2133" s="50" t="str">
        <f t="shared" si="463"/>
        <v/>
      </c>
      <c r="E2133" s="50" t="str">
        <f t="shared" si="464"/>
        <v/>
      </c>
      <c r="F2133" s="47" t="str">
        <f>IF(COUNTA(archive!H2133:CI2133)=0,"",COUNTA(archive!H2133:CI2133))</f>
        <v/>
      </c>
      <c r="G2133" s="47" t="str">
        <f>IF(archive!G2133="","",archive!G2133)</f>
        <v/>
      </c>
      <c r="H2133" s="51" t="str">
        <f>IF(archive!CJ2133="","",archive!CJ2133)</f>
        <v/>
      </c>
      <c r="I2133" s="51" t="str">
        <f>IF(archive!CK2133="","",archive!CK2133)</f>
        <v/>
      </c>
      <c r="J2133" s="47" t="str">
        <f t="shared" si="465"/>
        <v/>
      </c>
      <c r="K2133" s="51" t="str">
        <f t="shared" si="466"/>
        <v/>
      </c>
      <c r="L2133" s="52" t="str">
        <f t="shared" si="467"/>
        <v/>
      </c>
      <c r="M2133" s="53" t="str">
        <f t="shared" si="468"/>
        <v/>
      </c>
      <c r="N2133" s="53" t="str">
        <f t="shared" si="469"/>
        <v/>
      </c>
      <c r="O2133" s="53" t="str">
        <f t="shared" si="470"/>
        <v/>
      </c>
      <c r="P2133" s="53" t="str">
        <f t="shared" si="471"/>
        <v/>
      </c>
      <c r="Q2133" s="53" t="str">
        <f t="shared" si="472"/>
        <v/>
      </c>
      <c r="R2133" s="53" t="str">
        <f t="shared" si="473"/>
        <v/>
      </c>
      <c r="S2133" s="53" t="str">
        <f t="shared" si="474"/>
        <v/>
      </c>
      <c r="T2133" s="53" t="str">
        <f t="shared" si="475"/>
        <v/>
      </c>
    </row>
    <row r="2134" spans="1:20">
      <c r="A2134" s="47" t="str">
        <f>IF(archive!E2134="","",archive!E2134)</f>
        <v/>
      </c>
      <c r="B2134" s="48" t="str">
        <f t="shared" si="462"/>
        <v/>
      </c>
      <c r="C2134" s="49" t="str">
        <f>IF(archive!F2134="","",archive!F2134)</f>
        <v/>
      </c>
      <c r="D2134" s="50" t="str">
        <f t="shared" si="463"/>
        <v/>
      </c>
      <c r="E2134" s="50" t="str">
        <f t="shared" si="464"/>
        <v/>
      </c>
      <c r="F2134" s="47" t="str">
        <f>IF(COUNTA(archive!H2134:CI2134)=0,"",COUNTA(archive!H2134:CI2134))</f>
        <v/>
      </c>
      <c r="G2134" s="47" t="str">
        <f>IF(archive!G2134="","",archive!G2134)</f>
        <v/>
      </c>
      <c r="H2134" s="51" t="str">
        <f>IF(archive!CJ2134="","",archive!CJ2134)</f>
        <v/>
      </c>
      <c r="I2134" s="51" t="str">
        <f>IF(archive!CK2134="","",archive!CK2134)</f>
        <v/>
      </c>
      <c r="J2134" s="47" t="str">
        <f t="shared" si="465"/>
        <v/>
      </c>
      <c r="K2134" s="51" t="str">
        <f t="shared" si="466"/>
        <v/>
      </c>
      <c r="L2134" s="52" t="str">
        <f t="shared" si="467"/>
        <v/>
      </c>
      <c r="M2134" s="53" t="str">
        <f t="shared" si="468"/>
        <v/>
      </c>
      <c r="N2134" s="53" t="str">
        <f t="shared" si="469"/>
        <v/>
      </c>
      <c r="O2134" s="53" t="str">
        <f t="shared" si="470"/>
        <v/>
      </c>
      <c r="P2134" s="53" t="str">
        <f t="shared" si="471"/>
        <v/>
      </c>
      <c r="Q2134" s="53" t="str">
        <f t="shared" si="472"/>
        <v/>
      </c>
      <c r="R2134" s="53" t="str">
        <f t="shared" si="473"/>
        <v/>
      </c>
      <c r="S2134" s="53" t="str">
        <f t="shared" si="474"/>
        <v/>
      </c>
      <c r="T2134" s="53" t="str">
        <f t="shared" si="475"/>
        <v/>
      </c>
    </row>
    <row r="2135" spans="1:20">
      <c r="A2135" s="47" t="str">
        <f>IF(archive!E2135="","",archive!E2135)</f>
        <v/>
      </c>
      <c r="B2135" s="48" t="str">
        <f t="shared" si="462"/>
        <v/>
      </c>
      <c r="C2135" s="49" t="str">
        <f>IF(archive!F2135="","",archive!F2135)</f>
        <v/>
      </c>
      <c r="D2135" s="50" t="str">
        <f t="shared" si="463"/>
        <v/>
      </c>
      <c r="E2135" s="50" t="str">
        <f t="shared" si="464"/>
        <v/>
      </c>
      <c r="F2135" s="47" t="str">
        <f>IF(COUNTA(archive!H2135:CI2135)=0,"",COUNTA(archive!H2135:CI2135))</f>
        <v/>
      </c>
      <c r="G2135" s="47" t="str">
        <f>IF(archive!G2135="","",archive!G2135)</f>
        <v/>
      </c>
      <c r="H2135" s="51" t="str">
        <f>IF(archive!CJ2135="","",archive!CJ2135)</f>
        <v/>
      </c>
      <c r="I2135" s="51" t="str">
        <f>IF(archive!CK2135="","",archive!CK2135)</f>
        <v/>
      </c>
      <c r="J2135" s="47" t="str">
        <f t="shared" si="465"/>
        <v/>
      </c>
      <c r="K2135" s="51" t="str">
        <f t="shared" si="466"/>
        <v/>
      </c>
      <c r="L2135" s="52" t="str">
        <f t="shared" si="467"/>
        <v/>
      </c>
      <c r="M2135" s="53" t="str">
        <f t="shared" si="468"/>
        <v/>
      </c>
      <c r="N2135" s="53" t="str">
        <f t="shared" si="469"/>
        <v/>
      </c>
      <c r="O2135" s="53" t="str">
        <f t="shared" si="470"/>
        <v/>
      </c>
      <c r="P2135" s="53" t="str">
        <f t="shared" si="471"/>
        <v/>
      </c>
      <c r="Q2135" s="53" t="str">
        <f t="shared" si="472"/>
        <v/>
      </c>
      <c r="R2135" s="53" t="str">
        <f t="shared" si="473"/>
        <v/>
      </c>
      <c r="S2135" s="53" t="str">
        <f t="shared" si="474"/>
        <v/>
      </c>
      <c r="T2135" s="53" t="str">
        <f t="shared" si="475"/>
        <v/>
      </c>
    </row>
    <row r="2136" spans="1:20">
      <c r="A2136" s="47" t="str">
        <f>IF(archive!E2136="","",archive!E2136)</f>
        <v/>
      </c>
      <c r="B2136" s="48" t="str">
        <f t="shared" si="462"/>
        <v/>
      </c>
      <c r="C2136" s="49" t="str">
        <f>IF(archive!F2136="","",archive!F2136)</f>
        <v/>
      </c>
      <c r="D2136" s="50" t="str">
        <f t="shared" si="463"/>
        <v/>
      </c>
      <c r="E2136" s="50" t="str">
        <f t="shared" si="464"/>
        <v/>
      </c>
      <c r="F2136" s="47" t="str">
        <f>IF(COUNTA(archive!H2136:CI2136)=0,"",COUNTA(archive!H2136:CI2136))</f>
        <v/>
      </c>
      <c r="G2136" s="47" t="str">
        <f>IF(archive!G2136="","",archive!G2136)</f>
        <v/>
      </c>
      <c r="H2136" s="51" t="str">
        <f>IF(archive!CJ2136="","",archive!CJ2136)</f>
        <v/>
      </c>
      <c r="I2136" s="51" t="str">
        <f>IF(archive!CK2136="","",archive!CK2136)</f>
        <v/>
      </c>
      <c r="J2136" s="47" t="str">
        <f t="shared" si="465"/>
        <v/>
      </c>
      <c r="K2136" s="51" t="str">
        <f t="shared" si="466"/>
        <v/>
      </c>
      <c r="L2136" s="52" t="str">
        <f t="shared" si="467"/>
        <v/>
      </c>
      <c r="M2136" s="53" t="str">
        <f t="shared" si="468"/>
        <v/>
      </c>
      <c r="N2136" s="53" t="str">
        <f t="shared" si="469"/>
        <v/>
      </c>
      <c r="O2136" s="53" t="str">
        <f t="shared" si="470"/>
        <v/>
      </c>
      <c r="P2136" s="53" t="str">
        <f t="shared" si="471"/>
        <v/>
      </c>
      <c r="Q2136" s="53" t="str">
        <f t="shared" si="472"/>
        <v/>
      </c>
      <c r="R2136" s="53" t="str">
        <f t="shared" si="473"/>
        <v/>
      </c>
      <c r="S2136" s="53" t="str">
        <f t="shared" si="474"/>
        <v/>
      </c>
      <c r="T2136" s="53" t="str">
        <f t="shared" si="475"/>
        <v/>
      </c>
    </row>
    <row r="2137" spans="1:20">
      <c r="A2137" s="47" t="str">
        <f>IF(archive!E2137="","",archive!E2137)</f>
        <v/>
      </c>
      <c r="B2137" s="48" t="str">
        <f t="shared" si="462"/>
        <v/>
      </c>
      <c r="C2137" s="49" t="str">
        <f>IF(archive!F2137="","",archive!F2137)</f>
        <v/>
      </c>
      <c r="D2137" s="50" t="str">
        <f t="shared" si="463"/>
        <v/>
      </c>
      <c r="E2137" s="50" t="str">
        <f t="shared" si="464"/>
        <v/>
      </c>
      <c r="F2137" s="47" t="str">
        <f>IF(COUNTA(archive!H2137:CI2137)=0,"",COUNTA(archive!H2137:CI2137))</f>
        <v/>
      </c>
      <c r="G2137" s="47" t="str">
        <f>IF(archive!G2137="","",archive!G2137)</f>
        <v/>
      </c>
      <c r="H2137" s="51" t="str">
        <f>IF(archive!CJ2137="","",archive!CJ2137)</f>
        <v/>
      </c>
      <c r="I2137" s="51" t="str">
        <f>IF(archive!CK2137="","",archive!CK2137)</f>
        <v/>
      </c>
      <c r="J2137" s="47" t="str">
        <f t="shared" si="465"/>
        <v/>
      </c>
      <c r="K2137" s="51" t="str">
        <f t="shared" si="466"/>
        <v/>
      </c>
      <c r="L2137" s="52" t="str">
        <f t="shared" si="467"/>
        <v/>
      </c>
      <c r="M2137" s="53" t="str">
        <f t="shared" si="468"/>
        <v/>
      </c>
      <c r="N2137" s="53" t="str">
        <f t="shared" si="469"/>
        <v/>
      </c>
      <c r="O2137" s="53" t="str">
        <f t="shared" si="470"/>
        <v/>
      </c>
      <c r="P2137" s="53" t="str">
        <f t="shared" si="471"/>
        <v/>
      </c>
      <c r="Q2137" s="53" t="str">
        <f t="shared" si="472"/>
        <v/>
      </c>
      <c r="R2137" s="53" t="str">
        <f t="shared" si="473"/>
        <v/>
      </c>
      <c r="S2137" s="53" t="str">
        <f t="shared" si="474"/>
        <v/>
      </c>
      <c r="T2137" s="53" t="str">
        <f t="shared" si="475"/>
        <v/>
      </c>
    </row>
    <row r="2138" spans="1:20">
      <c r="A2138" s="47" t="str">
        <f>IF(archive!E2138="","",archive!E2138)</f>
        <v/>
      </c>
      <c r="B2138" s="48" t="str">
        <f t="shared" si="462"/>
        <v/>
      </c>
      <c r="C2138" s="49" t="str">
        <f>IF(archive!F2138="","",archive!F2138)</f>
        <v/>
      </c>
      <c r="D2138" s="50" t="str">
        <f t="shared" si="463"/>
        <v/>
      </c>
      <c r="E2138" s="50" t="str">
        <f t="shared" si="464"/>
        <v/>
      </c>
      <c r="F2138" s="47" t="str">
        <f>IF(COUNTA(archive!H2138:CI2138)=0,"",COUNTA(archive!H2138:CI2138))</f>
        <v/>
      </c>
      <c r="G2138" s="47" t="str">
        <f>IF(archive!G2138="","",archive!G2138)</f>
        <v/>
      </c>
      <c r="H2138" s="51" t="str">
        <f>IF(archive!CJ2138="","",archive!CJ2138)</f>
        <v/>
      </c>
      <c r="I2138" s="51" t="str">
        <f>IF(archive!CK2138="","",archive!CK2138)</f>
        <v/>
      </c>
      <c r="J2138" s="47" t="str">
        <f t="shared" si="465"/>
        <v/>
      </c>
      <c r="K2138" s="51" t="str">
        <f t="shared" si="466"/>
        <v/>
      </c>
      <c r="L2138" s="52" t="str">
        <f t="shared" si="467"/>
        <v/>
      </c>
      <c r="M2138" s="53" t="str">
        <f t="shared" si="468"/>
        <v/>
      </c>
      <c r="N2138" s="53" t="str">
        <f t="shared" si="469"/>
        <v/>
      </c>
      <c r="O2138" s="53" t="str">
        <f t="shared" si="470"/>
        <v/>
      </c>
      <c r="P2138" s="53" t="str">
        <f t="shared" si="471"/>
        <v/>
      </c>
      <c r="Q2138" s="53" t="str">
        <f t="shared" si="472"/>
        <v/>
      </c>
      <c r="R2138" s="53" t="str">
        <f t="shared" si="473"/>
        <v/>
      </c>
      <c r="S2138" s="53" t="str">
        <f t="shared" si="474"/>
        <v/>
      </c>
      <c r="T2138" s="53" t="str">
        <f t="shared" si="475"/>
        <v/>
      </c>
    </row>
    <row r="2139" spans="1:20">
      <c r="A2139" s="47" t="str">
        <f>IF(archive!E2139="","",archive!E2139)</f>
        <v/>
      </c>
      <c r="B2139" s="48" t="str">
        <f t="shared" si="462"/>
        <v/>
      </c>
      <c r="C2139" s="49" t="str">
        <f>IF(archive!F2139="","",archive!F2139)</f>
        <v/>
      </c>
      <c r="D2139" s="50" t="str">
        <f t="shared" si="463"/>
        <v/>
      </c>
      <c r="E2139" s="50" t="str">
        <f t="shared" si="464"/>
        <v/>
      </c>
      <c r="F2139" s="47" t="str">
        <f>IF(COUNTA(archive!H2139:CI2139)=0,"",COUNTA(archive!H2139:CI2139))</f>
        <v/>
      </c>
      <c r="G2139" s="47" t="str">
        <f>IF(archive!G2139="","",archive!G2139)</f>
        <v/>
      </c>
      <c r="H2139" s="51" t="str">
        <f>IF(archive!CJ2139="","",archive!CJ2139)</f>
        <v/>
      </c>
      <c r="I2139" s="51" t="str">
        <f>IF(archive!CK2139="","",archive!CK2139)</f>
        <v/>
      </c>
      <c r="J2139" s="47" t="str">
        <f t="shared" si="465"/>
        <v/>
      </c>
      <c r="K2139" s="51" t="str">
        <f t="shared" si="466"/>
        <v/>
      </c>
      <c r="L2139" s="52" t="str">
        <f t="shared" si="467"/>
        <v/>
      </c>
      <c r="M2139" s="53" t="str">
        <f t="shared" si="468"/>
        <v/>
      </c>
      <c r="N2139" s="53" t="str">
        <f t="shared" si="469"/>
        <v/>
      </c>
      <c r="O2139" s="53" t="str">
        <f t="shared" si="470"/>
        <v/>
      </c>
      <c r="P2139" s="53" t="str">
        <f t="shared" si="471"/>
        <v/>
      </c>
      <c r="Q2139" s="53" t="str">
        <f t="shared" si="472"/>
        <v/>
      </c>
      <c r="R2139" s="53" t="str">
        <f t="shared" si="473"/>
        <v/>
      </c>
      <c r="S2139" s="53" t="str">
        <f t="shared" si="474"/>
        <v/>
      </c>
      <c r="T2139" s="53" t="str">
        <f t="shared" si="475"/>
        <v/>
      </c>
    </row>
    <row r="2140" spans="1:20">
      <c r="A2140" s="47" t="str">
        <f>IF(archive!E2140="","",archive!E2140)</f>
        <v/>
      </c>
      <c r="B2140" s="48" t="str">
        <f t="shared" si="462"/>
        <v/>
      </c>
      <c r="C2140" s="49" t="str">
        <f>IF(archive!F2140="","",archive!F2140)</f>
        <v/>
      </c>
      <c r="D2140" s="50" t="str">
        <f t="shared" si="463"/>
        <v/>
      </c>
      <c r="E2140" s="50" t="str">
        <f t="shared" si="464"/>
        <v/>
      </c>
      <c r="F2140" s="47" t="str">
        <f>IF(COUNTA(archive!H2140:CI2140)=0,"",COUNTA(archive!H2140:CI2140))</f>
        <v/>
      </c>
      <c r="G2140" s="47" t="str">
        <f>IF(archive!G2140="","",archive!G2140)</f>
        <v/>
      </c>
      <c r="H2140" s="51" t="str">
        <f>IF(archive!CJ2140="","",archive!CJ2140)</f>
        <v/>
      </c>
      <c r="I2140" s="51" t="str">
        <f>IF(archive!CK2140="","",archive!CK2140)</f>
        <v/>
      </c>
      <c r="J2140" s="47" t="str">
        <f t="shared" si="465"/>
        <v/>
      </c>
      <c r="K2140" s="51" t="str">
        <f t="shared" si="466"/>
        <v/>
      </c>
      <c r="L2140" s="52" t="str">
        <f t="shared" si="467"/>
        <v/>
      </c>
      <c r="M2140" s="53" t="str">
        <f t="shared" si="468"/>
        <v/>
      </c>
      <c r="N2140" s="53" t="str">
        <f t="shared" si="469"/>
        <v/>
      </c>
      <c r="O2140" s="53" t="str">
        <f t="shared" si="470"/>
        <v/>
      </c>
      <c r="P2140" s="53" t="str">
        <f t="shared" si="471"/>
        <v/>
      </c>
      <c r="Q2140" s="53" t="str">
        <f t="shared" si="472"/>
        <v/>
      </c>
      <c r="R2140" s="53" t="str">
        <f t="shared" si="473"/>
        <v/>
      </c>
      <c r="S2140" s="53" t="str">
        <f t="shared" si="474"/>
        <v/>
      </c>
      <c r="T2140" s="53" t="str">
        <f t="shared" si="475"/>
        <v/>
      </c>
    </row>
    <row r="2141" spans="1:20">
      <c r="A2141" s="47" t="str">
        <f>IF(archive!E2141="","",archive!E2141)</f>
        <v/>
      </c>
      <c r="B2141" s="48" t="str">
        <f t="shared" si="462"/>
        <v/>
      </c>
      <c r="C2141" s="49" t="str">
        <f>IF(archive!F2141="","",archive!F2141)</f>
        <v/>
      </c>
      <c r="D2141" s="50" t="str">
        <f t="shared" si="463"/>
        <v/>
      </c>
      <c r="E2141" s="50" t="str">
        <f t="shared" si="464"/>
        <v/>
      </c>
      <c r="F2141" s="47" t="str">
        <f>IF(COUNTA(archive!H2141:CI2141)=0,"",COUNTA(archive!H2141:CI2141))</f>
        <v/>
      </c>
      <c r="G2141" s="47" t="str">
        <f>IF(archive!G2141="","",archive!G2141)</f>
        <v/>
      </c>
      <c r="H2141" s="51" t="str">
        <f>IF(archive!CJ2141="","",archive!CJ2141)</f>
        <v/>
      </c>
      <c r="I2141" s="51" t="str">
        <f>IF(archive!CK2141="","",archive!CK2141)</f>
        <v/>
      </c>
      <c r="J2141" s="47" t="str">
        <f t="shared" si="465"/>
        <v/>
      </c>
      <c r="K2141" s="51" t="str">
        <f t="shared" si="466"/>
        <v/>
      </c>
      <c r="L2141" s="52" t="str">
        <f t="shared" si="467"/>
        <v/>
      </c>
      <c r="M2141" s="53" t="str">
        <f t="shared" si="468"/>
        <v/>
      </c>
      <c r="N2141" s="53" t="str">
        <f t="shared" si="469"/>
        <v/>
      </c>
      <c r="O2141" s="53" t="str">
        <f t="shared" si="470"/>
        <v/>
      </c>
      <c r="P2141" s="53" t="str">
        <f t="shared" si="471"/>
        <v/>
      </c>
      <c r="Q2141" s="53" t="str">
        <f t="shared" si="472"/>
        <v/>
      </c>
      <c r="R2141" s="53" t="str">
        <f t="shared" si="473"/>
        <v/>
      </c>
      <c r="S2141" s="53" t="str">
        <f t="shared" si="474"/>
        <v/>
      </c>
      <c r="T2141" s="53" t="str">
        <f t="shared" si="475"/>
        <v/>
      </c>
    </row>
    <row r="2142" spans="1:20">
      <c r="A2142" s="47" t="str">
        <f>IF(archive!E2142="","",archive!E2142)</f>
        <v/>
      </c>
      <c r="B2142" s="48" t="str">
        <f t="shared" si="462"/>
        <v/>
      </c>
      <c r="C2142" s="49" t="str">
        <f>IF(archive!F2142="","",archive!F2142)</f>
        <v/>
      </c>
      <c r="D2142" s="50" t="str">
        <f t="shared" si="463"/>
        <v/>
      </c>
      <c r="E2142" s="50" t="str">
        <f t="shared" si="464"/>
        <v/>
      </c>
      <c r="F2142" s="47" t="str">
        <f>IF(COUNTA(archive!H2142:CI2142)=0,"",COUNTA(archive!H2142:CI2142))</f>
        <v/>
      </c>
      <c r="G2142" s="47" t="str">
        <f>IF(archive!G2142="","",archive!G2142)</f>
        <v/>
      </c>
      <c r="H2142" s="51" t="str">
        <f>IF(archive!CJ2142="","",archive!CJ2142)</f>
        <v/>
      </c>
      <c r="I2142" s="51" t="str">
        <f>IF(archive!CK2142="","",archive!CK2142)</f>
        <v/>
      </c>
      <c r="J2142" s="47" t="str">
        <f t="shared" si="465"/>
        <v/>
      </c>
      <c r="K2142" s="51" t="str">
        <f t="shared" si="466"/>
        <v/>
      </c>
      <c r="L2142" s="52" t="str">
        <f t="shared" si="467"/>
        <v/>
      </c>
      <c r="M2142" s="53" t="str">
        <f t="shared" si="468"/>
        <v/>
      </c>
      <c r="N2142" s="53" t="str">
        <f t="shared" si="469"/>
        <v/>
      </c>
      <c r="O2142" s="53" t="str">
        <f t="shared" si="470"/>
        <v/>
      </c>
      <c r="P2142" s="53" t="str">
        <f t="shared" si="471"/>
        <v/>
      </c>
      <c r="Q2142" s="53" t="str">
        <f t="shared" si="472"/>
        <v/>
      </c>
      <c r="R2142" s="53" t="str">
        <f t="shared" si="473"/>
        <v/>
      </c>
      <c r="S2142" s="53" t="str">
        <f t="shared" si="474"/>
        <v/>
      </c>
      <c r="T2142" s="53" t="str">
        <f t="shared" si="475"/>
        <v/>
      </c>
    </row>
    <row r="2143" spans="1:20">
      <c r="A2143" s="47" t="str">
        <f>IF(archive!E2143="","",archive!E2143)</f>
        <v/>
      </c>
      <c r="B2143" s="48" t="str">
        <f t="shared" si="462"/>
        <v/>
      </c>
      <c r="C2143" s="49" t="str">
        <f>IF(archive!F2143="","",archive!F2143)</f>
        <v/>
      </c>
      <c r="D2143" s="50" t="str">
        <f t="shared" si="463"/>
        <v/>
      </c>
      <c r="E2143" s="50" t="str">
        <f t="shared" si="464"/>
        <v/>
      </c>
      <c r="F2143" s="47" t="str">
        <f>IF(COUNTA(archive!H2143:CI2143)=0,"",COUNTA(archive!H2143:CI2143))</f>
        <v/>
      </c>
      <c r="G2143" s="47" t="str">
        <f>IF(archive!G2143="","",archive!G2143)</f>
        <v/>
      </c>
      <c r="H2143" s="51" t="str">
        <f>IF(archive!CJ2143="","",archive!CJ2143)</f>
        <v/>
      </c>
      <c r="I2143" s="51" t="str">
        <f>IF(archive!CK2143="","",archive!CK2143)</f>
        <v/>
      </c>
      <c r="J2143" s="47" t="str">
        <f t="shared" si="465"/>
        <v/>
      </c>
      <c r="K2143" s="51" t="str">
        <f t="shared" si="466"/>
        <v/>
      </c>
      <c r="L2143" s="52" t="str">
        <f t="shared" si="467"/>
        <v/>
      </c>
      <c r="M2143" s="53" t="str">
        <f t="shared" si="468"/>
        <v/>
      </c>
      <c r="N2143" s="53" t="str">
        <f t="shared" si="469"/>
        <v/>
      </c>
      <c r="O2143" s="53" t="str">
        <f t="shared" si="470"/>
        <v/>
      </c>
      <c r="P2143" s="53" t="str">
        <f t="shared" si="471"/>
        <v/>
      </c>
      <c r="Q2143" s="53" t="str">
        <f t="shared" si="472"/>
        <v/>
      </c>
      <c r="R2143" s="53" t="str">
        <f t="shared" si="473"/>
        <v/>
      </c>
      <c r="S2143" s="53" t="str">
        <f t="shared" si="474"/>
        <v/>
      </c>
      <c r="T2143" s="53" t="str">
        <f t="shared" si="475"/>
        <v/>
      </c>
    </row>
    <row r="2144" spans="1:20">
      <c r="A2144" s="47" t="str">
        <f>IF(archive!E2144="","",archive!E2144)</f>
        <v/>
      </c>
      <c r="B2144" s="48" t="str">
        <f t="shared" si="462"/>
        <v/>
      </c>
      <c r="C2144" s="49" t="str">
        <f>IF(archive!F2144="","",archive!F2144)</f>
        <v/>
      </c>
      <c r="D2144" s="50" t="str">
        <f t="shared" si="463"/>
        <v/>
      </c>
      <c r="E2144" s="50" t="str">
        <f t="shared" si="464"/>
        <v/>
      </c>
      <c r="F2144" s="47" t="str">
        <f>IF(COUNTA(archive!H2144:CI2144)=0,"",COUNTA(archive!H2144:CI2144))</f>
        <v/>
      </c>
      <c r="G2144" s="47" t="str">
        <f>IF(archive!G2144="","",archive!G2144)</f>
        <v/>
      </c>
      <c r="H2144" s="51" t="str">
        <f>IF(archive!CJ2144="","",archive!CJ2144)</f>
        <v/>
      </c>
      <c r="I2144" s="51" t="str">
        <f>IF(archive!CK2144="","",archive!CK2144)</f>
        <v/>
      </c>
      <c r="J2144" s="47" t="str">
        <f t="shared" si="465"/>
        <v/>
      </c>
      <c r="K2144" s="51" t="str">
        <f t="shared" si="466"/>
        <v/>
      </c>
      <c r="L2144" s="52" t="str">
        <f t="shared" si="467"/>
        <v/>
      </c>
      <c r="M2144" s="53" t="str">
        <f t="shared" si="468"/>
        <v/>
      </c>
      <c r="N2144" s="53" t="str">
        <f t="shared" si="469"/>
        <v/>
      </c>
      <c r="O2144" s="53" t="str">
        <f t="shared" si="470"/>
        <v/>
      </c>
      <c r="P2144" s="53" t="str">
        <f t="shared" si="471"/>
        <v/>
      </c>
      <c r="Q2144" s="53" t="str">
        <f t="shared" si="472"/>
        <v/>
      </c>
      <c r="R2144" s="53" t="str">
        <f t="shared" si="473"/>
        <v/>
      </c>
      <c r="S2144" s="53" t="str">
        <f t="shared" si="474"/>
        <v/>
      </c>
      <c r="T2144" s="53" t="str">
        <f t="shared" si="475"/>
        <v/>
      </c>
    </row>
    <row r="2145" spans="1:20">
      <c r="A2145" s="47" t="str">
        <f>IF(archive!E2145="","",archive!E2145)</f>
        <v/>
      </c>
      <c r="B2145" s="48" t="str">
        <f t="shared" si="462"/>
        <v/>
      </c>
      <c r="C2145" s="49" t="str">
        <f>IF(archive!F2145="","",archive!F2145)</f>
        <v/>
      </c>
      <c r="D2145" s="50" t="str">
        <f t="shared" si="463"/>
        <v/>
      </c>
      <c r="E2145" s="50" t="str">
        <f t="shared" si="464"/>
        <v/>
      </c>
      <c r="F2145" s="47" t="str">
        <f>IF(COUNTA(archive!H2145:CI2145)=0,"",COUNTA(archive!H2145:CI2145))</f>
        <v/>
      </c>
      <c r="G2145" s="47" t="str">
        <f>IF(archive!G2145="","",archive!G2145)</f>
        <v/>
      </c>
      <c r="H2145" s="51" t="str">
        <f>IF(archive!CJ2145="","",archive!CJ2145)</f>
        <v/>
      </c>
      <c r="I2145" s="51" t="str">
        <f>IF(archive!CK2145="","",archive!CK2145)</f>
        <v/>
      </c>
      <c r="J2145" s="47" t="str">
        <f t="shared" si="465"/>
        <v/>
      </c>
      <c r="K2145" s="51" t="str">
        <f t="shared" si="466"/>
        <v/>
      </c>
      <c r="L2145" s="52" t="str">
        <f t="shared" si="467"/>
        <v/>
      </c>
      <c r="M2145" s="53" t="str">
        <f t="shared" si="468"/>
        <v/>
      </c>
      <c r="N2145" s="53" t="str">
        <f t="shared" si="469"/>
        <v/>
      </c>
      <c r="O2145" s="53" t="str">
        <f t="shared" si="470"/>
        <v/>
      </c>
      <c r="P2145" s="53" t="str">
        <f t="shared" si="471"/>
        <v/>
      </c>
      <c r="Q2145" s="53" t="str">
        <f t="shared" si="472"/>
        <v/>
      </c>
      <c r="R2145" s="53" t="str">
        <f t="shared" si="473"/>
        <v/>
      </c>
      <c r="S2145" s="53" t="str">
        <f t="shared" si="474"/>
        <v/>
      </c>
      <c r="T2145" s="53" t="str">
        <f t="shared" si="475"/>
        <v/>
      </c>
    </row>
    <row r="2146" spans="1:20">
      <c r="A2146" s="47" t="str">
        <f>IF(archive!E2146="","",archive!E2146)</f>
        <v/>
      </c>
      <c r="B2146" s="48" t="str">
        <f t="shared" si="462"/>
        <v/>
      </c>
      <c r="C2146" s="49" t="str">
        <f>IF(archive!F2146="","",archive!F2146)</f>
        <v/>
      </c>
      <c r="D2146" s="50" t="str">
        <f t="shared" si="463"/>
        <v/>
      </c>
      <c r="E2146" s="50" t="str">
        <f t="shared" si="464"/>
        <v/>
      </c>
      <c r="F2146" s="47" t="str">
        <f>IF(COUNTA(archive!H2146:CI2146)=0,"",COUNTA(archive!H2146:CI2146))</f>
        <v/>
      </c>
      <c r="G2146" s="47" t="str">
        <f>IF(archive!G2146="","",archive!G2146)</f>
        <v/>
      </c>
      <c r="H2146" s="51" t="str">
        <f>IF(archive!CJ2146="","",archive!CJ2146)</f>
        <v/>
      </c>
      <c r="I2146" s="51" t="str">
        <f>IF(archive!CK2146="","",archive!CK2146)</f>
        <v/>
      </c>
      <c r="J2146" s="47" t="str">
        <f t="shared" si="465"/>
        <v/>
      </c>
      <c r="K2146" s="51" t="str">
        <f t="shared" si="466"/>
        <v/>
      </c>
      <c r="L2146" s="52" t="str">
        <f t="shared" si="467"/>
        <v/>
      </c>
      <c r="M2146" s="53" t="str">
        <f t="shared" si="468"/>
        <v/>
      </c>
      <c r="N2146" s="53" t="str">
        <f t="shared" si="469"/>
        <v/>
      </c>
      <c r="O2146" s="53" t="str">
        <f t="shared" si="470"/>
        <v/>
      </c>
      <c r="P2146" s="53" t="str">
        <f t="shared" si="471"/>
        <v/>
      </c>
      <c r="Q2146" s="53" t="str">
        <f t="shared" si="472"/>
        <v/>
      </c>
      <c r="R2146" s="53" t="str">
        <f t="shared" si="473"/>
        <v/>
      </c>
      <c r="S2146" s="53" t="str">
        <f t="shared" si="474"/>
        <v/>
      </c>
      <c r="T2146" s="53" t="str">
        <f t="shared" si="475"/>
        <v/>
      </c>
    </row>
    <row r="2147" spans="1:20">
      <c r="A2147" s="47" t="str">
        <f>IF(archive!E2147="","",archive!E2147)</f>
        <v/>
      </c>
      <c r="B2147" s="48" t="str">
        <f t="shared" si="462"/>
        <v/>
      </c>
      <c r="C2147" s="49" t="str">
        <f>IF(archive!F2147="","",archive!F2147)</f>
        <v/>
      </c>
      <c r="D2147" s="50" t="str">
        <f t="shared" si="463"/>
        <v/>
      </c>
      <c r="E2147" s="50" t="str">
        <f t="shared" si="464"/>
        <v/>
      </c>
      <c r="F2147" s="47" t="str">
        <f>IF(COUNTA(archive!H2147:CI2147)=0,"",COUNTA(archive!H2147:CI2147))</f>
        <v/>
      </c>
      <c r="G2147" s="47" t="str">
        <f>IF(archive!G2147="","",archive!G2147)</f>
        <v/>
      </c>
      <c r="H2147" s="51" t="str">
        <f>IF(archive!CJ2147="","",archive!CJ2147)</f>
        <v/>
      </c>
      <c r="I2147" s="51" t="str">
        <f>IF(archive!CK2147="","",archive!CK2147)</f>
        <v/>
      </c>
      <c r="J2147" s="47" t="str">
        <f t="shared" si="465"/>
        <v/>
      </c>
      <c r="K2147" s="51" t="str">
        <f t="shared" si="466"/>
        <v/>
      </c>
      <c r="L2147" s="52" t="str">
        <f t="shared" si="467"/>
        <v/>
      </c>
      <c r="M2147" s="53" t="str">
        <f t="shared" si="468"/>
        <v/>
      </c>
      <c r="N2147" s="53" t="str">
        <f t="shared" si="469"/>
        <v/>
      </c>
      <c r="O2147" s="53" t="str">
        <f t="shared" si="470"/>
        <v/>
      </c>
      <c r="P2147" s="53" t="str">
        <f t="shared" si="471"/>
        <v/>
      </c>
      <c r="Q2147" s="53" t="str">
        <f t="shared" si="472"/>
        <v/>
      </c>
      <c r="R2147" s="53" t="str">
        <f t="shared" si="473"/>
        <v/>
      </c>
      <c r="S2147" s="53" t="str">
        <f t="shared" si="474"/>
        <v/>
      </c>
      <c r="T2147" s="53" t="str">
        <f t="shared" si="475"/>
        <v/>
      </c>
    </row>
    <row r="2148" spans="1:20">
      <c r="A2148" s="47" t="str">
        <f>IF(archive!E2148="","",archive!E2148)</f>
        <v/>
      </c>
      <c r="B2148" s="48" t="str">
        <f t="shared" si="462"/>
        <v/>
      </c>
      <c r="C2148" s="49" t="str">
        <f>IF(archive!F2148="","",archive!F2148)</f>
        <v/>
      </c>
      <c r="D2148" s="50" t="str">
        <f t="shared" si="463"/>
        <v/>
      </c>
      <c r="E2148" s="50" t="str">
        <f t="shared" si="464"/>
        <v/>
      </c>
      <c r="F2148" s="47" t="str">
        <f>IF(COUNTA(archive!H2148:CI2148)=0,"",COUNTA(archive!H2148:CI2148))</f>
        <v/>
      </c>
      <c r="G2148" s="47" t="str">
        <f>IF(archive!G2148="","",archive!G2148)</f>
        <v/>
      </c>
      <c r="H2148" s="51" t="str">
        <f>IF(archive!CJ2148="","",archive!CJ2148)</f>
        <v/>
      </c>
      <c r="I2148" s="51" t="str">
        <f>IF(archive!CK2148="","",archive!CK2148)</f>
        <v/>
      </c>
      <c r="J2148" s="47" t="str">
        <f t="shared" si="465"/>
        <v/>
      </c>
      <c r="K2148" s="51" t="str">
        <f t="shared" si="466"/>
        <v/>
      </c>
      <c r="L2148" s="52" t="str">
        <f t="shared" si="467"/>
        <v/>
      </c>
      <c r="M2148" s="53" t="str">
        <f t="shared" si="468"/>
        <v/>
      </c>
      <c r="N2148" s="53" t="str">
        <f t="shared" si="469"/>
        <v/>
      </c>
      <c r="O2148" s="53" t="str">
        <f t="shared" si="470"/>
        <v/>
      </c>
      <c r="P2148" s="53" t="str">
        <f t="shared" si="471"/>
        <v/>
      </c>
      <c r="Q2148" s="53" t="str">
        <f t="shared" si="472"/>
        <v/>
      </c>
      <c r="R2148" s="53" t="str">
        <f t="shared" si="473"/>
        <v/>
      </c>
      <c r="S2148" s="53" t="str">
        <f t="shared" si="474"/>
        <v/>
      </c>
      <c r="T2148" s="53" t="str">
        <f t="shared" si="475"/>
        <v/>
      </c>
    </row>
    <row r="2149" spans="1:20">
      <c r="A2149" s="47" t="str">
        <f>IF(archive!E2149="","",archive!E2149)</f>
        <v/>
      </c>
      <c r="B2149" s="48" t="str">
        <f t="shared" si="462"/>
        <v/>
      </c>
      <c r="C2149" s="49" t="str">
        <f>IF(archive!F2149="","",archive!F2149)</f>
        <v/>
      </c>
      <c r="D2149" s="50" t="str">
        <f t="shared" si="463"/>
        <v/>
      </c>
      <c r="E2149" s="50" t="str">
        <f t="shared" si="464"/>
        <v/>
      </c>
      <c r="F2149" s="47" t="str">
        <f>IF(COUNTA(archive!H2149:CI2149)=0,"",COUNTA(archive!H2149:CI2149))</f>
        <v/>
      </c>
      <c r="G2149" s="47" t="str">
        <f>IF(archive!G2149="","",archive!G2149)</f>
        <v/>
      </c>
      <c r="H2149" s="51" t="str">
        <f>IF(archive!CJ2149="","",archive!CJ2149)</f>
        <v/>
      </c>
      <c r="I2149" s="51" t="str">
        <f>IF(archive!CK2149="","",archive!CK2149)</f>
        <v/>
      </c>
      <c r="J2149" s="47" t="str">
        <f t="shared" si="465"/>
        <v/>
      </c>
      <c r="K2149" s="51" t="str">
        <f t="shared" si="466"/>
        <v/>
      </c>
      <c r="L2149" s="52" t="str">
        <f t="shared" si="467"/>
        <v/>
      </c>
      <c r="M2149" s="53" t="str">
        <f t="shared" si="468"/>
        <v/>
      </c>
      <c r="N2149" s="53" t="str">
        <f t="shared" si="469"/>
        <v/>
      </c>
      <c r="O2149" s="53" t="str">
        <f t="shared" si="470"/>
        <v/>
      </c>
      <c r="P2149" s="53" t="str">
        <f t="shared" si="471"/>
        <v/>
      </c>
      <c r="Q2149" s="53" t="str">
        <f t="shared" si="472"/>
        <v/>
      </c>
      <c r="R2149" s="53" t="str">
        <f t="shared" si="473"/>
        <v/>
      </c>
      <c r="S2149" s="53" t="str">
        <f t="shared" si="474"/>
        <v/>
      </c>
      <c r="T2149" s="53" t="str">
        <f t="shared" si="475"/>
        <v/>
      </c>
    </row>
    <row r="2150" spans="1:20">
      <c r="A2150" s="47" t="str">
        <f>IF(archive!E2150="","",archive!E2150)</f>
        <v/>
      </c>
      <c r="B2150" s="48" t="str">
        <f t="shared" si="462"/>
        <v/>
      </c>
      <c r="C2150" s="49" t="str">
        <f>IF(archive!F2150="","",archive!F2150)</f>
        <v/>
      </c>
      <c r="D2150" s="50" t="str">
        <f t="shared" si="463"/>
        <v/>
      </c>
      <c r="E2150" s="50" t="str">
        <f t="shared" si="464"/>
        <v/>
      </c>
      <c r="F2150" s="47" t="str">
        <f>IF(COUNTA(archive!H2150:CI2150)=0,"",COUNTA(archive!H2150:CI2150))</f>
        <v/>
      </c>
      <c r="G2150" s="47" t="str">
        <f>IF(archive!G2150="","",archive!G2150)</f>
        <v/>
      </c>
      <c r="H2150" s="51" t="str">
        <f>IF(archive!CJ2150="","",archive!CJ2150)</f>
        <v/>
      </c>
      <c r="I2150" s="51" t="str">
        <f>IF(archive!CK2150="","",archive!CK2150)</f>
        <v/>
      </c>
      <c r="J2150" s="47" t="str">
        <f t="shared" si="465"/>
        <v/>
      </c>
      <c r="K2150" s="51" t="str">
        <f t="shared" si="466"/>
        <v/>
      </c>
      <c r="L2150" s="52" t="str">
        <f t="shared" si="467"/>
        <v/>
      </c>
      <c r="M2150" s="53" t="str">
        <f t="shared" si="468"/>
        <v/>
      </c>
      <c r="N2150" s="53" t="str">
        <f t="shared" si="469"/>
        <v/>
      </c>
      <c r="O2150" s="53" t="str">
        <f t="shared" si="470"/>
        <v/>
      </c>
      <c r="P2150" s="53" t="str">
        <f t="shared" si="471"/>
        <v/>
      </c>
      <c r="Q2150" s="53" t="str">
        <f t="shared" si="472"/>
        <v/>
      </c>
      <c r="R2150" s="53" t="str">
        <f t="shared" si="473"/>
        <v/>
      </c>
      <c r="S2150" s="53" t="str">
        <f t="shared" si="474"/>
        <v/>
      </c>
      <c r="T2150" s="53" t="str">
        <f t="shared" si="475"/>
        <v/>
      </c>
    </row>
    <row r="2151" spans="1:20">
      <c r="A2151" s="47" t="str">
        <f>IF(archive!E2151="","",archive!E2151)</f>
        <v/>
      </c>
      <c r="B2151" s="48" t="str">
        <f t="shared" si="462"/>
        <v/>
      </c>
      <c r="C2151" s="49" t="str">
        <f>IF(archive!F2151="","",archive!F2151)</f>
        <v/>
      </c>
      <c r="D2151" s="50" t="str">
        <f t="shared" si="463"/>
        <v/>
      </c>
      <c r="E2151" s="50" t="str">
        <f t="shared" si="464"/>
        <v/>
      </c>
      <c r="F2151" s="47" t="str">
        <f>IF(COUNTA(archive!H2151:CI2151)=0,"",COUNTA(archive!H2151:CI2151))</f>
        <v/>
      </c>
      <c r="G2151" s="47" t="str">
        <f>IF(archive!G2151="","",archive!G2151)</f>
        <v/>
      </c>
      <c r="H2151" s="51" t="str">
        <f>IF(archive!CJ2151="","",archive!CJ2151)</f>
        <v/>
      </c>
      <c r="I2151" s="51" t="str">
        <f>IF(archive!CK2151="","",archive!CK2151)</f>
        <v/>
      </c>
      <c r="J2151" s="47" t="str">
        <f t="shared" si="465"/>
        <v/>
      </c>
      <c r="K2151" s="51" t="str">
        <f t="shared" si="466"/>
        <v/>
      </c>
      <c r="L2151" s="52" t="str">
        <f t="shared" si="467"/>
        <v/>
      </c>
      <c r="M2151" s="53" t="str">
        <f t="shared" si="468"/>
        <v/>
      </c>
      <c r="N2151" s="53" t="str">
        <f t="shared" si="469"/>
        <v/>
      </c>
      <c r="O2151" s="53" t="str">
        <f t="shared" si="470"/>
        <v/>
      </c>
      <c r="P2151" s="53" t="str">
        <f t="shared" si="471"/>
        <v/>
      </c>
      <c r="Q2151" s="53" t="str">
        <f t="shared" si="472"/>
        <v/>
      </c>
      <c r="R2151" s="53" t="str">
        <f t="shared" si="473"/>
        <v/>
      </c>
      <c r="S2151" s="53" t="str">
        <f t="shared" si="474"/>
        <v/>
      </c>
      <c r="T2151" s="53" t="str">
        <f t="shared" si="475"/>
        <v/>
      </c>
    </row>
    <row r="2152" spans="1:20">
      <c r="A2152" s="47" t="str">
        <f>IF(archive!E2152="","",archive!E2152)</f>
        <v/>
      </c>
      <c r="B2152" s="48" t="str">
        <f t="shared" si="462"/>
        <v/>
      </c>
      <c r="C2152" s="49" t="str">
        <f>IF(archive!F2152="","",archive!F2152)</f>
        <v/>
      </c>
      <c r="D2152" s="50" t="str">
        <f t="shared" si="463"/>
        <v/>
      </c>
      <c r="E2152" s="50" t="str">
        <f t="shared" si="464"/>
        <v/>
      </c>
      <c r="F2152" s="47" t="str">
        <f>IF(COUNTA(archive!H2152:CI2152)=0,"",COUNTA(archive!H2152:CI2152))</f>
        <v/>
      </c>
      <c r="G2152" s="47" t="str">
        <f>IF(archive!G2152="","",archive!G2152)</f>
        <v/>
      </c>
      <c r="H2152" s="51" t="str">
        <f>IF(archive!CJ2152="","",archive!CJ2152)</f>
        <v/>
      </c>
      <c r="I2152" s="51" t="str">
        <f>IF(archive!CK2152="","",archive!CK2152)</f>
        <v/>
      </c>
      <c r="J2152" s="47" t="str">
        <f t="shared" si="465"/>
        <v/>
      </c>
      <c r="K2152" s="51" t="str">
        <f t="shared" si="466"/>
        <v/>
      </c>
      <c r="L2152" s="52" t="str">
        <f t="shared" si="467"/>
        <v/>
      </c>
      <c r="M2152" s="53" t="str">
        <f t="shared" si="468"/>
        <v/>
      </c>
      <c r="N2152" s="53" t="str">
        <f t="shared" si="469"/>
        <v/>
      </c>
      <c r="O2152" s="53" t="str">
        <f t="shared" si="470"/>
        <v/>
      </c>
      <c r="P2152" s="53" t="str">
        <f t="shared" si="471"/>
        <v/>
      </c>
      <c r="Q2152" s="53" t="str">
        <f t="shared" si="472"/>
        <v/>
      </c>
      <c r="R2152" s="53" t="str">
        <f t="shared" si="473"/>
        <v/>
      </c>
      <c r="S2152" s="53" t="str">
        <f t="shared" si="474"/>
        <v/>
      </c>
      <c r="T2152" s="53" t="str">
        <f t="shared" si="475"/>
        <v/>
      </c>
    </row>
    <row r="2153" spans="1:20">
      <c r="A2153" s="47" t="str">
        <f>IF(archive!E2153="","",archive!E2153)</f>
        <v/>
      </c>
      <c r="B2153" s="48" t="str">
        <f t="shared" si="462"/>
        <v/>
      </c>
      <c r="C2153" s="49" t="str">
        <f>IF(archive!F2153="","",archive!F2153)</f>
        <v/>
      </c>
      <c r="D2153" s="50" t="str">
        <f t="shared" si="463"/>
        <v/>
      </c>
      <c r="E2153" s="50" t="str">
        <f t="shared" si="464"/>
        <v/>
      </c>
      <c r="F2153" s="47" t="str">
        <f>IF(COUNTA(archive!H2153:CI2153)=0,"",COUNTA(archive!H2153:CI2153))</f>
        <v/>
      </c>
      <c r="G2153" s="47" t="str">
        <f>IF(archive!G2153="","",archive!G2153)</f>
        <v/>
      </c>
      <c r="H2153" s="51" t="str">
        <f>IF(archive!CJ2153="","",archive!CJ2153)</f>
        <v/>
      </c>
      <c r="I2153" s="51" t="str">
        <f>IF(archive!CK2153="","",archive!CK2153)</f>
        <v/>
      </c>
      <c r="J2153" s="47" t="str">
        <f t="shared" si="465"/>
        <v/>
      </c>
      <c r="K2153" s="51" t="str">
        <f t="shared" si="466"/>
        <v/>
      </c>
      <c r="L2153" s="52" t="str">
        <f t="shared" si="467"/>
        <v/>
      </c>
      <c r="M2153" s="53" t="str">
        <f t="shared" si="468"/>
        <v/>
      </c>
      <c r="N2153" s="53" t="str">
        <f t="shared" si="469"/>
        <v/>
      </c>
      <c r="O2153" s="53" t="str">
        <f t="shared" si="470"/>
        <v/>
      </c>
      <c r="P2153" s="53" t="str">
        <f t="shared" si="471"/>
        <v/>
      </c>
      <c r="Q2153" s="53" t="str">
        <f t="shared" si="472"/>
        <v/>
      </c>
      <c r="R2153" s="53" t="str">
        <f t="shared" si="473"/>
        <v/>
      </c>
      <c r="S2153" s="53" t="str">
        <f t="shared" si="474"/>
        <v/>
      </c>
      <c r="T2153" s="53" t="str">
        <f t="shared" si="475"/>
        <v/>
      </c>
    </row>
    <row r="2154" spans="1:20">
      <c r="A2154" s="47" t="str">
        <f>IF(archive!E2154="","",archive!E2154)</f>
        <v/>
      </c>
      <c r="B2154" s="48" t="str">
        <f t="shared" si="462"/>
        <v/>
      </c>
      <c r="C2154" s="49" t="str">
        <f>IF(archive!F2154="","",archive!F2154)</f>
        <v/>
      </c>
      <c r="D2154" s="50" t="str">
        <f t="shared" si="463"/>
        <v/>
      </c>
      <c r="E2154" s="50" t="str">
        <f t="shared" si="464"/>
        <v/>
      </c>
      <c r="F2154" s="47" t="str">
        <f>IF(COUNTA(archive!H2154:CI2154)=0,"",COUNTA(archive!H2154:CI2154))</f>
        <v/>
      </c>
      <c r="G2154" s="47" t="str">
        <f>IF(archive!G2154="","",archive!G2154)</f>
        <v/>
      </c>
      <c r="H2154" s="51" t="str">
        <f>IF(archive!CJ2154="","",archive!CJ2154)</f>
        <v/>
      </c>
      <c r="I2154" s="51" t="str">
        <f>IF(archive!CK2154="","",archive!CK2154)</f>
        <v/>
      </c>
      <c r="J2154" s="47" t="str">
        <f t="shared" si="465"/>
        <v/>
      </c>
      <c r="K2154" s="51" t="str">
        <f t="shared" si="466"/>
        <v/>
      </c>
      <c r="L2154" s="52" t="str">
        <f t="shared" si="467"/>
        <v/>
      </c>
      <c r="M2154" s="53" t="str">
        <f t="shared" si="468"/>
        <v/>
      </c>
      <c r="N2154" s="53" t="str">
        <f t="shared" si="469"/>
        <v/>
      </c>
      <c r="O2154" s="53" t="str">
        <f t="shared" si="470"/>
        <v/>
      </c>
      <c r="P2154" s="53" t="str">
        <f t="shared" si="471"/>
        <v/>
      </c>
      <c r="Q2154" s="53" t="str">
        <f t="shared" si="472"/>
        <v/>
      </c>
      <c r="R2154" s="53" t="str">
        <f t="shared" si="473"/>
        <v/>
      </c>
      <c r="S2154" s="53" t="str">
        <f t="shared" si="474"/>
        <v/>
      </c>
      <c r="T2154" s="53" t="str">
        <f t="shared" si="475"/>
        <v/>
      </c>
    </row>
    <row r="2155" spans="1:20">
      <c r="A2155" s="47" t="str">
        <f>IF(archive!E2155="","",archive!E2155)</f>
        <v/>
      </c>
      <c r="B2155" s="48" t="str">
        <f t="shared" si="462"/>
        <v/>
      </c>
      <c r="C2155" s="49" t="str">
        <f>IF(archive!F2155="","",archive!F2155)</f>
        <v/>
      </c>
      <c r="D2155" s="50" t="str">
        <f t="shared" si="463"/>
        <v/>
      </c>
      <c r="E2155" s="50" t="str">
        <f t="shared" si="464"/>
        <v/>
      </c>
      <c r="F2155" s="47" t="str">
        <f>IF(COUNTA(archive!H2155:CI2155)=0,"",COUNTA(archive!H2155:CI2155))</f>
        <v/>
      </c>
      <c r="G2155" s="47" t="str">
        <f>IF(archive!G2155="","",archive!G2155)</f>
        <v/>
      </c>
      <c r="H2155" s="51" t="str">
        <f>IF(archive!CJ2155="","",archive!CJ2155)</f>
        <v/>
      </c>
      <c r="I2155" s="51" t="str">
        <f>IF(archive!CK2155="","",archive!CK2155)</f>
        <v/>
      </c>
      <c r="J2155" s="47" t="str">
        <f t="shared" si="465"/>
        <v/>
      </c>
      <c r="K2155" s="51" t="str">
        <f t="shared" si="466"/>
        <v/>
      </c>
      <c r="L2155" s="52" t="str">
        <f t="shared" si="467"/>
        <v/>
      </c>
      <c r="M2155" s="53" t="str">
        <f t="shared" si="468"/>
        <v/>
      </c>
      <c r="N2155" s="53" t="str">
        <f t="shared" si="469"/>
        <v/>
      </c>
      <c r="O2155" s="53" t="str">
        <f t="shared" si="470"/>
        <v/>
      </c>
      <c r="P2155" s="53" t="str">
        <f t="shared" si="471"/>
        <v/>
      </c>
      <c r="Q2155" s="53" t="str">
        <f t="shared" si="472"/>
        <v/>
      </c>
      <c r="R2155" s="53" t="str">
        <f t="shared" si="473"/>
        <v/>
      </c>
      <c r="S2155" s="53" t="str">
        <f t="shared" si="474"/>
        <v/>
      </c>
      <c r="T2155" s="53" t="str">
        <f t="shared" si="475"/>
        <v/>
      </c>
    </row>
    <row r="2156" spans="1:20">
      <c r="A2156" s="47" t="str">
        <f>IF(archive!E2156="","",archive!E2156)</f>
        <v/>
      </c>
      <c r="B2156" s="48" t="str">
        <f t="shared" si="462"/>
        <v/>
      </c>
      <c r="C2156" s="49" t="str">
        <f>IF(archive!F2156="","",archive!F2156)</f>
        <v/>
      </c>
      <c r="D2156" s="50" t="str">
        <f t="shared" si="463"/>
        <v/>
      </c>
      <c r="E2156" s="50" t="str">
        <f t="shared" si="464"/>
        <v/>
      </c>
      <c r="F2156" s="47" t="str">
        <f>IF(COUNTA(archive!H2156:CI2156)=0,"",COUNTA(archive!H2156:CI2156))</f>
        <v/>
      </c>
      <c r="G2156" s="47" t="str">
        <f>IF(archive!G2156="","",archive!G2156)</f>
        <v/>
      </c>
      <c r="H2156" s="51" t="str">
        <f>IF(archive!CJ2156="","",archive!CJ2156)</f>
        <v/>
      </c>
      <c r="I2156" s="51" t="str">
        <f>IF(archive!CK2156="","",archive!CK2156)</f>
        <v/>
      </c>
      <c r="J2156" s="47" t="str">
        <f t="shared" si="465"/>
        <v/>
      </c>
      <c r="K2156" s="51" t="str">
        <f t="shared" si="466"/>
        <v/>
      </c>
      <c r="L2156" s="52" t="str">
        <f t="shared" si="467"/>
        <v/>
      </c>
      <c r="M2156" s="53" t="str">
        <f t="shared" si="468"/>
        <v/>
      </c>
      <c r="N2156" s="53" t="str">
        <f t="shared" si="469"/>
        <v/>
      </c>
      <c r="O2156" s="53" t="str">
        <f t="shared" si="470"/>
        <v/>
      </c>
      <c r="P2156" s="53" t="str">
        <f t="shared" si="471"/>
        <v/>
      </c>
      <c r="Q2156" s="53" t="str">
        <f t="shared" si="472"/>
        <v/>
      </c>
      <c r="R2156" s="53" t="str">
        <f t="shared" si="473"/>
        <v/>
      </c>
      <c r="S2156" s="53" t="str">
        <f t="shared" si="474"/>
        <v/>
      </c>
      <c r="T2156" s="53" t="str">
        <f t="shared" si="475"/>
        <v/>
      </c>
    </row>
    <row r="2157" spans="1:20">
      <c r="A2157" s="47" t="str">
        <f>IF(archive!E2157="","",archive!E2157)</f>
        <v/>
      </c>
      <c r="B2157" s="48" t="str">
        <f t="shared" si="462"/>
        <v/>
      </c>
      <c r="C2157" s="49" t="str">
        <f>IF(archive!F2157="","",archive!F2157)</f>
        <v/>
      </c>
      <c r="D2157" s="50" t="str">
        <f t="shared" si="463"/>
        <v/>
      </c>
      <c r="E2157" s="50" t="str">
        <f t="shared" si="464"/>
        <v/>
      </c>
      <c r="F2157" s="47" t="str">
        <f>IF(COUNTA(archive!H2157:CI2157)=0,"",COUNTA(archive!H2157:CI2157))</f>
        <v/>
      </c>
      <c r="G2157" s="47" t="str">
        <f>IF(archive!G2157="","",archive!G2157)</f>
        <v/>
      </c>
      <c r="H2157" s="51" t="str">
        <f>IF(archive!CJ2157="","",archive!CJ2157)</f>
        <v/>
      </c>
      <c r="I2157" s="51" t="str">
        <f>IF(archive!CK2157="","",archive!CK2157)</f>
        <v/>
      </c>
      <c r="J2157" s="47" t="str">
        <f t="shared" si="465"/>
        <v/>
      </c>
      <c r="K2157" s="51" t="str">
        <f t="shared" si="466"/>
        <v/>
      </c>
      <c r="L2157" s="52" t="str">
        <f t="shared" si="467"/>
        <v/>
      </c>
      <c r="M2157" s="53" t="str">
        <f t="shared" si="468"/>
        <v/>
      </c>
      <c r="N2157" s="53" t="str">
        <f t="shared" si="469"/>
        <v/>
      </c>
      <c r="O2157" s="53" t="str">
        <f t="shared" si="470"/>
        <v/>
      </c>
      <c r="P2157" s="53" t="str">
        <f t="shared" si="471"/>
        <v/>
      </c>
      <c r="Q2157" s="53" t="str">
        <f t="shared" si="472"/>
        <v/>
      </c>
      <c r="R2157" s="53" t="str">
        <f t="shared" si="473"/>
        <v/>
      </c>
      <c r="S2157" s="53" t="str">
        <f t="shared" si="474"/>
        <v/>
      </c>
      <c r="T2157" s="53" t="str">
        <f t="shared" si="475"/>
        <v/>
      </c>
    </row>
    <row r="2158" spans="1:20">
      <c r="A2158" s="47" t="str">
        <f>IF(archive!E2158="","",archive!E2158)</f>
        <v/>
      </c>
      <c r="B2158" s="48" t="str">
        <f t="shared" si="462"/>
        <v/>
      </c>
      <c r="C2158" s="49" t="str">
        <f>IF(archive!F2158="","",archive!F2158)</f>
        <v/>
      </c>
      <c r="D2158" s="50" t="str">
        <f t="shared" si="463"/>
        <v/>
      </c>
      <c r="E2158" s="50" t="str">
        <f t="shared" si="464"/>
        <v/>
      </c>
      <c r="F2158" s="47" t="str">
        <f>IF(COUNTA(archive!H2158:CI2158)=0,"",COUNTA(archive!H2158:CI2158))</f>
        <v/>
      </c>
      <c r="G2158" s="47" t="str">
        <f>IF(archive!G2158="","",archive!G2158)</f>
        <v/>
      </c>
      <c r="H2158" s="51" t="str">
        <f>IF(archive!CJ2158="","",archive!CJ2158)</f>
        <v/>
      </c>
      <c r="I2158" s="51" t="str">
        <f>IF(archive!CK2158="","",archive!CK2158)</f>
        <v/>
      </c>
      <c r="J2158" s="47" t="str">
        <f t="shared" si="465"/>
        <v/>
      </c>
      <c r="K2158" s="51" t="str">
        <f t="shared" si="466"/>
        <v/>
      </c>
      <c r="L2158" s="52" t="str">
        <f t="shared" si="467"/>
        <v/>
      </c>
      <c r="M2158" s="53" t="str">
        <f t="shared" si="468"/>
        <v/>
      </c>
      <c r="N2158" s="53" t="str">
        <f t="shared" si="469"/>
        <v/>
      </c>
      <c r="O2158" s="53" t="str">
        <f t="shared" si="470"/>
        <v/>
      </c>
      <c r="P2158" s="53" t="str">
        <f t="shared" si="471"/>
        <v/>
      </c>
      <c r="Q2158" s="53" t="str">
        <f t="shared" si="472"/>
        <v/>
      </c>
      <c r="R2158" s="53" t="str">
        <f t="shared" si="473"/>
        <v/>
      </c>
      <c r="S2158" s="53" t="str">
        <f t="shared" si="474"/>
        <v/>
      </c>
      <c r="T2158" s="53" t="str">
        <f t="shared" si="475"/>
        <v/>
      </c>
    </row>
    <row r="2159" spans="1:20">
      <c r="A2159" s="47" t="str">
        <f>IF(archive!E2159="","",archive!E2159)</f>
        <v/>
      </c>
      <c r="B2159" s="48" t="str">
        <f t="shared" si="462"/>
        <v/>
      </c>
      <c r="C2159" s="49" t="str">
        <f>IF(archive!F2159="","",archive!F2159)</f>
        <v/>
      </c>
      <c r="D2159" s="50" t="str">
        <f t="shared" si="463"/>
        <v/>
      </c>
      <c r="E2159" s="50" t="str">
        <f t="shared" si="464"/>
        <v/>
      </c>
      <c r="F2159" s="47" t="str">
        <f>IF(COUNTA(archive!H2159:CI2159)=0,"",COUNTA(archive!H2159:CI2159))</f>
        <v/>
      </c>
      <c r="G2159" s="47" t="str">
        <f>IF(archive!G2159="","",archive!G2159)</f>
        <v/>
      </c>
      <c r="H2159" s="51" t="str">
        <f>IF(archive!CJ2159="","",archive!CJ2159)</f>
        <v/>
      </c>
      <c r="I2159" s="51" t="str">
        <f>IF(archive!CK2159="","",archive!CK2159)</f>
        <v/>
      </c>
      <c r="J2159" s="47" t="str">
        <f t="shared" si="465"/>
        <v/>
      </c>
      <c r="K2159" s="51" t="str">
        <f t="shared" si="466"/>
        <v/>
      </c>
      <c r="L2159" s="52" t="str">
        <f t="shared" si="467"/>
        <v/>
      </c>
      <c r="M2159" s="53" t="str">
        <f t="shared" si="468"/>
        <v/>
      </c>
      <c r="N2159" s="53" t="str">
        <f t="shared" si="469"/>
        <v/>
      </c>
      <c r="O2159" s="53" t="str">
        <f t="shared" si="470"/>
        <v/>
      </c>
      <c r="P2159" s="53" t="str">
        <f t="shared" si="471"/>
        <v/>
      </c>
      <c r="Q2159" s="53" t="str">
        <f t="shared" si="472"/>
        <v/>
      </c>
      <c r="R2159" s="53" t="str">
        <f t="shared" si="473"/>
        <v/>
      </c>
      <c r="S2159" s="53" t="str">
        <f t="shared" si="474"/>
        <v/>
      </c>
      <c r="T2159" s="53" t="str">
        <f t="shared" si="475"/>
        <v/>
      </c>
    </row>
    <row r="2160" spans="1:20">
      <c r="A2160" s="47" t="str">
        <f>IF(archive!E2160="","",archive!E2160)</f>
        <v/>
      </c>
      <c r="B2160" s="48" t="str">
        <f t="shared" si="462"/>
        <v/>
      </c>
      <c r="C2160" s="49" t="str">
        <f>IF(archive!F2160="","",archive!F2160)</f>
        <v/>
      </c>
      <c r="D2160" s="50" t="str">
        <f t="shared" si="463"/>
        <v/>
      </c>
      <c r="E2160" s="50" t="str">
        <f t="shared" si="464"/>
        <v/>
      </c>
      <c r="F2160" s="47" t="str">
        <f>IF(COUNTA(archive!H2160:CI2160)=0,"",COUNTA(archive!H2160:CI2160))</f>
        <v/>
      </c>
      <c r="G2160" s="47" t="str">
        <f>IF(archive!G2160="","",archive!G2160)</f>
        <v/>
      </c>
      <c r="H2160" s="51" t="str">
        <f>IF(archive!CJ2160="","",archive!CJ2160)</f>
        <v/>
      </c>
      <c r="I2160" s="51" t="str">
        <f>IF(archive!CK2160="","",archive!CK2160)</f>
        <v/>
      </c>
      <c r="J2160" s="47" t="str">
        <f t="shared" si="465"/>
        <v/>
      </c>
      <c r="K2160" s="51" t="str">
        <f t="shared" si="466"/>
        <v/>
      </c>
      <c r="L2160" s="52" t="str">
        <f t="shared" si="467"/>
        <v/>
      </c>
      <c r="M2160" s="53" t="str">
        <f t="shared" si="468"/>
        <v/>
      </c>
      <c r="N2160" s="53" t="str">
        <f t="shared" si="469"/>
        <v/>
      </c>
      <c r="O2160" s="53" t="str">
        <f t="shared" si="470"/>
        <v/>
      </c>
      <c r="P2160" s="53" t="str">
        <f t="shared" si="471"/>
        <v/>
      </c>
      <c r="Q2160" s="53" t="str">
        <f t="shared" si="472"/>
        <v/>
      </c>
      <c r="R2160" s="53" t="str">
        <f t="shared" si="473"/>
        <v/>
      </c>
      <c r="S2160" s="53" t="str">
        <f t="shared" si="474"/>
        <v/>
      </c>
      <c r="T2160" s="53" t="str">
        <f t="shared" si="475"/>
        <v/>
      </c>
    </row>
    <row r="2161" spans="1:20">
      <c r="A2161" s="47" t="str">
        <f>IF(archive!E2161="","",archive!E2161)</f>
        <v/>
      </c>
      <c r="B2161" s="48" t="str">
        <f t="shared" si="462"/>
        <v/>
      </c>
      <c r="C2161" s="49" t="str">
        <f>IF(archive!F2161="","",archive!F2161)</f>
        <v/>
      </c>
      <c r="D2161" s="50" t="str">
        <f t="shared" si="463"/>
        <v/>
      </c>
      <c r="E2161" s="50" t="str">
        <f t="shared" si="464"/>
        <v/>
      </c>
      <c r="F2161" s="47" t="str">
        <f>IF(COUNTA(archive!H2161:CI2161)=0,"",COUNTA(archive!H2161:CI2161))</f>
        <v/>
      </c>
      <c r="G2161" s="47" t="str">
        <f>IF(archive!G2161="","",archive!G2161)</f>
        <v/>
      </c>
      <c r="H2161" s="51" t="str">
        <f>IF(archive!CJ2161="","",archive!CJ2161)</f>
        <v/>
      </c>
      <c r="I2161" s="51" t="str">
        <f>IF(archive!CK2161="","",archive!CK2161)</f>
        <v/>
      </c>
      <c r="J2161" s="47" t="str">
        <f t="shared" si="465"/>
        <v/>
      </c>
      <c r="K2161" s="51" t="str">
        <f t="shared" si="466"/>
        <v/>
      </c>
      <c r="L2161" s="52" t="str">
        <f t="shared" si="467"/>
        <v/>
      </c>
      <c r="M2161" s="53" t="str">
        <f t="shared" si="468"/>
        <v/>
      </c>
      <c r="N2161" s="53" t="str">
        <f t="shared" si="469"/>
        <v/>
      </c>
      <c r="O2161" s="53" t="str">
        <f t="shared" si="470"/>
        <v/>
      </c>
      <c r="P2161" s="53" t="str">
        <f t="shared" si="471"/>
        <v/>
      </c>
      <c r="Q2161" s="53" t="str">
        <f t="shared" si="472"/>
        <v/>
      </c>
      <c r="R2161" s="53" t="str">
        <f t="shared" si="473"/>
        <v/>
      </c>
      <c r="S2161" s="53" t="str">
        <f t="shared" si="474"/>
        <v/>
      </c>
      <c r="T2161" s="53" t="str">
        <f t="shared" si="475"/>
        <v/>
      </c>
    </row>
    <row r="2162" spans="1:20">
      <c r="A2162" s="47" t="str">
        <f>IF(archive!E2162="","",archive!E2162)</f>
        <v/>
      </c>
      <c r="B2162" s="48" t="str">
        <f t="shared" si="462"/>
        <v/>
      </c>
      <c r="C2162" s="49" t="str">
        <f>IF(archive!F2162="","",archive!F2162)</f>
        <v/>
      </c>
      <c r="D2162" s="50" t="str">
        <f t="shared" si="463"/>
        <v/>
      </c>
      <c r="E2162" s="50" t="str">
        <f t="shared" si="464"/>
        <v/>
      </c>
      <c r="F2162" s="47" t="str">
        <f>IF(COUNTA(archive!H2162:CI2162)=0,"",COUNTA(archive!H2162:CI2162))</f>
        <v/>
      </c>
      <c r="G2162" s="47" t="str">
        <f>IF(archive!G2162="","",archive!G2162)</f>
        <v/>
      </c>
      <c r="H2162" s="51" t="str">
        <f>IF(archive!CJ2162="","",archive!CJ2162)</f>
        <v/>
      </c>
      <c r="I2162" s="51" t="str">
        <f>IF(archive!CK2162="","",archive!CK2162)</f>
        <v/>
      </c>
      <c r="J2162" s="47" t="str">
        <f t="shared" si="465"/>
        <v/>
      </c>
      <c r="K2162" s="51" t="str">
        <f t="shared" si="466"/>
        <v/>
      </c>
      <c r="L2162" s="52" t="str">
        <f t="shared" si="467"/>
        <v/>
      </c>
      <c r="M2162" s="53" t="str">
        <f t="shared" si="468"/>
        <v/>
      </c>
      <c r="N2162" s="53" t="str">
        <f t="shared" si="469"/>
        <v/>
      </c>
      <c r="O2162" s="53" t="str">
        <f t="shared" si="470"/>
        <v/>
      </c>
      <c r="P2162" s="53" t="str">
        <f t="shared" si="471"/>
        <v/>
      </c>
      <c r="Q2162" s="53" t="str">
        <f t="shared" si="472"/>
        <v/>
      </c>
      <c r="R2162" s="53" t="str">
        <f t="shared" si="473"/>
        <v/>
      </c>
      <c r="S2162" s="53" t="str">
        <f t="shared" si="474"/>
        <v/>
      </c>
      <c r="T2162" s="53" t="str">
        <f t="shared" si="475"/>
        <v/>
      </c>
    </row>
    <row r="2163" spans="1:20">
      <c r="A2163" s="47" t="str">
        <f>IF(archive!E2163="","",archive!E2163)</f>
        <v/>
      </c>
      <c r="B2163" s="48" t="str">
        <f t="shared" si="462"/>
        <v/>
      </c>
      <c r="C2163" s="49" t="str">
        <f>IF(archive!F2163="","",archive!F2163)</f>
        <v/>
      </c>
      <c r="D2163" s="50" t="str">
        <f t="shared" si="463"/>
        <v/>
      </c>
      <c r="E2163" s="50" t="str">
        <f t="shared" si="464"/>
        <v/>
      </c>
      <c r="F2163" s="47" t="str">
        <f>IF(COUNTA(archive!H2163:CI2163)=0,"",COUNTA(archive!H2163:CI2163))</f>
        <v/>
      </c>
      <c r="G2163" s="47" t="str">
        <f>IF(archive!G2163="","",archive!G2163)</f>
        <v/>
      </c>
      <c r="H2163" s="51" t="str">
        <f>IF(archive!CJ2163="","",archive!CJ2163)</f>
        <v/>
      </c>
      <c r="I2163" s="51" t="str">
        <f>IF(archive!CK2163="","",archive!CK2163)</f>
        <v/>
      </c>
      <c r="J2163" s="47" t="str">
        <f t="shared" si="465"/>
        <v/>
      </c>
      <c r="K2163" s="51" t="str">
        <f t="shared" si="466"/>
        <v/>
      </c>
      <c r="L2163" s="52" t="str">
        <f t="shared" si="467"/>
        <v/>
      </c>
      <c r="M2163" s="53" t="str">
        <f t="shared" si="468"/>
        <v/>
      </c>
      <c r="N2163" s="53" t="str">
        <f t="shared" si="469"/>
        <v/>
      </c>
      <c r="O2163" s="53" t="str">
        <f t="shared" si="470"/>
        <v/>
      </c>
      <c r="P2163" s="53" t="str">
        <f t="shared" si="471"/>
        <v/>
      </c>
      <c r="Q2163" s="53" t="str">
        <f t="shared" si="472"/>
        <v/>
      </c>
      <c r="R2163" s="53" t="str">
        <f t="shared" si="473"/>
        <v/>
      </c>
      <c r="S2163" s="53" t="str">
        <f t="shared" si="474"/>
        <v/>
      </c>
      <c r="T2163" s="53" t="str">
        <f t="shared" si="475"/>
        <v/>
      </c>
    </row>
    <row r="2164" spans="1:20">
      <c r="A2164" s="47" t="str">
        <f>IF(archive!E2164="","",archive!E2164)</f>
        <v/>
      </c>
      <c r="B2164" s="48" t="str">
        <f t="shared" si="462"/>
        <v/>
      </c>
      <c r="C2164" s="49" t="str">
        <f>IF(archive!F2164="","",archive!F2164)</f>
        <v/>
      </c>
      <c r="D2164" s="50" t="str">
        <f t="shared" si="463"/>
        <v/>
      </c>
      <c r="E2164" s="50" t="str">
        <f t="shared" si="464"/>
        <v/>
      </c>
      <c r="F2164" s="47" t="str">
        <f>IF(COUNTA(archive!H2164:CI2164)=0,"",COUNTA(archive!H2164:CI2164))</f>
        <v/>
      </c>
      <c r="G2164" s="47" t="str">
        <f>IF(archive!G2164="","",archive!G2164)</f>
        <v/>
      </c>
      <c r="H2164" s="51" t="str">
        <f>IF(archive!CJ2164="","",archive!CJ2164)</f>
        <v/>
      </c>
      <c r="I2164" s="51" t="str">
        <f>IF(archive!CK2164="","",archive!CK2164)</f>
        <v/>
      </c>
      <c r="J2164" s="47" t="str">
        <f t="shared" si="465"/>
        <v/>
      </c>
      <c r="K2164" s="51" t="str">
        <f t="shared" si="466"/>
        <v/>
      </c>
      <c r="L2164" s="52" t="str">
        <f t="shared" si="467"/>
        <v/>
      </c>
      <c r="M2164" s="53" t="str">
        <f t="shared" si="468"/>
        <v/>
      </c>
      <c r="N2164" s="53" t="str">
        <f t="shared" si="469"/>
        <v/>
      </c>
      <c r="O2164" s="53" t="str">
        <f t="shared" si="470"/>
        <v/>
      </c>
      <c r="P2164" s="53" t="str">
        <f t="shared" si="471"/>
        <v/>
      </c>
      <c r="Q2164" s="53" t="str">
        <f t="shared" si="472"/>
        <v/>
      </c>
      <c r="R2164" s="53" t="str">
        <f t="shared" si="473"/>
        <v/>
      </c>
      <c r="S2164" s="53" t="str">
        <f t="shared" si="474"/>
        <v/>
      </c>
      <c r="T2164" s="53" t="str">
        <f t="shared" si="475"/>
        <v/>
      </c>
    </row>
    <row r="2165" spans="1:20">
      <c r="A2165" s="47" t="str">
        <f>IF(archive!E2165="","",archive!E2165)</f>
        <v/>
      </c>
      <c r="B2165" s="48" t="str">
        <f t="shared" si="462"/>
        <v/>
      </c>
      <c r="C2165" s="49" t="str">
        <f>IF(archive!F2165="","",archive!F2165)</f>
        <v/>
      </c>
      <c r="D2165" s="50" t="str">
        <f t="shared" si="463"/>
        <v/>
      </c>
      <c r="E2165" s="50" t="str">
        <f t="shared" si="464"/>
        <v/>
      </c>
      <c r="F2165" s="47" t="str">
        <f>IF(COUNTA(archive!H2165:CI2165)=0,"",COUNTA(archive!H2165:CI2165))</f>
        <v/>
      </c>
      <c r="G2165" s="47" t="str">
        <f>IF(archive!G2165="","",archive!G2165)</f>
        <v/>
      </c>
      <c r="H2165" s="51" t="str">
        <f>IF(archive!CJ2165="","",archive!CJ2165)</f>
        <v/>
      </c>
      <c r="I2165" s="51" t="str">
        <f>IF(archive!CK2165="","",archive!CK2165)</f>
        <v/>
      </c>
      <c r="J2165" s="47" t="str">
        <f t="shared" si="465"/>
        <v/>
      </c>
      <c r="K2165" s="51" t="str">
        <f t="shared" si="466"/>
        <v/>
      </c>
      <c r="L2165" s="52" t="str">
        <f t="shared" si="467"/>
        <v/>
      </c>
      <c r="M2165" s="53" t="str">
        <f t="shared" si="468"/>
        <v/>
      </c>
      <c r="N2165" s="53" t="str">
        <f t="shared" si="469"/>
        <v/>
      </c>
      <c r="O2165" s="53" t="str">
        <f t="shared" si="470"/>
        <v/>
      </c>
      <c r="P2165" s="53" t="str">
        <f t="shared" si="471"/>
        <v/>
      </c>
      <c r="Q2165" s="53" t="str">
        <f t="shared" si="472"/>
        <v/>
      </c>
      <c r="R2165" s="53" t="str">
        <f t="shared" si="473"/>
        <v/>
      </c>
      <c r="S2165" s="53" t="str">
        <f t="shared" si="474"/>
        <v/>
      </c>
      <c r="T2165" s="53" t="str">
        <f t="shared" si="475"/>
        <v/>
      </c>
    </row>
    <row r="2166" spans="1:20">
      <c r="A2166" s="47" t="str">
        <f>IF(archive!E2166="","",archive!E2166)</f>
        <v/>
      </c>
      <c r="B2166" s="48" t="str">
        <f t="shared" si="462"/>
        <v/>
      </c>
      <c r="C2166" s="49" t="str">
        <f>IF(archive!F2166="","",archive!F2166)</f>
        <v/>
      </c>
      <c r="D2166" s="50" t="str">
        <f t="shared" si="463"/>
        <v/>
      </c>
      <c r="E2166" s="50" t="str">
        <f t="shared" si="464"/>
        <v/>
      </c>
      <c r="F2166" s="47" t="str">
        <f>IF(COUNTA(archive!H2166:CI2166)=0,"",COUNTA(archive!H2166:CI2166))</f>
        <v/>
      </c>
      <c r="G2166" s="47" t="str">
        <f>IF(archive!G2166="","",archive!G2166)</f>
        <v/>
      </c>
      <c r="H2166" s="51" t="str">
        <f>IF(archive!CJ2166="","",archive!CJ2166)</f>
        <v/>
      </c>
      <c r="I2166" s="51" t="str">
        <f>IF(archive!CK2166="","",archive!CK2166)</f>
        <v/>
      </c>
      <c r="J2166" s="47" t="str">
        <f t="shared" si="465"/>
        <v/>
      </c>
      <c r="K2166" s="51" t="str">
        <f t="shared" si="466"/>
        <v/>
      </c>
      <c r="L2166" s="52" t="str">
        <f t="shared" si="467"/>
        <v/>
      </c>
      <c r="M2166" s="53" t="str">
        <f t="shared" si="468"/>
        <v/>
      </c>
      <c r="N2166" s="53" t="str">
        <f t="shared" si="469"/>
        <v/>
      </c>
      <c r="O2166" s="53" t="str">
        <f t="shared" si="470"/>
        <v/>
      </c>
      <c r="P2166" s="53" t="str">
        <f t="shared" si="471"/>
        <v/>
      </c>
      <c r="Q2166" s="53" t="str">
        <f t="shared" si="472"/>
        <v/>
      </c>
      <c r="R2166" s="53" t="str">
        <f t="shared" si="473"/>
        <v/>
      </c>
      <c r="S2166" s="53" t="str">
        <f t="shared" si="474"/>
        <v/>
      </c>
      <c r="T2166" s="53" t="str">
        <f t="shared" si="475"/>
        <v/>
      </c>
    </row>
    <row r="2167" spans="1:20">
      <c r="A2167" s="47" t="str">
        <f>IF(archive!E2167="","",archive!E2167)</f>
        <v/>
      </c>
      <c r="B2167" s="48" t="str">
        <f t="shared" si="462"/>
        <v/>
      </c>
      <c r="C2167" s="49" t="str">
        <f>IF(archive!F2167="","",archive!F2167)</f>
        <v/>
      </c>
      <c r="D2167" s="50" t="str">
        <f t="shared" si="463"/>
        <v/>
      </c>
      <c r="E2167" s="50" t="str">
        <f t="shared" si="464"/>
        <v/>
      </c>
      <c r="F2167" s="47" t="str">
        <f>IF(COUNTA(archive!H2167:CI2167)=0,"",COUNTA(archive!H2167:CI2167))</f>
        <v/>
      </c>
      <c r="G2167" s="47" t="str">
        <f>IF(archive!G2167="","",archive!G2167)</f>
        <v/>
      </c>
      <c r="H2167" s="51" t="str">
        <f>IF(archive!CJ2167="","",archive!CJ2167)</f>
        <v/>
      </c>
      <c r="I2167" s="51" t="str">
        <f>IF(archive!CK2167="","",archive!CK2167)</f>
        <v/>
      </c>
      <c r="J2167" s="47" t="str">
        <f t="shared" si="465"/>
        <v/>
      </c>
      <c r="K2167" s="51" t="str">
        <f t="shared" si="466"/>
        <v/>
      </c>
      <c r="L2167" s="52" t="str">
        <f t="shared" si="467"/>
        <v/>
      </c>
      <c r="M2167" s="53" t="str">
        <f t="shared" si="468"/>
        <v/>
      </c>
      <c r="N2167" s="53" t="str">
        <f t="shared" si="469"/>
        <v/>
      </c>
      <c r="O2167" s="53" t="str">
        <f t="shared" si="470"/>
        <v/>
      </c>
      <c r="P2167" s="53" t="str">
        <f t="shared" si="471"/>
        <v/>
      </c>
      <c r="Q2167" s="53" t="str">
        <f t="shared" si="472"/>
        <v/>
      </c>
      <c r="R2167" s="53" t="str">
        <f t="shared" si="473"/>
        <v/>
      </c>
      <c r="S2167" s="53" t="str">
        <f t="shared" si="474"/>
        <v/>
      </c>
      <c r="T2167" s="53" t="str">
        <f t="shared" si="475"/>
        <v/>
      </c>
    </row>
    <row r="2168" spans="1:20">
      <c r="A2168" s="47" t="str">
        <f>IF(archive!E2168="","",archive!E2168)</f>
        <v/>
      </c>
      <c r="B2168" s="48" t="str">
        <f t="shared" si="462"/>
        <v/>
      </c>
      <c r="C2168" s="49" t="str">
        <f>IF(archive!F2168="","",archive!F2168)</f>
        <v/>
      </c>
      <c r="D2168" s="50" t="str">
        <f t="shared" si="463"/>
        <v/>
      </c>
      <c r="E2168" s="50" t="str">
        <f t="shared" si="464"/>
        <v/>
      </c>
      <c r="F2168" s="47" t="str">
        <f>IF(COUNTA(archive!H2168:CI2168)=0,"",COUNTA(archive!H2168:CI2168))</f>
        <v/>
      </c>
      <c r="G2168" s="47" t="str">
        <f>IF(archive!G2168="","",archive!G2168)</f>
        <v/>
      </c>
      <c r="H2168" s="51" t="str">
        <f>IF(archive!CJ2168="","",archive!CJ2168)</f>
        <v/>
      </c>
      <c r="I2168" s="51" t="str">
        <f>IF(archive!CK2168="","",archive!CK2168)</f>
        <v/>
      </c>
      <c r="J2168" s="47" t="str">
        <f t="shared" si="465"/>
        <v/>
      </c>
      <c r="K2168" s="51" t="str">
        <f t="shared" si="466"/>
        <v/>
      </c>
      <c r="L2168" s="52" t="str">
        <f t="shared" si="467"/>
        <v/>
      </c>
      <c r="M2168" s="53" t="str">
        <f t="shared" si="468"/>
        <v/>
      </c>
      <c r="N2168" s="53" t="str">
        <f t="shared" si="469"/>
        <v/>
      </c>
      <c r="O2168" s="53" t="str">
        <f t="shared" si="470"/>
        <v/>
      </c>
      <c r="P2168" s="53" t="str">
        <f t="shared" si="471"/>
        <v/>
      </c>
      <c r="Q2168" s="53" t="str">
        <f t="shared" si="472"/>
        <v/>
      </c>
      <c r="R2168" s="53" t="str">
        <f t="shared" si="473"/>
        <v/>
      </c>
      <c r="S2168" s="53" t="str">
        <f t="shared" si="474"/>
        <v/>
      </c>
      <c r="T2168" s="53" t="str">
        <f t="shared" si="475"/>
        <v/>
      </c>
    </row>
    <row r="2169" spans="1:20">
      <c r="A2169" s="47" t="str">
        <f>IF(archive!E2169="","",archive!E2169)</f>
        <v/>
      </c>
      <c r="B2169" s="48" t="str">
        <f t="shared" si="462"/>
        <v/>
      </c>
      <c r="C2169" s="49" t="str">
        <f>IF(archive!F2169="","",archive!F2169)</f>
        <v/>
      </c>
      <c r="D2169" s="50" t="str">
        <f t="shared" si="463"/>
        <v/>
      </c>
      <c r="E2169" s="50" t="str">
        <f t="shared" si="464"/>
        <v/>
      </c>
      <c r="F2169" s="47" t="str">
        <f>IF(COUNTA(archive!H2169:CI2169)=0,"",COUNTA(archive!H2169:CI2169))</f>
        <v/>
      </c>
      <c r="G2169" s="47" t="str">
        <f>IF(archive!G2169="","",archive!G2169)</f>
        <v/>
      </c>
      <c r="H2169" s="51" t="str">
        <f>IF(archive!CJ2169="","",archive!CJ2169)</f>
        <v/>
      </c>
      <c r="I2169" s="51" t="str">
        <f>IF(archive!CK2169="","",archive!CK2169)</f>
        <v/>
      </c>
      <c r="J2169" s="47" t="str">
        <f t="shared" si="465"/>
        <v/>
      </c>
      <c r="K2169" s="51" t="str">
        <f t="shared" si="466"/>
        <v/>
      </c>
      <c r="L2169" s="52" t="str">
        <f t="shared" si="467"/>
        <v/>
      </c>
      <c r="M2169" s="53" t="str">
        <f t="shared" si="468"/>
        <v/>
      </c>
      <c r="N2169" s="53" t="str">
        <f t="shared" si="469"/>
        <v/>
      </c>
      <c r="O2169" s="53" t="str">
        <f t="shared" si="470"/>
        <v/>
      </c>
      <c r="P2169" s="53" t="str">
        <f t="shared" si="471"/>
        <v/>
      </c>
      <c r="Q2169" s="53" t="str">
        <f t="shared" si="472"/>
        <v/>
      </c>
      <c r="R2169" s="53" t="str">
        <f t="shared" si="473"/>
        <v/>
      </c>
      <c r="S2169" s="53" t="str">
        <f t="shared" si="474"/>
        <v/>
      </c>
      <c r="T2169" s="53" t="str">
        <f t="shared" si="475"/>
        <v/>
      </c>
    </row>
    <row r="2170" spans="1:20">
      <c r="A2170" s="47" t="str">
        <f>IF(archive!E2170="","",archive!E2170)</f>
        <v/>
      </c>
      <c r="B2170" s="48" t="str">
        <f t="shared" si="462"/>
        <v/>
      </c>
      <c r="C2170" s="49" t="str">
        <f>IF(archive!F2170="","",archive!F2170)</f>
        <v/>
      </c>
      <c r="D2170" s="50" t="str">
        <f t="shared" si="463"/>
        <v/>
      </c>
      <c r="E2170" s="50" t="str">
        <f t="shared" si="464"/>
        <v/>
      </c>
      <c r="F2170" s="47" t="str">
        <f>IF(COUNTA(archive!H2170:CI2170)=0,"",COUNTA(archive!H2170:CI2170))</f>
        <v/>
      </c>
      <c r="G2170" s="47" t="str">
        <f>IF(archive!G2170="","",archive!G2170)</f>
        <v/>
      </c>
      <c r="H2170" s="51" t="str">
        <f>IF(archive!CJ2170="","",archive!CJ2170)</f>
        <v/>
      </c>
      <c r="I2170" s="51" t="str">
        <f>IF(archive!CK2170="","",archive!CK2170)</f>
        <v/>
      </c>
      <c r="J2170" s="47" t="str">
        <f t="shared" si="465"/>
        <v/>
      </c>
      <c r="K2170" s="51" t="str">
        <f t="shared" si="466"/>
        <v/>
      </c>
      <c r="L2170" s="52" t="str">
        <f t="shared" si="467"/>
        <v/>
      </c>
      <c r="M2170" s="53" t="str">
        <f t="shared" si="468"/>
        <v/>
      </c>
      <c r="N2170" s="53" t="str">
        <f t="shared" si="469"/>
        <v/>
      </c>
      <c r="O2170" s="53" t="str">
        <f t="shared" si="470"/>
        <v/>
      </c>
      <c r="P2170" s="53" t="str">
        <f t="shared" si="471"/>
        <v/>
      </c>
      <c r="Q2170" s="53" t="str">
        <f t="shared" si="472"/>
        <v/>
      </c>
      <c r="R2170" s="53" t="str">
        <f t="shared" si="473"/>
        <v/>
      </c>
      <c r="S2170" s="53" t="str">
        <f t="shared" si="474"/>
        <v/>
      </c>
      <c r="T2170" s="53" t="str">
        <f t="shared" si="475"/>
        <v/>
      </c>
    </row>
    <row r="2171" spans="1:20">
      <c r="A2171" s="47" t="str">
        <f>IF(archive!E2171="","",archive!E2171)</f>
        <v/>
      </c>
      <c r="B2171" s="48" t="str">
        <f t="shared" si="462"/>
        <v/>
      </c>
      <c r="C2171" s="49" t="str">
        <f>IF(archive!F2171="","",archive!F2171)</f>
        <v/>
      </c>
      <c r="D2171" s="50" t="str">
        <f t="shared" si="463"/>
        <v/>
      </c>
      <c r="E2171" s="50" t="str">
        <f t="shared" si="464"/>
        <v/>
      </c>
      <c r="F2171" s="47" t="str">
        <f>IF(COUNTA(archive!H2171:CI2171)=0,"",COUNTA(archive!H2171:CI2171))</f>
        <v/>
      </c>
      <c r="G2171" s="47" t="str">
        <f>IF(archive!G2171="","",archive!G2171)</f>
        <v/>
      </c>
      <c r="H2171" s="51" t="str">
        <f>IF(archive!CJ2171="","",archive!CJ2171)</f>
        <v/>
      </c>
      <c r="I2171" s="51" t="str">
        <f>IF(archive!CK2171="","",archive!CK2171)</f>
        <v/>
      </c>
      <c r="J2171" s="47" t="str">
        <f t="shared" si="465"/>
        <v/>
      </c>
      <c r="K2171" s="51" t="str">
        <f t="shared" si="466"/>
        <v/>
      </c>
      <c r="L2171" s="52" t="str">
        <f t="shared" si="467"/>
        <v/>
      </c>
      <c r="M2171" s="53" t="str">
        <f t="shared" si="468"/>
        <v/>
      </c>
      <c r="N2171" s="53" t="str">
        <f t="shared" si="469"/>
        <v/>
      </c>
      <c r="O2171" s="53" t="str">
        <f t="shared" si="470"/>
        <v/>
      </c>
      <c r="P2171" s="53" t="str">
        <f t="shared" si="471"/>
        <v/>
      </c>
      <c r="Q2171" s="53" t="str">
        <f t="shared" si="472"/>
        <v/>
      </c>
      <c r="R2171" s="53" t="str">
        <f t="shared" si="473"/>
        <v/>
      </c>
      <c r="S2171" s="53" t="str">
        <f t="shared" si="474"/>
        <v/>
      </c>
      <c r="T2171" s="53" t="str">
        <f t="shared" si="475"/>
        <v/>
      </c>
    </row>
    <row r="2172" spans="1:20">
      <c r="A2172" s="47" t="str">
        <f>IF(archive!E2172="","",archive!E2172)</f>
        <v/>
      </c>
      <c r="B2172" s="48" t="str">
        <f t="shared" si="462"/>
        <v/>
      </c>
      <c r="C2172" s="49" t="str">
        <f>IF(archive!F2172="","",archive!F2172)</f>
        <v/>
      </c>
      <c r="D2172" s="50" t="str">
        <f t="shared" si="463"/>
        <v/>
      </c>
      <c r="E2172" s="50" t="str">
        <f t="shared" si="464"/>
        <v/>
      </c>
      <c r="F2172" s="47" t="str">
        <f>IF(COUNTA(archive!H2172:CI2172)=0,"",COUNTA(archive!H2172:CI2172))</f>
        <v/>
      </c>
      <c r="G2172" s="47" t="str">
        <f>IF(archive!G2172="","",archive!G2172)</f>
        <v/>
      </c>
      <c r="H2172" s="51" t="str">
        <f>IF(archive!CJ2172="","",archive!CJ2172)</f>
        <v/>
      </c>
      <c r="I2172" s="51" t="str">
        <f>IF(archive!CK2172="","",archive!CK2172)</f>
        <v/>
      </c>
      <c r="J2172" s="47" t="str">
        <f t="shared" si="465"/>
        <v/>
      </c>
      <c r="K2172" s="51" t="str">
        <f t="shared" si="466"/>
        <v/>
      </c>
      <c r="L2172" s="52" t="str">
        <f t="shared" si="467"/>
        <v/>
      </c>
      <c r="M2172" s="53" t="str">
        <f t="shared" si="468"/>
        <v/>
      </c>
      <c r="N2172" s="53" t="str">
        <f t="shared" si="469"/>
        <v/>
      </c>
      <c r="O2172" s="53" t="str">
        <f t="shared" si="470"/>
        <v/>
      </c>
      <c r="P2172" s="53" t="str">
        <f t="shared" si="471"/>
        <v/>
      </c>
      <c r="Q2172" s="53" t="str">
        <f t="shared" si="472"/>
        <v/>
      </c>
      <c r="R2172" s="53" t="str">
        <f t="shared" si="473"/>
        <v/>
      </c>
      <c r="S2172" s="53" t="str">
        <f t="shared" si="474"/>
        <v/>
      </c>
      <c r="T2172" s="53" t="str">
        <f t="shared" si="475"/>
        <v/>
      </c>
    </row>
    <row r="2173" spans="1:20">
      <c r="A2173" s="47" t="str">
        <f>IF(archive!E2173="","",archive!E2173)</f>
        <v/>
      </c>
      <c r="B2173" s="48" t="str">
        <f t="shared" si="462"/>
        <v/>
      </c>
      <c r="C2173" s="49" t="str">
        <f>IF(archive!F2173="","",archive!F2173)</f>
        <v/>
      </c>
      <c r="D2173" s="50" t="str">
        <f t="shared" si="463"/>
        <v/>
      </c>
      <c r="E2173" s="50" t="str">
        <f t="shared" si="464"/>
        <v/>
      </c>
      <c r="F2173" s="47" t="str">
        <f>IF(COUNTA(archive!H2173:CI2173)=0,"",COUNTA(archive!H2173:CI2173))</f>
        <v/>
      </c>
      <c r="G2173" s="47" t="str">
        <f>IF(archive!G2173="","",archive!G2173)</f>
        <v/>
      </c>
      <c r="H2173" s="51" t="str">
        <f>IF(archive!CJ2173="","",archive!CJ2173)</f>
        <v/>
      </c>
      <c r="I2173" s="51" t="str">
        <f>IF(archive!CK2173="","",archive!CK2173)</f>
        <v/>
      </c>
      <c r="J2173" s="47" t="str">
        <f t="shared" si="465"/>
        <v/>
      </c>
      <c r="K2173" s="51" t="str">
        <f t="shared" si="466"/>
        <v/>
      </c>
      <c r="L2173" s="52" t="str">
        <f t="shared" si="467"/>
        <v/>
      </c>
      <c r="M2173" s="53" t="str">
        <f t="shared" si="468"/>
        <v/>
      </c>
      <c r="N2173" s="53" t="str">
        <f t="shared" si="469"/>
        <v/>
      </c>
      <c r="O2173" s="53" t="str">
        <f t="shared" si="470"/>
        <v/>
      </c>
      <c r="P2173" s="53" t="str">
        <f t="shared" si="471"/>
        <v/>
      </c>
      <c r="Q2173" s="53" t="str">
        <f t="shared" si="472"/>
        <v/>
      </c>
      <c r="R2173" s="53" t="str">
        <f t="shared" si="473"/>
        <v/>
      </c>
      <c r="S2173" s="53" t="str">
        <f t="shared" si="474"/>
        <v/>
      </c>
      <c r="T2173" s="53" t="str">
        <f t="shared" si="475"/>
        <v/>
      </c>
    </row>
    <row r="2174" spans="1:20">
      <c r="A2174" s="47" t="str">
        <f>IF(archive!E2174="","",archive!E2174)</f>
        <v/>
      </c>
      <c r="B2174" s="48" t="str">
        <f t="shared" si="462"/>
        <v/>
      </c>
      <c r="C2174" s="49" t="str">
        <f>IF(archive!F2174="","",archive!F2174)</f>
        <v/>
      </c>
      <c r="D2174" s="50" t="str">
        <f t="shared" si="463"/>
        <v/>
      </c>
      <c r="E2174" s="50" t="str">
        <f t="shared" si="464"/>
        <v/>
      </c>
      <c r="F2174" s="47" t="str">
        <f>IF(COUNTA(archive!H2174:CI2174)=0,"",COUNTA(archive!H2174:CI2174))</f>
        <v/>
      </c>
      <c r="G2174" s="47" t="str">
        <f>IF(archive!G2174="","",archive!G2174)</f>
        <v/>
      </c>
      <c r="H2174" s="51" t="str">
        <f>IF(archive!CJ2174="","",archive!CJ2174)</f>
        <v/>
      </c>
      <c r="I2174" s="51" t="str">
        <f>IF(archive!CK2174="","",archive!CK2174)</f>
        <v/>
      </c>
      <c r="J2174" s="47" t="str">
        <f t="shared" si="465"/>
        <v/>
      </c>
      <c r="K2174" s="51" t="str">
        <f t="shared" si="466"/>
        <v/>
      </c>
      <c r="L2174" s="52" t="str">
        <f t="shared" si="467"/>
        <v/>
      </c>
      <c r="M2174" s="53" t="str">
        <f t="shared" si="468"/>
        <v/>
      </c>
      <c r="N2174" s="53" t="str">
        <f t="shared" si="469"/>
        <v/>
      </c>
      <c r="O2174" s="53" t="str">
        <f t="shared" si="470"/>
        <v/>
      </c>
      <c r="P2174" s="53" t="str">
        <f t="shared" si="471"/>
        <v/>
      </c>
      <c r="Q2174" s="53" t="str">
        <f t="shared" si="472"/>
        <v/>
      </c>
      <c r="R2174" s="53" t="str">
        <f t="shared" si="473"/>
        <v/>
      </c>
      <c r="S2174" s="53" t="str">
        <f t="shared" si="474"/>
        <v/>
      </c>
      <c r="T2174" s="53" t="str">
        <f t="shared" si="475"/>
        <v/>
      </c>
    </row>
    <row r="2175" spans="1:20">
      <c r="A2175" s="47" t="str">
        <f>IF(archive!E2175="","",archive!E2175)</f>
        <v/>
      </c>
      <c r="B2175" s="48" t="str">
        <f t="shared" si="462"/>
        <v/>
      </c>
      <c r="C2175" s="49" t="str">
        <f>IF(archive!F2175="","",archive!F2175)</f>
        <v/>
      </c>
      <c r="D2175" s="50" t="str">
        <f t="shared" si="463"/>
        <v/>
      </c>
      <c r="E2175" s="50" t="str">
        <f t="shared" si="464"/>
        <v/>
      </c>
      <c r="F2175" s="47" t="str">
        <f>IF(COUNTA(archive!H2175:CI2175)=0,"",COUNTA(archive!H2175:CI2175))</f>
        <v/>
      </c>
      <c r="G2175" s="47" t="str">
        <f>IF(archive!G2175="","",archive!G2175)</f>
        <v/>
      </c>
      <c r="H2175" s="51" t="str">
        <f>IF(archive!CJ2175="","",archive!CJ2175)</f>
        <v/>
      </c>
      <c r="I2175" s="51" t="str">
        <f>IF(archive!CK2175="","",archive!CK2175)</f>
        <v/>
      </c>
      <c r="J2175" s="47" t="str">
        <f t="shared" si="465"/>
        <v/>
      </c>
      <c r="K2175" s="51" t="str">
        <f t="shared" si="466"/>
        <v/>
      </c>
      <c r="L2175" s="52" t="str">
        <f t="shared" si="467"/>
        <v/>
      </c>
      <c r="M2175" s="53" t="str">
        <f t="shared" si="468"/>
        <v/>
      </c>
      <c r="N2175" s="53" t="str">
        <f t="shared" si="469"/>
        <v/>
      </c>
      <c r="O2175" s="53" t="str">
        <f t="shared" si="470"/>
        <v/>
      </c>
      <c r="P2175" s="53" t="str">
        <f t="shared" si="471"/>
        <v/>
      </c>
      <c r="Q2175" s="53" t="str">
        <f t="shared" si="472"/>
        <v/>
      </c>
      <c r="R2175" s="53" t="str">
        <f t="shared" si="473"/>
        <v/>
      </c>
      <c r="S2175" s="53" t="str">
        <f t="shared" si="474"/>
        <v/>
      </c>
      <c r="T2175" s="53" t="str">
        <f t="shared" si="475"/>
        <v/>
      </c>
    </row>
    <row r="2176" spans="1:20">
      <c r="A2176" s="47" t="str">
        <f>IF(archive!E2176="","",archive!E2176)</f>
        <v/>
      </c>
      <c r="B2176" s="48" t="str">
        <f t="shared" si="462"/>
        <v/>
      </c>
      <c r="C2176" s="49" t="str">
        <f>IF(archive!F2176="","",archive!F2176)</f>
        <v/>
      </c>
      <c r="D2176" s="50" t="str">
        <f t="shared" si="463"/>
        <v/>
      </c>
      <c r="E2176" s="50" t="str">
        <f t="shared" si="464"/>
        <v/>
      </c>
      <c r="F2176" s="47" t="str">
        <f>IF(COUNTA(archive!H2176:CI2176)=0,"",COUNTA(archive!H2176:CI2176))</f>
        <v/>
      </c>
      <c r="G2176" s="47" t="str">
        <f>IF(archive!G2176="","",archive!G2176)</f>
        <v/>
      </c>
      <c r="H2176" s="51" t="str">
        <f>IF(archive!CJ2176="","",archive!CJ2176)</f>
        <v/>
      </c>
      <c r="I2176" s="51" t="str">
        <f>IF(archive!CK2176="","",archive!CK2176)</f>
        <v/>
      </c>
      <c r="J2176" s="47" t="str">
        <f t="shared" si="465"/>
        <v/>
      </c>
      <c r="K2176" s="51" t="str">
        <f t="shared" si="466"/>
        <v/>
      </c>
      <c r="L2176" s="52" t="str">
        <f t="shared" si="467"/>
        <v/>
      </c>
      <c r="M2176" s="53" t="str">
        <f t="shared" si="468"/>
        <v/>
      </c>
      <c r="N2176" s="53" t="str">
        <f t="shared" si="469"/>
        <v/>
      </c>
      <c r="O2176" s="53" t="str">
        <f t="shared" si="470"/>
        <v/>
      </c>
      <c r="P2176" s="53" t="str">
        <f t="shared" si="471"/>
        <v/>
      </c>
      <c r="Q2176" s="53" t="str">
        <f t="shared" si="472"/>
        <v/>
      </c>
      <c r="R2176" s="53" t="str">
        <f t="shared" si="473"/>
        <v/>
      </c>
      <c r="S2176" s="53" t="str">
        <f t="shared" si="474"/>
        <v/>
      </c>
      <c r="T2176" s="53" t="str">
        <f t="shared" si="475"/>
        <v/>
      </c>
    </row>
    <row r="2177" spans="1:20">
      <c r="A2177" s="47" t="str">
        <f>IF(archive!E2177="","",archive!E2177)</f>
        <v/>
      </c>
      <c r="B2177" s="48" t="str">
        <f t="shared" si="462"/>
        <v/>
      </c>
      <c r="C2177" s="49" t="str">
        <f>IF(archive!F2177="","",archive!F2177)</f>
        <v/>
      </c>
      <c r="D2177" s="50" t="str">
        <f t="shared" si="463"/>
        <v/>
      </c>
      <c r="E2177" s="50" t="str">
        <f t="shared" si="464"/>
        <v/>
      </c>
      <c r="F2177" s="47" t="str">
        <f>IF(COUNTA(archive!H2177:CI2177)=0,"",COUNTA(archive!H2177:CI2177))</f>
        <v/>
      </c>
      <c r="G2177" s="47" t="str">
        <f>IF(archive!G2177="","",archive!G2177)</f>
        <v/>
      </c>
      <c r="H2177" s="51" t="str">
        <f>IF(archive!CJ2177="","",archive!CJ2177)</f>
        <v/>
      </c>
      <c r="I2177" s="51" t="str">
        <f>IF(archive!CK2177="","",archive!CK2177)</f>
        <v/>
      </c>
      <c r="J2177" s="47" t="str">
        <f t="shared" si="465"/>
        <v/>
      </c>
      <c r="K2177" s="51" t="str">
        <f t="shared" si="466"/>
        <v/>
      </c>
      <c r="L2177" s="52" t="str">
        <f t="shared" si="467"/>
        <v/>
      </c>
      <c r="M2177" s="53" t="str">
        <f t="shared" si="468"/>
        <v/>
      </c>
      <c r="N2177" s="53" t="str">
        <f t="shared" si="469"/>
        <v/>
      </c>
      <c r="O2177" s="53" t="str">
        <f t="shared" si="470"/>
        <v/>
      </c>
      <c r="P2177" s="53" t="str">
        <f t="shared" si="471"/>
        <v/>
      </c>
      <c r="Q2177" s="53" t="str">
        <f t="shared" si="472"/>
        <v/>
      </c>
      <c r="R2177" s="53" t="str">
        <f t="shared" si="473"/>
        <v/>
      </c>
      <c r="S2177" s="53" t="str">
        <f t="shared" si="474"/>
        <v/>
      </c>
      <c r="T2177" s="53" t="str">
        <f t="shared" si="475"/>
        <v/>
      </c>
    </row>
    <row r="2178" spans="1:20">
      <c r="A2178" s="47" t="str">
        <f>IF(archive!E2178="","",archive!E2178)</f>
        <v/>
      </c>
      <c r="B2178" s="48" t="str">
        <f t="shared" si="462"/>
        <v/>
      </c>
      <c r="C2178" s="49" t="str">
        <f>IF(archive!F2178="","",archive!F2178)</f>
        <v/>
      </c>
      <c r="D2178" s="50" t="str">
        <f t="shared" si="463"/>
        <v/>
      </c>
      <c r="E2178" s="50" t="str">
        <f t="shared" si="464"/>
        <v/>
      </c>
      <c r="F2178" s="47" t="str">
        <f>IF(COUNTA(archive!H2178:CI2178)=0,"",COUNTA(archive!H2178:CI2178))</f>
        <v/>
      </c>
      <c r="G2178" s="47" t="str">
        <f>IF(archive!G2178="","",archive!G2178)</f>
        <v/>
      </c>
      <c r="H2178" s="51" t="str">
        <f>IF(archive!CJ2178="","",archive!CJ2178)</f>
        <v/>
      </c>
      <c r="I2178" s="51" t="str">
        <f>IF(archive!CK2178="","",archive!CK2178)</f>
        <v/>
      </c>
      <c r="J2178" s="47" t="str">
        <f t="shared" si="465"/>
        <v/>
      </c>
      <c r="K2178" s="51" t="str">
        <f t="shared" si="466"/>
        <v/>
      </c>
      <c r="L2178" s="52" t="str">
        <f t="shared" si="467"/>
        <v/>
      </c>
      <c r="M2178" s="53" t="str">
        <f t="shared" si="468"/>
        <v/>
      </c>
      <c r="N2178" s="53" t="str">
        <f t="shared" si="469"/>
        <v/>
      </c>
      <c r="O2178" s="53" t="str">
        <f t="shared" si="470"/>
        <v/>
      </c>
      <c r="P2178" s="53" t="str">
        <f t="shared" si="471"/>
        <v/>
      </c>
      <c r="Q2178" s="53" t="str">
        <f t="shared" si="472"/>
        <v/>
      </c>
      <c r="R2178" s="53" t="str">
        <f t="shared" si="473"/>
        <v/>
      </c>
      <c r="S2178" s="53" t="str">
        <f t="shared" si="474"/>
        <v/>
      </c>
      <c r="T2178" s="53" t="str">
        <f t="shared" si="475"/>
        <v/>
      </c>
    </row>
    <row r="2179" spans="1:20">
      <c r="A2179" s="47" t="str">
        <f>IF(archive!E2179="","",archive!E2179)</f>
        <v/>
      </c>
      <c r="B2179" s="48" t="str">
        <f t="shared" si="462"/>
        <v/>
      </c>
      <c r="C2179" s="49" t="str">
        <f>IF(archive!F2179="","",archive!F2179)</f>
        <v/>
      </c>
      <c r="D2179" s="50" t="str">
        <f t="shared" si="463"/>
        <v/>
      </c>
      <c r="E2179" s="50" t="str">
        <f t="shared" si="464"/>
        <v/>
      </c>
      <c r="F2179" s="47" t="str">
        <f>IF(COUNTA(archive!H2179:CI2179)=0,"",COUNTA(archive!H2179:CI2179))</f>
        <v/>
      </c>
      <c r="G2179" s="47" t="str">
        <f>IF(archive!G2179="","",archive!G2179)</f>
        <v/>
      </c>
      <c r="H2179" s="51" t="str">
        <f>IF(archive!CJ2179="","",archive!CJ2179)</f>
        <v/>
      </c>
      <c r="I2179" s="51" t="str">
        <f>IF(archive!CK2179="","",archive!CK2179)</f>
        <v/>
      </c>
      <c r="J2179" s="47" t="str">
        <f t="shared" si="465"/>
        <v/>
      </c>
      <c r="K2179" s="51" t="str">
        <f t="shared" si="466"/>
        <v/>
      </c>
      <c r="L2179" s="52" t="str">
        <f t="shared" si="467"/>
        <v/>
      </c>
      <c r="M2179" s="53" t="str">
        <f t="shared" si="468"/>
        <v/>
      </c>
      <c r="N2179" s="53" t="str">
        <f t="shared" si="469"/>
        <v/>
      </c>
      <c r="O2179" s="53" t="str">
        <f t="shared" si="470"/>
        <v/>
      </c>
      <c r="P2179" s="53" t="str">
        <f t="shared" si="471"/>
        <v/>
      </c>
      <c r="Q2179" s="53" t="str">
        <f t="shared" si="472"/>
        <v/>
      </c>
      <c r="R2179" s="53" t="str">
        <f t="shared" si="473"/>
        <v/>
      </c>
      <c r="S2179" s="53" t="str">
        <f t="shared" si="474"/>
        <v/>
      </c>
      <c r="T2179" s="53" t="str">
        <f t="shared" si="475"/>
        <v/>
      </c>
    </row>
    <row r="2180" spans="1:20">
      <c r="A2180" s="47" t="str">
        <f>IF(archive!E2180="","",archive!E2180)</f>
        <v/>
      </c>
      <c r="B2180" s="48" t="str">
        <f t="shared" ref="B2180:B2243" si="476">IF(C2180="","",VLOOKUP($C2180,Tare,2,0))</f>
        <v/>
      </c>
      <c r="C2180" s="49" t="str">
        <f>IF(archive!F2180="","",archive!F2180)</f>
        <v/>
      </c>
      <c r="D2180" s="50" t="str">
        <f t="shared" ref="D2180:D2243" si="477">IF(C2180="","",C2180+B2180)</f>
        <v/>
      </c>
      <c r="E2180" s="50" t="str">
        <f t="shared" ref="E2180:E2243" si="478">IF(C2180="","",(C2180*0.025)+D2180)</f>
        <v/>
      </c>
      <c r="F2180" s="47" t="str">
        <f>IF(COUNTA(archive!H2180:CI2180)=0,"",COUNTA(archive!H2180:CI2180))</f>
        <v/>
      </c>
      <c r="G2180" s="47" t="str">
        <f>IF(archive!G2180="","",archive!G2180)</f>
        <v/>
      </c>
      <c r="H2180" s="51" t="str">
        <f>IF(archive!CJ2180="","",archive!CJ2180)</f>
        <v/>
      </c>
      <c r="I2180" s="51" t="str">
        <f>IF(archive!CK2180="","",archive!CK2180)</f>
        <v/>
      </c>
      <c r="J2180" s="47" t="str">
        <f t="shared" ref="J2180:J2243" si="479">IF(F2180="","",VLOOKUP(F2180,Valeur_g,2,0))</f>
        <v/>
      </c>
      <c r="K2180" s="51" t="str">
        <f t="shared" ref="K2180:K2243" si="480">IF(C2180="","",D2180+(J2180*I2180))</f>
        <v/>
      </c>
      <c r="L2180" s="52" t="str">
        <f t="shared" ref="L2180:L2243" si="481">IF(C2180="","",IF(K2180&lt;H2180,"Conforme","Non conforme"))</f>
        <v/>
      </c>
      <c r="M2180" s="53" t="str">
        <f t="shared" ref="M2180:M2243" si="482">IF(C2180="","",1)</f>
        <v/>
      </c>
      <c r="N2180" s="53" t="str">
        <f t="shared" ref="N2180:N2243" si="483">IF(L2180="","",COUNTIF(L2180,"Non conforme"))</f>
        <v/>
      </c>
      <c r="O2180" s="53" t="str">
        <f t="shared" ref="O2180:O2243" si="484">IF($C2180="","",IF($C2180=0.25,$G2180,"-"))</f>
        <v/>
      </c>
      <c r="P2180" s="53" t="str">
        <f t="shared" ref="P2180:P2243" si="485">IF($C2180="","",IF($C2180=0.4,$G2180,"-"))</f>
        <v/>
      </c>
      <c r="Q2180" s="53" t="str">
        <f t="shared" ref="Q2180:Q2243" si="486">IF($C2180="","",IF($C2180=0.5,$G2180,"-"))</f>
        <v/>
      </c>
      <c r="R2180" s="53" t="str">
        <f t="shared" ref="R2180:R2243" si="487">IF($C2180="","",IF($C2180=0.6,$G2180,"-"))</f>
        <v/>
      </c>
      <c r="S2180" s="53" t="str">
        <f t="shared" ref="S2180:S2243" si="488">IF($C2180="","",IF($C2180=0.8,$G2180,"-"))</f>
        <v/>
      </c>
      <c r="T2180" s="53" t="str">
        <f t="shared" ref="T2180:T2243" si="489">IF($C2180="","",IF($C2180=1,$G2180,"-"))</f>
        <v/>
      </c>
    </row>
    <row r="2181" spans="1:20">
      <c r="A2181" s="47" t="str">
        <f>IF(archive!E2181="","",archive!E2181)</f>
        <v/>
      </c>
      <c r="B2181" s="48" t="str">
        <f t="shared" si="476"/>
        <v/>
      </c>
      <c r="C2181" s="49" t="str">
        <f>IF(archive!F2181="","",archive!F2181)</f>
        <v/>
      </c>
      <c r="D2181" s="50" t="str">
        <f t="shared" si="477"/>
        <v/>
      </c>
      <c r="E2181" s="50" t="str">
        <f t="shared" si="478"/>
        <v/>
      </c>
      <c r="F2181" s="47" t="str">
        <f>IF(COUNTA(archive!H2181:CI2181)=0,"",COUNTA(archive!H2181:CI2181))</f>
        <v/>
      </c>
      <c r="G2181" s="47" t="str">
        <f>IF(archive!G2181="","",archive!G2181)</f>
        <v/>
      </c>
      <c r="H2181" s="51" t="str">
        <f>IF(archive!CJ2181="","",archive!CJ2181)</f>
        <v/>
      </c>
      <c r="I2181" s="51" t="str">
        <f>IF(archive!CK2181="","",archive!CK2181)</f>
        <v/>
      </c>
      <c r="J2181" s="47" t="str">
        <f t="shared" si="479"/>
        <v/>
      </c>
      <c r="K2181" s="51" t="str">
        <f t="shared" si="480"/>
        <v/>
      </c>
      <c r="L2181" s="52" t="str">
        <f t="shared" si="481"/>
        <v/>
      </c>
      <c r="M2181" s="53" t="str">
        <f t="shared" si="482"/>
        <v/>
      </c>
      <c r="N2181" s="53" t="str">
        <f t="shared" si="483"/>
        <v/>
      </c>
      <c r="O2181" s="53" t="str">
        <f t="shared" si="484"/>
        <v/>
      </c>
      <c r="P2181" s="53" t="str">
        <f t="shared" si="485"/>
        <v/>
      </c>
      <c r="Q2181" s="53" t="str">
        <f t="shared" si="486"/>
        <v/>
      </c>
      <c r="R2181" s="53" t="str">
        <f t="shared" si="487"/>
        <v/>
      </c>
      <c r="S2181" s="53" t="str">
        <f t="shared" si="488"/>
        <v/>
      </c>
      <c r="T2181" s="53" t="str">
        <f t="shared" si="489"/>
        <v/>
      </c>
    </row>
    <row r="2182" spans="1:20">
      <c r="A2182" s="47" t="str">
        <f>IF(archive!E2182="","",archive!E2182)</f>
        <v/>
      </c>
      <c r="B2182" s="48" t="str">
        <f t="shared" si="476"/>
        <v/>
      </c>
      <c r="C2182" s="49" t="str">
        <f>IF(archive!F2182="","",archive!F2182)</f>
        <v/>
      </c>
      <c r="D2182" s="50" t="str">
        <f t="shared" si="477"/>
        <v/>
      </c>
      <c r="E2182" s="50" t="str">
        <f t="shared" si="478"/>
        <v/>
      </c>
      <c r="F2182" s="47" t="str">
        <f>IF(COUNTA(archive!H2182:CI2182)=0,"",COUNTA(archive!H2182:CI2182))</f>
        <v/>
      </c>
      <c r="G2182" s="47" t="str">
        <f>IF(archive!G2182="","",archive!G2182)</f>
        <v/>
      </c>
      <c r="H2182" s="51" t="str">
        <f>IF(archive!CJ2182="","",archive!CJ2182)</f>
        <v/>
      </c>
      <c r="I2182" s="51" t="str">
        <f>IF(archive!CK2182="","",archive!CK2182)</f>
        <v/>
      </c>
      <c r="J2182" s="47" t="str">
        <f t="shared" si="479"/>
        <v/>
      </c>
      <c r="K2182" s="51" t="str">
        <f t="shared" si="480"/>
        <v/>
      </c>
      <c r="L2182" s="52" t="str">
        <f t="shared" si="481"/>
        <v/>
      </c>
      <c r="M2182" s="53" t="str">
        <f t="shared" si="482"/>
        <v/>
      </c>
      <c r="N2182" s="53" t="str">
        <f t="shared" si="483"/>
        <v/>
      </c>
      <c r="O2182" s="53" t="str">
        <f t="shared" si="484"/>
        <v/>
      </c>
      <c r="P2182" s="53" t="str">
        <f t="shared" si="485"/>
        <v/>
      </c>
      <c r="Q2182" s="53" t="str">
        <f t="shared" si="486"/>
        <v/>
      </c>
      <c r="R2182" s="53" t="str">
        <f t="shared" si="487"/>
        <v/>
      </c>
      <c r="S2182" s="53" t="str">
        <f t="shared" si="488"/>
        <v/>
      </c>
      <c r="T2182" s="53" t="str">
        <f t="shared" si="489"/>
        <v/>
      </c>
    </row>
    <row r="2183" spans="1:20">
      <c r="A2183" s="47" t="str">
        <f>IF(archive!E2183="","",archive!E2183)</f>
        <v/>
      </c>
      <c r="B2183" s="48" t="str">
        <f t="shared" si="476"/>
        <v/>
      </c>
      <c r="C2183" s="49" t="str">
        <f>IF(archive!F2183="","",archive!F2183)</f>
        <v/>
      </c>
      <c r="D2183" s="50" t="str">
        <f t="shared" si="477"/>
        <v/>
      </c>
      <c r="E2183" s="50" t="str">
        <f t="shared" si="478"/>
        <v/>
      </c>
      <c r="F2183" s="47" t="str">
        <f>IF(COUNTA(archive!H2183:CI2183)=0,"",COUNTA(archive!H2183:CI2183))</f>
        <v/>
      </c>
      <c r="G2183" s="47" t="str">
        <f>IF(archive!G2183="","",archive!G2183)</f>
        <v/>
      </c>
      <c r="H2183" s="51" t="str">
        <f>IF(archive!CJ2183="","",archive!CJ2183)</f>
        <v/>
      </c>
      <c r="I2183" s="51" t="str">
        <f>IF(archive!CK2183="","",archive!CK2183)</f>
        <v/>
      </c>
      <c r="J2183" s="47" t="str">
        <f t="shared" si="479"/>
        <v/>
      </c>
      <c r="K2183" s="51" t="str">
        <f t="shared" si="480"/>
        <v/>
      </c>
      <c r="L2183" s="52" t="str">
        <f t="shared" si="481"/>
        <v/>
      </c>
      <c r="M2183" s="53" t="str">
        <f t="shared" si="482"/>
        <v/>
      </c>
      <c r="N2183" s="53" t="str">
        <f t="shared" si="483"/>
        <v/>
      </c>
      <c r="O2183" s="53" t="str">
        <f t="shared" si="484"/>
        <v/>
      </c>
      <c r="P2183" s="53" t="str">
        <f t="shared" si="485"/>
        <v/>
      </c>
      <c r="Q2183" s="53" t="str">
        <f t="shared" si="486"/>
        <v/>
      </c>
      <c r="R2183" s="53" t="str">
        <f t="shared" si="487"/>
        <v/>
      </c>
      <c r="S2183" s="53" t="str">
        <f t="shared" si="488"/>
        <v/>
      </c>
      <c r="T2183" s="53" t="str">
        <f t="shared" si="489"/>
        <v/>
      </c>
    </row>
    <row r="2184" spans="1:20">
      <c r="A2184" s="47" t="str">
        <f>IF(archive!E2184="","",archive!E2184)</f>
        <v/>
      </c>
      <c r="B2184" s="48" t="str">
        <f t="shared" si="476"/>
        <v/>
      </c>
      <c r="C2184" s="49" t="str">
        <f>IF(archive!F2184="","",archive!F2184)</f>
        <v/>
      </c>
      <c r="D2184" s="50" t="str">
        <f t="shared" si="477"/>
        <v/>
      </c>
      <c r="E2184" s="50" t="str">
        <f t="shared" si="478"/>
        <v/>
      </c>
      <c r="F2184" s="47" t="str">
        <f>IF(COUNTA(archive!H2184:CI2184)=0,"",COUNTA(archive!H2184:CI2184))</f>
        <v/>
      </c>
      <c r="G2184" s="47" t="str">
        <f>IF(archive!G2184="","",archive!G2184)</f>
        <v/>
      </c>
      <c r="H2184" s="51" t="str">
        <f>IF(archive!CJ2184="","",archive!CJ2184)</f>
        <v/>
      </c>
      <c r="I2184" s="51" t="str">
        <f>IF(archive!CK2184="","",archive!CK2184)</f>
        <v/>
      </c>
      <c r="J2184" s="47" t="str">
        <f t="shared" si="479"/>
        <v/>
      </c>
      <c r="K2184" s="51" t="str">
        <f t="shared" si="480"/>
        <v/>
      </c>
      <c r="L2184" s="52" t="str">
        <f t="shared" si="481"/>
        <v/>
      </c>
      <c r="M2184" s="53" t="str">
        <f t="shared" si="482"/>
        <v/>
      </c>
      <c r="N2184" s="53" t="str">
        <f t="shared" si="483"/>
        <v/>
      </c>
      <c r="O2184" s="53" t="str">
        <f t="shared" si="484"/>
        <v/>
      </c>
      <c r="P2184" s="53" t="str">
        <f t="shared" si="485"/>
        <v/>
      </c>
      <c r="Q2184" s="53" t="str">
        <f t="shared" si="486"/>
        <v/>
      </c>
      <c r="R2184" s="53" t="str">
        <f t="shared" si="487"/>
        <v/>
      </c>
      <c r="S2184" s="53" t="str">
        <f t="shared" si="488"/>
        <v/>
      </c>
      <c r="T2184" s="53" t="str">
        <f t="shared" si="489"/>
        <v/>
      </c>
    </row>
    <row r="2185" spans="1:20">
      <c r="A2185" s="47" t="str">
        <f>IF(archive!E2185="","",archive!E2185)</f>
        <v/>
      </c>
      <c r="B2185" s="48" t="str">
        <f t="shared" si="476"/>
        <v/>
      </c>
      <c r="C2185" s="49" t="str">
        <f>IF(archive!F2185="","",archive!F2185)</f>
        <v/>
      </c>
      <c r="D2185" s="50" t="str">
        <f t="shared" si="477"/>
        <v/>
      </c>
      <c r="E2185" s="50" t="str">
        <f t="shared" si="478"/>
        <v/>
      </c>
      <c r="F2185" s="47" t="str">
        <f>IF(COUNTA(archive!H2185:CI2185)=0,"",COUNTA(archive!H2185:CI2185))</f>
        <v/>
      </c>
      <c r="G2185" s="47" t="str">
        <f>IF(archive!G2185="","",archive!G2185)</f>
        <v/>
      </c>
      <c r="H2185" s="51" t="str">
        <f>IF(archive!CJ2185="","",archive!CJ2185)</f>
        <v/>
      </c>
      <c r="I2185" s="51" t="str">
        <f>IF(archive!CK2185="","",archive!CK2185)</f>
        <v/>
      </c>
      <c r="J2185" s="47" t="str">
        <f t="shared" si="479"/>
        <v/>
      </c>
      <c r="K2185" s="51" t="str">
        <f t="shared" si="480"/>
        <v/>
      </c>
      <c r="L2185" s="52" t="str">
        <f t="shared" si="481"/>
        <v/>
      </c>
      <c r="M2185" s="53" t="str">
        <f t="shared" si="482"/>
        <v/>
      </c>
      <c r="N2185" s="53" t="str">
        <f t="shared" si="483"/>
        <v/>
      </c>
      <c r="O2185" s="53" t="str">
        <f t="shared" si="484"/>
        <v/>
      </c>
      <c r="P2185" s="53" t="str">
        <f t="shared" si="485"/>
        <v/>
      </c>
      <c r="Q2185" s="53" t="str">
        <f t="shared" si="486"/>
        <v/>
      </c>
      <c r="R2185" s="53" t="str">
        <f t="shared" si="487"/>
        <v/>
      </c>
      <c r="S2185" s="53" t="str">
        <f t="shared" si="488"/>
        <v/>
      </c>
      <c r="T2185" s="53" t="str">
        <f t="shared" si="489"/>
        <v/>
      </c>
    </row>
    <row r="2186" spans="1:20">
      <c r="A2186" s="47" t="str">
        <f>IF(archive!E2186="","",archive!E2186)</f>
        <v/>
      </c>
      <c r="B2186" s="48" t="str">
        <f t="shared" si="476"/>
        <v/>
      </c>
      <c r="C2186" s="49" t="str">
        <f>IF(archive!F2186="","",archive!F2186)</f>
        <v/>
      </c>
      <c r="D2186" s="50" t="str">
        <f t="shared" si="477"/>
        <v/>
      </c>
      <c r="E2186" s="50" t="str">
        <f t="shared" si="478"/>
        <v/>
      </c>
      <c r="F2186" s="47" t="str">
        <f>IF(COUNTA(archive!H2186:CI2186)=0,"",COUNTA(archive!H2186:CI2186))</f>
        <v/>
      </c>
      <c r="G2186" s="47" t="str">
        <f>IF(archive!G2186="","",archive!G2186)</f>
        <v/>
      </c>
      <c r="H2186" s="51" t="str">
        <f>IF(archive!CJ2186="","",archive!CJ2186)</f>
        <v/>
      </c>
      <c r="I2186" s="51" t="str">
        <f>IF(archive!CK2186="","",archive!CK2186)</f>
        <v/>
      </c>
      <c r="J2186" s="47" t="str">
        <f t="shared" si="479"/>
        <v/>
      </c>
      <c r="K2186" s="51" t="str">
        <f t="shared" si="480"/>
        <v/>
      </c>
      <c r="L2186" s="52" t="str">
        <f t="shared" si="481"/>
        <v/>
      </c>
      <c r="M2186" s="53" t="str">
        <f t="shared" si="482"/>
        <v/>
      </c>
      <c r="N2186" s="53" t="str">
        <f t="shared" si="483"/>
        <v/>
      </c>
      <c r="O2186" s="53" t="str">
        <f t="shared" si="484"/>
        <v/>
      </c>
      <c r="P2186" s="53" t="str">
        <f t="shared" si="485"/>
        <v/>
      </c>
      <c r="Q2186" s="53" t="str">
        <f t="shared" si="486"/>
        <v/>
      </c>
      <c r="R2186" s="53" t="str">
        <f t="shared" si="487"/>
        <v/>
      </c>
      <c r="S2186" s="53" t="str">
        <f t="shared" si="488"/>
        <v/>
      </c>
      <c r="T2186" s="53" t="str">
        <f t="shared" si="489"/>
        <v/>
      </c>
    </row>
    <row r="2187" spans="1:20">
      <c r="A2187" s="47" t="str">
        <f>IF(archive!E2187="","",archive!E2187)</f>
        <v/>
      </c>
      <c r="B2187" s="48" t="str">
        <f t="shared" si="476"/>
        <v/>
      </c>
      <c r="C2187" s="49" t="str">
        <f>IF(archive!F2187="","",archive!F2187)</f>
        <v/>
      </c>
      <c r="D2187" s="50" t="str">
        <f t="shared" si="477"/>
        <v/>
      </c>
      <c r="E2187" s="50" t="str">
        <f t="shared" si="478"/>
        <v/>
      </c>
      <c r="F2187" s="47" t="str">
        <f>IF(COUNTA(archive!H2187:CI2187)=0,"",COUNTA(archive!H2187:CI2187))</f>
        <v/>
      </c>
      <c r="G2187" s="47" t="str">
        <f>IF(archive!G2187="","",archive!G2187)</f>
        <v/>
      </c>
      <c r="H2187" s="51" t="str">
        <f>IF(archive!CJ2187="","",archive!CJ2187)</f>
        <v/>
      </c>
      <c r="I2187" s="51" t="str">
        <f>IF(archive!CK2187="","",archive!CK2187)</f>
        <v/>
      </c>
      <c r="J2187" s="47" t="str">
        <f t="shared" si="479"/>
        <v/>
      </c>
      <c r="K2187" s="51" t="str">
        <f t="shared" si="480"/>
        <v/>
      </c>
      <c r="L2187" s="52" t="str">
        <f t="shared" si="481"/>
        <v/>
      </c>
      <c r="M2187" s="53" t="str">
        <f t="shared" si="482"/>
        <v/>
      </c>
      <c r="N2187" s="53" t="str">
        <f t="shared" si="483"/>
        <v/>
      </c>
      <c r="O2187" s="53" t="str">
        <f t="shared" si="484"/>
        <v/>
      </c>
      <c r="P2187" s="53" t="str">
        <f t="shared" si="485"/>
        <v/>
      </c>
      <c r="Q2187" s="53" t="str">
        <f t="shared" si="486"/>
        <v/>
      </c>
      <c r="R2187" s="53" t="str">
        <f t="shared" si="487"/>
        <v/>
      </c>
      <c r="S2187" s="53" t="str">
        <f t="shared" si="488"/>
        <v/>
      </c>
      <c r="T2187" s="53" t="str">
        <f t="shared" si="489"/>
        <v/>
      </c>
    </row>
    <row r="2188" spans="1:20">
      <c r="A2188" s="47" t="str">
        <f>IF(archive!E2188="","",archive!E2188)</f>
        <v/>
      </c>
      <c r="B2188" s="48" t="str">
        <f t="shared" si="476"/>
        <v/>
      </c>
      <c r="C2188" s="49" t="str">
        <f>IF(archive!F2188="","",archive!F2188)</f>
        <v/>
      </c>
      <c r="D2188" s="50" t="str">
        <f t="shared" si="477"/>
        <v/>
      </c>
      <c r="E2188" s="50" t="str">
        <f t="shared" si="478"/>
        <v/>
      </c>
      <c r="F2188" s="47" t="str">
        <f>IF(COUNTA(archive!H2188:CI2188)=0,"",COUNTA(archive!H2188:CI2188))</f>
        <v/>
      </c>
      <c r="G2188" s="47" t="str">
        <f>IF(archive!G2188="","",archive!G2188)</f>
        <v/>
      </c>
      <c r="H2188" s="51" t="str">
        <f>IF(archive!CJ2188="","",archive!CJ2188)</f>
        <v/>
      </c>
      <c r="I2188" s="51" t="str">
        <f>IF(archive!CK2188="","",archive!CK2188)</f>
        <v/>
      </c>
      <c r="J2188" s="47" t="str">
        <f t="shared" si="479"/>
        <v/>
      </c>
      <c r="K2188" s="51" t="str">
        <f t="shared" si="480"/>
        <v/>
      </c>
      <c r="L2188" s="52" t="str">
        <f t="shared" si="481"/>
        <v/>
      </c>
      <c r="M2188" s="53" t="str">
        <f t="shared" si="482"/>
        <v/>
      </c>
      <c r="N2188" s="53" t="str">
        <f t="shared" si="483"/>
        <v/>
      </c>
      <c r="O2188" s="53" t="str">
        <f t="shared" si="484"/>
        <v/>
      </c>
      <c r="P2188" s="53" t="str">
        <f t="shared" si="485"/>
        <v/>
      </c>
      <c r="Q2188" s="53" t="str">
        <f t="shared" si="486"/>
        <v/>
      </c>
      <c r="R2188" s="53" t="str">
        <f t="shared" si="487"/>
        <v/>
      </c>
      <c r="S2188" s="53" t="str">
        <f t="shared" si="488"/>
        <v/>
      </c>
      <c r="T2188" s="53" t="str">
        <f t="shared" si="489"/>
        <v/>
      </c>
    </row>
    <row r="2189" spans="1:20">
      <c r="A2189" s="47" t="str">
        <f>IF(archive!E2189="","",archive!E2189)</f>
        <v/>
      </c>
      <c r="B2189" s="48" t="str">
        <f t="shared" si="476"/>
        <v/>
      </c>
      <c r="C2189" s="49" t="str">
        <f>IF(archive!F2189="","",archive!F2189)</f>
        <v/>
      </c>
      <c r="D2189" s="50" t="str">
        <f t="shared" si="477"/>
        <v/>
      </c>
      <c r="E2189" s="50" t="str">
        <f t="shared" si="478"/>
        <v/>
      </c>
      <c r="F2189" s="47" t="str">
        <f>IF(COUNTA(archive!H2189:CI2189)=0,"",COUNTA(archive!H2189:CI2189))</f>
        <v/>
      </c>
      <c r="G2189" s="47" t="str">
        <f>IF(archive!G2189="","",archive!G2189)</f>
        <v/>
      </c>
      <c r="H2189" s="51" t="str">
        <f>IF(archive!CJ2189="","",archive!CJ2189)</f>
        <v/>
      </c>
      <c r="I2189" s="51" t="str">
        <f>IF(archive!CK2189="","",archive!CK2189)</f>
        <v/>
      </c>
      <c r="J2189" s="47" t="str">
        <f t="shared" si="479"/>
        <v/>
      </c>
      <c r="K2189" s="51" t="str">
        <f t="shared" si="480"/>
        <v/>
      </c>
      <c r="L2189" s="52" t="str">
        <f t="shared" si="481"/>
        <v/>
      </c>
      <c r="M2189" s="53" t="str">
        <f t="shared" si="482"/>
        <v/>
      </c>
      <c r="N2189" s="53" t="str">
        <f t="shared" si="483"/>
        <v/>
      </c>
      <c r="O2189" s="53" t="str">
        <f t="shared" si="484"/>
        <v/>
      </c>
      <c r="P2189" s="53" t="str">
        <f t="shared" si="485"/>
        <v/>
      </c>
      <c r="Q2189" s="53" t="str">
        <f t="shared" si="486"/>
        <v/>
      </c>
      <c r="R2189" s="53" t="str">
        <f t="shared" si="487"/>
        <v/>
      </c>
      <c r="S2189" s="53" t="str">
        <f t="shared" si="488"/>
        <v/>
      </c>
      <c r="T2189" s="53" t="str">
        <f t="shared" si="489"/>
        <v/>
      </c>
    </row>
    <row r="2190" spans="1:20">
      <c r="A2190" s="47" t="str">
        <f>IF(archive!E2190="","",archive!E2190)</f>
        <v/>
      </c>
      <c r="B2190" s="48" t="str">
        <f t="shared" si="476"/>
        <v/>
      </c>
      <c r="C2190" s="49" t="str">
        <f>IF(archive!F2190="","",archive!F2190)</f>
        <v/>
      </c>
      <c r="D2190" s="50" t="str">
        <f t="shared" si="477"/>
        <v/>
      </c>
      <c r="E2190" s="50" t="str">
        <f t="shared" si="478"/>
        <v/>
      </c>
      <c r="F2190" s="47" t="str">
        <f>IF(COUNTA(archive!H2190:CI2190)=0,"",COUNTA(archive!H2190:CI2190))</f>
        <v/>
      </c>
      <c r="G2190" s="47" t="str">
        <f>IF(archive!G2190="","",archive!G2190)</f>
        <v/>
      </c>
      <c r="H2190" s="51" t="str">
        <f>IF(archive!CJ2190="","",archive!CJ2190)</f>
        <v/>
      </c>
      <c r="I2190" s="51" t="str">
        <f>IF(archive!CK2190="","",archive!CK2190)</f>
        <v/>
      </c>
      <c r="J2190" s="47" t="str">
        <f t="shared" si="479"/>
        <v/>
      </c>
      <c r="K2190" s="51" t="str">
        <f t="shared" si="480"/>
        <v/>
      </c>
      <c r="L2190" s="52" t="str">
        <f t="shared" si="481"/>
        <v/>
      </c>
      <c r="M2190" s="53" t="str">
        <f t="shared" si="482"/>
        <v/>
      </c>
      <c r="N2190" s="53" t="str">
        <f t="shared" si="483"/>
        <v/>
      </c>
      <c r="O2190" s="53" t="str">
        <f t="shared" si="484"/>
        <v/>
      </c>
      <c r="P2190" s="53" t="str">
        <f t="shared" si="485"/>
        <v/>
      </c>
      <c r="Q2190" s="53" t="str">
        <f t="shared" si="486"/>
        <v/>
      </c>
      <c r="R2190" s="53" t="str">
        <f t="shared" si="487"/>
        <v/>
      </c>
      <c r="S2190" s="53" t="str">
        <f t="shared" si="488"/>
        <v/>
      </c>
      <c r="T2190" s="53" t="str">
        <f t="shared" si="489"/>
        <v/>
      </c>
    </row>
    <row r="2191" spans="1:20">
      <c r="A2191" s="47" t="str">
        <f>IF(archive!E2191="","",archive!E2191)</f>
        <v/>
      </c>
      <c r="B2191" s="48" t="str">
        <f t="shared" si="476"/>
        <v/>
      </c>
      <c r="C2191" s="49" t="str">
        <f>IF(archive!F2191="","",archive!F2191)</f>
        <v/>
      </c>
      <c r="D2191" s="50" t="str">
        <f t="shared" si="477"/>
        <v/>
      </c>
      <c r="E2191" s="50" t="str">
        <f t="shared" si="478"/>
        <v/>
      </c>
      <c r="F2191" s="47" t="str">
        <f>IF(COUNTA(archive!H2191:CI2191)=0,"",COUNTA(archive!H2191:CI2191))</f>
        <v/>
      </c>
      <c r="G2191" s="47" t="str">
        <f>IF(archive!G2191="","",archive!G2191)</f>
        <v/>
      </c>
      <c r="H2191" s="51" t="str">
        <f>IF(archive!CJ2191="","",archive!CJ2191)</f>
        <v/>
      </c>
      <c r="I2191" s="51" t="str">
        <f>IF(archive!CK2191="","",archive!CK2191)</f>
        <v/>
      </c>
      <c r="J2191" s="47" t="str">
        <f t="shared" si="479"/>
        <v/>
      </c>
      <c r="K2191" s="51" t="str">
        <f t="shared" si="480"/>
        <v/>
      </c>
      <c r="L2191" s="52" t="str">
        <f t="shared" si="481"/>
        <v/>
      </c>
      <c r="M2191" s="53" t="str">
        <f t="shared" si="482"/>
        <v/>
      </c>
      <c r="N2191" s="53" t="str">
        <f t="shared" si="483"/>
        <v/>
      </c>
      <c r="O2191" s="53" t="str">
        <f t="shared" si="484"/>
        <v/>
      </c>
      <c r="P2191" s="53" t="str">
        <f t="shared" si="485"/>
        <v/>
      </c>
      <c r="Q2191" s="53" t="str">
        <f t="shared" si="486"/>
        <v/>
      </c>
      <c r="R2191" s="53" t="str">
        <f t="shared" si="487"/>
        <v/>
      </c>
      <c r="S2191" s="53" t="str">
        <f t="shared" si="488"/>
        <v/>
      </c>
      <c r="T2191" s="53" t="str">
        <f t="shared" si="489"/>
        <v/>
      </c>
    </row>
    <row r="2192" spans="1:20">
      <c r="A2192" s="47" t="str">
        <f>IF(archive!E2192="","",archive!E2192)</f>
        <v/>
      </c>
      <c r="B2192" s="48" t="str">
        <f t="shared" si="476"/>
        <v/>
      </c>
      <c r="C2192" s="49" t="str">
        <f>IF(archive!F2192="","",archive!F2192)</f>
        <v/>
      </c>
      <c r="D2192" s="50" t="str">
        <f t="shared" si="477"/>
        <v/>
      </c>
      <c r="E2192" s="50" t="str">
        <f t="shared" si="478"/>
        <v/>
      </c>
      <c r="F2192" s="47" t="str">
        <f>IF(COUNTA(archive!H2192:CI2192)=0,"",COUNTA(archive!H2192:CI2192))</f>
        <v/>
      </c>
      <c r="G2192" s="47" t="str">
        <f>IF(archive!G2192="","",archive!G2192)</f>
        <v/>
      </c>
      <c r="H2192" s="51" t="str">
        <f>IF(archive!CJ2192="","",archive!CJ2192)</f>
        <v/>
      </c>
      <c r="I2192" s="51" t="str">
        <f>IF(archive!CK2192="","",archive!CK2192)</f>
        <v/>
      </c>
      <c r="J2192" s="47" t="str">
        <f t="shared" si="479"/>
        <v/>
      </c>
      <c r="K2192" s="51" t="str">
        <f t="shared" si="480"/>
        <v/>
      </c>
      <c r="L2192" s="52" t="str">
        <f t="shared" si="481"/>
        <v/>
      </c>
      <c r="M2192" s="53" t="str">
        <f t="shared" si="482"/>
        <v/>
      </c>
      <c r="N2192" s="53" t="str">
        <f t="shared" si="483"/>
        <v/>
      </c>
      <c r="O2192" s="53" t="str">
        <f t="shared" si="484"/>
        <v/>
      </c>
      <c r="P2192" s="53" t="str">
        <f t="shared" si="485"/>
        <v/>
      </c>
      <c r="Q2192" s="53" t="str">
        <f t="shared" si="486"/>
        <v/>
      </c>
      <c r="R2192" s="53" t="str">
        <f t="shared" si="487"/>
        <v/>
      </c>
      <c r="S2192" s="53" t="str">
        <f t="shared" si="488"/>
        <v/>
      </c>
      <c r="T2192" s="53" t="str">
        <f t="shared" si="489"/>
        <v/>
      </c>
    </row>
    <row r="2193" spans="1:20">
      <c r="A2193" s="47" t="str">
        <f>IF(archive!E2193="","",archive!E2193)</f>
        <v/>
      </c>
      <c r="B2193" s="48" t="str">
        <f t="shared" si="476"/>
        <v/>
      </c>
      <c r="C2193" s="49" t="str">
        <f>IF(archive!F2193="","",archive!F2193)</f>
        <v/>
      </c>
      <c r="D2193" s="50" t="str">
        <f t="shared" si="477"/>
        <v/>
      </c>
      <c r="E2193" s="50" t="str">
        <f t="shared" si="478"/>
        <v/>
      </c>
      <c r="F2193" s="47" t="str">
        <f>IF(COUNTA(archive!H2193:CI2193)=0,"",COUNTA(archive!H2193:CI2193))</f>
        <v/>
      </c>
      <c r="G2193" s="47" t="str">
        <f>IF(archive!G2193="","",archive!G2193)</f>
        <v/>
      </c>
      <c r="H2193" s="51" t="str">
        <f>IF(archive!CJ2193="","",archive!CJ2193)</f>
        <v/>
      </c>
      <c r="I2193" s="51" t="str">
        <f>IF(archive!CK2193="","",archive!CK2193)</f>
        <v/>
      </c>
      <c r="J2193" s="47" t="str">
        <f t="shared" si="479"/>
        <v/>
      </c>
      <c r="K2193" s="51" t="str">
        <f t="shared" si="480"/>
        <v/>
      </c>
      <c r="L2193" s="52" t="str">
        <f t="shared" si="481"/>
        <v/>
      </c>
      <c r="M2193" s="53" t="str">
        <f t="shared" si="482"/>
        <v/>
      </c>
      <c r="N2193" s="53" t="str">
        <f t="shared" si="483"/>
        <v/>
      </c>
      <c r="O2193" s="53" t="str">
        <f t="shared" si="484"/>
        <v/>
      </c>
      <c r="P2193" s="53" t="str">
        <f t="shared" si="485"/>
        <v/>
      </c>
      <c r="Q2193" s="53" t="str">
        <f t="shared" si="486"/>
        <v/>
      </c>
      <c r="R2193" s="53" t="str">
        <f t="shared" si="487"/>
        <v/>
      </c>
      <c r="S2193" s="53" t="str">
        <f t="shared" si="488"/>
        <v/>
      </c>
      <c r="T2193" s="53" t="str">
        <f t="shared" si="489"/>
        <v/>
      </c>
    </row>
    <row r="2194" spans="1:20">
      <c r="A2194" s="47" t="str">
        <f>IF(archive!E2194="","",archive!E2194)</f>
        <v/>
      </c>
      <c r="B2194" s="48" t="str">
        <f t="shared" si="476"/>
        <v/>
      </c>
      <c r="C2194" s="49" t="str">
        <f>IF(archive!F2194="","",archive!F2194)</f>
        <v/>
      </c>
      <c r="D2194" s="50" t="str">
        <f t="shared" si="477"/>
        <v/>
      </c>
      <c r="E2194" s="50" t="str">
        <f t="shared" si="478"/>
        <v/>
      </c>
      <c r="F2194" s="47" t="str">
        <f>IF(COUNTA(archive!H2194:CI2194)=0,"",COUNTA(archive!H2194:CI2194))</f>
        <v/>
      </c>
      <c r="G2194" s="47" t="str">
        <f>IF(archive!G2194="","",archive!G2194)</f>
        <v/>
      </c>
      <c r="H2194" s="51" t="str">
        <f>IF(archive!CJ2194="","",archive!CJ2194)</f>
        <v/>
      </c>
      <c r="I2194" s="51" t="str">
        <f>IF(archive!CK2194="","",archive!CK2194)</f>
        <v/>
      </c>
      <c r="J2194" s="47" t="str">
        <f t="shared" si="479"/>
        <v/>
      </c>
      <c r="K2194" s="51" t="str">
        <f t="shared" si="480"/>
        <v/>
      </c>
      <c r="L2194" s="52" t="str">
        <f t="shared" si="481"/>
        <v/>
      </c>
      <c r="M2194" s="53" t="str">
        <f t="shared" si="482"/>
        <v/>
      </c>
      <c r="N2194" s="53" t="str">
        <f t="shared" si="483"/>
        <v/>
      </c>
      <c r="O2194" s="53" t="str">
        <f t="shared" si="484"/>
        <v/>
      </c>
      <c r="P2194" s="53" t="str">
        <f t="shared" si="485"/>
        <v/>
      </c>
      <c r="Q2194" s="53" t="str">
        <f t="shared" si="486"/>
        <v/>
      </c>
      <c r="R2194" s="53" t="str">
        <f t="shared" si="487"/>
        <v/>
      </c>
      <c r="S2194" s="53" t="str">
        <f t="shared" si="488"/>
        <v/>
      </c>
      <c r="T2194" s="53" t="str">
        <f t="shared" si="489"/>
        <v/>
      </c>
    </row>
    <row r="2195" spans="1:20">
      <c r="A2195" s="47" t="str">
        <f>IF(archive!E2195="","",archive!E2195)</f>
        <v/>
      </c>
      <c r="B2195" s="48" t="str">
        <f t="shared" si="476"/>
        <v/>
      </c>
      <c r="C2195" s="49" t="str">
        <f>IF(archive!F2195="","",archive!F2195)</f>
        <v/>
      </c>
      <c r="D2195" s="50" t="str">
        <f t="shared" si="477"/>
        <v/>
      </c>
      <c r="E2195" s="50" t="str">
        <f t="shared" si="478"/>
        <v/>
      </c>
      <c r="F2195" s="47" t="str">
        <f>IF(COUNTA(archive!H2195:CI2195)=0,"",COUNTA(archive!H2195:CI2195))</f>
        <v/>
      </c>
      <c r="G2195" s="47" t="str">
        <f>IF(archive!G2195="","",archive!G2195)</f>
        <v/>
      </c>
      <c r="H2195" s="51" t="str">
        <f>IF(archive!CJ2195="","",archive!CJ2195)</f>
        <v/>
      </c>
      <c r="I2195" s="51" t="str">
        <f>IF(archive!CK2195="","",archive!CK2195)</f>
        <v/>
      </c>
      <c r="J2195" s="47" t="str">
        <f t="shared" si="479"/>
        <v/>
      </c>
      <c r="K2195" s="51" t="str">
        <f t="shared" si="480"/>
        <v/>
      </c>
      <c r="L2195" s="52" t="str">
        <f t="shared" si="481"/>
        <v/>
      </c>
      <c r="M2195" s="53" t="str">
        <f t="shared" si="482"/>
        <v/>
      </c>
      <c r="N2195" s="53" t="str">
        <f t="shared" si="483"/>
        <v/>
      </c>
      <c r="O2195" s="53" t="str">
        <f t="shared" si="484"/>
        <v/>
      </c>
      <c r="P2195" s="53" t="str">
        <f t="shared" si="485"/>
        <v/>
      </c>
      <c r="Q2195" s="53" t="str">
        <f t="shared" si="486"/>
        <v/>
      </c>
      <c r="R2195" s="53" t="str">
        <f t="shared" si="487"/>
        <v/>
      </c>
      <c r="S2195" s="53" t="str">
        <f t="shared" si="488"/>
        <v/>
      </c>
      <c r="T2195" s="53" t="str">
        <f t="shared" si="489"/>
        <v/>
      </c>
    </row>
    <row r="2196" spans="1:20">
      <c r="A2196" s="47" t="str">
        <f>IF(archive!E2196="","",archive!E2196)</f>
        <v/>
      </c>
      <c r="B2196" s="48" t="str">
        <f t="shared" si="476"/>
        <v/>
      </c>
      <c r="C2196" s="49" t="str">
        <f>IF(archive!F2196="","",archive!F2196)</f>
        <v/>
      </c>
      <c r="D2196" s="50" t="str">
        <f t="shared" si="477"/>
        <v/>
      </c>
      <c r="E2196" s="50" t="str">
        <f t="shared" si="478"/>
        <v/>
      </c>
      <c r="F2196" s="47" t="str">
        <f>IF(COUNTA(archive!H2196:CI2196)=0,"",COUNTA(archive!H2196:CI2196))</f>
        <v/>
      </c>
      <c r="G2196" s="47" t="str">
        <f>IF(archive!G2196="","",archive!G2196)</f>
        <v/>
      </c>
      <c r="H2196" s="51" t="str">
        <f>IF(archive!CJ2196="","",archive!CJ2196)</f>
        <v/>
      </c>
      <c r="I2196" s="51" t="str">
        <f>IF(archive!CK2196="","",archive!CK2196)</f>
        <v/>
      </c>
      <c r="J2196" s="47" t="str">
        <f t="shared" si="479"/>
        <v/>
      </c>
      <c r="K2196" s="51" t="str">
        <f t="shared" si="480"/>
        <v/>
      </c>
      <c r="L2196" s="52" t="str">
        <f t="shared" si="481"/>
        <v/>
      </c>
      <c r="M2196" s="53" t="str">
        <f t="shared" si="482"/>
        <v/>
      </c>
      <c r="N2196" s="53" t="str">
        <f t="shared" si="483"/>
        <v/>
      </c>
      <c r="O2196" s="53" t="str">
        <f t="shared" si="484"/>
        <v/>
      </c>
      <c r="P2196" s="53" t="str">
        <f t="shared" si="485"/>
        <v/>
      </c>
      <c r="Q2196" s="53" t="str">
        <f t="shared" si="486"/>
        <v/>
      </c>
      <c r="R2196" s="53" t="str">
        <f t="shared" si="487"/>
        <v/>
      </c>
      <c r="S2196" s="53" t="str">
        <f t="shared" si="488"/>
        <v/>
      </c>
      <c r="T2196" s="53" t="str">
        <f t="shared" si="489"/>
        <v/>
      </c>
    </row>
    <row r="2197" spans="1:20">
      <c r="A2197" s="47" t="str">
        <f>IF(archive!E2197="","",archive!E2197)</f>
        <v/>
      </c>
      <c r="B2197" s="48" t="str">
        <f t="shared" si="476"/>
        <v/>
      </c>
      <c r="C2197" s="49" t="str">
        <f>IF(archive!F2197="","",archive!F2197)</f>
        <v/>
      </c>
      <c r="D2197" s="50" t="str">
        <f t="shared" si="477"/>
        <v/>
      </c>
      <c r="E2197" s="50" t="str">
        <f t="shared" si="478"/>
        <v/>
      </c>
      <c r="F2197" s="47" t="str">
        <f>IF(COUNTA(archive!H2197:CI2197)=0,"",COUNTA(archive!H2197:CI2197))</f>
        <v/>
      </c>
      <c r="G2197" s="47" t="str">
        <f>IF(archive!G2197="","",archive!G2197)</f>
        <v/>
      </c>
      <c r="H2197" s="51" t="str">
        <f>IF(archive!CJ2197="","",archive!CJ2197)</f>
        <v/>
      </c>
      <c r="I2197" s="51" t="str">
        <f>IF(archive!CK2197="","",archive!CK2197)</f>
        <v/>
      </c>
      <c r="J2197" s="47" t="str">
        <f t="shared" si="479"/>
        <v/>
      </c>
      <c r="K2197" s="51" t="str">
        <f t="shared" si="480"/>
        <v/>
      </c>
      <c r="L2197" s="52" t="str">
        <f t="shared" si="481"/>
        <v/>
      </c>
      <c r="M2197" s="53" t="str">
        <f t="shared" si="482"/>
        <v/>
      </c>
      <c r="N2197" s="53" t="str">
        <f t="shared" si="483"/>
        <v/>
      </c>
      <c r="O2197" s="53" t="str">
        <f t="shared" si="484"/>
        <v/>
      </c>
      <c r="P2197" s="53" t="str">
        <f t="shared" si="485"/>
        <v/>
      </c>
      <c r="Q2197" s="53" t="str">
        <f t="shared" si="486"/>
        <v/>
      </c>
      <c r="R2197" s="53" t="str">
        <f t="shared" si="487"/>
        <v/>
      </c>
      <c r="S2197" s="53" t="str">
        <f t="shared" si="488"/>
        <v/>
      </c>
      <c r="T2197" s="53" t="str">
        <f t="shared" si="489"/>
        <v/>
      </c>
    </row>
    <row r="2198" spans="1:20">
      <c r="A2198" s="47" t="str">
        <f>IF(archive!E2198="","",archive!E2198)</f>
        <v/>
      </c>
      <c r="B2198" s="48" t="str">
        <f t="shared" si="476"/>
        <v/>
      </c>
      <c r="C2198" s="49" t="str">
        <f>IF(archive!F2198="","",archive!F2198)</f>
        <v/>
      </c>
      <c r="D2198" s="50" t="str">
        <f t="shared" si="477"/>
        <v/>
      </c>
      <c r="E2198" s="50" t="str">
        <f t="shared" si="478"/>
        <v/>
      </c>
      <c r="F2198" s="47" t="str">
        <f>IF(COUNTA(archive!H2198:CI2198)=0,"",COUNTA(archive!H2198:CI2198))</f>
        <v/>
      </c>
      <c r="G2198" s="47" t="str">
        <f>IF(archive!G2198="","",archive!G2198)</f>
        <v/>
      </c>
      <c r="H2198" s="51" t="str">
        <f>IF(archive!CJ2198="","",archive!CJ2198)</f>
        <v/>
      </c>
      <c r="I2198" s="51" t="str">
        <f>IF(archive!CK2198="","",archive!CK2198)</f>
        <v/>
      </c>
      <c r="J2198" s="47" t="str">
        <f t="shared" si="479"/>
        <v/>
      </c>
      <c r="K2198" s="51" t="str">
        <f t="shared" si="480"/>
        <v/>
      </c>
      <c r="L2198" s="52" t="str">
        <f t="shared" si="481"/>
        <v/>
      </c>
      <c r="M2198" s="53" t="str">
        <f t="shared" si="482"/>
        <v/>
      </c>
      <c r="N2198" s="53" t="str">
        <f t="shared" si="483"/>
        <v/>
      </c>
      <c r="O2198" s="53" t="str">
        <f t="shared" si="484"/>
        <v/>
      </c>
      <c r="P2198" s="53" t="str">
        <f t="shared" si="485"/>
        <v/>
      </c>
      <c r="Q2198" s="53" t="str">
        <f t="shared" si="486"/>
        <v/>
      </c>
      <c r="R2198" s="53" t="str">
        <f t="shared" si="487"/>
        <v/>
      </c>
      <c r="S2198" s="53" t="str">
        <f t="shared" si="488"/>
        <v/>
      </c>
      <c r="T2198" s="53" t="str">
        <f t="shared" si="489"/>
        <v/>
      </c>
    </row>
    <row r="2199" spans="1:20">
      <c r="A2199" s="47" t="str">
        <f>IF(archive!E2199="","",archive!E2199)</f>
        <v/>
      </c>
      <c r="B2199" s="48" t="str">
        <f t="shared" si="476"/>
        <v/>
      </c>
      <c r="C2199" s="49" t="str">
        <f>IF(archive!F2199="","",archive!F2199)</f>
        <v/>
      </c>
      <c r="D2199" s="50" t="str">
        <f t="shared" si="477"/>
        <v/>
      </c>
      <c r="E2199" s="50" t="str">
        <f t="shared" si="478"/>
        <v/>
      </c>
      <c r="F2199" s="47" t="str">
        <f>IF(COUNTA(archive!H2199:CI2199)=0,"",COUNTA(archive!H2199:CI2199))</f>
        <v/>
      </c>
      <c r="G2199" s="47" t="str">
        <f>IF(archive!G2199="","",archive!G2199)</f>
        <v/>
      </c>
      <c r="H2199" s="51" t="str">
        <f>IF(archive!CJ2199="","",archive!CJ2199)</f>
        <v/>
      </c>
      <c r="I2199" s="51" t="str">
        <f>IF(archive!CK2199="","",archive!CK2199)</f>
        <v/>
      </c>
      <c r="J2199" s="47" t="str">
        <f t="shared" si="479"/>
        <v/>
      </c>
      <c r="K2199" s="51" t="str">
        <f t="shared" si="480"/>
        <v/>
      </c>
      <c r="L2199" s="52" t="str">
        <f t="shared" si="481"/>
        <v/>
      </c>
      <c r="M2199" s="53" t="str">
        <f t="shared" si="482"/>
        <v/>
      </c>
      <c r="N2199" s="53" t="str">
        <f t="shared" si="483"/>
        <v/>
      </c>
      <c r="O2199" s="53" t="str">
        <f t="shared" si="484"/>
        <v/>
      </c>
      <c r="P2199" s="53" t="str">
        <f t="shared" si="485"/>
        <v/>
      </c>
      <c r="Q2199" s="53" t="str">
        <f t="shared" si="486"/>
        <v/>
      </c>
      <c r="R2199" s="53" t="str">
        <f t="shared" si="487"/>
        <v/>
      </c>
      <c r="S2199" s="53" t="str">
        <f t="shared" si="488"/>
        <v/>
      </c>
      <c r="T2199" s="53" t="str">
        <f t="shared" si="489"/>
        <v/>
      </c>
    </row>
    <row r="2200" spans="1:20">
      <c r="A2200" s="47" t="str">
        <f>IF(archive!E2200="","",archive!E2200)</f>
        <v/>
      </c>
      <c r="B2200" s="48" t="str">
        <f t="shared" si="476"/>
        <v/>
      </c>
      <c r="C2200" s="49" t="str">
        <f>IF(archive!F2200="","",archive!F2200)</f>
        <v/>
      </c>
      <c r="D2200" s="50" t="str">
        <f t="shared" si="477"/>
        <v/>
      </c>
      <c r="E2200" s="50" t="str">
        <f t="shared" si="478"/>
        <v/>
      </c>
      <c r="F2200" s="47" t="str">
        <f>IF(COUNTA(archive!H2200:CI2200)=0,"",COUNTA(archive!H2200:CI2200))</f>
        <v/>
      </c>
      <c r="G2200" s="47" t="str">
        <f>IF(archive!G2200="","",archive!G2200)</f>
        <v/>
      </c>
      <c r="H2200" s="51" t="str">
        <f>IF(archive!CJ2200="","",archive!CJ2200)</f>
        <v/>
      </c>
      <c r="I2200" s="51" t="str">
        <f>IF(archive!CK2200="","",archive!CK2200)</f>
        <v/>
      </c>
      <c r="J2200" s="47" t="str">
        <f t="shared" si="479"/>
        <v/>
      </c>
      <c r="K2200" s="51" t="str">
        <f t="shared" si="480"/>
        <v/>
      </c>
      <c r="L2200" s="52" t="str">
        <f t="shared" si="481"/>
        <v/>
      </c>
      <c r="M2200" s="53" t="str">
        <f t="shared" si="482"/>
        <v/>
      </c>
      <c r="N2200" s="53" t="str">
        <f t="shared" si="483"/>
        <v/>
      </c>
      <c r="O2200" s="53" t="str">
        <f t="shared" si="484"/>
        <v/>
      </c>
      <c r="P2200" s="53" t="str">
        <f t="shared" si="485"/>
        <v/>
      </c>
      <c r="Q2200" s="53" t="str">
        <f t="shared" si="486"/>
        <v/>
      </c>
      <c r="R2200" s="53" t="str">
        <f t="shared" si="487"/>
        <v/>
      </c>
      <c r="S2200" s="53" t="str">
        <f t="shared" si="488"/>
        <v/>
      </c>
      <c r="T2200" s="53" t="str">
        <f t="shared" si="489"/>
        <v/>
      </c>
    </row>
    <row r="2201" spans="1:20">
      <c r="A2201" s="47" t="str">
        <f>IF(archive!E2201="","",archive!E2201)</f>
        <v/>
      </c>
      <c r="B2201" s="48" t="str">
        <f t="shared" si="476"/>
        <v/>
      </c>
      <c r="C2201" s="49" t="str">
        <f>IF(archive!F2201="","",archive!F2201)</f>
        <v/>
      </c>
      <c r="D2201" s="50" t="str">
        <f t="shared" si="477"/>
        <v/>
      </c>
      <c r="E2201" s="50" t="str">
        <f t="shared" si="478"/>
        <v/>
      </c>
      <c r="F2201" s="47" t="str">
        <f>IF(COUNTA(archive!H2201:CI2201)=0,"",COUNTA(archive!H2201:CI2201))</f>
        <v/>
      </c>
      <c r="G2201" s="47" t="str">
        <f>IF(archive!G2201="","",archive!G2201)</f>
        <v/>
      </c>
      <c r="H2201" s="51" t="str">
        <f>IF(archive!CJ2201="","",archive!CJ2201)</f>
        <v/>
      </c>
      <c r="I2201" s="51" t="str">
        <f>IF(archive!CK2201="","",archive!CK2201)</f>
        <v/>
      </c>
      <c r="J2201" s="47" t="str">
        <f t="shared" si="479"/>
        <v/>
      </c>
      <c r="K2201" s="51" t="str">
        <f t="shared" si="480"/>
        <v/>
      </c>
      <c r="L2201" s="52" t="str">
        <f t="shared" si="481"/>
        <v/>
      </c>
      <c r="M2201" s="53" t="str">
        <f t="shared" si="482"/>
        <v/>
      </c>
      <c r="N2201" s="53" t="str">
        <f t="shared" si="483"/>
        <v/>
      </c>
      <c r="O2201" s="53" t="str">
        <f t="shared" si="484"/>
        <v/>
      </c>
      <c r="P2201" s="53" t="str">
        <f t="shared" si="485"/>
        <v/>
      </c>
      <c r="Q2201" s="53" t="str">
        <f t="shared" si="486"/>
        <v/>
      </c>
      <c r="R2201" s="53" t="str">
        <f t="shared" si="487"/>
        <v/>
      </c>
      <c r="S2201" s="53" t="str">
        <f t="shared" si="488"/>
        <v/>
      </c>
      <c r="T2201" s="53" t="str">
        <f t="shared" si="489"/>
        <v/>
      </c>
    </row>
    <row r="2202" spans="1:20">
      <c r="A2202" s="47" t="str">
        <f>IF(archive!E2202="","",archive!E2202)</f>
        <v/>
      </c>
      <c r="B2202" s="48" t="str">
        <f t="shared" si="476"/>
        <v/>
      </c>
      <c r="C2202" s="49" t="str">
        <f>IF(archive!F2202="","",archive!F2202)</f>
        <v/>
      </c>
      <c r="D2202" s="50" t="str">
        <f t="shared" si="477"/>
        <v/>
      </c>
      <c r="E2202" s="50" t="str">
        <f t="shared" si="478"/>
        <v/>
      </c>
      <c r="F2202" s="47" t="str">
        <f>IF(COUNTA(archive!H2202:CI2202)=0,"",COUNTA(archive!H2202:CI2202))</f>
        <v/>
      </c>
      <c r="G2202" s="47" t="str">
        <f>IF(archive!G2202="","",archive!G2202)</f>
        <v/>
      </c>
      <c r="H2202" s="51" t="str">
        <f>IF(archive!CJ2202="","",archive!CJ2202)</f>
        <v/>
      </c>
      <c r="I2202" s="51" t="str">
        <f>IF(archive!CK2202="","",archive!CK2202)</f>
        <v/>
      </c>
      <c r="J2202" s="47" t="str">
        <f t="shared" si="479"/>
        <v/>
      </c>
      <c r="K2202" s="51" t="str">
        <f t="shared" si="480"/>
        <v/>
      </c>
      <c r="L2202" s="52" t="str">
        <f t="shared" si="481"/>
        <v/>
      </c>
      <c r="M2202" s="53" t="str">
        <f t="shared" si="482"/>
        <v/>
      </c>
      <c r="N2202" s="53" t="str">
        <f t="shared" si="483"/>
        <v/>
      </c>
      <c r="O2202" s="53" t="str">
        <f t="shared" si="484"/>
        <v/>
      </c>
      <c r="P2202" s="53" t="str">
        <f t="shared" si="485"/>
        <v/>
      </c>
      <c r="Q2202" s="53" t="str">
        <f t="shared" si="486"/>
        <v/>
      </c>
      <c r="R2202" s="53" t="str">
        <f t="shared" si="487"/>
        <v/>
      </c>
      <c r="S2202" s="53" t="str">
        <f t="shared" si="488"/>
        <v/>
      </c>
      <c r="T2202" s="53" t="str">
        <f t="shared" si="489"/>
        <v/>
      </c>
    </row>
    <row r="2203" spans="1:20">
      <c r="A2203" s="47" t="str">
        <f>IF(archive!E2203="","",archive!E2203)</f>
        <v/>
      </c>
      <c r="B2203" s="48" t="str">
        <f t="shared" si="476"/>
        <v/>
      </c>
      <c r="C2203" s="49" t="str">
        <f>IF(archive!F2203="","",archive!F2203)</f>
        <v/>
      </c>
      <c r="D2203" s="50" t="str">
        <f t="shared" si="477"/>
        <v/>
      </c>
      <c r="E2203" s="50" t="str">
        <f t="shared" si="478"/>
        <v/>
      </c>
      <c r="F2203" s="47" t="str">
        <f>IF(COUNTA(archive!H2203:CI2203)=0,"",COUNTA(archive!H2203:CI2203))</f>
        <v/>
      </c>
      <c r="G2203" s="47" t="str">
        <f>IF(archive!G2203="","",archive!G2203)</f>
        <v/>
      </c>
      <c r="H2203" s="51" t="str">
        <f>IF(archive!CJ2203="","",archive!CJ2203)</f>
        <v/>
      </c>
      <c r="I2203" s="51" t="str">
        <f>IF(archive!CK2203="","",archive!CK2203)</f>
        <v/>
      </c>
      <c r="J2203" s="47" t="str">
        <f t="shared" si="479"/>
        <v/>
      </c>
      <c r="K2203" s="51" t="str">
        <f t="shared" si="480"/>
        <v/>
      </c>
      <c r="L2203" s="52" t="str">
        <f t="shared" si="481"/>
        <v/>
      </c>
      <c r="M2203" s="53" t="str">
        <f t="shared" si="482"/>
        <v/>
      </c>
      <c r="N2203" s="53" t="str">
        <f t="shared" si="483"/>
        <v/>
      </c>
      <c r="O2203" s="53" t="str">
        <f t="shared" si="484"/>
        <v/>
      </c>
      <c r="P2203" s="53" t="str">
        <f t="shared" si="485"/>
        <v/>
      </c>
      <c r="Q2203" s="53" t="str">
        <f t="shared" si="486"/>
        <v/>
      </c>
      <c r="R2203" s="53" t="str">
        <f t="shared" si="487"/>
        <v/>
      </c>
      <c r="S2203" s="53" t="str">
        <f t="shared" si="488"/>
        <v/>
      </c>
      <c r="T2203" s="53" t="str">
        <f t="shared" si="489"/>
        <v/>
      </c>
    </row>
    <row r="2204" spans="1:20">
      <c r="A2204" s="47" t="str">
        <f>IF(archive!E2204="","",archive!E2204)</f>
        <v/>
      </c>
      <c r="B2204" s="48" t="str">
        <f t="shared" si="476"/>
        <v/>
      </c>
      <c r="C2204" s="49" t="str">
        <f>IF(archive!F2204="","",archive!F2204)</f>
        <v/>
      </c>
      <c r="D2204" s="50" t="str">
        <f t="shared" si="477"/>
        <v/>
      </c>
      <c r="E2204" s="50" t="str">
        <f t="shared" si="478"/>
        <v/>
      </c>
      <c r="F2204" s="47" t="str">
        <f>IF(COUNTA(archive!H2204:CI2204)=0,"",COUNTA(archive!H2204:CI2204))</f>
        <v/>
      </c>
      <c r="G2204" s="47" t="str">
        <f>IF(archive!G2204="","",archive!G2204)</f>
        <v/>
      </c>
      <c r="H2204" s="51" t="str">
        <f>IF(archive!CJ2204="","",archive!CJ2204)</f>
        <v/>
      </c>
      <c r="I2204" s="51" t="str">
        <f>IF(archive!CK2204="","",archive!CK2204)</f>
        <v/>
      </c>
      <c r="J2204" s="47" t="str">
        <f t="shared" si="479"/>
        <v/>
      </c>
      <c r="K2204" s="51" t="str">
        <f t="shared" si="480"/>
        <v/>
      </c>
      <c r="L2204" s="52" t="str">
        <f t="shared" si="481"/>
        <v/>
      </c>
      <c r="M2204" s="53" t="str">
        <f t="shared" si="482"/>
        <v/>
      </c>
      <c r="N2204" s="53" t="str">
        <f t="shared" si="483"/>
        <v/>
      </c>
      <c r="O2204" s="53" t="str">
        <f t="shared" si="484"/>
        <v/>
      </c>
      <c r="P2204" s="53" t="str">
        <f t="shared" si="485"/>
        <v/>
      </c>
      <c r="Q2204" s="53" t="str">
        <f t="shared" si="486"/>
        <v/>
      </c>
      <c r="R2204" s="53" t="str">
        <f t="shared" si="487"/>
        <v/>
      </c>
      <c r="S2204" s="53" t="str">
        <f t="shared" si="488"/>
        <v/>
      </c>
      <c r="T2204" s="53" t="str">
        <f t="shared" si="489"/>
        <v/>
      </c>
    </row>
    <row r="2205" spans="1:20">
      <c r="A2205" s="47" t="str">
        <f>IF(archive!E2205="","",archive!E2205)</f>
        <v/>
      </c>
      <c r="B2205" s="48" t="str">
        <f t="shared" si="476"/>
        <v/>
      </c>
      <c r="C2205" s="49" t="str">
        <f>IF(archive!F2205="","",archive!F2205)</f>
        <v/>
      </c>
      <c r="D2205" s="50" t="str">
        <f t="shared" si="477"/>
        <v/>
      </c>
      <c r="E2205" s="50" t="str">
        <f t="shared" si="478"/>
        <v/>
      </c>
      <c r="F2205" s="47" t="str">
        <f>IF(COUNTA(archive!H2205:CI2205)=0,"",COUNTA(archive!H2205:CI2205))</f>
        <v/>
      </c>
      <c r="G2205" s="47" t="str">
        <f>IF(archive!G2205="","",archive!G2205)</f>
        <v/>
      </c>
      <c r="H2205" s="51" t="str">
        <f>IF(archive!CJ2205="","",archive!CJ2205)</f>
        <v/>
      </c>
      <c r="I2205" s="51" t="str">
        <f>IF(archive!CK2205="","",archive!CK2205)</f>
        <v/>
      </c>
      <c r="J2205" s="47" t="str">
        <f t="shared" si="479"/>
        <v/>
      </c>
      <c r="K2205" s="51" t="str">
        <f t="shared" si="480"/>
        <v/>
      </c>
      <c r="L2205" s="52" t="str">
        <f t="shared" si="481"/>
        <v/>
      </c>
      <c r="M2205" s="53" t="str">
        <f t="shared" si="482"/>
        <v/>
      </c>
      <c r="N2205" s="53" t="str">
        <f t="shared" si="483"/>
        <v/>
      </c>
      <c r="O2205" s="53" t="str">
        <f t="shared" si="484"/>
        <v/>
      </c>
      <c r="P2205" s="53" t="str">
        <f t="shared" si="485"/>
        <v/>
      </c>
      <c r="Q2205" s="53" t="str">
        <f t="shared" si="486"/>
        <v/>
      </c>
      <c r="R2205" s="53" t="str">
        <f t="shared" si="487"/>
        <v/>
      </c>
      <c r="S2205" s="53" t="str">
        <f t="shared" si="488"/>
        <v/>
      </c>
      <c r="T2205" s="53" t="str">
        <f t="shared" si="489"/>
        <v/>
      </c>
    </row>
    <row r="2206" spans="1:20">
      <c r="A2206" s="47" t="str">
        <f>IF(archive!E2206="","",archive!E2206)</f>
        <v/>
      </c>
      <c r="B2206" s="48" t="str">
        <f t="shared" si="476"/>
        <v/>
      </c>
      <c r="C2206" s="49" t="str">
        <f>IF(archive!F2206="","",archive!F2206)</f>
        <v/>
      </c>
      <c r="D2206" s="50" t="str">
        <f t="shared" si="477"/>
        <v/>
      </c>
      <c r="E2206" s="50" t="str">
        <f t="shared" si="478"/>
        <v/>
      </c>
      <c r="F2206" s="47" t="str">
        <f>IF(COUNTA(archive!H2206:CI2206)=0,"",COUNTA(archive!H2206:CI2206))</f>
        <v/>
      </c>
      <c r="G2206" s="47" t="str">
        <f>IF(archive!G2206="","",archive!G2206)</f>
        <v/>
      </c>
      <c r="H2206" s="51" t="str">
        <f>IF(archive!CJ2206="","",archive!CJ2206)</f>
        <v/>
      </c>
      <c r="I2206" s="51" t="str">
        <f>IF(archive!CK2206="","",archive!CK2206)</f>
        <v/>
      </c>
      <c r="J2206" s="47" t="str">
        <f t="shared" si="479"/>
        <v/>
      </c>
      <c r="K2206" s="51" t="str">
        <f t="shared" si="480"/>
        <v/>
      </c>
      <c r="L2206" s="52" t="str">
        <f t="shared" si="481"/>
        <v/>
      </c>
      <c r="M2206" s="53" t="str">
        <f t="shared" si="482"/>
        <v/>
      </c>
      <c r="N2206" s="53" t="str">
        <f t="shared" si="483"/>
        <v/>
      </c>
      <c r="O2206" s="53" t="str">
        <f t="shared" si="484"/>
        <v/>
      </c>
      <c r="P2206" s="53" t="str">
        <f t="shared" si="485"/>
        <v/>
      </c>
      <c r="Q2206" s="53" t="str">
        <f t="shared" si="486"/>
        <v/>
      </c>
      <c r="R2206" s="53" t="str">
        <f t="shared" si="487"/>
        <v/>
      </c>
      <c r="S2206" s="53" t="str">
        <f t="shared" si="488"/>
        <v/>
      </c>
      <c r="T2206" s="53" t="str">
        <f t="shared" si="489"/>
        <v/>
      </c>
    </row>
    <row r="2207" spans="1:20">
      <c r="A2207" s="47" t="str">
        <f>IF(archive!E2207="","",archive!E2207)</f>
        <v/>
      </c>
      <c r="B2207" s="48" t="str">
        <f t="shared" si="476"/>
        <v/>
      </c>
      <c r="C2207" s="49" t="str">
        <f>IF(archive!F2207="","",archive!F2207)</f>
        <v/>
      </c>
      <c r="D2207" s="50" t="str">
        <f t="shared" si="477"/>
        <v/>
      </c>
      <c r="E2207" s="50" t="str">
        <f t="shared" si="478"/>
        <v/>
      </c>
      <c r="F2207" s="47" t="str">
        <f>IF(COUNTA(archive!H2207:CI2207)=0,"",COUNTA(archive!H2207:CI2207))</f>
        <v/>
      </c>
      <c r="G2207" s="47" t="str">
        <f>IF(archive!G2207="","",archive!G2207)</f>
        <v/>
      </c>
      <c r="H2207" s="51" t="str">
        <f>IF(archive!CJ2207="","",archive!CJ2207)</f>
        <v/>
      </c>
      <c r="I2207" s="51" t="str">
        <f>IF(archive!CK2207="","",archive!CK2207)</f>
        <v/>
      </c>
      <c r="J2207" s="47" t="str">
        <f t="shared" si="479"/>
        <v/>
      </c>
      <c r="K2207" s="51" t="str">
        <f t="shared" si="480"/>
        <v/>
      </c>
      <c r="L2207" s="52" t="str">
        <f t="shared" si="481"/>
        <v/>
      </c>
      <c r="M2207" s="53" t="str">
        <f t="shared" si="482"/>
        <v/>
      </c>
      <c r="N2207" s="53" t="str">
        <f t="shared" si="483"/>
        <v/>
      </c>
      <c r="O2207" s="53" t="str">
        <f t="shared" si="484"/>
        <v/>
      </c>
      <c r="P2207" s="53" t="str">
        <f t="shared" si="485"/>
        <v/>
      </c>
      <c r="Q2207" s="53" t="str">
        <f t="shared" si="486"/>
        <v/>
      </c>
      <c r="R2207" s="53" t="str">
        <f t="shared" si="487"/>
        <v/>
      </c>
      <c r="S2207" s="53" t="str">
        <f t="shared" si="488"/>
        <v/>
      </c>
      <c r="T2207" s="53" t="str">
        <f t="shared" si="489"/>
        <v/>
      </c>
    </row>
    <row r="2208" spans="1:20">
      <c r="A2208" s="47" t="str">
        <f>IF(archive!E2208="","",archive!E2208)</f>
        <v/>
      </c>
      <c r="B2208" s="48" t="str">
        <f t="shared" si="476"/>
        <v/>
      </c>
      <c r="C2208" s="49" t="str">
        <f>IF(archive!F2208="","",archive!F2208)</f>
        <v/>
      </c>
      <c r="D2208" s="50" t="str">
        <f t="shared" si="477"/>
        <v/>
      </c>
      <c r="E2208" s="50" t="str">
        <f t="shared" si="478"/>
        <v/>
      </c>
      <c r="F2208" s="47" t="str">
        <f>IF(COUNTA(archive!H2208:CI2208)=0,"",COUNTA(archive!H2208:CI2208))</f>
        <v/>
      </c>
      <c r="G2208" s="47" t="str">
        <f>IF(archive!G2208="","",archive!G2208)</f>
        <v/>
      </c>
      <c r="H2208" s="51" t="str">
        <f>IF(archive!CJ2208="","",archive!CJ2208)</f>
        <v/>
      </c>
      <c r="I2208" s="51" t="str">
        <f>IF(archive!CK2208="","",archive!CK2208)</f>
        <v/>
      </c>
      <c r="J2208" s="47" t="str">
        <f t="shared" si="479"/>
        <v/>
      </c>
      <c r="K2208" s="51" t="str">
        <f t="shared" si="480"/>
        <v/>
      </c>
      <c r="L2208" s="52" t="str">
        <f t="shared" si="481"/>
        <v/>
      </c>
      <c r="M2208" s="53" t="str">
        <f t="shared" si="482"/>
        <v/>
      </c>
      <c r="N2208" s="53" t="str">
        <f t="shared" si="483"/>
        <v/>
      </c>
      <c r="O2208" s="53" t="str">
        <f t="shared" si="484"/>
        <v/>
      </c>
      <c r="P2208" s="53" t="str">
        <f t="shared" si="485"/>
        <v/>
      </c>
      <c r="Q2208" s="53" t="str">
        <f t="shared" si="486"/>
        <v/>
      </c>
      <c r="R2208" s="53" t="str">
        <f t="shared" si="487"/>
        <v/>
      </c>
      <c r="S2208" s="53" t="str">
        <f t="shared" si="488"/>
        <v/>
      </c>
      <c r="T2208" s="53" t="str">
        <f t="shared" si="489"/>
        <v/>
      </c>
    </row>
    <row r="2209" spans="1:20">
      <c r="A2209" s="47" t="str">
        <f>IF(archive!E2209="","",archive!E2209)</f>
        <v/>
      </c>
      <c r="B2209" s="48" t="str">
        <f t="shared" si="476"/>
        <v/>
      </c>
      <c r="C2209" s="49" t="str">
        <f>IF(archive!F2209="","",archive!F2209)</f>
        <v/>
      </c>
      <c r="D2209" s="50" t="str">
        <f t="shared" si="477"/>
        <v/>
      </c>
      <c r="E2209" s="50" t="str">
        <f t="shared" si="478"/>
        <v/>
      </c>
      <c r="F2209" s="47" t="str">
        <f>IF(COUNTA(archive!H2209:CI2209)=0,"",COUNTA(archive!H2209:CI2209))</f>
        <v/>
      </c>
      <c r="G2209" s="47" t="str">
        <f>IF(archive!G2209="","",archive!G2209)</f>
        <v/>
      </c>
      <c r="H2209" s="51" t="str">
        <f>IF(archive!CJ2209="","",archive!CJ2209)</f>
        <v/>
      </c>
      <c r="I2209" s="51" t="str">
        <f>IF(archive!CK2209="","",archive!CK2209)</f>
        <v/>
      </c>
      <c r="J2209" s="47" t="str">
        <f t="shared" si="479"/>
        <v/>
      </c>
      <c r="K2209" s="51" t="str">
        <f t="shared" si="480"/>
        <v/>
      </c>
      <c r="L2209" s="52" t="str">
        <f t="shared" si="481"/>
        <v/>
      </c>
      <c r="M2209" s="53" t="str">
        <f t="shared" si="482"/>
        <v/>
      </c>
      <c r="N2209" s="53" t="str">
        <f t="shared" si="483"/>
        <v/>
      </c>
      <c r="O2209" s="53" t="str">
        <f t="shared" si="484"/>
        <v/>
      </c>
      <c r="P2209" s="53" t="str">
        <f t="shared" si="485"/>
        <v/>
      </c>
      <c r="Q2209" s="53" t="str">
        <f t="shared" si="486"/>
        <v/>
      </c>
      <c r="R2209" s="53" t="str">
        <f t="shared" si="487"/>
        <v/>
      </c>
      <c r="S2209" s="53" t="str">
        <f t="shared" si="488"/>
        <v/>
      </c>
      <c r="T2209" s="53" t="str">
        <f t="shared" si="489"/>
        <v/>
      </c>
    </row>
    <row r="2210" spans="1:20">
      <c r="A2210" s="47" t="str">
        <f>IF(archive!E2210="","",archive!E2210)</f>
        <v/>
      </c>
      <c r="B2210" s="48" t="str">
        <f t="shared" si="476"/>
        <v/>
      </c>
      <c r="C2210" s="49" t="str">
        <f>IF(archive!F2210="","",archive!F2210)</f>
        <v/>
      </c>
      <c r="D2210" s="50" t="str">
        <f t="shared" si="477"/>
        <v/>
      </c>
      <c r="E2210" s="50" t="str">
        <f t="shared" si="478"/>
        <v/>
      </c>
      <c r="F2210" s="47" t="str">
        <f>IF(COUNTA(archive!H2210:CI2210)=0,"",COUNTA(archive!H2210:CI2210))</f>
        <v/>
      </c>
      <c r="G2210" s="47" t="str">
        <f>IF(archive!G2210="","",archive!G2210)</f>
        <v/>
      </c>
      <c r="H2210" s="51" t="str">
        <f>IF(archive!CJ2210="","",archive!CJ2210)</f>
        <v/>
      </c>
      <c r="I2210" s="51" t="str">
        <f>IF(archive!CK2210="","",archive!CK2210)</f>
        <v/>
      </c>
      <c r="J2210" s="47" t="str">
        <f t="shared" si="479"/>
        <v/>
      </c>
      <c r="K2210" s="51" t="str">
        <f t="shared" si="480"/>
        <v/>
      </c>
      <c r="L2210" s="52" t="str">
        <f t="shared" si="481"/>
        <v/>
      </c>
      <c r="M2210" s="53" t="str">
        <f t="shared" si="482"/>
        <v/>
      </c>
      <c r="N2210" s="53" t="str">
        <f t="shared" si="483"/>
        <v/>
      </c>
      <c r="O2210" s="53" t="str">
        <f t="shared" si="484"/>
        <v/>
      </c>
      <c r="P2210" s="53" t="str">
        <f t="shared" si="485"/>
        <v/>
      </c>
      <c r="Q2210" s="53" t="str">
        <f t="shared" si="486"/>
        <v/>
      </c>
      <c r="R2210" s="53" t="str">
        <f t="shared" si="487"/>
        <v/>
      </c>
      <c r="S2210" s="53" t="str">
        <f t="shared" si="488"/>
        <v/>
      </c>
      <c r="T2210" s="53" t="str">
        <f t="shared" si="489"/>
        <v/>
      </c>
    </row>
    <row r="2211" spans="1:20">
      <c r="A2211" s="47" t="str">
        <f>IF(archive!E2211="","",archive!E2211)</f>
        <v/>
      </c>
      <c r="B2211" s="48" t="str">
        <f t="shared" si="476"/>
        <v/>
      </c>
      <c r="C2211" s="49" t="str">
        <f>IF(archive!F2211="","",archive!F2211)</f>
        <v/>
      </c>
      <c r="D2211" s="50" t="str">
        <f t="shared" si="477"/>
        <v/>
      </c>
      <c r="E2211" s="50" t="str">
        <f t="shared" si="478"/>
        <v/>
      </c>
      <c r="F2211" s="47" t="str">
        <f>IF(COUNTA(archive!H2211:CI2211)=0,"",COUNTA(archive!H2211:CI2211))</f>
        <v/>
      </c>
      <c r="G2211" s="47" t="str">
        <f>IF(archive!G2211="","",archive!G2211)</f>
        <v/>
      </c>
      <c r="H2211" s="51" t="str">
        <f>IF(archive!CJ2211="","",archive!CJ2211)</f>
        <v/>
      </c>
      <c r="I2211" s="51" t="str">
        <f>IF(archive!CK2211="","",archive!CK2211)</f>
        <v/>
      </c>
      <c r="J2211" s="47" t="str">
        <f t="shared" si="479"/>
        <v/>
      </c>
      <c r="K2211" s="51" t="str">
        <f t="shared" si="480"/>
        <v/>
      </c>
      <c r="L2211" s="52" t="str">
        <f t="shared" si="481"/>
        <v/>
      </c>
      <c r="M2211" s="53" t="str">
        <f t="shared" si="482"/>
        <v/>
      </c>
      <c r="N2211" s="53" t="str">
        <f t="shared" si="483"/>
        <v/>
      </c>
      <c r="O2211" s="53" t="str">
        <f t="shared" si="484"/>
        <v/>
      </c>
      <c r="P2211" s="53" t="str">
        <f t="shared" si="485"/>
        <v/>
      </c>
      <c r="Q2211" s="53" t="str">
        <f t="shared" si="486"/>
        <v/>
      </c>
      <c r="R2211" s="53" t="str">
        <f t="shared" si="487"/>
        <v/>
      </c>
      <c r="S2211" s="53" t="str">
        <f t="shared" si="488"/>
        <v/>
      </c>
      <c r="T2211" s="53" t="str">
        <f t="shared" si="489"/>
        <v/>
      </c>
    </row>
    <row r="2212" spans="1:20">
      <c r="A2212" s="47" t="str">
        <f>IF(archive!E2212="","",archive!E2212)</f>
        <v/>
      </c>
      <c r="B2212" s="48" t="str">
        <f t="shared" si="476"/>
        <v/>
      </c>
      <c r="C2212" s="49" t="str">
        <f>IF(archive!F2212="","",archive!F2212)</f>
        <v/>
      </c>
      <c r="D2212" s="50" t="str">
        <f t="shared" si="477"/>
        <v/>
      </c>
      <c r="E2212" s="50" t="str">
        <f t="shared" si="478"/>
        <v/>
      </c>
      <c r="F2212" s="47" t="str">
        <f>IF(COUNTA(archive!H2212:CI2212)=0,"",COUNTA(archive!H2212:CI2212))</f>
        <v/>
      </c>
      <c r="G2212" s="47" t="str">
        <f>IF(archive!G2212="","",archive!G2212)</f>
        <v/>
      </c>
      <c r="H2212" s="51" t="str">
        <f>IF(archive!CJ2212="","",archive!CJ2212)</f>
        <v/>
      </c>
      <c r="I2212" s="51" t="str">
        <f>IF(archive!CK2212="","",archive!CK2212)</f>
        <v/>
      </c>
      <c r="J2212" s="47" t="str">
        <f t="shared" si="479"/>
        <v/>
      </c>
      <c r="K2212" s="51" t="str">
        <f t="shared" si="480"/>
        <v/>
      </c>
      <c r="L2212" s="52" t="str">
        <f t="shared" si="481"/>
        <v/>
      </c>
      <c r="M2212" s="53" t="str">
        <f t="shared" si="482"/>
        <v/>
      </c>
      <c r="N2212" s="53" t="str">
        <f t="shared" si="483"/>
        <v/>
      </c>
      <c r="O2212" s="53" t="str">
        <f t="shared" si="484"/>
        <v/>
      </c>
      <c r="P2212" s="53" t="str">
        <f t="shared" si="485"/>
        <v/>
      </c>
      <c r="Q2212" s="53" t="str">
        <f t="shared" si="486"/>
        <v/>
      </c>
      <c r="R2212" s="53" t="str">
        <f t="shared" si="487"/>
        <v/>
      </c>
      <c r="S2212" s="53" t="str">
        <f t="shared" si="488"/>
        <v/>
      </c>
      <c r="T2212" s="53" t="str">
        <f t="shared" si="489"/>
        <v/>
      </c>
    </row>
    <row r="2213" spans="1:20">
      <c r="A2213" s="47" t="str">
        <f>IF(archive!E2213="","",archive!E2213)</f>
        <v/>
      </c>
      <c r="B2213" s="48" t="str">
        <f t="shared" si="476"/>
        <v/>
      </c>
      <c r="C2213" s="49" t="str">
        <f>IF(archive!F2213="","",archive!F2213)</f>
        <v/>
      </c>
      <c r="D2213" s="50" t="str">
        <f t="shared" si="477"/>
        <v/>
      </c>
      <c r="E2213" s="50" t="str">
        <f t="shared" si="478"/>
        <v/>
      </c>
      <c r="F2213" s="47" t="str">
        <f>IF(COUNTA(archive!H2213:CI2213)=0,"",COUNTA(archive!H2213:CI2213))</f>
        <v/>
      </c>
      <c r="G2213" s="47" t="str">
        <f>IF(archive!G2213="","",archive!G2213)</f>
        <v/>
      </c>
      <c r="H2213" s="51" t="str">
        <f>IF(archive!CJ2213="","",archive!CJ2213)</f>
        <v/>
      </c>
      <c r="I2213" s="51" t="str">
        <f>IF(archive!CK2213="","",archive!CK2213)</f>
        <v/>
      </c>
      <c r="J2213" s="47" t="str">
        <f t="shared" si="479"/>
        <v/>
      </c>
      <c r="K2213" s="51" t="str">
        <f t="shared" si="480"/>
        <v/>
      </c>
      <c r="L2213" s="52" t="str">
        <f t="shared" si="481"/>
        <v/>
      </c>
      <c r="M2213" s="53" t="str">
        <f t="shared" si="482"/>
        <v/>
      </c>
      <c r="N2213" s="53" t="str">
        <f t="shared" si="483"/>
        <v/>
      </c>
      <c r="O2213" s="53" t="str">
        <f t="shared" si="484"/>
        <v/>
      </c>
      <c r="P2213" s="53" t="str">
        <f t="shared" si="485"/>
        <v/>
      </c>
      <c r="Q2213" s="53" t="str">
        <f t="shared" si="486"/>
        <v/>
      </c>
      <c r="R2213" s="53" t="str">
        <f t="shared" si="487"/>
        <v/>
      </c>
      <c r="S2213" s="53" t="str">
        <f t="shared" si="488"/>
        <v/>
      </c>
      <c r="T2213" s="53" t="str">
        <f t="shared" si="489"/>
        <v/>
      </c>
    </row>
    <row r="2214" spans="1:20">
      <c r="A2214" s="47" t="str">
        <f>IF(archive!E2214="","",archive!E2214)</f>
        <v/>
      </c>
      <c r="B2214" s="48" t="str">
        <f t="shared" si="476"/>
        <v/>
      </c>
      <c r="C2214" s="49" t="str">
        <f>IF(archive!F2214="","",archive!F2214)</f>
        <v/>
      </c>
      <c r="D2214" s="50" t="str">
        <f t="shared" si="477"/>
        <v/>
      </c>
      <c r="E2214" s="50" t="str">
        <f t="shared" si="478"/>
        <v/>
      </c>
      <c r="F2214" s="47" t="str">
        <f>IF(COUNTA(archive!H2214:CI2214)=0,"",COUNTA(archive!H2214:CI2214))</f>
        <v/>
      </c>
      <c r="G2214" s="47" t="str">
        <f>IF(archive!G2214="","",archive!G2214)</f>
        <v/>
      </c>
      <c r="H2214" s="51" t="str">
        <f>IF(archive!CJ2214="","",archive!CJ2214)</f>
        <v/>
      </c>
      <c r="I2214" s="51" t="str">
        <f>IF(archive!CK2214="","",archive!CK2214)</f>
        <v/>
      </c>
      <c r="J2214" s="47" t="str">
        <f t="shared" si="479"/>
        <v/>
      </c>
      <c r="K2214" s="51" t="str">
        <f t="shared" si="480"/>
        <v/>
      </c>
      <c r="L2214" s="52" t="str">
        <f t="shared" si="481"/>
        <v/>
      </c>
      <c r="M2214" s="53" t="str">
        <f t="shared" si="482"/>
        <v/>
      </c>
      <c r="N2214" s="53" t="str">
        <f t="shared" si="483"/>
        <v/>
      </c>
      <c r="O2214" s="53" t="str">
        <f t="shared" si="484"/>
        <v/>
      </c>
      <c r="P2214" s="53" t="str">
        <f t="shared" si="485"/>
        <v/>
      </c>
      <c r="Q2214" s="53" t="str">
        <f t="shared" si="486"/>
        <v/>
      </c>
      <c r="R2214" s="53" t="str">
        <f t="shared" si="487"/>
        <v/>
      </c>
      <c r="S2214" s="53" t="str">
        <f t="shared" si="488"/>
        <v/>
      </c>
      <c r="T2214" s="53" t="str">
        <f t="shared" si="489"/>
        <v/>
      </c>
    </row>
    <row r="2215" spans="1:20">
      <c r="A2215" s="47" t="str">
        <f>IF(archive!E2215="","",archive!E2215)</f>
        <v/>
      </c>
      <c r="B2215" s="48" t="str">
        <f t="shared" si="476"/>
        <v/>
      </c>
      <c r="C2215" s="49" t="str">
        <f>IF(archive!F2215="","",archive!F2215)</f>
        <v/>
      </c>
      <c r="D2215" s="50" t="str">
        <f t="shared" si="477"/>
        <v/>
      </c>
      <c r="E2215" s="50" t="str">
        <f t="shared" si="478"/>
        <v/>
      </c>
      <c r="F2215" s="47" t="str">
        <f>IF(COUNTA(archive!H2215:CI2215)=0,"",COUNTA(archive!H2215:CI2215))</f>
        <v/>
      </c>
      <c r="G2215" s="47" t="str">
        <f>IF(archive!G2215="","",archive!G2215)</f>
        <v/>
      </c>
      <c r="H2215" s="51" t="str">
        <f>IF(archive!CJ2215="","",archive!CJ2215)</f>
        <v/>
      </c>
      <c r="I2215" s="51" t="str">
        <f>IF(archive!CK2215="","",archive!CK2215)</f>
        <v/>
      </c>
      <c r="J2215" s="47" t="str">
        <f t="shared" si="479"/>
        <v/>
      </c>
      <c r="K2215" s="51" t="str">
        <f t="shared" si="480"/>
        <v/>
      </c>
      <c r="L2215" s="52" t="str">
        <f t="shared" si="481"/>
        <v/>
      </c>
      <c r="M2215" s="53" t="str">
        <f t="shared" si="482"/>
        <v/>
      </c>
      <c r="N2215" s="53" t="str">
        <f t="shared" si="483"/>
        <v/>
      </c>
      <c r="O2215" s="53" t="str">
        <f t="shared" si="484"/>
        <v/>
      </c>
      <c r="P2215" s="53" t="str">
        <f t="shared" si="485"/>
        <v/>
      </c>
      <c r="Q2215" s="53" t="str">
        <f t="shared" si="486"/>
        <v/>
      </c>
      <c r="R2215" s="53" t="str">
        <f t="shared" si="487"/>
        <v/>
      </c>
      <c r="S2215" s="53" t="str">
        <f t="shared" si="488"/>
        <v/>
      </c>
      <c r="T2215" s="53" t="str">
        <f t="shared" si="489"/>
        <v/>
      </c>
    </row>
    <row r="2216" spans="1:20">
      <c r="A2216" s="47" t="str">
        <f>IF(archive!E2216="","",archive!E2216)</f>
        <v/>
      </c>
      <c r="B2216" s="48" t="str">
        <f t="shared" si="476"/>
        <v/>
      </c>
      <c r="C2216" s="49" t="str">
        <f>IF(archive!F2216="","",archive!F2216)</f>
        <v/>
      </c>
      <c r="D2216" s="50" t="str">
        <f t="shared" si="477"/>
        <v/>
      </c>
      <c r="E2216" s="50" t="str">
        <f t="shared" si="478"/>
        <v/>
      </c>
      <c r="F2216" s="47" t="str">
        <f>IF(COUNTA(archive!H2216:CI2216)=0,"",COUNTA(archive!H2216:CI2216))</f>
        <v/>
      </c>
      <c r="G2216" s="47" t="str">
        <f>IF(archive!G2216="","",archive!G2216)</f>
        <v/>
      </c>
      <c r="H2216" s="51" t="str">
        <f>IF(archive!CJ2216="","",archive!CJ2216)</f>
        <v/>
      </c>
      <c r="I2216" s="51" t="str">
        <f>IF(archive!CK2216="","",archive!CK2216)</f>
        <v/>
      </c>
      <c r="J2216" s="47" t="str">
        <f t="shared" si="479"/>
        <v/>
      </c>
      <c r="K2216" s="51" t="str">
        <f t="shared" si="480"/>
        <v/>
      </c>
      <c r="L2216" s="52" t="str">
        <f t="shared" si="481"/>
        <v/>
      </c>
      <c r="M2216" s="53" t="str">
        <f t="shared" si="482"/>
        <v/>
      </c>
      <c r="N2216" s="53" t="str">
        <f t="shared" si="483"/>
        <v/>
      </c>
      <c r="O2216" s="53" t="str">
        <f t="shared" si="484"/>
        <v/>
      </c>
      <c r="P2216" s="53" t="str">
        <f t="shared" si="485"/>
        <v/>
      </c>
      <c r="Q2216" s="53" t="str">
        <f t="shared" si="486"/>
        <v/>
      </c>
      <c r="R2216" s="53" t="str">
        <f t="shared" si="487"/>
        <v/>
      </c>
      <c r="S2216" s="53" t="str">
        <f t="shared" si="488"/>
        <v/>
      </c>
      <c r="T2216" s="53" t="str">
        <f t="shared" si="489"/>
        <v/>
      </c>
    </row>
    <row r="2217" spans="1:20">
      <c r="A2217" s="47" t="str">
        <f>IF(archive!E2217="","",archive!E2217)</f>
        <v/>
      </c>
      <c r="B2217" s="48" t="str">
        <f t="shared" si="476"/>
        <v/>
      </c>
      <c r="C2217" s="49" t="str">
        <f>IF(archive!F2217="","",archive!F2217)</f>
        <v/>
      </c>
      <c r="D2217" s="50" t="str">
        <f t="shared" si="477"/>
        <v/>
      </c>
      <c r="E2217" s="50" t="str">
        <f t="shared" si="478"/>
        <v/>
      </c>
      <c r="F2217" s="47" t="str">
        <f>IF(COUNTA(archive!H2217:CI2217)=0,"",COUNTA(archive!H2217:CI2217))</f>
        <v/>
      </c>
      <c r="G2217" s="47" t="str">
        <f>IF(archive!G2217="","",archive!G2217)</f>
        <v/>
      </c>
      <c r="H2217" s="51" t="str">
        <f>IF(archive!CJ2217="","",archive!CJ2217)</f>
        <v/>
      </c>
      <c r="I2217" s="51" t="str">
        <f>IF(archive!CK2217="","",archive!CK2217)</f>
        <v/>
      </c>
      <c r="J2217" s="47" t="str">
        <f t="shared" si="479"/>
        <v/>
      </c>
      <c r="K2217" s="51" t="str">
        <f t="shared" si="480"/>
        <v/>
      </c>
      <c r="L2217" s="52" t="str">
        <f t="shared" si="481"/>
        <v/>
      </c>
      <c r="M2217" s="53" t="str">
        <f t="shared" si="482"/>
        <v/>
      </c>
      <c r="N2217" s="53" t="str">
        <f t="shared" si="483"/>
        <v/>
      </c>
      <c r="O2217" s="53" t="str">
        <f t="shared" si="484"/>
        <v/>
      </c>
      <c r="P2217" s="53" t="str">
        <f t="shared" si="485"/>
        <v/>
      </c>
      <c r="Q2217" s="53" t="str">
        <f t="shared" si="486"/>
        <v/>
      </c>
      <c r="R2217" s="53" t="str">
        <f t="shared" si="487"/>
        <v/>
      </c>
      <c r="S2217" s="53" t="str">
        <f t="shared" si="488"/>
        <v/>
      </c>
      <c r="T2217" s="53" t="str">
        <f t="shared" si="489"/>
        <v/>
      </c>
    </row>
    <row r="2218" spans="1:20">
      <c r="A2218" s="47" t="str">
        <f>IF(archive!E2218="","",archive!E2218)</f>
        <v/>
      </c>
      <c r="B2218" s="48" t="str">
        <f t="shared" si="476"/>
        <v/>
      </c>
      <c r="C2218" s="49" t="str">
        <f>IF(archive!F2218="","",archive!F2218)</f>
        <v/>
      </c>
      <c r="D2218" s="50" t="str">
        <f t="shared" si="477"/>
        <v/>
      </c>
      <c r="E2218" s="50" t="str">
        <f t="shared" si="478"/>
        <v/>
      </c>
      <c r="F2218" s="47" t="str">
        <f>IF(COUNTA(archive!H2218:CI2218)=0,"",COUNTA(archive!H2218:CI2218))</f>
        <v/>
      </c>
      <c r="G2218" s="47" t="str">
        <f>IF(archive!G2218="","",archive!G2218)</f>
        <v/>
      </c>
      <c r="H2218" s="51" t="str">
        <f>IF(archive!CJ2218="","",archive!CJ2218)</f>
        <v/>
      </c>
      <c r="I2218" s="51" t="str">
        <f>IF(archive!CK2218="","",archive!CK2218)</f>
        <v/>
      </c>
      <c r="J2218" s="47" t="str">
        <f t="shared" si="479"/>
        <v/>
      </c>
      <c r="K2218" s="51" t="str">
        <f t="shared" si="480"/>
        <v/>
      </c>
      <c r="L2218" s="52" t="str">
        <f t="shared" si="481"/>
        <v/>
      </c>
      <c r="M2218" s="53" t="str">
        <f t="shared" si="482"/>
        <v/>
      </c>
      <c r="N2218" s="53" t="str">
        <f t="shared" si="483"/>
        <v/>
      </c>
      <c r="O2218" s="53" t="str">
        <f t="shared" si="484"/>
        <v/>
      </c>
      <c r="P2218" s="53" t="str">
        <f t="shared" si="485"/>
        <v/>
      </c>
      <c r="Q2218" s="53" t="str">
        <f t="shared" si="486"/>
        <v/>
      </c>
      <c r="R2218" s="53" t="str">
        <f t="shared" si="487"/>
        <v/>
      </c>
      <c r="S2218" s="53" t="str">
        <f t="shared" si="488"/>
        <v/>
      </c>
      <c r="T2218" s="53" t="str">
        <f t="shared" si="489"/>
        <v/>
      </c>
    </row>
    <row r="2219" spans="1:20">
      <c r="A2219" s="47" t="str">
        <f>IF(archive!E2219="","",archive!E2219)</f>
        <v/>
      </c>
      <c r="B2219" s="48" t="str">
        <f t="shared" si="476"/>
        <v/>
      </c>
      <c r="C2219" s="49" t="str">
        <f>IF(archive!F2219="","",archive!F2219)</f>
        <v/>
      </c>
      <c r="D2219" s="50" t="str">
        <f t="shared" si="477"/>
        <v/>
      </c>
      <c r="E2219" s="50" t="str">
        <f t="shared" si="478"/>
        <v/>
      </c>
      <c r="F2219" s="47" t="str">
        <f>IF(COUNTA(archive!H2219:CI2219)=0,"",COUNTA(archive!H2219:CI2219))</f>
        <v/>
      </c>
      <c r="G2219" s="47" t="str">
        <f>IF(archive!G2219="","",archive!G2219)</f>
        <v/>
      </c>
      <c r="H2219" s="51" t="str">
        <f>IF(archive!CJ2219="","",archive!CJ2219)</f>
        <v/>
      </c>
      <c r="I2219" s="51" t="str">
        <f>IF(archive!CK2219="","",archive!CK2219)</f>
        <v/>
      </c>
      <c r="J2219" s="47" t="str">
        <f t="shared" si="479"/>
        <v/>
      </c>
      <c r="K2219" s="51" t="str">
        <f t="shared" si="480"/>
        <v/>
      </c>
      <c r="L2219" s="52" t="str">
        <f t="shared" si="481"/>
        <v/>
      </c>
      <c r="M2219" s="53" t="str">
        <f t="shared" si="482"/>
        <v/>
      </c>
      <c r="N2219" s="53" t="str">
        <f t="shared" si="483"/>
        <v/>
      </c>
      <c r="O2219" s="53" t="str">
        <f t="shared" si="484"/>
        <v/>
      </c>
      <c r="P2219" s="53" t="str">
        <f t="shared" si="485"/>
        <v/>
      </c>
      <c r="Q2219" s="53" t="str">
        <f t="shared" si="486"/>
        <v/>
      </c>
      <c r="R2219" s="53" t="str">
        <f t="shared" si="487"/>
        <v/>
      </c>
      <c r="S2219" s="53" t="str">
        <f t="shared" si="488"/>
        <v/>
      </c>
      <c r="T2219" s="53" t="str">
        <f t="shared" si="489"/>
        <v/>
      </c>
    </row>
    <row r="2220" spans="1:20">
      <c r="A2220" s="47" t="str">
        <f>IF(archive!E2220="","",archive!E2220)</f>
        <v/>
      </c>
      <c r="B2220" s="48" t="str">
        <f t="shared" si="476"/>
        <v/>
      </c>
      <c r="C2220" s="49" t="str">
        <f>IF(archive!F2220="","",archive!F2220)</f>
        <v/>
      </c>
      <c r="D2220" s="50" t="str">
        <f t="shared" si="477"/>
        <v/>
      </c>
      <c r="E2220" s="50" t="str">
        <f t="shared" si="478"/>
        <v/>
      </c>
      <c r="F2220" s="47" t="str">
        <f>IF(COUNTA(archive!H2220:CI2220)=0,"",COUNTA(archive!H2220:CI2220))</f>
        <v/>
      </c>
      <c r="G2220" s="47" t="str">
        <f>IF(archive!G2220="","",archive!G2220)</f>
        <v/>
      </c>
      <c r="H2220" s="51" t="str">
        <f>IF(archive!CJ2220="","",archive!CJ2220)</f>
        <v/>
      </c>
      <c r="I2220" s="51" t="str">
        <f>IF(archive!CK2220="","",archive!CK2220)</f>
        <v/>
      </c>
      <c r="J2220" s="47" t="str">
        <f t="shared" si="479"/>
        <v/>
      </c>
      <c r="K2220" s="51" t="str">
        <f t="shared" si="480"/>
        <v/>
      </c>
      <c r="L2220" s="52" t="str">
        <f t="shared" si="481"/>
        <v/>
      </c>
      <c r="M2220" s="53" t="str">
        <f t="shared" si="482"/>
        <v/>
      </c>
      <c r="N2220" s="53" t="str">
        <f t="shared" si="483"/>
        <v/>
      </c>
      <c r="O2220" s="53" t="str">
        <f t="shared" si="484"/>
        <v/>
      </c>
      <c r="P2220" s="53" t="str">
        <f t="shared" si="485"/>
        <v/>
      </c>
      <c r="Q2220" s="53" t="str">
        <f t="shared" si="486"/>
        <v/>
      </c>
      <c r="R2220" s="53" t="str">
        <f t="shared" si="487"/>
        <v/>
      </c>
      <c r="S2220" s="53" t="str">
        <f t="shared" si="488"/>
        <v/>
      </c>
      <c r="T2220" s="53" t="str">
        <f t="shared" si="489"/>
        <v/>
      </c>
    </row>
    <row r="2221" spans="1:20">
      <c r="A2221" s="47" t="str">
        <f>IF(archive!E2221="","",archive!E2221)</f>
        <v/>
      </c>
      <c r="B2221" s="48" t="str">
        <f t="shared" si="476"/>
        <v/>
      </c>
      <c r="C2221" s="49" t="str">
        <f>IF(archive!F2221="","",archive!F2221)</f>
        <v/>
      </c>
      <c r="D2221" s="50" t="str">
        <f t="shared" si="477"/>
        <v/>
      </c>
      <c r="E2221" s="50" t="str">
        <f t="shared" si="478"/>
        <v/>
      </c>
      <c r="F2221" s="47" t="str">
        <f>IF(COUNTA(archive!H2221:CI2221)=0,"",COUNTA(archive!H2221:CI2221))</f>
        <v/>
      </c>
      <c r="G2221" s="47" t="str">
        <f>IF(archive!G2221="","",archive!G2221)</f>
        <v/>
      </c>
      <c r="H2221" s="51" t="str">
        <f>IF(archive!CJ2221="","",archive!CJ2221)</f>
        <v/>
      </c>
      <c r="I2221" s="51" t="str">
        <f>IF(archive!CK2221="","",archive!CK2221)</f>
        <v/>
      </c>
      <c r="J2221" s="47" t="str">
        <f t="shared" si="479"/>
        <v/>
      </c>
      <c r="K2221" s="51" t="str">
        <f t="shared" si="480"/>
        <v/>
      </c>
      <c r="L2221" s="52" t="str">
        <f t="shared" si="481"/>
        <v/>
      </c>
      <c r="M2221" s="53" t="str">
        <f t="shared" si="482"/>
        <v/>
      </c>
      <c r="N2221" s="53" t="str">
        <f t="shared" si="483"/>
        <v/>
      </c>
      <c r="O2221" s="53" t="str">
        <f t="shared" si="484"/>
        <v/>
      </c>
      <c r="P2221" s="53" t="str">
        <f t="shared" si="485"/>
        <v/>
      </c>
      <c r="Q2221" s="53" t="str">
        <f t="shared" si="486"/>
        <v/>
      </c>
      <c r="R2221" s="53" t="str">
        <f t="shared" si="487"/>
        <v/>
      </c>
      <c r="S2221" s="53" t="str">
        <f t="shared" si="488"/>
        <v/>
      </c>
      <c r="T2221" s="53" t="str">
        <f t="shared" si="489"/>
        <v/>
      </c>
    </row>
    <row r="2222" spans="1:20">
      <c r="A2222" s="47" t="str">
        <f>IF(archive!E2222="","",archive!E2222)</f>
        <v/>
      </c>
      <c r="B2222" s="48" t="str">
        <f t="shared" si="476"/>
        <v/>
      </c>
      <c r="C2222" s="49" t="str">
        <f>IF(archive!F2222="","",archive!F2222)</f>
        <v/>
      </c>
      <c r="D2222" s="50" t="str">
        <f t="shared" si="477"/>
        <v/>
      </c>
      <c r="E2222" s="50" t="str">
        <f t="shared" si="478"/>
        <v/>
      </c>
      <c r="F2222" s="47" t="str">
        <f>IF(COUNTA(archive!H2222:CI2222)=0,"",COUNTA(archive!H2222:CI2222))</f>
        <v/>
      </c>
      <c r="G2222" s="47" t="str">
        <f>IF(archive!G2222="","",archive!G2222)</f>
        <v/>
      </c>
      <c r="H2222" s="51" t="str">
        <f>IF(archive!CJ2222="","",archive!CJ2222)</f>
        <v/>
      </c>
      <c r="I2222" s="51" t="str">
        <f>IF(archive!CK2222="","",archive!CK2222)</f>
        <v/>
      </c>
      <c r="J2222" s="47" t="str">
        <f t="shared" si="479"/>
        <v/>
      </c>
      <c r="K2222" s="51" t="str">
        <f t="shared" si="480"/>
        <v/>
      </c>
      <c r="L2222" s="52" t="str">
        <f t="shared" si="481"/>
        <v/>
      </c>
      <c r="M2222" s="53" t="str">
        <f t="shared" si="482"/>
        <v/>
      </c>
      <c r="N2222" s="53" t="str">
        <f t="shared" si="483"/>
        <v/>
      </c>
      <c r="O2222" s="53" t="str">
        <f t="shared" si="484"/>
        <v/>
      </c>
      <c r="P2222" s="53" t="str">
        <f t="shared" si="485"/>
        <v/>
      </c>
      <c r="Q2222" s="53" t="str">
        <f t="shared" si="486"/>
        <v/>
      </c>
      <c r="R2222" s="53" t="str">
        <f t="shared" si="487"/>
        <v/>
      </c>
      <c r="S2222" s="53" t="str">
        <f t="shared" si="488"/>
        <v/>
      </c>
      <c r="T2222" s="53" t="str">
        <f t="shared" si="489"/>
        <v/>
      </c>
    </row>
    <row r="2223" spans="1:20">
      <c r="A2223" s="47" t="str">
        <f>IF(archive!E2223="","",archive!E2223)</f>
        <v/>
      </c>
      <c r="B2223" s="48" t="str">
        <f t="shared" si="476"/>
        <v/>
      </c>
      <c r="C2223" s="49" t="str">
        <f>IF(archive!F2223="","",archive!F2223)</f>
        <v/>
      </c>
      <c r="D2223" s="50" t="str">
        <f t="shared" si="477"/>
        <v/>
      </c>
      <c r="E2223" s="50" t="str">
        <f t="shared" si="478"/>
        <v/>
      </c>
      <c r="F2223" s="47" t="str">
        <f>IF(COUNTA(archive!H2223:CI2223)=0,"",COUNTA(archive!H2223:CI2223))</f>
        <v/>
      </c>
      <c r="G2223" s="47" t="str">
        <f>IF(archive!G2223="","",archive!G2223)</f>
        <v/>
      </c>
      <c r="H2223" s="51" t="str">
        <f>IF(archive!CJ2223="","",archive!CJ2223)</f>
        <v/>
      </c>
      <c r="I2223" s="51" t="str">
        <f>IF(archive!CK2223="","",archive!CK2223)</f>
        <v/>
      </c>
      <c r="J2223" s="47" t="str">
        <f t="shared" si="479"/>
        <v/>
      </c>
      <c r="K2223" s="51" t="str">
        <f t="shared" si="480"/>
        <v/>
      </c>
      <c r="L2223" s="52" t="str">
        <f t="shared" si="481"/>
        <v/>
      </c>
      <c r="M2223" s="53" t="str">
        <f t="shared" si="482"/>
        <v/>
      </c>
      <c r="N2223" s="53" t="str">
        <f t="shared" si="483"/>
        <v/>
      </c>
      <c r="O2223" s="53" t="str">
        <f t="shared" si="484"/>
        <v/>
      </c>
      <c r="P2223" s="53" t="str">
        <f t="shared" si="485"/>
        <v/>
      </c>
      <c r="Q2223" s="53" t="str">
        <f t="shared" si="486"/>
        <v/>
      </c>
      <c r="R2223" s="53" t="str">
        <f t="shared" si="487"/>
        <v/>
      </c>
      <c r="S2223" s="53" t="str">
        <f t="shared" si="488"/>
        <v/>
      </c>
      <c r="T2223" s="53" t="str">
        <f t="shared" si="489"/>
        <v/>
      </c>
    </row>
    <row r="2224" spans="1:20">
      <c r="A2224" s="47" t="str">
        <f>IF(archive!E2224="","",archive!E2224)</f>
        <v/>
      </c>
      <c r="B2224" s="48" t="str">
        <f t="shared" si="476"/>
        <v/>
      </c>
      <c r="C2224" s="49" t="str">
        <f>IF(archive!F2224="","",archive!F2224)</f>
        <v/>
      </c>
      <c r="D2224" s="50" t="str">
        <f t="shared" si="477"/>
        <v/>
      </c>
      <c r="E2224" s="50" t="str">
        <f t="shared" si="478"/>
        <v/>
      </c>
      <c r="F2224" s="47" t="str">
        <f>IF(COUNTA(archive!H2224:CI2224)=0,"",COUNTA(archive!H2224:CI2224))</f>
        <v/>
      </c>
      <c r="G2224" s="47" t="str">
        <f>IF(archive!G2224="","",archive!G2224)</f>
        <v/>
      </c>
      <c r="H2224" s="51" t="str">
        <f>IF(archive!CJ2224="","",archive!CJ2224)</f>
        <v/>
      </c>
      <c r="I2224" s="51" t="str">
        <f>IF(archive!CK2224="","",archive!CK2224)</f>
        <v/>
      </c>
      <c r="J2224" s="47" t="str">
        <f t="shared" si="479"/>
        <v/>
      </c>
      <c r="K2224" s="51" t="str">
        <f t="shared" si="480"/>
        <v/>
      </c>
      <c r="L2224" s="52" t="str">
        <f t="shared" si="481"/>
        <v/>
      </c>
      <c r="M2224" s="53" t="str">
        <f t="shared" si="482"/>
        <v/>
      </c>
      <c r="N2224" s="53" t="str">
        <f t="shared" si="483"/>
        <v/>
      </c>
      <c r="O2224" s="53" t="str">
        <f t="shared" si="484"/>
        <v/>
      </c>
      <c r="P2224" s="53" t="str">
        <f t="shared" si="485"/>
        <v/>
      </c>
      <c r="Q2224" s="53" t="str">
        <f t="shared" si="486"/>
        <v/>
      </c>
      <c r="R2224" s="53" t="str">
        <f t="shared" si="487"/>
        <v/>
      </c>
      <c r="S2224" s="53" t="str">
        <f t="shared" si="488"/>
        <v/>
      </c>
      <c r="T2224" s="53" t="str">
        <f t="shared" si="489"/>
        <v/>
      </c>
    </row>
    <row r="2225" spans="1:20">
      <c r="A2225" s="47" t="str">
        <f>IF(archive!E2225="","",archive!E2225)</f>
        <v/>
      </c>
      <c r="B2225" s="48" t="str">
        <f t="shared" si="476"/>
        <v/>
      </c>
      <c r="C2225" s="49" t="str">
        <f>IF(archive!F2225="","",archive!F2225)</f>
        <v/>
      </c>
      <c r="D2225" s="50" t="str">
        <f t="shared" si="477"/>
        <v/>
      </c>
      <c r="E2225" s="50" t="str">
        <f t="shared" si="478"/>
        <v/>
      </c>
      <c r="F2225" s="47" t="str">
        <f>IF(COUNTA(archive!H2225:CI2225)=0,"",COUNTA(archive!H2225:CI2225))</f>
        <v/>
      </c>
      <c r="G2225" s="47" t="str">
        <f>IF(archive!G2225="","",archive!G2225)</f>
        <v/>
      </c>
      <c r="H2225" s="51" t="str">
        <f>IF(archive!CJ2225="","",archive!CJ2225)</f>
        <v/>
      </c>
      <c r="I2225" s="51" t="str">
        <f>IF(archive!CK2225="","",archive!CK2225)</f>
        <v/>
      </c>
      <c r="J2225" s="47" t="str">
        <f t="shared" si="479"/>
        <v/>
      </c>
      <c r="K2225" s="51" t="str">
        <f t="shared" si="480"/>
        <v/>
      </c>
      <c r="L2225" s="52" t="str">
        <f t="shared" si="481"/>
        <v/>
      </c>
      <c r="M2225" s="53" t="str">
        <f t="shared" si="482"/>
        <v/>
      </c>
      <c r="N2225" s="53" t="str">
        <f t="shared" si="483"/>
        <v/>
      </c>
      <c r="O2225" s="53" t="str">
        <f t="shared" si="484"/>
        <v/>
      </c>
      <c r="P2225" s="53" t="str">
        <f t="shared" si="485"/>
        <v/>
      </c>
      <c r="Q2225" s="53" t="str">
        <f t="shared" si="486"/>
        <v/>
      </c>
      <c r="R2225" s="53" t="str">
        <f t="shared" si="487"/>
        <v/>
      </c>
      <c r="S2225" s="53" t="str">
        <f t="shared" si="488"/>
        <v/>
      </c>
      <c r="T2225" s="53" t="str">
        <f t="shared" si="489"/>
        <v/>
      </c>
    </row>
    <row r="2226" spans="1:20">
      <c r="A2226" s="47" t="str">
        <f>IF(archive!E2226="","",archive!E2226)</f>
        <v/>
      </c>
      <c r="B2226" s="48" t="str">
        <f t="shared" si="476"/>
        <v/>
      </c>
      <c r="C2226" s="49" t="str">
        <f>IF(archive!F2226="","",archive!F2226)</f>
        <v/>
      </c>
      <c r="D2226" s="50" t="str">
        <f t="shared" si="477"/>
        <v/>
      </c>
      <c r="E2226" s="50" t="str">
        <f t="shared" si="478"/>
        <v/>
      </c>
      <c r="F2226" s="47" t="str">
        <f>IF(COUNTA(archive!H2226:CI2226)=0,"",COUNTA(archive!H2226:CI2226))</f>
        <v/>
      </c>
      <c r="G2226" s="47" t="str">
        <f>IF(archive!G2226="","",archive!G2226)</f>
        <v/>
      </c>
      <c r="H2226" s="51" t="str">
        <f>IF(archive!CJ2226="","",archive!CJ2226)</f>
        <v/>
      </c>
      <c r="I2226" s="51" t="str">
        <f>IF(archive!CK2226="","",archive!CK2226)</f>
        <v/>
      </c>
      <c r="J2226" s="47" t="str">
        <f t="shared" si="479"/>
        <v/>
      </c>
      <c r="K2226" s="51" t="str">
        <f t="shared" si="480"/>
        <v/>
      </c>
      <c r="L2226" s="52" t="str">
        <f t="shared" si="481"/>
        <v/>
      </c>
      <c r="M2226" s="53" t="str">
        <f t="shared" si="482"/>
        <v/>
      </c>
      <c r="N2226" s="53" t="str">
        <f t="shared" si="483"/>
        <v/>
      </c>
      <c r="O2226" s="53" t="str">
        <f t="shared" si="484"/>
        <v/>
      </c>
      <c r="P2226" s="53" t="str">
        <f t="shared" si="485"/>
        <v/>
      </c>
      <c r="Q2226" s="53" t="str">
        <f t="shared" si="486"/>
        <v/>
      </c>
      <c r="R2226" s="53" t="str">
        <f t="shared" si="487"/>
        <v/>
      </c>
      <c r="S2226" s="53" t="str">
        <f t="shared" si="488"/>
        <v/>
      </c>
      <c r="T2226" s="53" t="str">
        <f t="shared" si="489"/>
        <v/>
      </c>
    </row>
    <row r="2227" spans="1:20">
      <c r="A2227" s="47" t="str">
        <f>IF(archive!E2227="","",archive!E2227)</f>
        <v/>
      </c>
      <c r="B2227" s="48" t="str">
        <f t="shared" si="476"/>
        <v/>
      </c>
      <c r="C2227" s="49" t="str">
        <f>IF(archive!F2227="","",archive!F2227)</f>
        <v/>
      </c>
      <c r="D2227" s="50" t="str">
        <f t="shared" si="477"/>
        <v/>
      </c>
      <c r="E2227" s="50" t="str">
        <f t="shared" si="478"/>
        <v/>
      </c>
      <c r="F2227" s="47" t="str">
        <f>IF(COUNTA(archive!H2227:CI2227)=0,"",COUNTA(archive!H2227:CI2227))</f>
        <v/>
      </c>
      <c r="G2227" s="47" t="str">
        <f>IF(archive!G2227="","",archive!G2227)</f>
        <v/>
      </c>
      <c r="H2227" s="51" t="str">
        <f>IF(archive!CJ2227="","",archive!CJ2227)</f>
        <v/>
      </c>
      <c r="I2227" s="51" t="str">
        <f>IF(archive!CK2227="","",archive!CK2227)</f>
        <v/>
      </c>
      <c r="J2227" s="47" t="str">
        <f t="shared" si="479"/>
        <v/>
      </c>
      <c r="K2227" s="51" t="str">
        <f t="shared" si="480"/>
        <v/>
      </c>
      <c r="L2227" s="52" t="str">
        <f t="shared" si="481"/>
        <v/>
      </c>
      <c r="M2227" s="53" t="str">
        <f t="shared" si="482"/>
        <v/>
      </c>
      <c r="N2227" s="53" t="str">
        <f t="shared" si="483"/>
        <v/>
      </c>
      <c r="O2227" s="53" t="str">
        <f t="shared" si="484"/>
        <v/>
      </c>
      <c r="P2227" s="53" t="str">
        <f t="shared" si="485"/>
        <v/>
      </c>
      <c r="Q2227" s="53" t="str">
        <f t="shared" si="486"/>
        <v/>
      </c>
      <c r="R2227" s="53" t="str">
        <f t="shared" si="487"/>
        <v/>
      </c>
      <c r="S2227" s="53" t="str">
        <f t="shared" si="488"/>
        <v/>
      </c>
      <c r="T2227" s="53" t="str">
        <f t="shared" si="489"/>
        <v/>
      </c>
    </row>
    <row r="2228" spans="1:20">
      <c r="A2228" s="47" t="str">
        <f>IF(archive!E2228="","",archive!E2228)</f>
        <v/>
      </c>
      <c r="B2228" s="48" t="str">
        <f t="shared" si="476"/>
        <v/>
      </c>
      <c r="C2228" s="49" t="str">
        <f>IF(archive!F2228="","",archive!F2228)</f>
        <v/>
      </c>
      <c r="D2228" s="50" t="str">
        <f t="shared" si="477"/>
        <v/>
      </c>
      <c r="E2228" s="50" t="str">
        <f t="shared" si="478"/>
        <v/>
      </c>
      <c r="F2228" s="47" t="str">
        <f>IF(COUNTA(archive!H2228:CI2228)=0,"",COUNTA(archive!H2228:CI2228))</f>
        <v/>
      </c>
      <c r="G2228" s="47" t="str">
        <f>IF(archive!G2228="","",archive!G2228)</f>
        <v/>
      </c>
      <c r="H2228" s="51" t="str">
        <f>IF(archive!CJ2228="","",archive!CJ2228)</f>
        <v/>
      </c>
      <c r="I2228" s="51" t="str">
        <f>IF(archive!CK2228="","",archive!CK2228)</f>
        <v/>
      </c>
      <c r="J2228" s="47" t="str">
        <f t="shared" si="479"/>
        <v/>
      </c>
      <c r="K2228" s="51" t="str">
        <f t="shared" si="480"/>
        <v/>
      </c>
      <c r="L2228" s="52" t="str">
        <f t="shared" si="481"/>
        <v/>
      </c>
      <c r="M2228" s="53" t="str">
        <f t="shared" si="482"/>
        <v/>
      </c>
      <c r="N2228" s="53" t="str">
        <f t="shared" si="483"/>
        <v/>
      </c>
      <c r="O2228" s="53" t="str">
        <f t="shared" si="484"/>
        <v/>
      </c>
      <c r="P2228" s="53" t="str">
        <f t="shared" si="485"/>
        <v/>
      </c>
      <c r="Q2228" s="53" t="str">
        <f t="shared" si="486"/>
        <v/>
      </c>
      <c r="R2228" s="53" t="str">
        <f t="shared" si="487"/>
        <v/>
      </c>
      <c r="S2228" s="53" t="str">
        <f t="shared" si="488"/>
        <v/>
      </c>
      <c r="T2228" s="53" t="str">
        <f t="shared" si="489"/>
        <v/>
      </c>
    </row>
    <row r="2229" spans="1:20">
      <c r="A2229" s="47" t="str">
        <f>IF(archive!E2229="","",archive!E2229)</f>
        <v/>
      </c>
      <c r="B2229" s="48" t="str">
        <f t="shared" si="476"/>
        <v/>
      </c>
      <c r="C2229" s="49" t="str">
        <f>IF(archive!F2229="","",archive!F2229)</f>
        <v/>
      </c>
      <c r="D2229" s="50" t="str">
        <f t="shared" si="477"/>
        <v/>
      </c>
      <c r="E2229" s="50" t="str">
        <f t="shared" si="478"/>
        <v/>
      </c>
      <c r="F2229" s="47" t="str">
        <f>IF(COUNTA(archive!H2229:CI2229)=0,"",COUNTA(archive!H2229:CI2229))</f>
        <v/>
      </c>
      <c r="G2229" s="47" t="str">
        <f>IF(archive!G2229="","",archive!G2229)</f>
        <v/>
      </c>
      <c r="H2229" s="51" t="str">
        <f>IF(archive!CJ2229="","",archive!CJ2229)</f>
        <v/>
      </c>
      <c r="I2229" s="51" t="str">
        <f>IF(archive!CK2229="","",archive!CK2229)</f>
        <v/>
      </c>
      <c r="J2229" s="47" t="str">
        <f t="shared" si="479"/>
        <v/>
      </c>
      <c r="K2229" s="51" t="str">
        <f t="shared" si="480"/>
        <v/>
      </c>
      <c r="L2229" s="52" t="str">
        <f t="shared" si="481"/>
        <v/>
      </c>
      <c r="M2229" s="53" t="str">
        <f t="shared" si="482"/>
        <v/>
      </c>
      <c r="N2229" s="53" t="str">
        <f t="shared" si="483"/>
        <v/>
      </c>
      <c r="O2229" s="53" t="str">
        <f t="shared" si="484"/>
        <v/>
      </c>
      <c r="P2229" s="53" t="str">
        <f t="shared" si="485"/>
        <v/>
      </c>
      <c r="Q2229" s="53" t="str">
        <f t="shared" si="486"/>
        <v/>
      </c>
      <c r="R2229" s="53" t="str">
        <f t="shared" si="487"/>
        <v/>
      </c>
      <c r="S2229" s="53" t="str">
        <f t="shared" si="488"/>
        <v/>
      </c>
      <c r="T2229" s="53" t="str">
        <f t="shared" si="489"/>
        <v/>
      </c>
    </row>
    <row r="2230" spans="1:20">
      <c r="A2230" s="47" t="str">
        <f>IF(archive!E2230="","",archive!E2230)</f>
        <v/>
      </c>
      <c r="B2230" s="48" t="str">
        <f t="shared" si="476"/>
        <v/>
      </c>
      <c r="C2230" s="49" t="str">
        <f>IF(archive!F2230="","",archive!F2230)</f>
        <v/>
      </c>
      <c r="D2230" s="50" t="str">
        <f t="shared" si="477"/>
        <v/>
      </c>
      <c r="E2230" s="50" t="str">
        <f t="shared" si="478"/>
        <v/>
      </c>
      <c r="F2230" s="47" t="str">
        <f>IF(COUNTA(archive!H2230:CI2230)=0,"",COUNTA(archive!H2230:CI2230))</f>
        <v/>
      </c>
      <c r="G2230" s="47" t="str">
        <f>IF(archive!G2230="","",archive!G2230)</f>
        <v/>
      </c>
      <c r="H2230" s="51" t="str">
        <f>IF(archive!CJ2230="","",archive!CJ2230)</f>
        <v/>
      </c>
      <c r="I2230" s="51" t="str">
        <f>IF(archive!CK2230="","",archive!CK2230)</f>
        <v/>
      </c>
      <c r="J2230" s="47" t="str">
        <f t="shared" si="479"/>
        <v/>
      </c>
      <c r="K2230" s="51" t="str">
        <f t="shared" si="480"/>
        <v/>
      </c>
      <c r="L2230" s="52" t="str">
        <f t="shared" si="481"/>
        <v/>
      </c>
      <c r="M2230" s="53" t="str">
        <f t="shared" si="482"/>
        <v/>
      </c>
      <c r="N2230" s="53" t="str">
        <f t="shared" si="483"/>
        <v/>
      </c>
      <c r="O2230" s="53" t="str">
        <f t="shared" si="484"/>
        <v/>
      </c>
      <c r="P2230" s="53" t="str">
        <f t="shared" si="485"/>
        <v/>
      </c>
      <c r="Q2230" s="53" t="str">
        <f t="shared" si="486"/>
        <v/>
      </c>
      <c r="R2230" s="53" t="str">
        <f t="shared" si="487"/>
        <v/>
      </c>
      <c r="S2230" s="53" t="str">
        <f t="shared" si="488"/>
        <v/>
      </c>
      <c r="T2230" s="53" t="str">
        <f t="shared" si="489"/>
        <v/>
      </c>
    </row>
    <row r="2231" spans="1:20">
      <c r="A2231" s="47" t="str">
        <f>IF(archive!E2231="","",archive!E2231)</f>
        <v/>
      </c>
      <c r="B2231" s="48" t="str">
        <f t="shared" si="476"/>
        <v/>
      </c>
      <c r="C2231" s="49" t="str">
        <f>IF(archive!F2231="","",archive!F2231)</f>
        <v/>
      </c>
      <c r="D2231" s="50" t="str">
        <f t="shared" si="477"/>
        <v/>
      </c>
      <c r="E2231" s="50" t="str">
        <f t="shared" si="478"/>
        <v/>
      </c>
      <c r="F2231" s="47" t="str">
        <f>IF(COUNTA(archive!H2231:CI2231)=0,"",COUNTA(archive!H2231:CI2231))</f>
        <v/>
      </c>
      <c r="G2231" s="47" t="str">
        <f>IF(archive!G2231="","",archive!G2231)</f>
        <v/>
      </c>
      <c r="H2231" s="51" t="str">
        <f>IF(archive!CJ2231="","",archive!CJ2231)</f>
        <v/>
      </c>
      <c r="I2231" s="51" t="str">
        <f>IF(archive!CK2231="","",archive!CK2231)</f>
        <v/>
      </c>
      <c r="J2231" s="47" t="str">
        <f t="shared" si="479"/>
        <v/>
      </c>
      <c r="K2231" s="51" t="str">
        <f t="shared" si="480"/>
        <v/>
      </c>
      <c r="L2231" s="52" t="str">
        <f t="shared" si="481"/>
        <v/>
      </c>
      <c r="M2231" s="53" t="str">
        <f t="shared" si="482"/>
        <v/>
      </c>
      <c r="N2231" s="53" t="str">
        <f t="shared" si="483"/>
        <v/>
      </c>
      <c r="O2231" s="53" t="str">
        <f t="shared" si="484"/>
        <v/>
      </c>
      <c r="P2231" s="53" t="str">
        <f t="shared" si="485"/>
        <v/>
      </c>
      <c r="Q2231" s="53" t="str">
        <f t="shared" si="486"/>
        <v/>
      </c>
      <c r="R2231" s="53" t="str">
        <f t="shared" si="487"/>
        <v/>
      </c>
      <c r="S2231" s="53" t="str">
        <f t="shared" si="488"/>
        <v/>
      </c>
      <c r="T2231" s="53" t="str">
        <f t="shared" si="489"/>
        <v/>
      </c>
    </row>
    <row r="2232" spans="1:20">
      <c r="A2232" s="47" t="str">
        <f>IF(archive!E2232="","",archive!E2232)</f>
        <v/>
      </c>
      <c r="B2232" s="48" t="str">
        <f t="shared" si="476"/>
        <v/>
      </c>
      <c r="C2232" s="49" t="str">
        <f>IF(archive!F2232="","",archive!F2232)</f>
        <v/>
      </c>
      <c r="D2232" s="50" t="str">
        <f t="shared" si="477"/>
        <v/>
      </c>
      <c r="E2232" s="50" t="str">
        <f t="shared" si="478"/>
        <v/>
      </c>
      <c r="F2232" s="47" t="str">
        <f>IF(COUNTA(archive!H2232:CI2232)=0,"",COUNTA(archive!H2232:CI2232))</f>
        <v/>
      </c>
      <c r="G2232" s="47" t="str">
        <f>IF(archive!G2232="","",archive!G2232)</f>
        <v/>
      </c>
      <c r="H2232" s="51" t="str">
        <f>IF(archive!CJ2232="","",archive!CJ2232)</f>
        <v/>
      </c>
      <c r="I2232" s="51" t="str">
        <f>IF(archive!CK2232="","",archive!CK2232)</f>
        <v/>
      </c>
      <c r="J2232" s="47" t="str">
        <f t="shared" si="479"/>
        <v/>
      </c>
      <c r="K2232" s="51" t="str">
        <f t="shared" si="480"/>
        <v/>
      </c>
      <c r="L2232" s="52" t="str">
        <f t="shared" si="481"/>
        <v/>
      </c>
      <c r="M2232" s="53" t="str">
        <f t="shared" si="482"/>
        <v/>
      </c>
      <c r="N2232" s="53" t="str">
        <f t="shared" si="483"/>
        <v/>
      </c>
      <c r="O2232" s="53" t="str">
        <f t="shared" si="484"/>
        <v/>
      </c>
      <c r="P2232" s="53" t="str">
        <f t="shared" si="485"/>
        <v/>
      </c>
      <c r="Q2232" s="53" t="str">
        <f t="shared" si="486"/>
        <v/>
      </c>
      <c r="R2232" s="53" t="str">
        <f t="shared" si="487"/>
        <v/>
      </c>
      <c r="S2232" s="53" t="str">
        <f t="shared" si="488"/>
        <v/>
      </c>
      <c r="T2232" s="53" t="str">
        <f t="shared" si="489"/>
        <v/>
      </c>
    </row>
    <row r="2233" spans="1:20">
      <c r="A2233" s="47" t="str">
        <f>IF(archive!E2233="","",archive!E2233)</f>
        <v/>
      </c>
      <c r="B2233" s="48" t="str">
        <f t="shared" si="476"/>
        <v/>
      </c>
      <c r="C2233" s="49" t="str">
        <f>IF(archive!F2233="","",archive!F2233)</f>
        <v/>
      </c>
      <c r="D2233" s="50" t="str">
        <f t="shared" si="477"/>
        <v/>
      </c>
      <c r="E2233" s="50" t="str">
        <f t="shared" si="478"/>
        <v/>
      </c>
      <c r="F2233" s="47" t="str">
        <f>IF(COUNTA(archive!H2233:CI2233)=0,"",COUNTA(archive!H2233:CI2233))</f>
        <v/>
      </c>
      <c r="G2233" s="47" t="str">
        <f>IF(archive!G2233="","",archive!G2233)</f>
        <v/>
      </c>
      <c r="H2233" s="51" t="str">
        <f>IF(archive!CJ2233="","",archive!CJ2233)</f>
        <v/>
      </c>
      <c r="I2233" s="51" t="str">
        <f>IF(archive!CK2233="","",archive!CK2233)</f>
        <v/>
      </c>
      <c r="J2233" s="47" t="str">
        <f t="shared" si="479"/>
        <v/>
      </c>
      <c r="K2233" s="51" t="str">
        <f t="shared" si="480"/>
        <v/>
      </c>
      <c r="L2233" s="52" t="str">
        <f t="shared" si="481"/>
        <v/>
      </c>
      <c r="M2233" s="53" t="str">
        <f t="shared" si="482"/>
        <v/>
      </c>
      <c r="N2233" s="53" t="str">
        <f t="shared" si="483"/>
        <v/>
      </c>
      <c r="O2233" s="53" t="str">
        <f t="shared" si="484"/>
        <v/>
      </c>
      <c r="P2233" s="53" t="str">
        <f t="shared" si="485"/>
        <v/>
      </c>
      <c r="Q2233" s="53" t="str">
        <f t="shared" si="486"/>
        <v/>
      </c>
      <c r="R2233" s="53" t="str">
        <f t="shared" si="487"/>
        <v/>
      </c>
      <c r="S2233" s="53" t="str">
        <f t="shared" si="488"/>
        <v/>
      </c>
      <c r="T2233" s="53" t="str">
        <f t="shared" si="489"/>
        <v/>
      </c>
    </row>
    <row r="2234" spans="1:20">
      <c r="A2234" s="47" t="str">
        <f>IF(archive!E2234="","",archive!E2234)</f>
        <v/>
      </c>
      <c r="B2234" s="48" t="str">
        <f t="shared" si="476"/>
        <v/>
      </c>
      <c r="C2234" s="49" t="str">
        <f>IF(archive!F2234="","",archive!F2234)</f>
        <v/>
      </c>
      <c r="D2234" s="50" t="str">
        <f t="shared" si="477"/>
        <v/>
      </c>
      <c r="E2234" s="50" t="str">
        <f t="shared" si="478"/>
        <v/>
      </c>
      <c r="F2234" s="47" t="str">
        <f>IF(COUNTA(archive!H2234:CI2234)=0,"",COUNTA(archive!H2234:CI2234))</f>
        <v/>
      </c>
      <c r="G2234" s="47" t="str">
        <f>IF(archive!G2234="","",archive!G2234)</f>
        <v/>
      </c>
      <c r="H2234" s="51" t="str">
        <f>IF(archive!CJ2234="","",archive!CJ2234)</f>
        <v/>
      </c>
      <c r="I2234" s="51" t="str">
        <f>IF(archive!CK2234="","",archive!CK2234)</f>
        <v/>
      </c>
      <c r="J2234" s="47" t="str">
        <f t="shared" si="479"/>
        <v/>
      </c>
      <c r="K2234" s="51" t="str">
        <f t="shared" si="480"/>
        <v/>
      </c>
      <c r="L2234" s="52" t="str">
        <f t="shared" si="481"/>
        <v/>
      </c>
      <c r="M2234" s="53" t="str">
        <f t="shared" si="482"/>
        <v/>
      </c>
      <c r="N2234" s="53" t="str">
        <f t="shared" si="483"/>
        <v/>
      </c>
      <c r="O2234" s="53" t="str">
        <f t="shared" si="484"/>
        <v/>
      </c>
      <c r="P2234" s="53" t="str">
        <f t="shared" si="485"/>
        <v/>
      </c>
      <c r="Q2234" s="53" t="str">
        <f t="shared" si="486"/>
        <v/>
      </c>
      <c r="R2234" s="53" t="str">
        <f t="shared" si="487"/>
        <v/>
      </c>
      <c r="S2234" s="53" t="str">
        <f t="shared" si="488"/>
        <v/>
      </c>
      <c r="T2234" s="53" t="str">
        <f t="shared" si="489"/>
        <v/>
      </c>
    </row>
    <row r="2235" spans="1:20">
      <c r="A2235" s="47" t="str">
        <f>IF(archive!E2235="","",archive!E2235)</f>
        <v/>
      </c>
      <c r="B2235" s="48" t="str">
        <f t="shared" si="476"/>
        <v/>
      </c>
      <c r="C2235" s="49" t="str">
        <f>IF(archive!F2235="","",archive!F2235)</f>
        <v/>
      </c>
      <c r="D2235" s="50" t="str">
        <f t="shared" si="477"/>
        <v/>
      </c>
      <c r="E2235" s="50" t="str">
        <f t="shared" si="478"/>
        <v/>
      </c>
      <c r="F2235" s="47" t="str">
        <f>IF(COUNTA(archive!H2235:CI2235)=0,"",COUNTA(archive!H2235:CI2235))</f>
        <v/>
      </c>
      <c r="G2235" s="47" t="str">
        <f>IF(archive!G2235="","",archive!G2235)</f>
        <v/>
      </c>
      <c r="H2235" s="51" t="str">
        <f>IF(archive!CJ2235="","",archive!CJ2235)</f>
        <v/>
      </c>
      <c r="I2235" s="51" t="str">
        <f>IF(archive!CK2235="","",archive!CK2235)</f>
        <v/>
      </c>
      <c r="J2235" s="47" t="str">
        <f t="shared" si="479"/>
        <v/>
      </c>
      <c r="K2235" s="51" t="str">
        <f t="shared" si="480"/>
        <v/>
      </c>
      <c r="L2235" s="52" t="str">
        <f t="shared" si="481"/>
        <v/>
      </c>
      <c r="M2235" s="53" t="str">
        <f t="shared" si="482"/>
        <v/>
      </c>
      <c r="N2235" s="53" t="str">
        <f t="shared" si="483"/>
        <v/>
      </c>
      <c r="O2235" s="53" t="str">
        <f t="shared" si="484"/>
        <v/>
      </c>
      <c r="P2235" s="53" t="str">
        <f t="shared" si="485"/>
        <v/>
      </c>
      <c r="Q2235" s="53" t="str">
        <f t="shared" si="486"/>
        <v/>
      </c>
      <c r="R2235" s="53" t="str">
        <f t="shared" si="487"/>
        <v/>
      </c>
      <c r="S2235" s="53" t="str">
        <f t="shared" si="488"/>
        <v/>
      </c>
      <c r="T2235" s="53" t="str">
        <f t="shared" si="489"/>
        <v/>
      </c>
    </row>
    <row r="2236" spans="1:20">
      <c r="A2236" s="47" t="str">
        <f>IF(archive!E2236="","",archive!E2236)</f>
        <v/>
      </c>
      <c r="B2236" s="48" t="str">
        <f t="shared" si="476"/>
        <v/>
      </c>
      <c r="C2236" s="49" t="str">
        <f>IF(archive!F2236="","",archive!F2236)</f>
        <v/>
      </c>
      <c r="D2236" s="50" t="str">
        <f t="shared" si="477"/>
        <v/>
      </c>
      <c r="E2236" s="50" t="str">
        <f t="shared" si="478"/>
        <v/>
      </c>
      <c r="F2236" s="47" t="str">
        <f>IF(COUNTA(archive!H2236:CI2236)=0,"",COUNTA(archive!H2236:CI2236))</f>
        <v/>
      </c>
      <c r="G2236" s="47" t="str">
        <f>IF(archive!G2236="","",archive!G2236)</f>
        <v/>
      </c>
      <c r="H2236" s="51" t="str">
        <f>IF(archive!CJ2236="","",archive!CJ2236)</f>
        <v/>
      </c>
      <c r="I2236" s="51" t="str">
        <f>IF(archive!CK2236="","",archive!CK2236)</f>
        <v/>
      </c>
      <c r="J2236" s="47" t="str">
        <f t="shared" si="479"/>
        <v/>
      </c>
      <c r="K2236" s="51" t="str">
        <f t="shared" si="480"/>
        <v/>
      </c>
      <c r="L2236" s="52" t="str">
        <f t="shared" si="481"/>
        <v/>
      </c>
      <c r="M2236" s="53" t="str">
        <f t="shared" si="482"/>
        <v/>
      </c>
      <c r="N2236" s="53" t="str">
        <f t="shared" si="483"/>
        <v/>
      </c>
      <c r="O2236" s="53" t="str">
        <f t="shared" si="484"/>
        <v/>
      </c>
      <c r="P2236" s="53" t="str">
        <f t="shared" si="485"/>
        <v/>
      </c>
      <c r="Q2236" s="53" t="str">
        <f t="shared" si="486"/>
        <v/>
      </c>
      <c r="R2236" s="53" t="str">
        <f t="shared" si="487"/>
        <v/>
      </c>
      <c r="S2236" s="53" t="str">
        <f t="shared" si="488"/>
        <v/>
      </c>
      <c r="T2236" s="53" t="str">
        <f t="shared" si="489"/>
        <v/>
      </c>
    </row>
    <row r="2237" spans="1:20">
      <c r="A2237" s="47" t="str">
        <f>IF(archive!E2237="","",archive!E2237)</f>
        <v/>
      </c>
      <c r="B2237" s="48" t="str">
        <f t="shared" si="476"/>
        <v/>
      </c>
      <c r="C2237" s="49" t="str">
        <f>IF(archive!F2237="","",archive!F2237)</f>
        <v/>
      </c>
      <c r="D2237" s="50" t="str">
        <f t="shared" si="477"/>
        <v/>
      </c>
      <c r="E2237" s="50" t="str">
        <f t="shared" si="478"/>
        <v/>
      </c>
      <c r="F2237" s="47" t="str">
        <f>IF(COUNTA(archive!H2237:CI2237)=0,"",COUNTA(archive!H2237:CI2237))</f>
        <v/>
      </c>
      <c r="G2237" s="47" t="str">
        <f>IF(archive!G2237="","",archive!G2237)</f>
        <v/>
      </c>
      <c r="H2237" s="51" t="str">
        <f>IF(archive!CJ2237="","",archive!CJ2237)</f>
        <v/>
      </c>
      <c r="I2237" s="51" t="str">
        <f>IF(archive!CK2237="","",archive!CK2237)</f>
        <v/>
      </c>
      <c r="J2237" s="47" t="str">
        <f t="shared" si="479"/>
        <v/>
      </c>
      <c r="K2237" s="51" t="str">
        <f t="shared" si="480"/>
        <v/>
      </c>
      <c r="L2237" s="52" t="str">
        <f t="shared" si="481"/>
        <v/>
      </c>
      <c r="M2237" s="53" t="str">
        <f t="shared" si="482"/>
        <v/>
      </c>
      <c r="N2237" s="53" t="str">
        <f t="shared" si="483"/>
        <v/>
      </c>
      <c r="O2237" s="53" t="str">
        <f t="shared" si="484"/>
        <v/>
      </c>
      <c r="P2237" s="53" t="str">
        <f t="shared" si="485"/>
        <v/>
      </c>
      <c r="Q2237" s="53" t="str">
        <f t="shared" si="486"/>
        <v/>
      </c>
      <c r="R2237" s="53" t="str">
        <f t="shared" si="487"/>
        <v/>
      </c>
      <c r="S2237" s="53" t="str">
        <f t="shared" si="488"/>
        <v/>
      </c>
      <c r="T2237" s="53" t="str">
        <f t="shared" si="489"/>
        <v/>
      </c>
    </row>
    <row r="2238" spans="1:20">
      <c r="A2238" s="47" t="str">
        <f>IF(archive!E2238="","",archive!E2238)</f>
        <v/>
      </c>
      <c r="B2238" s="48" t="str">
        <f t="shared" si="476"/>
        <v/>
      </c>
      <c r="C2238" s="49" t="str">
        <f>IF(archive!F2238="","",archive!F2238)</f>
        <v/>
      </c>
      <c r="D2238" s="50" t="str">
        <f t="shared" si="477"/>
        <v/>
      </c>
      <c r="E2238" s="50" t="str">
        <f t="shared" si="478"/>
        <v/>
      </c>
      <c r="F2238" s="47" t="str">
        <f>IF(COUNTA(archive!H2238:CI2238)=0,"",COUNTA(archive!H2238:CI2238))</f>
        <v/>
      </c>
      <c r="G2238" s="47" t="str">
        <f>IF(archive!G2238="","",archive!G2238)</f>
        <v/>
      </c>
      <c r="H2238" s="51" t="str">
        <f>IF(archive!CJ2238="","",archive!CJ2238)</f>
        <v/>
      </c>
      <c r="I2238" s="51" t="str">
        <f>IF(archive!CK2238="","",archive!CK2238)</f>
        <v/>
      </c>
      <c r="J2238" s="47" t="str">
        <f t="shared" si="479"/>
        <v/>
      </c>
      <c r="K2238" s="51" t="str">
        <f t="shared" si="480"/>
        <v/>
      </c>
      <c r="L2238" s="52" t="str">
        <f t="shared" si="481"/>
        <v/>
      </c>
      <c r="M2238" s="53" t="str">
        <f t="shared" si="482"/>
        <v/>
      </c>
      <c r="N2238" s="53" t="str">
        <f t="shared" si="483"/>
        <v/>
      </c>
      <c r="O2238" s="53" t="str">
        <f t="shared" si="484"/>
        <v/>
      </c>
      <c r="P2238" s="53" t="str">
        <f t="shared" si="485"/>
        <v/>
      </c>
      <c r="Q2238" s="53" t="str">
        <f t="shared" si="486"/>
        <v/>
      </c>
      <c r="R2238" s="53" t="str">
        <f t="shared" si="487"/>
        <v/>
      </c>
      <c r="S2238" s="53" t="str">
        <f t="shared" si="488"/>
        <v/>
      </c>
      <c r="T2238" s="53" t="str">
        <f t="shared" si="489"/>
        <v/>
      </c>
    </row>
    <row r="2239" spans="1:20">
      <c r="A2239" s="47" t="str">
        <f>IF(archive!E2239="","",archive!E2239)</f>
        <v/>
      </c>
      <c r="B2239" s="48" t="str">
        <f t="shared" si="476"/>
        <v/>
      </c>
      <c r="C2239" s="49" t="str">
        <f>IF(archive!F2239="","",archive!F2239)</f>
        <v/>
      </c>
      <c r="D2239" s="50" t="str">
        <f t="shared" si="477"/>
        <v/>
      </c>
      <c r="E2239" s="50" t="str">
        <f t="shared" si="478"/>
        <v/>
      </c>
      <c r="F2239" s="47" t="str">
        <f>IF(COUNTA(archive!H2239:CI2239)=0,"",COUNTA(archive!H2239:CI2239))</f>
        <v/>
      </c>
      <c r="G2239" s="47" t="str">
        <f>IF(archive!G2239="","",archive!G2239)</f>
        <v/>
      </c>
      <c r="H2239" s="51" t="str">
        <f>IF(archive!CJ2239="","",archive!CJ2239)</f>
        <v/>
      </c>
      <c r="I2239" s="51" t="str">
        <f>IF(archive!CK2239="","",archive!CK2239)</f>
        <v/>
      </c>
      <c r="J2239" s="47" t="str">
        <f t="shared" si="479"/>
        <v/>
      </c>
      <c r="K2239" s="51" t="str">
        <f t="shared" si="480"/>
        <v/>
      </c>
      <c r="L2239" s="52" t="str">
        <f t="shared" si="481"/>
        <v/>
      </c>
      <c r="M2239" s="53" t="str">
        <f t="shared" si="482"/>
        <v/>
      </c>
      <c r="N2239" s="53" t="str">
        <f t="shared" si="483"/>
        <v/>
      </c>
      <c r="O2239" s="53" t="str">
        <f t="shared" si="484"/>
        <v/>
      </c>
      <c r="P2239" s="53" t="str">
        <f t="shared" si="485"/>
        <v/>
      </c>
      <c r="Q2239" s="53" t="str">
        <f t="shared" si="486"/>
        <v/>
      </c>
      <c r="R2239" s="53" t="str">
        <f t="shared" si="487"/>
        <v/>
      </c>
      <c r="S2239" s="53" t="str">
        <f t="shared" si="488"/>
        <v/>
      </c>
      <c r="T2239" s="53" t="str">
        <f t="shared" si="489"/>
        <v/>
      </c>
    </row>
    <row r="2240" spans="1:20">
      <c r="A2240" s="47" t="str">
        <f>IF(archive!E2240="","",archive!E2240)</f>
        <v/>
      </c>
      <c r="B2240" s="48" t="str">
        <f t="shared" si="476"/>
        <v/>
      </c>
      <c r="C2240" s="49" t="str">
        <f>IF(archive!F2240="","",archive!F2240)</f>
        <v/>
      </c>
      <c r="D2240" s="50" t="str">
        <f t="shared" si="477"/>
        <v/>
      </c>
      <c r="E2240" s="50" t="str">
        <f t="shared" si="478"/>
        <v/>
      </c>
      <c r="F2240" s="47" t="str">
        <f>IF(COUNTA(archive!H2240:CI2240)=0,"",COUNTA(archive!H2240:CI2240))</f>
        <v/>
      </c>
      <c r="G2240" s="47" t="str">
        <f>IF(archive!G2240="","",archive!G2240)</f>
        <v/>
      </c>
      <c r="H2240" s="51" t="str">
        <f>IF(archive!CJ2240="","",archive!CJ2240)</f>
        <v/>
      </c>
      <c r="I2240" s="51" t="str">
        <f>IF(archive!CK2240="","",archive!CK2240)</f>
        <v/>
      </c>
      <c r="J2240" s="47" t="str">
        <f t="shared" si="479"/>
        <v/>
      </c>
      <c r="K2240" s="51" t="str">
        <f t="shared" si="480"/>
        <v/>
      </c>
      <c r="L2240" s="52" t="str">
        <f t="shared" si="481"/>
        <v/>
      </c>
      <c r="M2240" s="53" t="str">
        <f t="shared" si="482"/>
        <v/>
      </c>
      <c r="N2240" s="53" t="str">
        <f t="shared" si="483"/>
        <v/>
      </c>
      <c r="O2240" s="53" t="str">
        <f t="shared" si="484"/>
        <v/>
      </c>
      <c r="P2240" s="53" t="str">
        <f t="shared" si="485"/>
        <v/>
      </c>
      <c r="Q2240" s="53" t="str">
        <f t="shared" si="486"/>
        <v/>
      </c>
      <c r="R2240" s="53" t="str">
        <f t="shared" si="487"/>
        <v/>
      </c>
      <c r="S2240" s="53" t="str">
        <f t="shared" si="488"/>
        <v/>
      </c>
      <c r="T2240" s="53" t="str">
        <f t="shared" si="489"/>
        <v/>
      </c>
    </row>
    <row r="2241" spans="1:20">
      <c r="A2241" s="47" t="str">
        <f>IF(archive!E2241="","",archive!E2241)</f>
        <v/>
      </c>
      <c r="B2241" s="48" t="str">
        <f t="shared" si="476"/>
        <v/>
      </c>
      <c r="C2241" s="49" t="str">
        <f>IF(archive!F2241="","",archive!F2241)</f>
        <v/>
      </c>
      <c r="D2241" s="50" t="str">
        <f t="shared" si="477"/>
        <v/>
      </c>
      <c r="E2241" s="50" t="str">
        <f t="shared" si="478"/>
        <v/>
      </c>
      <c r="F2241" s="47" t="str">
        <f>IF(COUNTA(archive!H2241:CI2241)=0,"",COUNTA(archive!H2241:CI2241))</f>
        <v/>
      </c>
      <c r="G2241" s="47" t="str">
        <f>IF(archive!G2241="","",archive!G2241)</f>
        <v/>
      </c>
      <c r="H2241" s="51" t="str">
        <f>IF(archive!CJ2241="","",archive!CJ2241)</f>
        <v/>
      </c>
      <c r="I2241" s="51" t="str">
        <f>IF(archive!CK2241="","",archive!CK2241)</f>
        <v/>
      </c>
      <c r="J2241" s="47" t="str">
        <f t="shared" si="479"/>
        <v/>
      </c>
      <c r="K2241" s="51" t="str">
        <f t="shared" si="480"/>
        <v/>
      </c>
      <c r="L2241" s="52" t="str">
        <f t="shared" si="481"/>
        <v/>
      </c>
      <c r="M2241" s="53" t="str">
        <f t="shared" si="482"/>
        <v/>
      </c>
      <c r="N2241" s="53" t="str">
        <f t="shared" si="483"/>
        <v/>
      </c>
      <c r="O2241" s="53" t="str">
        <f t="shared" si="484"/>
        <v/>
      </c>
      <c r="P2241" s="53" t="str">
        <f t="shared" si="485"/>
        <v/>
      </c>
      <c r="Q2241" s="53" t="str">
        <f t="shared" si="486"/>
        <v/>
      </c>
      <c r="R2241" s="53" t="str">
        <f t="shared" si="487"/>
        <v/>
      </c>
      <c r="S2241" s="53" t="str">
        <f t="shared" si="488"/>
        <v/>
      </c>
      <c r="T2241" s="53" t="str">
        <f t="shared" si="489"/>
        <v/>
      </c>
    </row>
    <row r="2242" spans="1:20">
      <c r="A2242" s="47" t="str">
        <f>IF(archive!E2242="","",archive!E2242)</f>
        <v/>
      </c>
      <c r="B2242" s="48" t="str">
        <f t="shared" si="476"/>
        <v/>
      </c>
      <c r="C2242" s="49" t="str">
        <f>IF(archive!F2242="","",archive!F2242)</f>
        <v/>
      </c>
      <c r="D2242" s="50" t="str">
        <f t="shared" si="477"/>
        <v/>
      </c>
      <c r="E2242" s="50" t="str">
        <f t="shared" si="478"/>
        <v/>
      </c>
      <c r="F2242" s="47" t="str">
        <f>IF(COUNTA(archive!H2242:CI2242)=0,"",COUNTA(archive!H2242:CI2242))</f>
        <v/>
      </c>
      <c r="G2242" s="47" t="str">
        <f>IF(archive!G2242="","",archive!G2242)</f>
        <v/>
      </c>
      <c r="H2242" s="51" t="str">
        <f>IF(archive!CJ2242="","",archive!CJ2242)</f>
        <v/>
      </c>
      <c r="I2242" s="51" t="str">
        <f>IF(archive!CK2242="","",archive!CK2242)</f>
        <v/>
      </c>
      <c r="J2242" s="47" t="str">
        <f t="shared" si="479"/>
        <v/>
      </c>
      <c r="K2242" s="51" t="str">
        <f t="shared" si="480"/>
        <v/>
      </c>
      <c r="L2242" s="52" t="str">
        <f t="shared" si="481"/>
        <v/>
      </c>
      <c r="M2242" s="53" t="str">
        <f t="shared" si="482"/>
        <v/>
      </c>
      <c r="N2242" s="53" t="str">
        <f t="shared" si="483"/>
        <v/>
      </c>
      <c r="O2242" s="53" t="str">
        <f t="shared" si="484"/>
        <v/>
      </c>
      <c r="P2242" s="53" t="str">
        <f t="shared" si="485"/>
        <v/>
      </c>
      <c r="Q2242" s="53" t="str">
        <f t="shared" si="486"/>
        <v/>
      </c>
      <c r="R2242" s="53" t="str">
        <f t="shared" si="487"/>
        <v/>
      </c>
      <c r="S2242" s="53" t="str">
        <f t="shared" si="488"/>
        <v/>
      </c>
      <c r="T2242" s="53" t="str">
        <f t="shared" si="489"/>
        <v/>
      </c>
    </row>
    <row r="2243" spans="1:20">
      <c r="A2243" s="47" t="str">
        <f>IF(archive!E2243="","",archive!E2243)</f>
        <v/>
      </c>
      <c r="B2243" s="48" t="str">
        <f t="shared" si="476"/>
        <v/>
      </c>
      <c r="C2243" s="49" t="str">
        <f>IF(archive!F2243="","",archive!F2243)</f>
        <v/>
      </c>
      <c r="D2243" s="50" t="str">
        <f t="shared" si="477"/>
        <v/>
      </c>
      <c r="E2243" s="50" t="str">
        <f t="shared" si="478"/>
        <v/>
      </c>
      <c r="F2243" s="47" t="str">
        <f>IF(COUNTA(archive!H2243:CI2243)=0,"",COUNTA(archive!H2243:CI2243))</f>
        <v/>
      </c>
      <c r="G2243" s="47" t="str">
        <f>IF(archive!G2243="","",archive!G2243)</f>
        <v/>
      </c>
      <c r="H2243" s="51" t="str">
        <f>IF(archive!CJ2243="","",archive!CJ2243)</f>
        <v/>
      </c>
      <c r="I2243" s="51" t="str">
        <f>IF(archive!CK2243="","",archive!CK2243)</f>
        <v/>
      </c>
      <c r="J2243" s="47" t="str">
        <f t="shared" si="479"/>
        <v/>
      </c>
      <c r="K2243" s="51" t="str">
        <f t="shared" si="480"/>
        <v/>
      </c>
      <c r="L2243" s="52" t="str">
        <f t="shared" si="481"/>
        <v/>
      </c>
      <c r="M2243" s="53" t="str">
        <f t="shared" si="482"/>
        <v/>
      </c>
      <c r="N2243" s="53" t="str">
        <f t="shared" si="483"/>
        <v/>
      </c>
      <c r="O2243" s="53" t="str">
        <f t="shared" si="484"/>
        <v/>
      </c>
      <c r="P2243" s="53" t="str">
        <f t="shared" si="485"/>
        <v/>
      </c>
      <c r="Q2243" s="53" t="str">
        <f t="shared" si="486"/>
        <v/>
      </c>
      <c r="R2243" s="53" t="str">
        <f t="shared" si="487"/>
        <v/>
      </c>
      <c r="S2243" s="53" t="str">
        <f t="shared" si="488"/>
        <v/>
      </c>
      <c r="T2243" s="53" t="str">
        <f t="shared" si="489"/>
        <v/>
      </c>
    </row>
    <row r="2244" spans="1:20">
      <c r="A2244" s="47" t="str">
        <f>IF(archive!E2244="","",archive!E2244)</f>
        <v/>
      </c>
      <c r="B2244" s="48" t="str">
        <f t="shared" ref="B2244:B2307" si="490">IF(C2244="","",VLOOKUP($C2244,Tare,2,0))</f>
        <v/>
      </c>
      <c r="C2244" s="49" t="str">
        <f>IF(archive!F2244="","",archive!F2244)</f>
        <v/>
      </c>
      <c r="D2244" s="50" t="str">
        <f t="shared" ref="D2244:D2307" si="491">IF(C2244="","",C2244+B2244)</f>
        <v/>
      </c>
      <c r="E2244" s="50" t="str">
        <f t="shared" ref="E2244:E2307" si="492">IF(C2244="","",(C2244*0.025)+D2244)</f>
        <v/>
      </c>
      <c r="F2244" s="47" t="str">
        <f>IF(COUNTA(archive!H2244:CI2244)=0,"",COUNTA(archive!H2244:CI2244))</f>
        <v/>
      </c>
      <c r="G2244" s="47" t="str">
        <f>IF(archive!G2244="","",archive!G2244)</f>
        <v/>
      </c>
      <c r="H2244" s="51" t="str">
        <f>IF(archive!CJ2244="","",archive!CJ2244)</f>
        <v/>
      </c>
      <c r="I2244" s="51" t="str">
        <f>IF(archive!CK2244="","",archive!CK2244)</f>
        <v/>
      </c>
      <c r="J2244" s="47" t="str">
        <f t="shared" ref="J2244:J2307" si="493">IF(F2244="","",VLOOKUP(F2244,Valeur_g,2,0))</f>
        <v/>
      </c>
      <c r="K2244" s="51" t="str">
        <f t="shared" ref="K2244:K2307" si="494">IF(C2244="","",D2244+(J2244*I2244))</f>
        <v/>
      </c>
      <c r="L2244" s="52" t="str">
        <f t="shared" ref="L2244:L2307" si="495">IF(C2244="","",IF(K2244&lt;H2244,"Conforme","Non conforme"))</f>
        <v/>
      </c>
      <c r="M2244" s="53" t="str">
        <f t="shared" ref="M2244:M2307" si="496">IF(C2244="","",1)</f>
        <v/>
      </c>
      <c r="N2244" s="53" t="str">
        <f t="shared" ref="N2244:N2307" si="497">IF(L2244="","",COUNTIF(L2244,"Non conforme"))</f>
        <v/>
      </c>
      <c r="O2244" s="53" t="str">
        <f t="shared" ref="O2244:O2307" si="498">IF($C2244="","",IF($C2244=0.25,$G2244,"-"))</f>
        <v/>
      </c>
      <c r="P2244" s="53" t="str">
        <f t="shared" ref="P2244:P2307" si="499">IF($C2244="","",IF($C2244=0.4,$G2244,"-"))</f>
        <v/>
      </c>
      <c r="Q2244" s="53" t="str">
        <f t="shared" ref="Q2244:Q2307" si="500">IF($C2244="","",IF($C2244=0.5,$G2244,"-"))</f>
        <v/>
      </c>
      <c r="R2244" s="53" t="str">
        <f t="shared" ref="R2244:R2307" si="501">IF($C2244="","",IF($C2244=0.6,$G2244,"-"))</f>
        <v/>
      </c>
      <c r="S2244" s="53" t="str">
        <f t="shared" ref="S2244:S2307" si="502">IF($C2244="","",IF($C2244=0.8,$G2244,"-"))</f>
        <v/>
      </c>
      <c r="T2244" s="53" t="str">
        <f t="shared" ref="T2244:T2307" si="503">IF($C2244="","",IF($C2244=1,$G2244,"-"))</f>
        <v/>
      </c>
    </row>
    <row r="2245" spans="1:20">
      <c r="A2245" s="47" t="str">
        <f>IF(archive!E2245="","",archive!E2245)</f>
        <v/>
      </c>
      <c r="B2245" s="48" t="str">
        <f t="shared" si="490"/>
        <v/>
      </c>
      <c r="C2245" s="49" t="str">
        <f>IF(archive!F2245="","",archive!F2245)</f>
        <v/>
      </c>
      <c r="D2245" s="50" t="str">
        <f t="shared" si="491"/>
        <v/>
      </c>
      <c r="E2245" s="50" t="str">
        <f t="shared" si="492"/>
        <v/>
      </c>
      <c r="F2245" s="47" t="str">
        <f>IF(COUNTA(archive!H2245:CI2245)=0,"",COUNTA(archive!H2245:CI2245))</f>
        <v/>
      </c>
      <c r="G2245" s="47" t="str">
        <f>IF(archive!G2245="","",archive!G2245)</f>
        <v/>
      </c>
      <c r="H2245" s="51" t="str">
        <f>IF(archive!CJ2245="","",archive!CJ2245)</f>
        <v/>
      </c>
      <c r="I2245" s="51" t="str">
        <f>IF(archive!CK2245="","",archive!CK2245)</f>
        <v/>
      </c>
      <c r="J2245" s="47" t="str">
        <f t="shared" si="493"/>
        <v/>
      </c>
      <c r="K2245" s="51" t="str">
        <f t="shared" si="494"/>
        <v/>
      </c>
      <c r="L2245" s="52" t="str">
        <f t="shared" si="495"/>
        <v/>
      </c>
      <c r="M2245" s="53" t="str">
        <f t="shared" si="496"/>
        <v/>
      </c>
      <c r="N2245" s="53" t="str">
        <f t="shared" si="497"/>
        <v/>
      </c>
      <c r="O2245" s="53" t="str">
        <f t="shared" si="498"/>
        <v/>
      </c>
      <c r="P2245" s="53" t="str">
        <f t="shared" si="499"/>
        <v/>
      </c>
      <c r="Q2245" s="53" t="str">
        <f t="shared" si="500"/>
        <v/>
      </c>
      <c r="R2245" s="53" t="str">
        <f t="shared" si="501"/>
        <v/>
      </c>
      <c r="S2245" s="53" t="str">
        <f t="shared" si="502"/>
        <v/>
      </c>
      <c r="T2245" s="53" t="str">
        <f t="shared" si="503"/>
        <v/>
      </c>
    </row>
    <row r="2246" spans="1:20">
      <c r="A2246" s="47" t="str">
        <f>IF(archive!E2246="","",archive!E2246)</f>
        <v/>
      </c>
      <c r="B2246" s="48" t="str">
        <f t="shared" si="490"/>
        <v/>
      </c>
      <c r="C2246" s="49" t="str">
        <f>IF(archive!F2246="","",archive!F2246)</f>
        <v/>
      </c>
      <c r="D2246" s="50" t="str">
        <f t="shared" si="491"/>
        <v/>
      </c>
      <c r="E2246" s="50" t="str">
        <f t="shared" si="492"/>
        <v/>
      </c>
      <c r="F2246" s="47" t="str">
        <f>IF(COUNTA(archive!H2246:CI2246)=0,"",COUNTA(archive!H2246:CI2246))</f>
        <v/>
      </c>
      <c r="G2246" s="47" t="str">
        <f>IF(archive!G2246="","",archive!G2246)</f>
        <v/>
      </c>
      <c r="H2246" s="51" t="str">
        <f>IF(archive!CJ2246="","",archive!CJ2246)</f>
        <v/>
      </c>
      <c r="I2246" s="51" t="str">
        <f>IF(archive!CK2246="","",archive!CK2246)</f>
        <v/>
      </c>
      <c r="J2246" s="47" t="str">
        <f t="shared" si="493"/>
        <v/>
      </c>
      <c r="K2246" s="51" t="str">
        <f t="shared" si="494"/>
        <v/>
      </c>
      <c r="L2246" s="52" t="str">
        <f t="shared" si="495"/>
        <v/>
      </c>
      <c r="M2246" s="53" t="str">
        <f t="shared" si="496"/>
        <v/>
      </c>
      <c r="N2246" s="53" t="str">
        <f t="shared" si="497"/>
        <v/>
      </c>
      <c r="O2246" s="53" t="str">
        <f t="shared" si="498"/>
        <v/>
      </c>
      <c r="P2246" s="53" t="str">
        <f t="shared" si="499"/>
        <v/>
      </c>
      <c r="Q2246" s="53" t="str">
        <f t="shared" si="500"/>
        <v/>
      </c>
      <c r="R2246" s="53" t="str">
        <f t="shared" si="501"/>
        <v/>
      </c>
      <c r="S2246" s="53" t="str">
        <f t="shared" si="502"/>
        <v/>
      </c>
      <c r="T2246" s="53" t="str">
        <f t="shared" si="503"/>
        <v/>
      </c>
    </row>
    <row r="2247" spans="1:20">
      <c r="A2247" s="47" t="str">
        <f>IF(archive!E2247="","",archive!E2247)</f>
        <v/>
      </c>
      <c r="B2247" s="48" t="str">
        <f t="shared" si="490"/>
        <v/>
      </c>
      <c r="C2247" s="49" t="str">
        <f>IF(archive!F2247="","",archive!F2247)</f>
        <v/>
      </c>
      <c r="D2247" s="50" t="str">
        <f t="shared" si="491"/>
        <v/>
      </c>
      <c r="E2247" s="50" t="str">
        <f t="shared" si="492"/>
        <v/>
      </c>
      <c r="F2247" s="47" t="str">
        <f>IF(COUNTA(archive!H2247:CI2247)=0,"",COUNTA(archive!H2247:CI2247))</f>
        <v/>
      </c>
      <c r="G2247" s="47" t="str">
        <f>IF(archive!G2247="","",archive!G2247)</f>
        <v/>
      </c>
      <c r="H2247" s="51" t="str">
        <f>IF(archive!CJ2247="","",archive!CJ2247)</f>
        <v/>
      </c>
      <c r="I2247" s="51" t="str">
        <f>IF(archive!CK2247="","",archive!CK2247)</f>
        <v/>
      </c>
      <c r="J2247" s="47" t="str">
        <f t="shared" si="493"/>
        <v/>
      </c>
      <c r="K2247" s="51" t="str">
        <f t="shared" si="494"/>
        <v/>
      </c>
      <c r="L2247" s="52" t="str">
        <f t="shared" si="495"/>
        <v/>
      </c>
      <c r="M2247" s="53" t="str">
        <f t="shared" si="496"/>
        <v/>
      </c>
      <c r="N2247" s="53" t="str">
        <f t="shared" si="497"/>
        <v/>
      </c>
      <c r="O2247" s="53" t="str">
        <f t="shared" si="498"/>
        <v/>
      </c>
      <c r="P2247" s="53" t="str">
        <f t="shared" si="499"/>
        <v/>
      </c>
      <c r="Q2247" s="53" t="str">
        <f t="shared" si="500"/>
        <v/>
      </c>
      <c r="R2247" s="53" t="str">
        <f t="shared" si="501"/>
        <v/>
      </c>
      <c r="S2247" s="53" t="str">
        <f t="shared" si="502"/>
        <v/>
      </c>
      <c r="T2247" s="53" t="str">
        <f t="shared" si="503"/>
        <v/>
      </c>
    </row>
    <row r="2248" spans="1:20">
      <c r="A2248" s="47" t="str">
        <f>IF(archive!E2248="","",archive!E2248)</f>
        <v/>
      </c>
      <c r="B2248" s="48" t="str">
        <f t="shared" si="490"/>
        <v/>
      </c>
      <c r="C2248" s="49" t="str">
        <f>IF(archive!F2248="","",archive!F2248)</f>
        <v/>
      </c>
      <c r="D2248" s="50" t="str">
        <f t="shared" si="491"/>
        <v/>
      </c>
      <c r="E2248" s="50" t="str">
        <f t="shared" si="492"/>
        <v/>
      </c>
      <c r="F2248" s="47" t="str">
        <f>IF(COUNTA(archive!H2248:CI2248)=0,"",COUNTA(archive!H2248:CI2248))</f>
        <v/>
      </c>
      <c r="G2248" s="47" t="str">
        <f>IF(archive!G2248="","",archive!G2248)</f>
        <v/>
      </c>
      <c r="H2248" s="51" t="str">
        <f>IF(archive!CJ2248="","",archive!CJ2248)</f>
        <v/>
      </c>
      <c r="I2248" s="51" t="str">
        <f>IF(archive!CK2248="","",archive!CK2248)</f>
        <v/>
      </c>
      <c r="J2248" s="47" t="str">
        <f t="shared" si="493"/>
        <v/>
      </c>
      <c r="K2248" s="51" t="str">
        <f t="shared" si="494"/>
        <v/>
      </c>
      <c r="L2248" s="52" t="str">
        <f t="shared" si="495"/>
        <v/>
      </c>
      <c r="M2248" s="53" t="str">
        <f t="shared" si="496"/>
        <v/>
      </c>
      <c r="N2248" s="53" t="str">
        <f t="shared" si="497"/>
        <v/>
      </c>
      <c r="O2248" s="53" t="str">
        <f t="shared" si="498"/>
        <v/>
      </c>
      <c r="P2248" s="53" t="str">
        <f t="shared" si="499"/>
        <v/>
      </c>
      <c r="Q2248" s="53" t="str">
        <f t="shared" si="500"/>
        <v/>
      </c>
      <c r="R2248" s="53" t="str">
        <f t="shared" si="501"/>
        <v/>
      </c>
      <c r="S2248" s="53" t="str">
        <f t="shared" si="502"/>
        <v/>
      </c>
      <c r="T2248" s="53" t="str">
        <f t="shared" si="503"/>
        <v/>
      </c>
    </row>
    <row r="2249" spans="1:20">
      <c r="A2249" s="47" t="str">
        <f>IF(archive!E2249="","",archive!E2249)</f>
        <v/>
      </c>
      <c r="B2249" s="48" t="str">
        <f t="shared" si="490"/>
        <v/>
      </c>
      <c r="C2249" s="49" t="str">
        <f>IF(archive!F2249="","",archive!F2249)</f>
        <v/>
      </c>
      <c r="D2249" s="50" t="str">
        <f t="shared" si="491"/>
        <v/>
      </c>
      <c r="E2249" s="50" t="str">
        <f t="shared" si="492"/>
        <v/>
      </c>
      <c r="F2249" s="47" t="str">
        <f>IF(COUNTA(archive!H2249:CI2249)=0,"",COUNTA(archive!H2249:CI2249))</f>
        <v/>
      </c>
      <c r="G2249" s="47" t="str">
        <f>IF(archive!G2249="","",archive!G2249)</f>
        <v/>
      </c>
      <c r="H2249" s="51" t="str">
        <f>IF(archive!CJ2249="","",archive!CJ2249)</f>
        <v/>
      </c>
      <c r="I2249" s="51" t="str">
        <f>IF(archive!CK2249="","",archive!CK2249)</f>
        <v/>
      </c>
      <c r="J2249" s="47" t="str">
        <f t="shared" si="493"/>
        <v/>
      </c>
      <c r="K2249" s="51" t="str">
        <f t="shared" si="494"/>
        <v/>
      </c>
      <c r="L2249" s="52" t="str">
        <f t="shared" si="495"/>
        <v/>
      </c>
      <c r="M2249" s="53" t="str">
        <f t="shared" si="496"/>
        <v/>
      </c>
      <c r="N2249" s="53" t="str">
        <f t="shared" si="497"/>
        <v/>
      </c>
      <c r="O2249" s="53" t="str">
        <f t="shared" si="498"/>
        <v/>
      </c>
      <c r="P2249" s="53" t="str">
        <f t="shared" si="499"/>
        <v/>
      </c>
      <c r="Q2249" s="53" t="str">
        <f t="shared" si="500"/>
        <v/>
      </c>
      <c r="R2249" s="53" t="str">
        <f t="shared" si="501"/>
        <v/>
      </c>
      <c r="S2249" s="53" t="str">
        <f t="shared" si="502"/>
        <v/>
      </c>
      <c r="T2249" s="53" t="str">
        <f t="shared" si="503"/>
        <v/>
      </c>
    </row>
    <row r="2250" spans="1:20">
      <c r="A2250" s="47" t="str">
        <f>IF(archive!E2250="","",archive!E2250)</f>
        <v/>
      </c>
      <c r="B2250" s="48" t="str">
        <f t="shared" si="490"/>
        <v/>
      </c>
      <c r="C2250" s="49" t="str">
        <f>IF(archive!F2250="","",archive!F2250)</f>
        <v/>
      </c>
      <c r="D2250" s="50" t="str">
        <f t="shared" si="491"/>
        <v/>
      </c>
      <c r="E2250" s="50" t="str">
        <f t="shared" si="492"/>
        <v/>
      </c>
      <c r="F2250" s="47" t="str">
        <f>IF(COUNTA(archive!H2250:CI2250)=0,"",COUNTA(archive!H2250:CI2250))</f>
        <v/>
      </c>
      <c r="G2250" s="47" t="str">
        <f>IF(archive!G2250="","",archive!G2250)</f>
        <v/>
      </c>
      <c r="H2250" s="51" t="str">
        <f>IF(archive!CJ2250="","",archive!CJ2250)</f>
        <v/>
      </c>
      <c r="I2250" s="51" t="str">
        <f>IF(archive!CK2250="","",archive!CK2250)</f>
        <v/>
      </c>
      <c r="J2250" s="47" t="str">
        <f t="shared" si="493"/>
        <v/>
      </c>
      <c r="K2250" s="51" t="str">
        <f t="shared" si="494"/>
        <v/>
      </c>
      <c r="L2250" s="52" t="str">
        <f t="shared" si="495"/>
        <v/>
      </c>
      <c r="M2250" s="53" t="str">
        <f t="shared" si="496"/>
        <v/>
      </c>
      <c r="N2250" s="53" t="str">
        <f t="shared" si="497"/>
        <v/>
      </c>
      <c r="O2250" s="53" t="str">
        <f t="shared" si="498"/>
        <v/>
      </c>
      <c r="P2250" s="53" t="str">
        <f t="shared" si="499"/>
        <v/>
      </c>
      <c r="Q2250" s="53" t="str">
        <f t="shared" si="500"/>
        <v/>
      </c>
      <c r="R2250" s="53" t="str">
        <f t="shared" si="501"/>
        <v/>
      </c>
      <c r="S2250" s="53" t="str">
        <f t="shared" si="502"/>
        <v/>
      </c>
      <c r="T2250" s="53" t="str">
        <f t="shared" si="503"/>
        <v/>
      </c>
    </row>
    <row r="2251" spans="1:20">
      <c r="A2251" s="47" t="str">
        <f>IF(archive!E2251="","",archive!E2251)</f>
        <v/>
      </c>
      <c r="B2251" s="48" t="str">
        <f t="shared" si="490"/>
        <v/>
      </c>
      <c r="C2251" s="49" t="str">
        <f>IF(archive!F2251="","",archive!F2251)</f>
        <v/>
      </c>
      <c r="D2251" s="50" t="str">
        <f t="shared" si="491"/>
        <v/>
      </c>
      <c r="E2251" s="50" t="str">
        <f t="shared" si="492"/>
        <v/>
      </c>
      <c r="F2251" s="47" t="str">
        <f>IF(COUNTA(archive!H2251:CI2251)=0,"",COUNTA(archive!H2251:CI2251))</f>
        <v/>
      </c>
      <c r="G2251" s="47" t="str">
        <f>IF(archive!G2251="","",archive!G2251)</f>
        <v/>
      </c>
      <c r="H2251" s="51" t="str">
        <f>IF(archive!CJ2251="","",archive!CJ2251)</f>
        <v/>
      </c>
      <c r="I2251" s="51" t="str">
        <f>IF(archive!CK2251="","",archive!CK2251)</f>
        <v/>
      </c>
      <c r="J2251" s="47" t="str">
        <f t="shared" si="493"/>
        <v/>
      </c>
      <c r="K2251" s="51" t="str">
        <f t="shared" si="494"/>
        <v/>
      </c>
      <c r="L2251" s="52" t="str">
        <f t="shared" si="495"/>
        <v/>
      </c>
      <c r="M2251" s="53" t="str">
        <f t="shared" si="496"/>
        <v/>
      </c>
      <c r="N2251" s="53" t="str">
        <f t="shared" si="497"/>
        <v/>
      </c>
      <c r="O2251" s="53" t="str">
        <f t="shared" si="498"/>
        <v/>
      </c>
      <c r="P2251" s="53" t="str">
        <f t="shared" si="499"/>
        <v/>
      </c>
      <c r="Q2251" s="53" t="str">
        <f t="shared" si="500"/>
        <v/>
      </c>
      <c r="R2251" s="53" t="str">
        <f t="shared" si="501"/>
        <v/>
      </c>
      <c r="S2251" s="53" t="str">
        <f t="shared" si="502"/>
        <v/>
      </c>
      <c r="T2251" s="53" t="str">
        <f t="shared" si="503"/>
        <v/>
      </c>
    </row>
    <row r="2252" spans="1:20">
      <c r="A2252" s="47" t="str">
        <f>IF(archive!E2252="","",archive!E2252)</f>
        <v/>
      </c>
      <c r="B2252" s="48" t="str">
        <f t="shared" si="490"/>
        <v/>
      </c>
      <c r="C2252" s="49" t="str">
        <f>IF(archive!F2252="","",archive!F2252)</f>
        <v/>
      </c>
      <c r="D2252" s="50" t="str">
        <f t="shared" si="491"/>
        <v/>
      </c>
      <c r="E2252" s="50" t="str">
        <f t="shared" si="492"/>
        <v/>
      </c>
      <c r="F2252" s="47" t="str">
        <f>IF(COUNTA(archive!H2252:CI2252)=0,"",COUNTA(archive!H2252:CI2252))</f>
        <v/>
      </c>
      <c r="G2252" s="47" t="str">
        <f>IF(archive!G2252="","",archive!G2252)</f>
        <v/>
      </c>
      <c r="H2252" s="51" t="str">
        <f>IF(archive!CJ2252="","",archive!CJ2252)</f>
        <v/>
      </c>
      <c r="I2252" s="51" t="str">
        <f>IF(archive!CK2252="","",archive!CK2252)</f>
        <v/>
      </c>
      <c r="J2252" s="47" t="str">
        <f t="shared" si="493"/>
        <v/>
      </c>
      <c r="K2252" s="51" t="str">
        <f t="shared" si="494"/>
        <v/>
      </c>
      <c r="L2252" s="52" t="str">
        <f t="shared" si="495"/>
        <v/>
      </c>
      <c r="M2252" s="53" t="str">
        <f t="shared" si="496"/>
        <v/>
      </c>
      <c r="N2252" s="53" t="str">
        <f t="shared" si="497"/>
        <v/>
      </c>
      <c r="O2252" s="53" t="str">
        <f t="shared" si="498"/>
        <v/>
      </c>
      <c r="P2252" s="53" t="str">
        <f t="shared" si="499"/>
        <v/>
      </c>
      <c r="Q2252" s="53" t="str">
        <f t="shared" si="500"/>
        <v/>
      </c>
      <c r="R2252" s="53" t="str">
        <f t="shared" si="501"/>
        <v/>
      </c>
      <c r="S2252" s="53" t="str">
        <f t="shared" si="502"/>
        <v/>
      </c>
      <c r="T2252" s="53" t="str">
        <f t="shared" si="503"/>
        <v/>
      </c>
    </row>
    <row r="2253" spans="1:20">
      <c r="A2253" s="47" t="str">
        <f>IF(archive!E2253="","",archive!E2253)</f>
        <v/>
      </c>
      <c r="B2253" s="48" t="str">
        <f t="shared" si="490"/>
        <v/>
      </c>
      <c r="C2253" s="49" t="str">
        <f>IF(archive!F2253="","",archive!F2253)</f>
        <v/>
      </c>
      <c r="D2253" s="50" t="str">
        <f t="shared" si="491"/>
        <v/>
      </c>
      <c r="E2253" s="50" t="str">
        <f t="shared" si="492"/>
        <v/>
      </c>
      <c r="F2253" s="47" t="str">
        <f>IF(COUNTA(archive!H2253:CI2253)=0,"",COUNTA(archive!H2253:CI2253))</f>
        <v/>
      </c>
      <c r="G2253" s="47" t="str">
        <f>IF(archive!G2253="","",archive!G2253)</f>
        <v/>
      </c>
      <c r="H2253" s="51" t="str">
        <f>IF(archive!CJ2253="","",archive!CJ2253)</f>
        <v/>
      </c>
      <c r="I2253" s="51" t="str">
        <f>IF(archive!CK2253="","",archive!CK2253)</f>
        <v/>
      </c>
      <c r="J2253" s="47" t="str">
        <f t="shared" si="493"/>
        <v/>
      </c>
      <c r="K2253" s="51" t="str">
        <f t="shared" si="494"/>
        <v/>
      </c>
      <c r="L2253" s="52" t="str">
        <f t="shared" si="495"/>
        <v/>
      </c>
      <c r="M2253" s="53" t="str">
        <f t="shared" si="496"/>
        <v/>
      </c>
      <c r="N2253" s="53" t="str">
        <f t="shared" si="497"/>
        <v/>
      </c>
      <c r="O2253" s="53" t="str">
        <f t="shared" si="498"/>
        <v/>
      </c>
      <c r="P2253" s="53" t="str">
        <f t="shared" si="499"/>
        <v/>
      </c>
      <c r="Q2253" s="53" t="str">
        <f t="shared" si="500"/>
        <v/>
      </c>
      <c r="R2253" s="53" t="str">
        <f t="shared" si="501"/>
        <v/>
      </c>
      <c r="S2253" s="53" t="str">
        <f t="shared" si="502"/>
        <v/>
      </c>
      <c r="T2253" s="53" t="str">
        <f t="shared" si="503"/>
        <v/>
      </c>
    </row>
    <row r="2254" spans="1:20">
      <c r="A2254" s="47" t="str">
        <f>IF(archive!E2254="","",archive!E2254)</f>
        <v/>
      </c>
      <c r="B2254" s="48" t="str">
        <f t="shared" si="490"/>
        <v/>
      </c>
      <c r="C2254" s="49" t="str">
        <f>IF(archive!F2254="","",archive!F2254)</f>
        <v/>
      </c>
      <c r="D2254" s="50" t="str">
        <f t="shared" si="491"/>
        <v/>
      </c>
      <c r="E2254" s="50" t="str">
        <f t="shared" si="492"/>
        <v/>
      </c>
      <c r="F2254" s="47" t="str">
        <f>IF(COUNTA(archive!H2254:CI2254)=0,"",COUNTA(archive!H2254:CI2254))</f>
        <v/>
      </c>
      <c r="G2254" s="47" t="str">
        <f>IF(archive!G2254="","",archive!G2254)</f>
        <v/>
      </c>
      <c r="H2254" s="51" t="str">
        <f>IF(archive!CJ2254="","",archive!CJ2254)</f>
        <v/>
      </c>
      <c r="I2254" s="51" t="str">
        <f>IF(archive!CK2254="","",archive!CK2254)</f>
        <v/>
      </c>
      <c r="J2254" s="47" t="str">
        <f t="shared" si="493"/>
        <v/>
      </c>
      <c r="K2254" s="51" t="str">
        <f t="shared" si="494"/>
        <v/>
      </c>
      <c r="L2254" s="52" t="str">
        <f t="shared" si="495"/>
        <v/>
      </c>
      <c r="M2254" s="53" t="str">
        <f t="shared" si="496"/>
        <v/>
      </c>
      <c r="N2254" s="53" t="str">
        <f t="shared" si="497"/>
        <v/>
      </c>
      <c r="O2254" s="53" t="str">
        <f t="shared" si="498"/>
        <v/>
      </c>
      <c r="P2254" s="53" t="str">
        <f t="shared" si="499"/>
        <v/>
      </c>
      <c r="Q2254" s="53" t="str">
        <f t="shared" si="500"/>
        <v/>
      </c>
      <c r="R2254" s="53" t="str">
        <f t="shared" si="501"/>
        <v/>
      </c>
      <c r="S2254" s="53" t="str">
        <f t="shared" si="502"/>
        <v/>
      </c>
      <c r="T2254" s="53" t="str">
        <f t="shared" si="503"/>
        <v/>
      </c>
    </row>
    <row r="2255" spans="1:20">
      <c r="A2255" s="47" t="str">
        <f>IF(archive!E2255="","",archive!E2255)</f>
        <v/>
      </c>
      <c r="B2255" s="48" t="str">
        <f t="shared" si="490"/>
        <v/>
      </c>
      <c r="C2255" s="49" t="str">
        <f>IF(archive!F2255="","",archive!F2255)</f>
        <v/>
      </c>
      <c r="D2255" s="50" t="str">
        <f t="shared" si="491"/>
        <v/>
      </c>
      <c r="E2255" s="50" t="str">
        <f t="shared" si="492"/>
        <v/>
      </c>
      <c r="F2255" s="47" t="str">
        <f>IF(COUNTA(archive!H2255:CI2255)=0,"",COUNTA(archive!H2255:CI2255))</f>
        <v/>
      </c>
      <c r="G2255" s="47" t="str">
        <f>IF(archive!G2255="","",archive!G2255)</f>
        <v/>
      </c>
      <c r="H2255" s="51" t="str">
        <f>IF(archive!CJ2255="","",archive!CJ2255)</f>
        <v/>
      </c>
      <c r="I2255" s="51" t="str">
        <f>IF(archive!CK2255="","",archive!CK2255)</f>
        <v/>
      </c>
      <c r="J2255" s="47" t="str">
        <f t="shared" si="493"/>
        <v/>
      </c>
      <c r="K2255" s="51" t="str">
        <f t="shared" si="494"/>
        <v/>
      </c>
      <c r="L2255" s="52" t="str">
        <f t="shared" si="495"/>
        <v/>
      </c>
      <c r="M2255" s="53" t="str">
        <f t="shared" si="496"/>
        <v/>
      </c>
      <c r="N2255" s="53" t="str">
        <f t="shared" si="497"/>
        <v/>
      </c>
      <c r="O2255" s="53" t="str">
        <f t="shared" si="498"/>
        <v/>
      </c>
      <c r="P2255" s="53" t="str">
        <f t="shared" si="499"/>
        <v/>
      </c>
      <c r="Q2255" s="53" t="str">
        <f t="shared" si="500"/>
        <v/>
      </c>
      <c r="R2255" s="53" t="str">
        <f t="shared" si="501"/>
        <v/>
      </c>
      <c r="S2255" s="53" t="str">
        <f t="shared" si="502"/>
        <v/>
      </c>
      <c r="T2255" s="53" t="str">
        <f t="shared" si="503"/>
        <v/>
      </c>
    </row>
    <row r="2256" spans="1:20">
      <c r="A2256" s="47" t="str">
        <f>IF(archive!E2256="","",archive!E2256)</f>
        <v/>
      </c>
      <c r="B2256" s="48" t="str">
        <f t="shared" si="490"/>
        <v/>
      </c>
      <c r="C2256" s="49" t="str">
        <f>IF(archive!F2256="","",archive!F2256)</f>
        <v/>
      </c>
      <c r="D2256" s="50" t="str">
        <f t="shared" si="491"/>
        <v/>
      </c>
      <c r="E2256" s="50" t="str">
        <f t="shared" si="492"/>
        <v/>
      </c>
      <c r="F2256" s="47" t="str">
        <f>IF(COUNTA(archive!H2256:CI2256)=0,"",COUNTA(archive!H2256:CI2256))</f>
        <v/>
      </c>
      <c r="G2256" s="47" t="str">
        <f>IF(archive!G2256="","",archive!G2256)</f>
        <v/>
      </c>
      <c r="H2256" s="51" t="str">
        <f>IF(archive!CJ2256="","",archive!CJ2256)</f>
        <v/>
      </c>
      <c r="I2256" s="51" t="str">
        <f>IF(archive!CK2256="","",archive!CK2256)</f>
        <v/>
      </c>
      <c r="J2256" s="47" t="str">
        <f t="shared" si="493"/>
        <v/>
      </c>
      <c r="K2256" s="51" t="str">
        <f t="shared" si="494"/>
        <v/>
      </c>
      <c r="L2256" s="52" t="str">
        <f t="shared" si="495"/>
        <v/>
      </c>
      <c r="M2256" s="53" t="str">
        <f t="shared" si="496"/>
        <v/>
      </c>
      <c r="N2256" s="53" t="str">
        <f t="shared" si="497"/>
        <v/>
      </c>
      <c r="O2256" s="53" t="str">
        <f t="shared" si="498"/>
        <v/>
      </c>
      <c r="P2256" s="53" t="str">
        <f t="shared" si="499"/>
        <v/>
      </c>
      <c r="Q2256" s="53" t="str">
        <f t="shared" si="500"/>
        <v/>
      </c>
      <c r="R2256" s="53" t="str">
        <f t="shared" si="501"/>
        <v/>
      </c>
      <c r="S2256" s="53" t="str">
        <f t="shared" si="502"/>
        <v/>
      </c>
      <c r="T2256" s="53" t="str">
        <f t="shared" si="503"/>
        <v/>
      </c>
    </row>
    <row r="2257" spans="1:20">
      <c r="A2257" s="47" t="str">
        <f>IF(archive!E2257="","",archive!E2257)</f>
        <v/>
      </c>
      <c r="B2257" s="48" t="str">
        <f t="shared" si="490"/>
        <v/>
      </c>
      <c r="C2257" s="49" t="str">
        <f>IF(archive!F2257="","",archive!F2257)</f>
        <v/>
      </c>
      <c r="D2257" s="50" t="str">
        <f t="shared" si="491"/>
        <v/>
      </c>
      <c r="E2257" s="50" t="str">
        <f t="shared" si="492"/>
        <v/>
      </c>
      <c r="F2257" s="47" t="str">
        <f>IF(COUNTA(archive!H2257:CI2257)=0,"",COUNTA(archive!H2257:CI2257))</f>
        <v/>
      </c>
      <c r="G2257" s="47" t="str">
        <f>IF(archive!G2257="","",archive!G2257)</f>
        <v/>
      </c>
      <c r="H2257" s="51" t="str">
        <f>IF(archive!CJ2257="","",archive!CJ2257)</f>
        <v/>
      </c>
      <c r="I2257" s="51" t="str">
        <f>IF(archive!CK2257="","",archive!CK2257)</f>
        <v/>
      </c>
      <c r="J2257" s="47" t="str">
        <f t="shared" si="493"/>
        <v/>
      </c>
      <c r="K2257" s="51" t="str">
        <f t="shared" si="494"/>
        <v/>
      </c>
      <c r="L2257" s="52" t="str">
        <f t="shared" si="495"/>
        <v/>
      </c>
      <c r="M2257" s="53" t="str">
        <f t="shared" si="496"/>
        <v/>
      </c>
      <c r="N2257" s="53" t="str">
        <f t="shared" si="497"/>
        <v/>
      </c>
      <c r="O2257" s="53" t="str">
        <f t="shared" si="498"/>
        <v/>
      </c>
      <c r="P2257" s="53" t="str">
        <f t="shared" si="499"/>
        <v/>
      </c>
      <c r="Q2257" s="53" t="str">
        <f t="shared" si="500"/>
        <v/>
      </c>
      <c r="R2257" s="53" t="str">
        <f t="shared" si="501"/>
        <v/>
      </c>
      <c r="S2257" s="53" t="str">
        <f t="shared" si="502"/>
        <v/>
      </c>
      <c r="T2257" s="53" t="str">
        <f t="shared" si="503"/>
        <v/>
      </c>
    </row>
    <row r="2258" spans="1:20">
      <c r="A2258" s="47" t="str">
        <f>IF(archive!E2258="","",archive!E2258)</f>
        <v/>
      </c>
      <c r="B2258" s="48" t="str">
        <f t="shared" si="490"/>
        <v/>
      </c>
      <c r="C2258" s="49" t="str">
        <f>IF(archive!F2258="","",archive!F2258)</f>
        <v/>
      </c>
      <c r="D2258" s="50" t="str">
        <f t="shared" si="491"/>
        <v/>
      </c>
      <c r="E2258" s="50" t="str">
        <f t="shared" si="492"/>
        <v/>
      </c>
      <c r="F2258" s="47" t="str">
        <f>IF(COUNTA(archive!H2258:CI2258)=0,"",COUNTA(archive!H2258:CI2258))</f>
        <v/>
      </c>
      <c r="G2258" s="47" t="str">
        <f>IF(archive!G2258="","",archive!G2258)</f>
        <v/>
      </c>
      <c r="H2258" s="51" t="str">
        <f>IF(archive!CJ2258="","",archive!CJ2258)</f>
        <v/>
      </c>
      <c r="I2258" s="51" t="str">
        <f>IF(archive!CK2258="","",archive!CK2258)</f>
        <v/>
      </c>
      <c r="J2258" s="47" t="str">
        <f t="shared" si="493"/>
        <v/>
      </c>
      <c r="K2258" s="51" t="str">
        <f t="shared" si="494"/>
        <v/>
      </c>
      <c r="L2258" s="52" t="str">
        <f t="shared" si="495"/>
        <v/>
      </c>
      <c r="M2258" s="53" t="str">
        <f t="shared" si="496"/>
        <v/>
      </c>
      <c r="N2258" s="53" t="str">
        <f t="shared" si="497"/>
        <v/>
      </c>
      <c r="O2258" s="53" t="str">
        <f t="shared" si="498"/>
        <v/>
      </c>
      <c r="P2258" s="53" t="str">
        <f t="shared" si="499"/>
        <v/>
      </c>
      <c r="Q2258" s="53" t="str">
        <f t="shared" si="500"/>
        <v/>
      </c>
      <c r="R2258" s="53" t="str">
        <f t="shared" si="501"/>
        <v/>
      </c>
      <c r="S2258" s="53" t="str">
        <f t="shared" si="502"/>
        <v/>
      </c>
      <c r="T2258" s="53" t="str">
        <f t="shared" si="503"/>
        <v/>
      </c>
    </row>
    <row r="2259" spans="1:20">
      <c r="A2259" s="47" t="str">
        <f>IF(archive!E2259="","",archive!E2259)</f>
        <v/>
      </c>
      <c r="B2259" s="48" t="str">
        <f t="shared" si="490"/>
        <v/>
      </c>
      <c r="C2259" s="49" t="str">
        <f>IF(archive!F2259="","",archive!F2259)</f>
        <v/>
      </c>
      <c r="D2259" s="50" t="str">
        <f t="shared" si="491"/>
        <v/>
      </c>
      <c r="E2259" s="50" t="str">
        <f t="shared" si="492"/>
        <v/>
      </c>
      <c r="F2259" s="47" t="str">
        <f>IF(COUNTA(archive!H2259:CI2259)=0,"",COUNTA(archive!H2259:CI2259))</f>
        <v/>
      </c>
      <c r="G2259" s="47" t="str">
        <f>IF(archive!G2259="","",archive!G2259)</f>
        <v/>
      </c>
      <c r="H2259" s="51" t="str">
        <f>IF(archive!CJ2259="","",archive!CJ2259)</f>
        <v/>
      </c>
      <c r="I2259" s="51" t="str">
        <f>IF(archive!CK2259="","",archive!CK2259)</f>
        <v/>
      </c>
      <c r="J2259" s="47" t="str">
        <f t="shared" si="493"/>
        <v/>
      </c>
      <c r="K2259" s="51" t="str">
        <f t="shared" si="494"/>
        <v/>
      </c>
      <c r="L2259" s="52" t="str">
        <f t="shared" si="495"/>
        <v/>
      </c>
      <c r="M2259" s="53" t="str">
        <f t="shared" si="496"/>
        <v/>
      </c>
      <c r="N2259" s="53" t="str">
        <f t="shared" si="497"/>
        <v/>
      </c>
      <c r="O2259" s="53" t="str">
        <f t="shared" si="498"/>
        <v/>
      </c>
      <c r="P2259" s="53" t="str">
        <f t="shared" si="499"/>
        <v/>
      </c>
      <c r="Q2259" s="53" t="str">
        <f t="shared" si="500"/>
        <v/>
      </c>
      <c r="R2259" s="53" t="str">
        <f t="shared" si="501"/>
        <v/>
      </c>
      <c r="S2259" s="53" t="str">
        <f t="shared" si="502"/>
        <v/>
      </c>
      <c r="T2259" s="53" t="str">
        <f t="shared" si="503"/>
        <v/>
      </c>
    </row>
    <row r="2260" spans="1:20">
      <c r="A2260" s="47" t="str">
        <f>IF(archive!E2260="","",archive!E2260)</f>
        <v/>
      </c>
      <c r="B2260" s="48" t="str">
        <f t="shared" si="490"/>
        <v/>
      </c>
      <c r="C2260" s="49" t="str">
        <f>IF(archive!F2260="","",archive!F2260)</f>
        <v/>
      </c>
      <c r="D2260" s="50" t="str">
        <f t="shared" si="491"/>
        <v/>
      </c>
      <c r="E2260" s="50" t="str">
        <f t="shared" si="492"/>
        <v/>
      </c>
      <c r="F2260" s="47" t="str">
        <f>IF(COUNTA(archive!H2260:CI2260)=0,"",COUNTA(archive!H2260:CI2260))</f>
        <v/>
      </c>
      <c r="G2260" s="47" t="str">
        <f>IF(archive!G2260="","",archive!G2260)</f>
        <v/>
      </c>
      <c r="H2260" s="51" t="str">
        <f>IF(archive!CJ2260="","",archive!CJ2260)</f>
        <v/>
      </c>
      <c r="I2260" s="51" t="str">
        <f>IF(archive!CK2260="","",archive!CK2260)</f>
        <v/>
      </c>
      <c r="J2260" s="47" t="str">
        <f t="shared" si="493"/>
        <v/>
      </c>
      <c r="K2260" s="51" t="str">
        <f t="shared" si="494"/>
        <v/>
      </c>
      <c r="L2260" s="52" t="str">
        <f t="shared" si="495"/>
        <v/>
      </c>
      <c r="M2260" s="53" t="str">
        <f t="shared" si="496"/>
        <v/>
      </c>
      <c r="N2260" s="53" t="str">
        <f t="shared" si="497"/>
        <v/>
      </c>
      <c r="O2260" s="53" t="str">
        <f t="shared" si="498"/>
        <v/>
      </c>
      <c r="P2260" s="53" t="str">
        <f t="shared" si="499"/>
        <v/>
      </c>
      <c r="Q2260" s="53" t="str">
        <f t="shared" si="500"/>
        <v/>
      </c>
      <c r="R2260" s="53" t="str">
        <f t="shared" si="501"/>
        <v/>
      </c>
      <c r="S2260" s="53" t="str">
        <f t="shared" si="502"/>
        <v/>
      </c>
      <c r="T2260" s="53" t="str">
        <f t="shared" si="503"/>
        <v/>
      </c>
    </row>
    <row r="2261" spans="1:20">
      <c r="A2261" s="47" t="str">
        <f>IF(archive!E2261="","",archive!E2261)</f>
        <v/>
      </c>
      <c r="B2261" s="48" t="str">
        <f t="shared" si="490"/>
        <v/>
      </c>
      <c r="C2261" s="49" t="str">
        <f>IF(archive!F2261="","",archive!F2261)</f>
        <v/>
      </c>
      <c r="D2261" s="50" t="str">
        <f t="shared" si="491"/>
        <v/>
      </c>
      <c r="E2261" s="50" t="str">
        <f t="shared" si="492"/>
        <v/>
      </c>
      <c r="F2261" s="47" t="str">
        <f>IF(COUNTA(archive!H2261:CI2261)=0,"",COUNTA(archive!H2261:CI2261))</f>
        <v/>
      </c>
      <c r="G2261" s="47" t="str">
        <f>IF(archive!G2261="","",archive!G2261)</f>
        <v/>
      </c>
      <c r="H2261" s="51" t="str">
        <f>IF(archive!CJ2261="","",archive!CJ2261)</f>
        <v/>
      </c>
      <c r="I2261" s="51" t="str">
        <f>IF(archive!CK2261="","",archive!CK2261)</f>
        <v/>
      </c>
      <c r="J2261" s="47" t="str">
        <f t="shared" si="493"/>
        <v/>
      </c>
      <c r="K2261" s="51" t="str">
        <f t="shared" si="494"/>
        <v/>
      </c>
      <c r="L2261" s="52" t="str">
        <f t="shared" si="495"/>
        <v/>
      </c>
      <c r="M2261" s="53" t="str">
        <f t="shared" si="496"/>
        <v/>
      </c>
      <c r="N2261" s="53" t="str">
        <f t="shared" si="497"/>
        <v/>
      </c>
      <c r="O2261" s="53" t="str">
        <f t="shared" si="498"/>
        <v/>
      </c>
      <c r="P2261" s="53" t="str">
        <f t="shared" si="499"/>
        <v/>
      </c>
      <c r="Q2261" s="53" t="str">
        <f t="shared" si="500"/>
        <v/>
      </c>
      <c r="R2261" s="53" t="str">
        <f t="shared" si="501"/>
        <v/>
      </c>
      <c r="S2261" s="53" t="str">
        <f t="shared" si="502"/>
        <v/>
      </c>
      <c r="T2261" s="53" t="str">
        <f t="shared" si="503"/>
        <v/>
      </c>
    </row>
    <row r="2262" spans="1:20">
      <c r="A2262" s="47" t="str">
        <f>IF(archive!E2262="","",archive!E2262)</f>
        <v/>
      </c>
      <c r="B2262" s="48" t="str">
        <f t="shared" si="490"/>
        <v/>
      </c>
      <c r="C2262" s="49" t="str">
        <f>IF(archive!F2262="","",archive!F2262)</f>
        <v/>
      </c>
      <c r="D2262" s="50" t="str">
        <f t="shared" si="491"/>
        <v/>
      </c>
      <c r="E2262" s="50" t="str">
        <f t="shared" si="492"/>
        <v/>
      </c>
      <c r="F2262" s="47" t="str">
        <f>IF(COUNTA(archive!H2262:CI2262)=0,"",COUNTA(archive!H2262:CI2262))</f>
        <v/>
      </c>
      <c r="G2262" s="47" t="str">
        <f>IF(archive!G2262="","",archive!G2262)</f>
        <v/>
      </c>
      <c r="H2262" s="51" t="str">
        <f>IF(archive!CJ2262="","",archive!CJ2262)</f>
        <v/>
      </c>
      <c r="I2262" s="51" t="str">
        <f>IF(archive!CK2262="","",archive!CK2262)</f>
        <v/>
      </c>
      <c r="J2262" s="47" t="str">
        <f t="shared" si="493"/>
        <v/>
      </c>
      <c r="K2262" s="51" t="str">
        <f t="shared" si="494"/>
        <v/>
      </c>
      <c r="L2262" s="52" t="str">
        <f t="shared" si="495"/>
        <v/>
      </c>
      <c r="M2262" s="53" t="str">
        <f t="shared" si="496"/>
        <v/>
      </c>
      <c r="N2262" s="53" t="str">
        <f t="shared" si="497"/>
        <v/>
      </c>
      <c r="O2262" s="53" t="str">
        <f t="shared" si="498"/>
        <v/>
      </c>
      <c r="P2262" s="53" t="str">
        <f t="shared" si="499"/>
        <v/>
      </c>
      <c r="Q2262" s="53" t="str">
        <f t="shared" si="500"/>
        <v/>
      </c>
      <c r="R2262" s="53" t="str">
        <f t="shared" si="501"/>
        <v/>
      </c>
      <c r="S2262" s="53" t="str">
        <f t="shared" si="502"/>
        <v/>
      </c>
      <c r="T2262" s="53" t="str">
        <f t="shared" si="503"/>
        <v/>
      </c>
    </row>
    <row r="2263" spans="1:20">
      <c r="A2263" s="47" t="str">
        <f>IF(archive!E2263="","",archive!E2263)</f>
        <v/>
      </c>
      <c r="B2263" s="48" t="str">
        <f t="shared" si="490"/>
        <v/>
      </c>
      <c r="C2263" s="49" t="str">
        <f>IF(archive!F2263="","",archive!F2263)</f>
        <v/>
      </c>
      <c r="D2263" s="50" t="str">
        <f t="shared" si="491"/>
        <v/>
      </c>
      <c r="E2263" s="50" t="str">
        <f t="shared" si="492"/>
        <v/>
      </c>
      <c r="F2263" s="47" t="str">
        <f>IF(COUNTA(archive!H2263:CI2263)=0,"",COUNTA(archive!H2263:CI2263))</f>
        <v/>
      </c>
      <c r="G2263" s="47" t="str">
        <f>IF(archive!G2263="","",archive!G2263)</f>
        <v/>
      </c>
      <c r="H2263" s="51" t="str">
        <f>IF(archive!CJ2263="","",archive!CJ2263)</f>
        <v/>
      </c>
      <c r="I2263" s="51" t="str">
        <f>IF(archive!CK2263="","",archive!CK2263)</f>
        <v/>
      </c>
      <c r="J2263" s="47" t="str">
        <f t="shared" si="493"/>
        <v/>
      </c>
      <c r="K2263" s="51" t="str">
        <f t="shared" si="494"/>
        <v/>
      </c>
      <c r="L2263" s="52" t="str">
        <f t="shared" si="495"/>
        <v/>
      </c>
      <c r="M2263" s="53" t="str">
        <f t="shared" si="496"/>
        <v/>
      </c>
      <c r="N2263" s="53" t="str">
        <f t="shared" si="497"/>
        <v/>
      </c>
      <c r="O2263" s="53" t="str">
        <f t="shared" si="498"/>
        <v/>
      </c>
      <c r="P2263" s="53" t="str">
        <f t="shared" si="499"/>
        <v/>
      </c>
      <c r="Q2263" s="53" t="str">
        <f t="shared" si="500"/>
        <v/>
      </c>
      <c r="R2263" s="53" t="str">
        <f t="shared" si="501"/>
        <v/>
      </c>
      <c r="S2263" s="53" t="str">
        <f t="shared" si="502"/>
        <v/>
      </c>
      <c r="T2263" s="53" t="str">
        <f t="shared" si="503"/>
        <v/>
      </c>
    </row>
    <row r="2264" spans="1:20">
      <c r="A2264" s="47" t="str">
        <f>IF(archive!E2264="","",archive!E2264)</f>
        <v/>
      </c>
      <c r="B2264" s="48" t="str">
        <f t="shared" si="490"/>
        <v/>
      </c>
      <c r="C2264" s="49" t="str">
        <f>IF(archive!F2264="","",archive!F2264)</f>
        <v/>
      </c>
      <c r="D2264" s="50" t="str">
        <f t="shared" si="491"/>
        <v/>
      </c>
      <c r="E2264" s="50" t="str">
        <f t="shared" si="492"/>
        <v/>
      </c>
      <c r="F2264" s="47" t="str">
        <f>IF(COUNTA(archive!H2264:CI2264)=0,"",COUNTA(archive!H2264:CI2264))</f>
        <v/>
      </c>
      <c r="G2264" s="47" t="str">
        <f>IF(archive!G2264="","",archive!G2264)</f>
        <v/>
      </c>
      <c r="H2264" s="51" t="str">
        <f>IF(archive!CJ2264="","",archive!CJ2264)</f>
        <v/>
      </c>
      <c r="I2264" s="51" t="str">
        <f>IF(archive!CK2264="","",archive!CK2264)</f>
        <v/>
      </c>
      <c r="J2264" s="47" t="str">
        <f t="shared" si="493"/>
        <v/>
      </c>
      <c r="K2264" s="51" t="str">
        <f t="shared" si="494"/>
        <v/>
      </c>
      <c r="L2264" s="52" t="str">
        <f t="shared" si="495"/>
        <v/>
      </c>
      <c r="M2264" s="53" t="str">
        <f t="shared" si="496"/>
        <v/>
      </c>
      <c r="N2264" s="53" t="str">
        <f t="shared" si="497"/>
        <v/>
      </c>
      <c r="O2264" s="53" t="str">
        <f t="shared" si="498"/>
        <v/>
      </c>
      <c r="P2264" s="53" t="str">
        <f t="shared" si="499"/>
        <v/>
      </c>
      <c r="Q2264" s="53" t="str">
        <f t="shared" si="500"/>
        <v/>
      </c>
      <c r="R2264" s="53" t="str">
        <f t="shared" si="501"/>
        <v/>
      </c>
      <c r="S2264" s="53" t="str">
        <f t="shared" si="502"/>
        <v/>
      </c>
      <c r="T2264" s="53" t="str">
        <f t="shared" si="503"/>
        <v/>
      </c>
    </row>
    <row r="2265" spans="1:20">
      <c r="A2265" s="47" t="str">
        <f>IF(archive!E2265="","",archive!E2265)</f>
        <v/>
      </c>
      <c r="B2265" s="48" t="str">
        <f t="shared" si="490"/>
        <v/>
      </c>
      <c r="C2265" s="49" t="str">
        <f>IF(archive!F2265="","",archive!F2265)</f>
        <v/>
      </c>
      <c r="D2265" s="50" t="str">
        <f t="shared" si="491"/>
        <v/>
      </c>
      <c r="E2265" s="50" t="str">
        <f t="shared" si="492"/>
        <v/>
      </c>
      <c r="F2265" s="47" t="str">
        <f>IF(COUNTA(archive!H2265:CI2265)=0,"",COUNTA(archive!H2265:CI2265))</f>
        <v/>
      </c>
      <c r="G2265" s="47" t="str">
        <f>IF(archive!G2265="","",archive!G2265)</f>
        <v/>
      </c>
      <c r="H2265" s="51" t="str">
        <f>IF(archive!CJ2265="","",archive!CJ2265)</f>
        <v/>
      </c>
      <c r="I2265" s="51" t="str">
        <f>IF(archive!CK2265="","",archive!CK2265)</f>
        <v/>
      </c>
      <c r="J2265" s="47" t="str">
        <f t="shared" si="493"/>
        <v/>
      </c>
      <c r="K2265" s="51" t="str">
        <f t="shared" si="494"/>
        <v/>
      </c>
      <c r="L2265" s="52" t="str">
        <f t="shared" si="495"/>
        <v/>
      </c>
      <c r="M2265" s="53" t="str">
        <f t="shared" si="496"/>
        <v/>
      </c>
      <c r="N2265" s="53" t="str">
        <f t="shared" si="497"/>
        <v/>
      </c>
      <c r="O2265" s="53" t="str">
        <f t="shared" si="498"/>
        <v/>
      </c>
      <c r="P2265" s="53" t="str">
        <f t="shared" si="499"/>
        <v/>
      </c>
      <c r="Q2265" s="53" t="str">
        <f t="shared" si="500"/>
        <v/>
      </c>
      <c r="R2265" s="53" t="str">
        <f t="shared" si="501"/>
        <v/>
      </c>
      <c r="S2265" s="53" t="str">
        <f t="shared" si="502"/>
        <v/>
      </c>
      <c r="T2265" s="53" t="str">
        <f t="shared" si="503"/>
        <v/>
      </c>
    </row>
    <row r="2266" spans="1:20">
      <c r="A2266" s="47" t="str">
        <f>IF(archive!E2266="","",archive!E2266)</f>
        <v/>
      </c>
      <c r="B2266" s="48" t="str">
        <f t="shared" si="490"/>
        <v/>
      </c>
      <c r="C2266" s="49" t="str">
        <f>IF(archive!F2266="","",archive!F2266)</f>
        <v/>
      </c>
      <c r="D2266" s="50" t="str">
        <f t="shared" si="491"/>
        <v/>
      </c>
      <c r="E2266" s="50" t="str">
        <f t="shared" si="492"/>
        <v/>
      </c>
      <c r="F2266" s="47" t="str">
        <f>IF(COUNTA(archive!H2266:CI2266)=0,"",COUNTA(archive!H2266:CI2266))</f>
        <v/>
      </c>
      <c r="G2266" s="47" t="str">
        <f>IF(archive!G2266="","",archive!G2266)</f>
        <v/>
      </c>
      <c r="H2266" s="51" t="str">
        <f>IF(archive!CJ2266="","",archive!CJ2266)</f>
        <v/>
      </c>
      <c r="I2266" s="51" t="str">
        <f>IF(archive!CK2266="","",archive!CK2266)</f>
        <v/>
      </c>
      <c r="J2266" s="47" t="str">
        <f t="shared" si="493"/>
        <v/>
      </c>
      <c r="K2266" s="51" t="str">
        <f t="shared" si="494"/>
        <v/>
      </c>
      <c r="L2266" s="52" t="str">
        <f t="shared" si="495"/>
        <v/>
      </c>
      <c r="M2266" s="53" t="str">
        <f t="shared" si="496"/>
        <v/>
      </c>
      <c r="N2266" s="53" t="str">
        <f t="shared" si="497"/>
        <v/>
      </c>
      <c r="O2266" s="53" t="str">
        <f t="shared" si="498"/>
        <v/>
      </c>
      <c r="P2266" s="53" t="str">
        <f t="shared" si="499"/>
        <v/>
      </c>
      <c r="Q2266" s="53" t="str">
        <f t="shared" si="500"/>
        <v/>
      </c>
      <c r="R2266" s="53" t="str">
        <f t="shared" si="501"/>
        <v/>
      </c>
      <c r="S2266" s="53" t="str">
        <f t="shared" si="502"/>
        <v/>
      </c>
      <c r="T2266" s="53" t="str">
        <f t="shared" si="503"/>
        <v/>
      </c>
    </row>
    <row r="2267" spans="1:20">
      <c r="A2267" s="47" t="str">
        <f>IF(archive!E2267="","",archive!E2267)</f>
        <v/>
      </c>
      <c r="B2267" s="48" t="str">
        <f t="shared" si="490"/>
        <v/>
      </c>
      <c r="C2267" s="49" t="str">
        <f>IF(archive!F2267="","",archive!F2267)</f>
        <v/>
      </c>
      <c r="D2267" s="50" t="str">
        <f t="shared" si="491"/>
        <v/>
      </c>
      <c r="E2267" s="50" t="str">
        <f t="shared" si="492"/>
        <v/>
      </c>
      <c r="F2267" s="47" t="str">
        <f>IF(COUNTA(archive!H2267:CI2267)=0,"",COUNTA(archive!H2267:CI2267))</f>
        <v/>
      </c>
      <c r="G2267" s="47" t="str">
        <f>IF(archive!G2267="","",archive!G2267)</f>
        <v/>
      </c>
      <c r="H2267" s="51" t="str">
        <f>IF(archive!CJ2267="","",archive!CJ2267)</f>
        <v/>
      </c>
      <c r="I2267" s="51" t="str">
        <f>IF(archive!CK2267="","",archive!CK2267)</f>
        <v/>
      </c>
      <c r="J2267" s="47" t="str">
        <f t="shared" si="493"/>
        <v/>
      </c>
      <c r="K2267" s="51" t="str">
        <f t="shared" si="494"/>
        <v/>
      </c>
      <c r="L2267" s="52" t="str">
        <f t="shared" si="495"/>
        <v/>
      </c>
      <c r="M2267" s="53" t="str">
        <f t="shared" si="496"/>
        <v/>
      </c>
      <c r="N2267" s="53" t="str">
        <f t="shared" si="497"/>
        <v/>
      </c>
      <c r="O2267" s="53" t="str">
        <f t="shared" si="498"/>
        <v/>
      </c>
      <c r="P2267" s="53" t="str">
        <f t="shared" si="499"/>
        <v/>
      </c>
      <c r="Q2267" s="53" t="str">
        <f t="shared" si="500"/>
        <v/>
      </c>
      <c r="R2267" s="53" t="str">
        <f t="shared" si="501"/>
        <v/>
      </c>
      <c r="S2267" s="53" t="str">
        <f t="shared" si="502"/>
        <v/>
      </c>
      <c r="T2267" s="53" t="str">
        <f t="shared" si="503"/>
        <v/>
      </c>
    </row>
    <row r="2268" spans="1:20">
      <c r="A2268" s="47" t="str">
        <f>IF(archive!E2268="","",archive!E2268)</f>
        <v/>
      </c>
      <c r="B2268" s="48" t="str">
        <f t="shared" si="490"/>
        <v/>
      </c>
      <c r="C2268" s="49" t="str">
        <f>IF(archive!F2268="","",archive!F2268)</f>
        <v/>
      </c>
      <c r="D2268" s="50" t="str">
        <f t="shared" si="491"/>
        <v/>
      </c>
      <c r="E2268" s="50" t="str">
        <f t="shared" si="492"/>
        <v/>
      </c>
      <c r="F2268" s="47" t="str">
        <f>IF(COUNTA(archive!H2268:CI2268)=0,"",COUNTA(archive!H2268:CI2268))</f>
        <v/>
      </c>
      <c r="G2268" s="47" t="str">
        <f>IF(archive!G2268="","",archive!G2268)</f>
        <v/>
      </c>
      <c r="H2268" s="51" t="str">
        <f>IF(archive!CJ2268="","",archive!CJ2268)</f>
        <v/>
      </c>
      <c r="I2268" s="51" t="str">
        <f>IF(archive!CK2268="","",archive!CK2268)</f>
        <v/>
      </c>
      <c r="J2268" s="47" t="str">
        <f t="shared" si="493"/>
        <v/>
      </c>
      <c r="K2268" s="51" t="str">
        <f t="shared" si="494"/>
        <v/>
      </c>
      <c r="L2268" s="52" t="str">
        <f t="shared" si="495"/>
        <v/>
      </c>
      <c r="M2268" s="53" t="str">
        <f t="shared" si="496"/>
        <v/>
      </c>
      <c r="N2268" s="53" t="str">
        <f t="shared" si="497"/>
        <v/>
      </c>
      <c r="O2268" s="53" t="str">
        <f t="shared" si="498"/>
        <v/>
      </c>
      <c r="P2268" s="53" t="str">
        <f t="shared" si="499"/>
        <v/>
      </c>
      <c r="Q2268" s="53" t="str">
        <f t="shared" si="500"/>
        <v/>
      </c>
      <c r="R2268" s="53" t="str">
        <f t="shared" si="501"/>
        <v/>
      </c>
      <c r="S2268" s="53" t="str">
        <f t="shared" si="502"/>
        <v/>
      </c>
      <c r="T2268" s="53" t="str">
        <f t="shared" si="503"/>
        <v/>
      </c>
    </row>
    <row r="2269" spans="1:20">
      <c r="A2269" s="47" t="str">
        <f>IF(archive!E2269="","",archive!E2269)</f>
        <v/>
      </c>
      <c r="B2269" s="48" t="str">
        <f t="shared" si="490"/>
        <v/>
      </c>
      <c r="C2269" s="49" t="str">
        <f>IF(archive!F2269="","",archive!F2269)</f>
        <v/>
      </c>
      <c r="D2269" s="50" t="str">
        <f t="shared" si="491"/>
        <v/>
      </c>
      <c r="E2269" s="50" t="str">
        <f t="shared" si="492"/>
        <v/>
      </c>
      <c r="F2269" s="47" t="str">
        <f>IF(COUNTA(archive!H2269:CI2269)=0,"",COUNTA(archive!H2269:CI2269))</f>
        <v/>
      </c>
      <c r="G2269" s="47" t="str">
        <f>IF(archive!G2269="","",archive!G2269)</f>
        <v/>
      </c>
      <c r="H2269" s="51" t="str">
        <f>IF(archive!CJ2269="","",archive!CJ2269)</f>
        <v/>
      </c>
      <c r="I2269" s="51" t="str">
        <f>IF(archive!CK2269="","",archive!CK2269)</f>
        <v/>
      </c>
      <c r="J2269" s="47" t="str">
        <f t="shared" si="493"/>
        <v/>
      </c>
      <c r="K2269" s="51" t="str">
        <f t="shared" si="494"/>
        <v/>
      </c>
      <c r="L2269" s="52" t="str">
        <f t="shared" si="495"/>
        <v/>
      </c>
      <c r="M2269" s="53" t="str">
        <f t="shared" si="496"/>
        <v/>
      </c>
      <c r="N2269" s="53" t="str">
        <f t="shared" si="497"/>
        <v/>
      </c>
      <c r="O2269" s="53" t="str">
        <f t="shared" si="498"/>
        <v/>
      </c>
      <c r="P2269" s="53" t="str">
        <f t="shared" si="499"/>
        <v/>
      </c>
      <c r="Q2269" s="53" t="str">
        <f t="shared" si="500"/>
        <v/>
      </c>
      <c r="R2269" s="53" t="str">
        <f t="shared" si="501"/>
        <v/>
      </c>
      <c r="S2269" s="53" t="str">
        <f t="shared" si="502"/>
        <v/>
      </c>
      <c r="T2269" s="53" t="str">
        <f t="shared" si="503"/>
        <v/>
      </c>
    </row>
    <row r="2270" spans="1:20">
      <c r="A2270" s="47" t="str">
        <f>IF(archive!E2270="","",archive!E2270)</f>
        <v/>
      </c>
      <c r="B2270" s="48" t="str">
        <f t="shared" si="490"/>
        <v/>
      </c>
      <c r="C2270" s="49" t="str">
        <f>IF(archive!F2270="","",archive!F2270)</f>
        <v/>
      </c>
      <c r="D2270" s="50" t="str">
        <f t="shared" si="491"/>
        <v/>
      </c>
      <c r="E2270" s="50" t="str">
        <f t="shared" si="492"/>
        <v/>
      </c>
      <c r="F2270" s="47" t="str">
        <f>IF(COUNTA(archive!H2270:CI2270)=0,"",COUNTA(archive!H2270:CI2270))</f>
        <v/>
      </c>
      <c r="G2270" s="47" t="str">
        <f>IF(archive!G2270="","",archive!G2270)</f>
        <v/>
      </c>
      <c r="H2270" s="51" t="str">
        <f>IF(archive!CJ2270="","",archive!CJ2270)</f>
        <v/>
      </c>
      <c r="I2270" s="51" t="str">
        <f>IF(archive!CK2270="","",archive!CK2270)</f>
        <v/>
      </c>
      <c r="J2270" s="47" t="str">
        <f t="shared" si="493"/>
        <v/>
      </c>
      <c r="K2270" s="51" t="str">
        <f t="shared" si="494"/>
        <v/>
      </c>
      <c r="L2270" s="52" t="str">
        <f t="shared" si="495"/>
        <v/>
      </c>
      <c r="M2270" s="53" t="str">
        <f t="shared" si="496"/>
        <v/>
      </c>
      <c r="N2270" s="53" t="str">
        <f t="shared" si="497"/>
        <v/>
      </c>
      <c r="O2270" s="53" t="str">
        <f t="shared" si="498"/>
        <v/>
      </c>
      <c r="P2270" s="53" t="str">
        <f t="shared" si="499"/>
        <v/>
      </c>
      <c r="Q2270" s="53" t="str">
        <f t="shared" si="500"/>
        <v/>
      </c>
      <c r="R2270" s="53" t="str">
        <f t="shared" si="501"/>
        <v/>
      </c>
      <c r="S2270" s="53" t="str">
        <f t="shared" si="502"/>
        <v/>
      </c>
      <c r="T2270" s="53" t="str">
        <f t="shared" si="503"/>
        <v/>
      </c>
    </row>
    <row r="2271" spans="1:20">
      <c r="A2271" s="47" t="str">
        <f>IF(archive!E2271="","",archive!E2271)</f>
        <v/>
      </c>
      <c r="B2271" s="48" t="str">
        <f t="shared" si="490"/>
        <v/>
      </c>
      <c r="C2271" s="49" t="str">
        <f>IF(archive!F2271="","",archive!F2271)</f>
        <v/>
      </c>
      <c r="D2271" s="50" t="str">
        <f t="shared" si="491"/>
        <v/>
      </c>
      <c r="E2271" s="50" t="str">
        <f t="shared" si="492"/>
        <v/>
      </c>
      <c r="F2271" s="47" t="str">
        <f>IF(COUNTA(archive!H2271:CI2271)=0,"",COUNTA(archive!H2271:CI2271))</f>
        <v/>
      </c>
      <c r="G2271" s="47" t="str">
        <f>IF(archive!G2271="","",archive!G2271)</f>
        <v/>
      </c>
      <c r="H2271" s="51" t="str">
        <f>IF(archive!CJ2271="","",archive!CJ2271)</f>
        <v/>
      </c>
      <c r="I2271" s="51" t="str">
        <f>IF(archive!CK2271="","",archive!CK2271)</f>
        <v/>
      </c>
      <c r="J2271" s="47" t="str">
        <f t="shared" si="493"/>
        <v/>
      </c>
      <c r="K2271" s="51" t="str">
        <f t="shared" si="494"/>
        <v/>
      </c>
      <c r="L2271" s="52" t="str">
        <f t="shared" si="495"/>
        <v/>
      </c>
      <c r="M2271" s="53" t="str">
        <f t="shared" si="496"/>
        <v/>
      </c>
      <c r="N2271" s="53" t="str">
        <f t="shared" si="497"/>
        <v/>
      </c>
      <c r="O2271" s="53" t="str">
        <f t="shared" si="498"/>
        <v/>
      </c>
      <c r="P2271" s="53" t="str">
        <f t="shared" si="499"/>
        <v/>
      </c>
      <c r="Q2271" s="53" t="str">
        <f t="shared" si="500"/>
        <v/>
      </c>
      <c r="R2271" s="53" t="str">
        <f t="shared" si="501"/>
        <v/>
      </c>
      <c r="S2271" s="53" t="str">
        <f t="shared" si="502"/>
        <v/>
      </c>
      <c r="T2271" s="53" t="str">
        <f t="shared" si="503"/>
        <v/>
      </c>
    </row>
    <row r="2272" spans="1:20">
      <c r="A2272" s="47" t="str">
        <f>IF(archive!E2272="","",archive!E2272)</f>
        <v/>
      </c>
      <c r="B2272" s="48" t="str">
        <f t="shared" si="490"/>
        <v/>
      </c>
      <c r="C2272" s="49" t="str">
        <f>IF(archive!F2272="","",archive!F2272)</f>
        <v/>
      </c>
      <c r="D2272" s="50" t="str">
        <f t="shared" si="491"/>
        <v/>
      </c>
      <c r="E2272" s="50" t="str">
        <f t="shared" si="492"/>
        <v/>
      </c>
      <c r="F2272" s="47" t="str">
        <f>IF(COUNTA(archive!H2272:CI2272)=0,"",COUNTA(archive!H2272:CI2272))</f>
        <v/>
      </c>
      <c r="G2272" s="47" t="str">
        <f>IF(archive!G2272="","",archive!G2272)</f>
        <v/>
      </c>
      <c r="H2272" s="51" t="str">
        <f>IF(archive!CJ2272="","",archive!CJ2272)</f>
        <v/>
      </c>
      <c r="I2272" s="51" t="str">
        <f>IF(archive!CK2272="","",archive!CK2272)</f>
        <v/>
      </c>
      <c r="J2272" s="47" t="str">
        <f t="shared" si="493"/>
        <v/>
      </c>
      <c r="K2272" s="51" t="str">
        <f t="shared" si="494"/>
        <v/>
      </c>
      <c r="L2272" s="52" t="str">
        <f t="shared" si="495"/>
        <v/>
      </c>
      <c r="M2272" s="53" t="str">
        <f t="shared" si="496"/>
        <v/>
      </c>
      <c r="N2272" s="53" t="str">
        <f t="shared" si="497"/>
        <v/>
      </c>
      <c r="O2272" s="53" t="str">
        <f t="shared" si="498"/>
        <v/>
      </c>
      <c r="P2272" s="53" t="str">
        <f t="shared" si="499"/>
        <v/>
      </c>
      <c r="Q2272" s="53" t="str">
        <f t="shared" si="500"/>
        <v/>
      </c>
      <c r="R2272" s="53" t="str">
        <f t="shared" si="501"/>
        <v/>
      </c>
      <c r="S2272" s="53" t="str">
        <f t="shared" si="502"/>
        <v/>
      </c>
      <c r="T2272" s="53" t="str">
        <f t="shared" si="503"/>
        <v/>
      </c>
    </row>
    <row r="2273" spans="1:20">
      <c r="A2273" s="47" t="str">
        <f>IF(archive!E2273="","",archive!E2273)</f>
        <v/>
      </c>
      <c r="B2273" s="48" t="str">
        <f t="shared" si="490"/>
        <v/>
      </c>
      <c r="C2273" s="49" t="str">
        <f>IF(archive!F2273="","",archive!F2273)</f>
        <v/>
      </c>
      <c r="D2273" s="50" t="str">
        <f t="shared" si="491"/>
        <v/>
      </c>
      <c r="E2273" s="50" t="str">
        <f t="shared" si="492"/>
        <v/>
      </c>
      <c r="F2273" s="47" t="str">
        <f>IF(COUNTA(archive!H2273:CI2273)=0,"",COUNTA(archive!H2273:CI2273))</f>
        <v/>
      </c>
      <c r="G2273" s="47" t="str">
        <f>IF(archive!G2273="","",archive!G2273)</f>
        <v/>
      </c>
      <c r="H2273" s="51" t="str">
        <f>IF(archive!CJ2273="","",archive!CJ2273)</f>
        <v/>
      </c>
      <c r="I2273" s="51" t="str">
        <f>IF(archive!CK2273="","",archive!CK2273)</f>
        <v/>
      </c>
      <c r="J2273" s="47" t="str">
        <f t="shared" si="493"/>
        <v/>
      </c>
      <c r="K2273" s="51" t="str">
        <f t="shared" si="494"/>
        <v/>
      </c>
      <c r="L2273" s="52" t="str">
        <f t="shared" si="495"/>
        <v/>
      </c>
      <c r="M2273" s="53" t="str">
        <f t="shared" si="496"/>
        <v/>
      </c>
      <c r="N2273" s="53" t="str">
        <f t="shared" si="497"/>
        <v/>
      </c>
      <c r="O2273" s="53" t="str">
        <f t="shared" si="498"/>
        <v/>
      </c>
      <c r="P2273" s="53" t="str">
        <f t="shared" si="499"/>
        <v/>
      </c>
      <c r="Q2273" s="53" t="str">
        <f t="shared" si="500"/>
        <v/>
      </c>
      <c r="R2273" s="53" t="str">
        <f t="shared" si="501"/>
        <v/>
      </c>
      <c r="S2273" s="53" t="str">
        <f t="shared" si="502"/>
        <v/>
      </c>
      <c r="T2273" s="53" t="str">
        <f t="shared" si="503"/>
        <v/>
      </c>
    </row>
    <row r="2274" spans="1:20">
      <c r="A2274" s="47" t="str">
        <f>IF(archive!E2274="","",archive!E2274)</f>
        <v/>
      </c>
      <c r="B2274" s="48" t="str">
        <f t="shared" si="490"/>
        <v/>
      </c>
      <c r="C2274" s="49" t="str">
        <f>IF(archive!F2274="","",archive!F2274)</f>
        <v/>
      </c>
      <c r="D2274" s="50" t="str">
        <f t="shared" si="491"/>
        <v/>
      </c>
      <c r="E2274" s="50" t="str">
        <f t="shared" si="492"/>
        <v/>
      </c>
      <c r="F2274" s="47" t="str">
        <f>IF(COUNTA(archive!H2274:CI2274)=0,"",COUNTA(archive!H2274:CI2274))</f>
        <v/>
      </c>
      <c r="G2274" s="47" t="str">
        <f>IF(archive!G2274="","",archive!G2274)</f>
        <v/>
      </c>
      <c r="H2274" s="51" t="str">
        <f>IF(archive!CJ2274="","",archive!CJ2274)</f>
        <v/>
      </c>
      <c r="I2274" s="51" t="str">
        <f>IF(archive!CK2274="","",archive!CK2274)</f>
        <v/>
      </c>
      <c r="J2274" s="47" t="str">
        <f t="shared" si="493"/>
        <v/>
      </c>
      <c r="K2274" s="51" t="str">
        <f t="shared" si="494"/>
        <v/>
      </c>
      <c r="L2274" s="52" t="str">
        <f t="shared" si="495"/>
        <v/>
      </c>
      <c r="M2274" s="53" t="str">
        <f t="shared" si="496"/>
        <v/>
      </c>
      <c r="N2274" s="53" t="str">
        <f t="shared" si="497"/>
        <v/>
      </c>
      <c r="O2274" s="53" t="str">
        <f t="shared" si="498"/>
        <v/>
      </c>
      <c r="P2274" s="53" t="str">
        <f t="shared" si="499"/>
        <v/>
      </c>
      <c r="Q2274" s="53" t="str">
        <f t="shared" si="500"/>
        <v/>
      </c>
      <c r="R2274" s="53" t="str">
        <f t="shared" si="501"/>
        <v/>
      </c>
      <c r="S2274" s="53" t="str">
        <f t="shared" si="502"/>
        <v/>
      </c>
      <c r="T2274" s="53" t="str">
        <f t="shared" si="503"/>
        <v/>
      </c>
    </row>
    <row r="2275" spans="1:20">
      <c r="A2275" s="47" t="str">
        <f>IF(archive!E2275="","",archive!E2275)</f>
        <v/>
      </c>
      <c r="B2275" s="48" t="str">
        <f t="shared" si="490"/>
        <v/>
      </c>
      <c r="C2275" s="49" t="str">
        <f>IF(archive!F2275="","",archive!F2275)</f>
        <v/>
      </c>
      <c r="D2275" s="50" t="str">
        <f t="shared" si="491"/>
        <v/>
      </c>
      <c r="E2275" s="50" t="str">
        <f t="shared" si="492"/>
        <v/>
      </c>
      <c r="F2275" s="47" t="str">
        <f>IF(COUNTA(archive!H2275:CI2275)=0,"",COUNTA(archive!H2275:CI2275))</f>
        <v/>
      </c>
      <c r="G2275" s="47" t="str">
        <f>IF(archive!G2275="","",archive!G2275)</f>
        <v/>
      </c>
      <c r="H2275" s="51" t="str">
        <f>IF(archive!CJ2275="","",archive!CJ2275)</f>
        <v/>
      </c>
      <c r="I2275" s="51" t="str">
        <f>IF(archive!CK2275="","",archive!CK2275)</f>
        <v/>
      </c>
      <c r="J2275" s="47" t="str">
        <f t="shared" si="493"/>
        <v/>
      </c>
      <c r="K2275" s="51" t="str">
        <f t="shared" si="494"/>
        <v/>
      </c>
      <c r="L2275" s="52" t="str">
        <f t="shared" si="495"/>
        <v/>
      </c>
      <c r="M2275" s="53" t="str">
        <f t="shared" si="496"/>
        <v/>
      </c>
      <c r="N2275" s="53" t="str">
        <f t="shared" si="497"/>
        <v/>
      </c>
      <c r="O2275" s="53" t="str">
        <f t="shared" si="498"/>
        <v/>
      </c>
      <c r="P2275" s="53" t="str">
        <f t="shared" si="499"/>
        <v/>
      </c>
      <c r="Q2275" s="53" t="str">
        <f t="shared" si="500"/>
        <v/>
      </c>
      <c r="R2275" s="53" t="str">
        <f t="shared" si="501"/>
        <v/>
      </c>
      <c r="S2275" s="53" t="str">
        <f t="shared" si="502"/>
        <v/>
      </c>
      <c r="T2275" s="53" t="str">
        <f t="shared" si="503"/>
        <v/>
      </c>
    </row>
    <row r="2276" spans="1:20">
      <c r="A2276" s="47" t="str">
        <f>IF(archive!E2276="","",archive!E2276)</f>
        <v/>
      </c>
      <c r="B2276" s="48" t="str">
        <f t="shared" si="490"/>
        <v/>
      </c>
      <c r="C2276" s="49" t="str">
        <f>IF(archive!F2276="","",archive!F2276)</f>
        <v/>
      </c>
      <c r="D2276" s="50" t="str">
        <f t="shared" si="491"/>
        <v/>
      </c>
      <c r="E2276" s="50" t="str">
        <f t="shared" si="492"/>
        <v/>
      </c>
      <c r="F2276" s="47" t="str">
        <f>IF(COUNTA(archive!H2276:CI2276)=0,"",COUNTA(archive!H2276:CI2276))</f>
        <v/>
      </c>
      <c r="G2276" s="47" t="str">
        <f>IF(archive!G2276="","",archive!G2276)</f>
        <v/>
      </c>
      <c r="H2276" s="51" t="str">
        <f>IF(archive!CJ2276="","",archive!CJ2276)</f>
        <v/>
      </c>
      <c r="I2276" s="51" t="str">
        <f>IF(archive!CK2276="","",archive!CK2276)</f>
        <v/>
      </c>
      <c r="J2276" s="47" t="str">
        <f t="shared" si="493"/>
        <v/>
      </c>
      <c r="K2276" s="51" t="str">
        <f t="shared" si="494"/>
        <v/>
      </c>
      <c r="L2276" s="52" t="str">
        <f t="shared" si="495"/>
        <v/>
      </c>
      <c r="M2276" s="53" t="str">
        <f t="shared" si="496"/>
        <v/>
      </c>
      <c r="N2276" s="53" t="str">
        <f t="shared" si="497"/>
        <v/>
      </c>
      <c r="O2276" s="53" t="str">
        <f t="shared" si="498"/>
        <v/>
      </c>
      <c r="P2276" s="53" t="str">
        <f t="shared" si="499"/>
        <v/>
      </c>
      <c r="Q2276" s="53" t="str">
        <f t="shared" si="500"/>
        <v/>
      </c>
      <c r="R2276" s="53" t="str">
        <f t="shared" si="501"/>
        <v/>
      </c>
      <c r="S2276" s="53" t="str">
        <f t="shared" si="502"/>
        <v/>
      </c>
      <c r="T2276" s="53" t="str">
        <f t="shared" si="503"/>
        <v/>
      </c>
    </row>
    <row r="2277" spans="1:20">
      <c r="A2277" s="47" t="str">
        <f>IF(archive!E2277="","",archive!E2277)</f>
        <v/>
      </c>
      <c r="B2277" s="48" t="str">
        <f t="shared" si="490"/>
        <v/>
      </c>
      <c r="C2277" s="49" t="str">
        <f>IF(archive!F2277="","",archive!F2277)</f>
        <v/>
      </c>
      <c r="D2277" s="50" t="str">
        <f t="shared" si="491"/>
        <v/>
      </c>
      <c r="E2277" s="50" t="str">
        <f t="shared" si="492"/>
        <v/>
      </c>
      <c r="F2277" s="47" t="str">
        <f>IF(COUNTA(archive!H2277:CI2277)=0,"",COUNTA(archive!H2277:CI2277))</f>
        <v/>
      </c>
      <c r="G2277" s="47" t="str">
        <f>IF(archive!G2277="","",archive!G2277)</f>
        <v/>
      </c>
      <c r="H2277" s="51" t="str">
        <f>IF(archive!CJ2277="","",archive!CJ2277)</f>
        <v/>
      </c>
      <c r="I2277" s="51" t="str">
        <f>IF(archive!CK2277="","",archive!CK2277)</f>
        <v/>
      </c>
      <c r="J2277" s="47" t="str">
        <f t="shared" si="493"/>
        <v/>
      </c>
      <c r="K2277" s="51" t="str">
        <f t="shared" si="494"/>
        <v/>
      </c>
      <c r="L2277" s="52" t="str">
        <f t="shared" si="495"/>
        <v/>
      </c>
      <c r="M2277" s="53" t="str">
        <f t="shared" si="496"/>
        <v/>
      </c>
      <c r="N2277" s="53" t="str">
        <f t="shared" si="497"/>
        <v/>
      </c>
      <c r="O2277" s="53" t="str">
        <f t="shared" si="498"/>
        <v/>
      </c>
      <c r="P2277" s="53" t="str">
        <f t="shared" si="499"/>
        <v/>
      </c>
      <c r="Q2277" s="53" t="str">
        <f t="shared" si="500"/>
        <v/>
      </c>
      <c r="R2277" s="53" t="str">
        <f t="shared" si="501"/>
        <v/>
      </c>
      <c r="S2277" s="53" t="str">
        <f t="shared" si="502"/>
        <v/>
      </c>
      <c r="T2277" s="53" t="str">
        <f t="shared" si="503"/>
        <v/>
      </c>
    </row>
    <row r="2278" spans="1:20">
      <c r="A2278" s="47" t="str">
        <f>IF(archive!E2278="","",archive!E2278)</f>
        <v/>
      </c>
      <c r="B2278" s="48" t="str">
        <f t="shared" si="490"/>
        <v/>
      </c>
      <c r="C2278" s="49" t="str">
        <f>IF(archive!F2278="","",archive!F2278)</f>
        <v/>
      </c>
      <c r="D2278" s="50" t="str">
        <f t="shared" si="491"/>
        <v/>
      </c>
      <c r="E2278" s="50" t="str">
        <f t="shared" si="492"/>
        <v/>
      </c>
      <c r="F2278" s="47" t="str">
        <f>IF(COUNTA(archive!H2278:CI2278)=0,"",COUNTA(archive!H2278:CI2278))</f>
        <v/>
      </c>
      <c r="G2278" s="47" t="str">
        <f>IF(archive!G2278="","",archive!G2278)</f>
        <v/>
      </c>
      <c r="H2278" s="51" t="str">
        <f>IF(archive!CJ2278="","",archive!CJ2278)</f>
        <v/>
      </c>
      <c r="I2278" s="51" t="str">
        <f>IF(archive!CK2278="","",archive!CK2278)</f>
        <v/>
      </c>
      <c r="J2278" s="47" t="str">
        <f t="shared" si="493"/>
        <v/>
      </c>
      <c r="K2278" s="51" t="str">
        <f t="shared" si="494"/>
        <v/>
      </c>
      <c r="L2278" s="52" t="str">
        <f t="shared" si="495"/>
        <v/>
      </c>
      <c r="M2278" s="53" t="str">
        <f t="shared" si="496"/>
        <v/>
      </c>
      <c r="N2278" s="53" t="str">
        <f t="shared" si="497"/>
        <v/>
      </c>
      <c r="O2278" s="53" t="str">
        <f t="shared" si="498"/>
        <v/>
      </c>
      <c r="P2278" s="53" t="str">
        <f t="shared" si="499"/>
        <v/>
      </c>
      <c r="Q2278" s="53" t="str">
        <f t="shared" si="500"/>
        <v/>
      </c>
      <c r="R2278" s="53" t="str">
        <f t="shared" si="501"/>
        <v/>
      </c>
      <c r="S2278" s="53" t="str">
        <f t="shared" si="502"/>
        <v/>
      </c>
      <c r="T2278" s="53" t="str">
        <f t="shared" si="503"/>
        <v/>
      </c>
    </row>
    <row r="2279" spans="1:20">
      <c r="A2279" s="47" t="str">
        <f>IF(archive!E2279="","",archive!E2279)</f>
        <v/>
      </c>
      <c r="B2279" s="48" t="str">
        <f t="shared" si="490"/>
        <v/>
      </c>
      <c r="C2279" s="49" t="str">
        <f>IF(archive!F2279="","",archive!F2279)</f>
        <v/>
      </c>
      <c r="D2279" s="50" t="str">
        <f t="shared" si="491"/>
        <v/>
      </c>
      <c r="E2279" s="50" t="str">
        <f t="shared" si="492"/>
        <v/>
      </c>
      <c r="F2279" s="47" t="str">
        <f>IF(COUNTA(archive!H2279:CI2279)=0,"",COUNTA(archive!H2279:CI2279))</f>
        <v/>
      </c>
      <c r="G2279" s="47" t="str">
        <f>IF(archive!G2279="","",archive!G2279)</f>
        <v/>
      </c>
      <c r="H2279" s="51" t="str">
        <f>IF(archive!CJ2279="","",archive!CJ2279)</f>
        <v/>
      </c>
      <c r="I2279" s="51" t="str">
        <f>IF(archive!CK2279="","",archive!CK2279)</f>
        <v/>
      </c>
      <c r="J2279" s="47" t="str">
        <f t="shared" si="493"/>
        <v/>
      </c>
      <c r="K2279" s="51" t="str">
        <f t="shared" si="494"/>
        <v/>
      </c>
      <c r="L2279" s="52" t="str">
        <f t="shared" si="495"/>
        <v/>
      </c>
      <c r="M2279" s="53" t="str">
        <f t="shared" si="496"/>
        <v/>
      </c>
      <c r="N2279" s="53" t="str">
        <f t="shared" si="497"/>
        <v/>
      </c>
      <c r="O2279" s="53" t="str">
        <f t="shared" si="498"/>
        <v/>
      </c>
      <c r="P2279" s="53" t="str">
        <f t="shared" si="499"/>
        <v/>
      </c>
      <c r="Q2279" s="53" t="str">
        <f t="shared" si="500"/>
        <v/>
      </c>
      <c r="R2279" s="53" t="str">
        <f t="shared" si="501"/>
        <v/>
      </c>
      <c r="S2279" s="53" t="str">
        <f t="shared" si="502"/>
        <v/>
      </c>
      <c r="T2279" s="53" t="str">
        <f t="shared" si="503"/>
        <v/>
      </c>
    </row>
    <row r="2280" spans="1:20">
      <c r="A2280" s="47" t="str">
        <f>IF(archive!E2280="","",archive!E2280)</f>
        <v/>
      </c>
      <c r="B2280" s="48" t="str">
        <f t="shared" si="490"/>
        <v/>
      </c>
      <c r="C2280" s="49" t="str">
        <f>IF(archive!F2280="","",archive!F2280)</f>
        <v/>
      </c>
      <c r="D2280" s="50" t="str">
        <f t="shared" si="491"/>
        <v/>
      </c>
      <c r="E2280" s="50" t="str">
        <f t="shared" si="492"/>
        <v/>
      </c>
      <c r="F2280" s="47" t="str">
        <f>IF(COUNTA(archive!H2280:CI2280)=0,"",COUNTA(archive!H2280:CI2280))</f>
        <v/>
      </c>
      <c r="G2280" s="47" t="str">
        <f>IF(archive!G2280="","",archive!G2280)</f>
        <v/>
      </c>
      <c r="H2280" s="51" t="str">
        <f>IF(archive!CJ2280="","",archive!CJ2280)</f>
        <v/>
      </c>
      <c r="I2280" s="51" t="str">
        <f>IF(archive!CK2280="","",archive!CK2280)</f>
        <v/>
      </c>
      <c r="J2280" s="47" t="str">
        <f t="shared" si="493"/>
        <v/>
      </c>
      <c r="K2280" s="51" t="str">
        <f t="shared" si="494"/>
        <v/>
      </c>
      <c r="L2280" s="52" t="str">
        <f t="shared" si="495"/>
        <v/>
      </c>
      <c r="M2280" s="53" t="str">
        <f t="shared" si="496"/>
        <v/>
      </c>
      <c r="N2280" s="53" t="str">
        <f t="shared" si="497"/>
        <v/>
      </c>
      <c r="O2280" s="53" t="str">
        <f t="shared" si="498"/>
        <v/>
      </c>
      <c r="P2280" s="53" t="str">
        <f t="shared" si="499"/>
        <v/>
      </c>
      <c r="Q2280" s="53" t="str">
        <f t="shared" si="500"/>
        <v/>
      </c>
      <c r="R2280" s="53" t="str">
        <f t="shared" si="501"/>
        <v/>
      </c>
      <c r="S2280" s="53" t="str">
        <f t="shared" si="502"/>
        <v/>
      </c>
      <c r="T2280" s="53" t="str">
        <f t="shared" si="503"/>
        <v/>
      </c>
    </row>
    <row r="2281" spans="1:20">
      <c r="A2281" s="47" t="str">
        <f>IF(archive!E2281="","",archive!E2281)</f>
        <v/>
      </c>
      <c r="B2281" s="48" t="str">
        <f t="shared" si="490"/>
        <v/>
      </c>
      <c r="C2281" s="49" t="str">
        <f>IF(archive!F2281="","",archive!F2281)</f>
        <v/>
      </c>
      <c r="D2281" s="50" t="str">
        <f t="shared" si="491"/>
        <v/>
      </c>
      <c r="E2281" s="50" t="str">
        <f t="shared" si="492"/>
        <v/>
      </c>
      <c r="F2281" s="47" t="str">
        <f>IF(COUNTA(archive!H2281:CI2281)=0,"",COUNTA(archive!H2281:CI2281))</f>
        <v/>
      </c>
      <c r="G2281" s="47" t="str">
        <f>IF(archive!G2281="","",archive!G2281)</f>
        <v/>
      </c>
      <c r="H2281" s="51" t="str">
        <f>IF(archive!CJ2281="","",archive!CJ2281)</f>
        <v/>
      </c>
      <c r="I2281" s="51" t="str">
        <f>IF(archive!CK2281="","",archive!CK2281)</f>
        <v/>
      </c>
      <c r="J2281" s="47" t="str">
        <f t="shared" si="493"/>
        <v/>
      </c>
      <c r="K2281" s="51" t="str">
        <f t="shared" si="494"/>
        <v/>
      </c>
      <c r="L2281" s="52" t="str">
        <f t="shared" si="495"/>
        <v/>
      </c>
      <c r="M2281" s="53" t="str">
        <f t="shared" si="496"/>
        <v/>
      </c>
      <c r="N2281" s="53" t="str">
        <f t="shared" si="497"/>
        <v/>
      </c>
      <c r="O2281" s="53" t="str">
        <f t="shared" si="498"/>
        <v/>
      </c>
      <c r="P2281" s="53" t="str">
        <f t="shared" si="499"/>
        <v/>
      </c>
      <c r="Q2281" s="53" t="str">
        <f t="shared" si="500"/>
        <v/>
      </c>
      <c r="R2281" s="53" t="str">
        <f t="shared" si="501"/>
        <v/>
      </c>
      <c r="S2281" s="53" t="str">
        <f t="shared" si="502"/>
        <v/>
      </c>
      <c r="T2281" s="53" t="str">
        <f t="shared" si="503"/>
        <v/>
      </c>
    </row>
    <row r="2282" spans="1:20">
      <c r="A2282" s="47" t="str">
        <f>IF(archive!E2282="","",archive!E2282)</f>
        <v/>
      </c>
      <c r="B2282" s="48" t="str">
        <f t="shared" si="490"/>
        <v/>
      </c>
      <c r="C2282" s="49" t="str">
        <f>IF(archive!F2282="","",archive!F2282)</f>
        <v/>
      </c>
      <c r="D2282" s="50" t="str">
        <f t="shared" si="491"/>
        <v/>
      </c>
      <c r="E2282" s="50" t="str">
        <f t="shared" si="492"/>
        <v/>
      </c>
      <c r="F2282" s="47" t="str">
        <f>IF(COUNTA(archive!H2282:CI2282)=0,"",COUNTA(archive!H2282:CI2282))</f>
        <v/>
      </c>
      <c r="G2282" s="47" t="str">
        <f>IF(archive!G2282="","",archive!G2282)</f>
        <v/>
      </c>
      <c r="H2282" s="51" t="str">
        <f>IF(archive!CJ2282="","",archive!CJ2282)</f>
        <v/>
      </c>
      <c r="I2282" s="51" t="str">
        <f>IF(archive!CK2282="","",archive!CK2282)</f>
        <v/>
      </c>
      <c r="J2282" s="47" t="str">
        <f t="shared" si="493"/>
        <v/>
      </c>
      <c r="K2282" s="51" t="str">
        <f t="shared" si="494"/>
        <v/>
      </c>
      <c r="L2282" s="52" t="str">
        <f t="shared" si="495"/>
        <v/>
      </c>
      <c r="M2282" s="53" t="str">
        <f t="shared" si="496"/>
        <v/>
      </c>
      <c r="N2282" s="53" t="str">
        <f t="shared" si="497"/>
        <v/>
      </c>
      <c r="O2282" s="53" t="str">
        <f t="shared" si="498"/>
        <v/>
      </c>
      <c r="P2282" s="53" t="str">
        <f t="shared" si="499"/>
        <v/>
      </c>
      <c r="Q2282" s="53" t="str">
        <f t="shared" si="500"/>
        <v/>
      </c>
      <c r="R2282" s="53" t="str">
        <f t="shared" si="501"/>
        <v/>
      </c>
      <c r="S2282" s="53" t="str">
        <f t="shared" si="502"/>
        <v/>
      </c>
      <c r="T2282" s="53" t="str">
        <f t="shared" si="503"/>
        <v/>
      </c>
    </row>
    <row r="2283" spans="1:20">
      <c r="A2283" s="47" t="str">
        <f>IF(archive!E2283="","",archive!E2283)</f>
        <v/>
      </c>
      <c r="B2283" s="48" t="str">
        <f t="shared" si="490"/>
        <v/>
      </c>
      <c r="C2283" s="49" t="str">
        <f>IF(archive!F2283="","",archive!F2283)</f>
        <v/>
      </c>
      <c r="D2283" s="50" t="str">
        <f t="shared" si="491"/>
        <v/>
      </c>
      <c r="E2283" s="50" t="str">
        <f t="shared" si="492"/>
        <v/>
      </c>
      <c r="F2283" s="47" t="str">
        <f>IF(COUNTA(archive!H2283:CI2283)=0,"",COUNTA(archive!H2283:CI2283))</f>
        <v/>
      </c>
      <c r="G2283" s="47" t="str">
        <f>IF(archive!G2283="","",archive!G2283)</f>
        <v/>
      </c>
      <c r="H2283" s="51" t="str">
        <f>IF(archive!CJ2283="","",archive!CJ2283)</f>
        <v/>
      </c>
      <c r="I2283" s="51" t="str">
        <f>IF(archive!CK2283="","",archive!CK2283)</f>
        <v/>
      </c>
      <c r="J2283" s="47" t="str">
        <f t="shared" si="493"/>
        <v/>
      </c>
      <c r="K2283" s="51" t="str">
        <f t="shared" si="494"/>
        <v/>
      </c>
      <c r="L2283" s="52" t="str">
        <f t="shared" si="495"/>
        <v/>
      </c>
      <c r="M2283" s="53" t="str">
        <f t="shared" si="496"/>
        <v/>
      </c>
      <c r="N2283" s="53" t="str">
        <f t="shared" si="497"/>
        <v/>
      </c>
      <c r="O2283" s="53" t="str">
        <f t="shared" si="498"/>
        <v/>
      </c>
      <c r="P2283" s="53" t="str">
        <f t="shared" si="499"/>
        <v/>
      </c>
      <c r="Q2283" s="53" t="str">
        <f t="shared" si="500"/>
        <v/>
      </c>
      <c r="R2283" s="53" t="str">
        <f t="shared" si="501"/>
        <v/>
      </c>
      <c r="S2283" s="53" t="str">
        <f t="shared" si="502"/>
        <v/>
      </c>
      <c r="T2283" s="53" t="str">
        <f t="shared" si="503"/>
        <v/>
      </c>
    </row>
    <row r="2284" spans="1:20">
      <c r="A2284" s="47" t="str">
        <f>IF(archive!E2284="","",archive!E2284)</f>
        <v/>
      </c>
      <c r="B2284" s="48" t="str">
        <f t="shared" si="490"/>
        <v/>
      </c>
      <c r="C2284" s="49" t="str">
        <f>IF(archive!F2284="","",archive!F2284)</f>
        <v/>
      </c>
      <c r="D2284" s="50" t="str">
        <f t="shared" si="491"/>
        <v/>
      </c>
      <c r="E2284" s="50" t="str">
        <f t="shared" si="492"/>
        <v/>
      </c>
      <c r="F2284" s="47" t="str">
        <f>IF(COUNTA(archive!H2284:CI2284)=0,"",COUNTA(archive!H2284:CI2284))</f>
        <v/>
      </c>
      <c r="G2284" s="47" t="str">
        <f>IF(archive!G2284="","",archive!G2284)</f>
        <v/>
      </c>
      <c r="H2284" s="51" t="str">
        <f>IF(archive!CJ2284="","",archive!CJ2284)</f>
        <v/>
      </c>
      <c r="I2284" s="51" t="str">
        <f>IF(archive!CK2284="","",archive!CK2284)</f>
        <v/>
      </c>
      <c r="J2284" s="47" t="str">
        <f t="shared" si="493"/>
        <v/>
      </c>
      <c r="K2284" s="51" t="str">
        <f t="shared" si="494"/>
        <v/>
      </c>
      <c r="L2284" s="52" t="str">
        <f t="shared" si="495"/>
        <v/>
      </c>
      <c r="M2284" s="53" t="str">
        <f t="shared" si="496"/>
        <v/>
      </c>
      <c r="N2284" s="53" t="str">
        <f t="shared" si="497"/>
        <v/>
      </c>
      <c r="O2284" s="53" t="str">
        <f t="shared" si="498"/>
        <v/>
      </c>
      <c r="P2284" s="53" t="str">
        <f t="shared" si="499"/>
        <v/>
      </c>
      <c r="Q2284" s="53" t="str">
        <f t="shared" si="500"/>
        <v/>
      </c>
      <c r="R2284" s="53" t="str">
        <f t="shared" si="501"/>
        <v/>
      </c>
      <c r="S2284" s="53" t="str">
        <f t="shared" si="502"/>
        <v/>
      </c>
      <c r="T2284" s="53" t="str">
        <f t="shared" si="503"/>
        <v/>
      </c>
    </row>
    <row r="2285" spans="1:20">
      <c r="A2285" s="47" t="str">
        <f>IF(archive!E2285="","",archive!E2285)</f>
        <v/>
      </c>
      <c r="B2285" s="48" t="str">
        <f t="shared" si="490"/>
        <v/>
      </c>
      <c r="C2285" s="49" t="str">
        <f>IF(archive!F2285="","",archive!F2285)</f>
        <v/>
      </c>
      <c r="D2285" s="50" t="str">
        <f t="shared" si="491"/>
        <v/>
      </c>
      <c r="E2285" s="50" t="str">
        <f t="shared" si="492"/>
        <v/>
      </c>
      <c r="F2285" s="47" t="str">
        <f>IF(COUNTA(archive!H2285:CI2285)=0,"",COUNTA(archive!H2285:CI2285))</f>
        <v/>
      </c>
      <c r="G2285" s="47" t="str">
        <f>IF(archive!G2285="","",archive!G2285)</f>
        <v/>
      </c>
      <c r="H2285" s="51" t="str">
        <f>IF(archive!CJ2285="","",archive!CJ2285)</f>
        <v/>
      </c>
      <c r="I2285" s="51" t="str">
        <f>IF(archive!CK2285="","",archive!CK2285)</f>
        <v/>
      </c>
      <c r="J2285" s="47" t="str">
        <f t="shared" si="493"/>
        <v/>
      </c>
      <c r="K2285" s="51" t="str">
        <f t="shared" si="494"/>
        <v/>
      </c>
      <c r="L2285" s="52" t="str">
        <f t="shared" si="495"/>
        <v/>
      </c>
      <c r="M2285" s="53" t="str">
        <f t="shared" si="496"/>
        <v/>
      </c>
      <c r="N2285" s="53" t="str">
        <f t="shared" si="497"/>
        <v/>
      </c>
      <c r="O2285" s="53" t="str">
        <f t="shared" si="498"/>
        <v/>
      </c>
      <c r="P2285" s="53" t="str">
        <f t="shared" si="499"/>
        <v/>
      </c>
      <c r="Q2285" s="53" t="str">
        <f t="shared" si="500"/>
        <v/>
      </c>
      <c r="R2285" s="53" t="str">
        <f t="shared" si="501"/>
        <v/>
      </c>
      <c r="S2285" s="53" t="str">
        <f t="shared" si="502"/>
        <v/>
      </c>
      <c r="T2285" s="53" t="str">
        <f t="shared" si="503"/>
        <v/>
      </c>
    </row>
    <row r="2286" spans="1:20">
      <c r="A2286" s="47" t="str">
        <f>IF(archive!E2286="","",archive!E2286)</f>
        <v/>
      </c>
      <c r="B2286" s="48" t="str">
        <f t="shared" si="490"/>
        <v/>
      </c>
      <c r="C2286" s="49" t="str">
        <f>IF(archive!F2286="","",archive!F2286)</f>
        <v/>
      </c>
      <c r="D2286" s="50" t="str">
        <f t="shared" si="491"/>
        <v/>
      </c>
      <c r="E2286" s="50" t="str">
        <f t="shared" si="492"/>
        <v/>
      </c>
      <c r="F2286" s="47" t="str">
        <f>IF(COUNTA(archive!H2286:CI2286)=0,"",COUNTA(archive!H2286:CI2286))</f>
        <v/>
      </c>
      <c r="G2286" s="47" t="str">
        <f>IF(archive!G2286="","",archive!G2286)</f>
        <v/>
      </c>
      <c r="H2286" s="51" t="str">
        <f>IF(archive!CJ2286="","",archive!CJ2286)</f>
        <v/>
      </c>
      <c r="I2286" s="51" t="str">
        <f>IF(archive!CK2286="","",archive!CK2286)</f>
        <v/>
      </c>
      <c r="J2286" s="47" t="str">
        <f t="shared" si="493"/>
        <v/>
      </c>
      <c r="K2286" s="51" t="str">
        <f t="shared" si="494"/>
        <v/>
      </c>
      <c r="L2286" s="52" t="str">
        <f t="shared" si="495"/>
        <v/>
      </c>
      <c r="M2286" s="53" t="str">
        <f t="shared" si="496"/>
        <v/>
      </c>
      <c r="N2286" s="53" t="str">
        <f t="shared" si="497"/>
        <v/>
      </c>
      <c r="O2286" s="53" t="str">
        <f t="shared" si="498"/>
        <v/>
      </c>
      <c r="P2286" s="53" t="str">
        <f t="shared" si="499"/>
        <v/>
      </c>
      <c r="Q2286" s="53" t="str">
        <f t="shared" si="500"/>
        <v/>
      </c>
      <c r="R2286" s="53" t="str">
        <f t="shared" si="501"/>
        <v/>
      </c>
      <c r="S2286" s="53" t="str">
        <f t="shared" si="502"/>
        <v/>
      </c>
      <c r="T2286" s="53" t="str">
        <f t="shared" si="503"/>
        <v/>
      </c>
    </row>
    <row r="2287" spans="1:20">
      <c r="A2287" s="47" t="str">
        <f>IF(archive!E2287="","",archive!E2287)</f>
        <v/>
      </c>
      <c r="B2287" s="48" t="str">
        <f t="shared" si="490"/>
        <v/>
      </c>
      <c r="C2287" s="49" t="str">
        <f>IF(archive!F2287="","",archive!F2287)</f>
        <v/>
      </c>
      <c r="D2287" s="50" t="str">
        <f t="shared" si="491"/>
        <v/>
      </c>
      <c r="E2287" s="50" t="str">
        <f t="shared" si="492"/>
        <v/>
      </c>
      <c r="F2287" s="47" t="str">
        <f>IF(COUNTA(archive!H2287:CI2287)=0,"",COUNTA(archive!H2287:CI2287))</f>
        <v/>
      </c>
      <c r="G2287" s="47" t="str">
        <f>IF(archive!G2287="","",archive!G2287)</f>
        <v/>
      </c>
      <c r="H2287" s="51" t="str">
        <f>IF(archive!CJ2287="","",archive!CJ2287)</f>
        <v/>
      </c>
      <c r="I2287" s="51" t="str">
        <f>IF(archive!CK2287="","",archive!CK2287)</f>
        <v/>
      </c>
      <c r="J2287" s="47" t="str">
        <f t="shared" si="493"/>
        <v/>
      </c>
      <c r="K2287" s="51" t="str">
        <f t="shared" si="494"/>
        <v/>
      </c>
      <c r="L2287" s="52" t="str">
        <f t="shared" si="495"/>
        <v/>
      </c>
      <c r="M2287" s="53" t="str">
        <f t="shared" si="496"/>
        <v/>
      </c>
      <c r="N2287" s="53" t="str">
        <f t="shared" si="497"/>
        <v/>
      </c>
      <c r="O2287" s="53" t="str">
        <f t="shared" si="498"/>
        <v/>
      </c>
      <c r="P2287" s="53" t="str">
        <f t="shared" si="499"/>
        <v/>
      </c>
      <c r="Q2287" s="53" t="str">
        <f t="shared" si="500"/>
        <v/>
      </c>
      <c r="R2287" s="53" t="str">
        <f t="shared" si="501"/>
        <v/>
      </c>
      <c r="S2287" s="53" t="str">
        <f t="shared" si="502"/>
        <v/>
      </c>
      <c r="T2287" s="53" t="str">
        <f t="shared" si="503"/>
        <v/>
      </c>
    </row>
    <row r="2288" spans="1:20">
      <c r="A2288" s="47" t="str">
        <f>IF(archive!E2288="","",archive!E2288)</f>
        <v/>
      </c>
      <c r="B2288" s="48" t="str">
        <f t="shared" si="490"/>
        <v/>
      </c>
      <c r="C2288" s="49" t="str">
        <f>IF(archive!F2288="","",archive!F2288)</f>
        <v/>
      </c>
      <c r="D2288" s="50" t="str">
        <f t="shared" si="491"/>
        <v/>
      </c>
      <c r="E2288" s="50" t="str">
        <f t="shared" si="492"/>
        <v/>
      </c>
      <c r="F2288" s="47" t="str">
        <f>IF(COUNTA(archive!H2288:CI2288)=0,"",COUNTA(archive!H2288:CI2288))</f>
        <v/>
      </c>
      <c r="G2288" s="47" t="str">
        <f>IF(archive!G2288="","",archive!G2288)</f>
        <v/>
      </c>
      <c r="H2288" s="51" t="str">
        <f>IF(archive!CJ2288="","",archive!CJ2288)</f>
        <v/>
      </c>
      <c r="I2288" s="51" t="str">
        <f>IF(archive!CK2288="","",archive!CK2288)</f>
        <v/>
      </c>
      <c r="J2288" s="47" t="str">
        <f t="shared" si="493"/>
        <v/>
      </c>
      <c r="K2288" s="51" t="str">
        <f t="shared" si="494"/>
        <v/>
      </c>
      <c r="L2288" s="52" t="str">
        <f t="shared" si="495"/>
        <v/>
      </c>
      <c r="M2288" s="53" t="str">
        <f t="shared" si="496"/>
        <v/>
      </c>
      <c r="N2288" s="53" t="str">
        <f t="shared" si="497"/>
        <v/>
      </c>
      <c r="O2288" s="53" t="str">
        <f t="shared" si="498"/>
        <v/>
      </c>
      <c r="P2288" s="53" t="str">
        <f t="shared" si="499"/>
        <v/>
      </c>
      <c r="Q2288" s="53" t="str">
        <f t="shared" si="500"/>
        <v/>
      </c>
      <c r="R2288" s="53" t="str">
        <f t="shared" si="501"/>
        <v/>
      </c>
      <c r="S2288" s="53" t="str">
        <f t="shared" si="502"/>
        <v/>
      </c>
      <c r="T2288" s="53" t="str">
        <f t="shared" si="503"/>
        <v/>
      </c>
    </row>
    <row r="2289" spans="1:20">
      <c r="A2289" s="47" t="str">
        <f>IF(archive!E2289="","",archive!E2289)</f>
        <v/>
      </c>
      <c r="B2289" s="48" t="str">
        <f t="shared" si="490"/>
        <v/>
      </c>
      <c r="C2289" s="49" t="str">
        <f>IF(archive!F2289="","",archive!F2289)</f>
        <v/>
      </c>
      <c r="D2289" s="50" t="str">
        <f t="shared" si="491"/>
        <v/>
      </c>
      <c r="E2289" s="50" t="str">
        <f t="shared" si="492"/>
        <v/>
      </c>
      <c r="F2289" s="47" t="str">
        <f>IF(COUNTA(archive!H2289:CI2289)=0,"",COUNTA(archive!H2289:CI2289))</f>
        <v/>
      </c>
      <c r="G2289" s="47" t="str">
        <f>IF(archive!G2289="","",archive!G2289)</f>
        <v/>
      </c>
      <c r="H2289" s="51" t="str">
        <f>IF(archive!CJ2289="","",archive!CJ2289)</f>
        <v/>
      </c>
      <c r="I2289" s="51" t="str">
        <f>IF(archive!CK2289="","",archive!CK2289)</f>
        <v/>
      </c>
      <c r="J2289" s="47" t="str">
        <f t="shared" si="493"/>
        <v/>
      </c>
      <c r="K2289" s="51" t="str">
        <f t="shared" si="494"/>
        <v/>
      </c>
      <c r="L2289" s="52" t="str">
        <f t="shared" si="495"/>
        <v/>
      </c>
      <c r="M2289" s="53" t="str">
        <f t="shared" si="496"/>
        <v/>
      </c>
      <c r="N2289" s="53" t="str">
        <f t="shared" si="497"/>
        <v/>
      </c>
      <c r="O2289" s="53" t="str">
        <f t="shared" si="498"/>
        <v/>
      </c>
      <c r="P2289" s="53" t="str">
        <f t="shared" si="499"/>
        <v/>
      </c>
      <c r="Q2289" s="53" t="str">
        <f t="shared" si="500"/>
        <v/>
      </c>
      <c r="R2289" s="53" t="str">
        <f t="shared" si="501"/>
        <v/>
      </c>
      <c r="S2289" s="53" t="str">
        <f t="shared" si="502"/>
        <v/>
      </c>
      <c r="T2289" s="53" t="str">
        <f t="shared" si="503"/>
        <v/>
      </c>
    </row>
    <row r="2290" spans="1:20">
      <c r="A2290" s="47" t="str">
        <f>IF(archive!E2290="","",archive!E2290)</f>
        <v/>
      </c>
      <c r="B2290" s="48" t="str">
        <f t="shared" si="490"/>
        <v/>
      </c>
      <c r="C2290" s="49" t="str">
        <f>IF(archive!F2290="","",archive!F2290)</f>
        <v/>
      </c>
      <c r="D2290" s="50" t="str">
        <f t="shared" si="491"/>
        <v/>
      </c>
      <c r="E2290" s="50" t="str">
        <f t="shared" si="492"/>
        <v/>
      </c>
      <c r="F2290" s="47" t="str">
        <f>IF(COUNTA(archive!H2290:CI2290)=0,"",COUNTA(archive!H2290:CI2290))</f>
        <v/>
      </c>
      <c r="G2290" s="47" t="str">
        <f>IF(archive!G2290="","",archive!G2290)</f>
        <v/>
      </c>
      <c r="H2290" s="51" t="str">
        <f>IF(archive!CJ2290="","",archive!CJ2290)</f>
        <v/>
      </c>
      <c r="I2290" s="51" t="str">
        <f>IF(archive!CK2290="","",archive!CK2290)</f>
        <v/>
      </c>
      <c r="J2290" s="47" t="str">
        <f t="shared" si="493"/>
        <v/>
      </c>
      <c r="K2290" s="51" t="str">
        <f t="shared" si="494"/>
        <v/>
      </c>
      <c r="L2290" s="52" t="str">
        <f t="shared" si="495"/>
        <v/>
      </c>
      <c r="M2290" s="53" t="str">
        <f t="shared" si="496"/>
        <v/>
      </c>
      <c r="N2290" s="53" t="str">
        <f t="shared" si="497"/>
        <v/>
      </c>
      <c r="O2290" s="53" t="str">
        <f t="shared" si="498"/>
        <v/>
      </c>
      <c r="P2290" s="53" t="str">
        <f t="shared" si="499"/>
        <v/>
      </c>
      <c r="Q2290" s="53" t="str">
        <f t="shared" si="500"/>
        <v/>
      </c>
      <c r="R2290" s="53" t="str">
        <f t="shared" si="501"/>
        <v/>
      </c>
      <c r="S2290" s="53" t="str">
        <f t="shared" si="502"/>
        <v/>
      </c>
      <c r="T2290" s="53" t="str">
        <f t="shared" si="503"/>
        <v/>
      </c>
    </row>
    <row r="2291" spans="1:20">
      <c r="A2291" s="47" t="str">
        <f>IF(archive!E2291="","",archive!E2291)</f>
        <v/>
      </c>
      <c r="B2291" s="48" t="str">
        <f t="shared" si="490"/>
        <v/>
      </c>
      <c r="C2291" s="49" t="str">
        <f>IF(archive!F2291="","",archive!F2291)</f>
        <v/>
      </c>
      <c r="D2291" s="50" t="str">
        <f t="shared" si="491"/>
        <v/>
      </c>
      <c r="E2291" s="50" t="str">
        <f t="shared" si="492"/>
        <v/>
      </c>
      <c r="F2291" s="47" t="str">
        <f>IF(COUNTA(archive!H2291:CI2291)=0,"",COUNTA(archive!H2291:CI2291))</f>
        <v/>
      </c>
      <c r="G2291" s="47" t="str">
        <f>IF(archive!G2291="","",archive!G2291)</f>
        <v/>
      </c>
      <c r="H2291" s="51" t="str">
        <f>IF(archive!CJ2291="","",archive!CJ2291)</f>
        <v/>
      </c>
      <c r="I2291" s="51" t="str">
        <f>IF(archive!CK2291="","",archive!CK2291)</f>
        <v/>
      </c>
      <c r="J2291" s="47" t="str">
        <f t="shared" si="493"/>
        <v/>
      </c>
      <c r="K2291" s="51" t="str">
        <f t="shared" si="494"/>
        <v/>
      </c>
      <c r="L2291" s="52" t="str">
        <f t="shared" si="495"/>
        <v/>
      </c>
      <c r="M2291" s="53" t="str">
        <f t="shared" si="496"/>
        <v/>
      </c>
      <c r="N2291" s="53" t="str">
        <f t="shared" si="497"/>
        <v/>
      </c>
      <c r="O2291" s="53" t="str">
        <f t="shared" si="498"/>
        <v/>
      </c>
      <c r="P2291" s="53" t="str">
        <f t="shared" si="499"/>
        <v/>
      </c>
      <c r="Q2291" s="53" t="str">
        <f t="shared" si="500"/>
        <v/>
      </c>
      <c r="R2291" s="53" t="str">
        <f t="shared" si="501"/>
        <v/>
      </c>
      <c r="S2291" s="53" t="str">
        <f t="shared" si="502"/>
        <v/>
      </c>
      <c r="T2291" s="53" t="str">
        <f t="shared" si="503"/>
        <v/>
      </c>
    </row>
    <row r="2292" spans="1:20">
      <c r="A2292" s="47" t="str">
        <f>IF(archive!E2292="","",archive!E2292)</f>
        <v/>
      </c>
      <c r="B2292" s="48" t="str">
        <f t="shared" si="490"/>
        <v/>
      </c>
      <c r="C2292" s="49" t="str">
        <f>IF(archive!F2292="","",archive!F2292)</f>
        <v/>
      </c>
      <c r="D2292" s="50" t="str">
        <f t="shared" si="491"/>
        <v/>
      </c>
      <c r="E2292" s="50" t="str">
        <f t="shared" si="492"/>
        <v/>
      </c>
      <c r="F2292" s="47" t="str">
        <f>IF(COUNTA(archive!H2292:CI2292)=0,"",COUNTA(archive!H2292:CI2292))</f>
        <v/>
      </c>
      <c r="G2292" s="47" t="str">
        <f>IF(archive!G2292="","",archive!G2292)</f>
        <v/>
      </c>
      <c r="H2292" s="51" t="str">
        <f>IF(archive!CJ2292="","",archive!CJ2292)</f>
        <v/>
      </c>
      <c r="I2292" s="51" t="str">
        <f>IF(archive!CK2292="","",archive!CK2292)</f>
        <v/>
      </c>
      <c r="J2292" s="47" t="str">
        <f t="shared" si="493"/>
        <v/>
      </c>
      <c r="K2292" s="51" t="str">
        <f t="shared" si="494"/>
        <v/>
      </c>
      <c r="L2292" s="52" t="str">
        <f t="shared" si="495"/>
        <v/>
      </c>
      <c r="M2292" s="53" t="str">
        <f t="shared" si="496"/>
        <v/>
      </c>
      <c r="N2292" s="53" t="str">
        <f t="shared" si="497"/>
        <v/>
      </c>
      <c r="O2292" s="53" t="str">
        <f t="shared" si="498"/>
        <v/>
      </c>
      <c r="P2292" s="53" t="str">
        <f t="shared" si="499"/>
        <v/>
      </c>
      <c r="Q2292" s="53" t="str">
        <f t="shared" si="500"/>
        <v/>
      </c>
      <c r="R2292" s="53" t="str">
        <f t="shared" si="501"/>
        <v/>
      </c>
      <c r="S2292" s="53" t="str">
        <f t="shared" si="502"/>
        <v/>
      </c>
      <c r="T2292" s="53" t="str">
        <f t="shared" si="503"/>
        <v/>
      </c>
    </row>
    <row r="2293" spans="1:20">
      <c r="A2293" s="47" t="str">
        <f>IF(archive!E2293="","",archive!E2293)</f>
        <v/>
      </c>
      <c r="B2293" s="48" t="str">
        <f t="shared" si="490"/>
        <v/>
      </c>
      <c r="C2293" s="49" t="str">
        <f>IF(archive!F2293="","",archive!F2293)</f>
        <v/>
      </c>
      <c r="D2293" s="50" t="str">
        <f t="shared" si="491"/>
        <v/>
      </c>
      <c r="E2293" s="50" t="str">
        <f t="shared" si="492"/>
        <v/>
      </c>
      <c r="F2293" s="47" t="str">
        <f>IF(COUNTA(archive!H2293:CI2293)=0,"",COUNTA(archive!H2293:CI2293))</f>
        <v/>
      </c>
      <c r="G2293" s="47" t="str">
        <f>IF(archive!G2293="","",archive!G2293)</f>
        <v/>
      </c>
      <c r="H2293" s="51" t="str">
        <f>IF(archive!CJ2293="","",archive!CJ2293)</f>
        <v/>
      </c>
      <c r="I2293" s="51" t="str">
        <f>IF(archive!CK2293="","",archive!CK2293)</f>
        <v/>
      </c>
      <c r="J2293" s="47" t="str">
        <f t="shared" si="493"/>
        <v/>
      </c>
      <c r="K2293" s="51" t="str">
        <f t="shared" si="494"/>
        <v/>
      </c>
      <c r="L2293" s="52" t="str">
        <f t="shared" si="495"/>
        <v/>
      </c>
      <c r="M2293" s="53" t="str">
        <f t="shared" si="496"/>
        <v/>
      </c>
      <c r="N2293" s="53" t="str">
        <f t="shared" si="497"/>
        <v/>
      </c>
      <c r="O2293" s="53" t="str">
        <f t="shared" si="498"/>
        <v/>
      </c>
      <c r="P2293" s="53" t="str">
        <f t="shared" si="499"/>
        <v/>
      </c>
      <c r="Q2293" s="53" t="str">
        <f t="shared" si="500"/>
        <v/>
      </c>
      <c r="R2293" s="53" t="str">
        <f t="shared" si="501"/>
        <v/>
      </c>
      <c r="S2293" s="53" t="str">
        <f t="shared" si="502"/>
        <v/>
      </c>
      <c r="T2293" s="53" t="str">
        <f t="shared" si="503"/>
        <v/>
      </c>
    </row>
    <row r="2294" spans="1:20">
      <c r="A2294" s="47" t="str">
        <f>IF(archive!E2294="","",archive!E2294)</f>
        <v/>
      </c>
      <c r="B2294" s="48" t="str">
        <f t="shared" si="490"/>
        <v/>
      </c>
      <c r="C2294" s="49" t="str">
        <f>IF(archive!F2294="","",archive!F2294)</f>
        <v/>
      </c>
      <c r="D2294" s="50" t="str">
        <f t="shared" si="491"/>
        <v/>
      </c>
      <c r="E2294" s="50" t="str">
        <f t="shared" si="492"/>
        <v/>
      </c>
      <c r="F2294" s="47" t="str">
        <f>IF(COUNTA(archive!H2294:CI2294)=0,"",COUNTA(archive!H2294:CI2294))</f>
        <v/>
      </c>
      <c r="G2294" s="47" t="str">
        <f>IF(archive!G2294="","",archive!G2294)</f>
        <v/>
      </c>
      <c r="H2294" s="51" t="str">
        <f>IF(archive!CJ2294="","",archive!CJ2294)</f>
        <v/>
      </c>
      <c r="I2294" s="51" t="str">
        <f>IF(archive!CK2294="","",archive!CK2294)</f>
        <v/>
      </c>
      <c r="J2294" s="47" t="str">
        <f t="shared" si="493"/>
        <v/>
      </c>
      <c r="K2294" s="51" t="str">
        <f t="shared" si="494"/>
        <v/>
      </c>
      <c r="L2294" s="52" t="str">
        <f t="shared" si="495"/>
        <v/>
      </c>
      <c r="M2294" s="53" t="str">
        <f t="shared" si="496"/>
        <v/>
      </c>
      <c r="N2294" s="53" t="str">
        <f t="shared" si="497"/>
        <v/>
      </c>
      <c r="O2294" s="53" t="str">
        <f t="shared" si="498"/>
        <v/>
      </c>
      <c r="P2294" s="53" t="str">
        <f t="shared" si="499"/>
        <v/>
      </c>
      <c r="Q2294" s="53" t="str">
        <f t="shared" si="500"/>
        <v/>
      </c>
      <c r="R2294" s="53" t="str">
        <f t="shared" si="501"/>
        <v/>
      </c>
      <c r="S2294" s="53" t="str">
        <f t="shared" si="502"/>
        <v/>
      </c>
      <c r="T2294" s="53" t="str">
        <f t="shared" si="503"/>
        <v/>
      </c>
    </row>
    <row r="2295" spans="1:20">
      <c r="A2295" s="47" t="str">
        <f>IF(archive!E2295="","",archive!E2295)</f>
        <v/>
      </c>
      <c r="B2295" s="48" t="str">
        <f t="shared" si="490"/>
        <v/>
      </c>
      <c r="C2295" s="49" t="str">
        <f>IF(archive!F2295="","",archive!F2295)</f>
        <v/>
      </c>
      <c r="D2295" s="50" t="str">
        <f t="shared" si="491"/>
        <v/>
      </c>
      <c r="E2295" s="50" t="str">
        <f t="shared" si="492"/>
        <v/>
      </c>
      <c r="F2295" s="47" t="str">
        <f>IF(COUNTA(archive!H2295:CI2295)=0,"",COUNTA(archive!H2295:CI2295))</f>
        <v/>
      </c>
      <c r="G2295" s="47" t="str">
        <f>IF(archive!G2295="","",archive!G2295)</f>
        <v/>
      </c>
      <c r="H2295" s="51" t="str">
        <f>IF(archive!CJ2295="","",archive!CJ2295)</f>
        <v/>
      </c>
      <c r="I2295" s="51" t="str">
        <f>IF(archive!CK2295="","",archive!CK2295)</f>
        <v/>
      </c>
      <c r="J2295" s="47" t="str">
        <f t="shared" si="493"/>
        <v/>
      </c>
      <c r="K2295" s="51" t="str">
        <f t="shared" si="494"/>
        <v/>
      </c>
      <c r="L2295" s="52" t="str">
        <f t="shared" si="495"/>
        <v/>
      </c>
      <c r="M2295" s="53" t="str">
        <f t="shared" si="496"/>
        <v/>
      </c>
      <c r="N2295" s="53" t="str">
        <f t="shared" si="497"/>
        <v/>
      </c>
      <c r="O2295" s="53" t="str">
        <f t="shared" si="498"/>
        <v/>
      </c>
      <c r="P2295" s="53" t="str">
        <f t="shared" si="499"/>
        <v/>
      </c>
      <c r="Q2295" s="53" t="str">
        <f t="shared" si="500"/>
        <v/>
      </c>
      <c r="R2295" s="53" t="str">
        <f t="shared" si="501"/>
        <v/>
      </c>
      <c r="S2295" s="53" t="str">
        <f t="shared" si="502"/>
        <v/>
      </c>
      <c r="T2295" s="53" t="str">
        <f t="shared" si="503"/>
        <v/>
      </c>
    </row>
    <row r="2296" spans="1:20">
      <c r="A2296" s="47" t="str">
        <f>IF(archive!E2296="","",archive!E2296)</f>
        <v/>
      </c>
      <c r="B2296" s="48" t="str">
        <f t="shared" si="490"/>
        <v/>
      </c>
      <c r="C2296" s="49" t="str">
        <f>IF(archive!F2296="","",archive!F2296)</f>
        <v/>
      </c>
      <c r="D2296" s="50" t="str">
        <f t="shared" si="491"/>
        <v/>
      </c>
      <c r="E2296" s="50" t="str">
        <f t="shared" si="492"/>
        <v/>
      </c>
      <c r="F2296" s="47" t="str">
        <f>IF(COUNTA(archive!H2296:CI2296)=0,"",COUNTA(archive!H2296:CI2296))</f>
        <v/>
      </c>
      <c r="G2296" s="47" t="str">
        <f>IF(archive!G2296="","",archive!G2296)</f>
        <v/>
      </c>
      <c r="H2296" s="51" t="str">
        <f>IF(archive!CJ2296="","",archive!CJ2296)</f>
        <v/>
      </c>
      <c r="I2296" s="51" t="str">
        <f>IF(archive!CK2296="","",archive!CK2296)</f>
        <v/>
      </c>
      <c r="J2296" s="47" t="str">
        <f t="shared" si="493"/>
        <v/>
      </c>
      <c r="K2296" s="51" t="str">
        <f t="shared" si="494"/>
        <v/>
      </c>
      <c r="L2296" s="52" t="str">
        <f t="shared" si="495"/>
        <v/>
      </c>
      <c r="M2296" s="53" t="str">
        <f t="shared" si="496"/>
        <v/>
      </c>
      <c r="N2296" s="53" t="str">
        <f t="shared" si="497"/>
        <v/>
      </c>
      <c r="O2296" s="53" t="str">
        <f t="shared" si="498"/>
        <v/>
      </c>
      <c r="P2296" s="53" t="str">
        <f t="shared" si="499"/>
        <v/>
      </c>
      <c r="Q2296" s="53" t="str">
        <f t="shared" si="500"/>
        <v/>
      </c>
      <c r="R2296" s="53" t="str">
        <f t="shared" si="501"/>
        <v/>
      </c>
      <c r="S2296" s="53" t="str">
        <f t="shared" si="502"/>
        <v/>
      </c>
      <c r="T2296" s="53" t="str">
        <f t="shared" si="503"/>
        <v/>
      </c>
    </row>
    <row r="2297" spans="1:20">
      <c r="A2297" s="47" t="str">
        <f>IF(archive!E2297="","",archive!E2297)</f>
        <v/>
      </c>
      <c r="B2297" s="48" t="str">
        <f t="shared" si="490"/>
        <v/>
      </c>
      <c r="C2297" s="49" t="str">
        <f>IF(archive!F2297="","",archive!F2297)</f>
        <v/>
      </c>
      <c r="D2297" s="50" t="str">
        <f t="shared" si="491"/>
        <v/>
      </c>
      <c r="E2297" s="50" t="str">
        <f t="shared" si="492"/>
        <v/>
      </c>
      <c r="F2297" s="47" t="str">
        <f>IF(COUNTA(archive!H2297:CI2297)=0,"",COUNTA(archive!H2297:CI2297))</f>
        <v/>
      </c>
      <c r="G2297" s="47" t="str">
        <f>IF(archive!G2297="","",archive!G2297)</f>
        <v/>
      </c>
      <c r="H2297" s="51" t="str">
        <f>IF(archive!CJ2297="","",archive!CJ2297)</f>
        <v/>
      </c>
      <c r="I2297" s="51" t="str">
        <f>IF(archive!CK2297="","",archive!CK2297)</f>
        <v/>
      </c>
      <c r="J2297" s="47" t="str">
        <f t="shared" si="493"/>
        <v/>
      </c>
      <c r="K2297" s="51" t="str">
        <f t="shared" si="494"/>
        <v/>
      </c>
      <c r="L2297" s="52" t="str">
        <f t="shared" si="495"/>
        <v/>
      </c>
      <c r="M2297" s="53" t="str">
        <f t="shared" si="496"/>
        <v/>
      </c>
      <c r="N2297" s="53" t="str">
        <f t="shared" si="497"/>
        <v/>
      </c>
      <c r="O2297" s="53" t="str">
        <f t="shared" si="498"/>
        <v/>
      </c>
      <c r="P2297" s="53" t="str">
        <f t="shared" si="499"/>
        <v/>
      </c>
      <c r="Q2297" s="53" t="str">
        <f t="shared" si="500"/>
        <v/>
      </c>
      <c r="R2297" s="53" t="str">
        <f t="shared" si="501"/>
        <v/>
      </c>
      <c r="S2297" s="53" t="str">
        <f t="shared" si="502"/>
        <v/>
      </c>
      <c r="T2297" s="53" t="str">
        <f t="shared" si="503"/>
        <v/>
      </c>
    </row>
    <row r="2298" spans="1:20">
      <c r="A2298" s="47" t="str">
        <f>IF(archive!E2298="","",archive!E2298)</f>
        <v/>
      </c>
      <c r="B2298" s="48" t="str">
        <f t="shared" si="490"/>
        <v/>
      </c>
      <c r="C2298" s="49" t="str">
        <f>IF(archive!F2298="","",archive!F2298)</f>
        <v/>
      </c>
      <c r="D2298" s="50" t="str">
        <f t="shared" si="491"/>
        <v/>
      </c>
      <c r="E2298" s="50" t="str">
        <f t="shared" si="492"/>
        <v/>
      </c>
      <c r="F2298" s="47" t="str">
        <f>IF(COUNTA(archive!H2298:CI2298)=0,"",COUNTA(archive!H2298:CI2298))</f>
        <v/>
      </c>
      <c r="G2298" s="47" t="str">
        <f>IF(archive!G2298="","",archive!G2298)</f>
        <v/>
      </c>
      <c r="H2298" s="51" t="str">
        <f>IF(archive!CJ2298="","",archive!CJ2298)</f>
        <v/>
      </c>
      <c r="I2298" s="51" t="str">
        <f>IF(archive!CK2298="","",archive!CK2298)</f>
        <v/>
      </c>
      <c r="J2298" s="47" t="str">
        <f t="shared" si="493"/>
        <v/>
      </c>
      <c r="K2298" s="51" t="str">
        <f t="shared" si="494"/>
        <v/>
      </c>
      <c r="L2298" s="52" t="str">
        <f t="shared" si="495"/>
        <v/>
      </c>
      <c r="M2298" s="53" t="str">
        <f t="shared" si="496"/>
        <v/>
      </c>
      <c r="N2298" s="53" t="str">
        <f t="shared" si="497"/>
        <v/>
      </c>
      <c r="O2298" s="53" t="str">
        <f t="shared" si="498"/>
        <v/>
      </c>
      <c r="P2298" s="53" t="str">
        <f t="shared" si="499"/>
        <v/>
      </c>
      <c r="Q2298" s="53" t="str">
        <f t="shared" si="500"/>
        <v/>
      </c>
      <c r="R2298" s="53" t="str">
        <f t="shared" si="501"/>
        <v/>
      </c>
      <c r="S2298" s="53" t="str">
        <f t="shared" si="502"/>
        <v/>
      </c>
      <c r="T2298" s="53" t="str">
        <f t="shared" si="503"/>
        <v/>
      </c>
    </row>
    <row r="2299" spans="1:20">
      <c r="A2299" s="47" t="str">
        <f>IF(archive!E2299="","",archive!E2299)</f>
        <v/>
      </c>
      <c r="B2299" s="48" t="str">
        <f t="shared" si="490"/>
        <v/>
      </c>
      <c r="C2299" s="49" t="str">
        <f>IF(archive!F2299="","",archive!F2299)</f>
        <v/>
      </c>
      <c r="D2299" s="50" t="str">
        <f t="shared" si="491"/>
        <v/>
      </c>
      <c r="E2299" s="50" t="str">
        <f t="shared" si="492"/>
        <v/>
      </c>
      <c r="F2299" s="47" t="str">
        <f>IF(COUNTA(archive!H2299:CI2299)=0,"",COUNTA(archive!H2299:CI2299))</f>
        <v/>
      </c>
      <c r="G2299" s="47" t="str">
        <f>IF(archive!G2299="","",archive!G2299)</f>
        <v/>
      </c>
      <c r="H2299" s="51" t="str">
        <f>IF(archive!CJ2299="","",archive!CJ2299)</f>
        <v/>
      </c>
      <c r="I2299" s="51" t="str">
        <f>IF(archive!CK2299="","",archive!CK2299)</f>
        <v/>
      </c>
      <c r="J2299" s="47" t="str">
        <f t="shared" si="493"/>
        <v/>
      </c>
      <c r="K2299" s="51" t="str">
        <f t="shared" si="494"/>
        <v/>
      </c>
      <c r="L2299" s="52" t="str">
        <f t="shared" si="495"/>
        <v/>
      </c>
      <c r="M2299" s="53" t="str">
        <f t="shared" si="496"/>
        <v/>
      </c>
      <c r="N2299" s="53" t="str">
        <f t="shared" si="497"/>
        <v/>
      </c>
      <c r="O2299" s="53" t="str">
        <f t="shared" si="498"/>
        <v/>
      </c>
      <c r="P2299" s="53" t="str">
        <f t="shared" si="499"/>
        <v/>
      </c>
      <c r="Q2299" s="53" t="str">
        <f t="shared" si="500"/>
        <v/>
      </c>
      <c r="R2299" s="53" t="str">
        <f t="shared" si="501"/>
        <v/>
      </c>
      <c r="S2299" s="53" t="str">
        <f t="shared" si="502"/>
        <v/>
      </c>
      <c r="T2299" s="53" t="str">
        <f t="shared" si="503"/>
        <v/>
      </c>
    </row>
    <row r="2300" spans="1:20">
      <c r="A2300" s="47" t="str">
        <f>IF(archive!E2300="","",archive!E2300)</f>
        <v/>
      </c>
      <c r="B2300" s="48" t="str">
        <f t="shared" si="490"/>
        <v/>
      </c>
      <c r="C2300" s="49" t="str">
        <f>IF(archive!F2300="","",archive!F2300)</f>
        <v/>
      </c>
      <c r="D2300" s="50" t="str">
        <f t="shared" si="491"/>
        <v/>
      </c>
      <c r="E2300" s="50" t="str">
        <f t="shared" si="492"/>
        <v/>
      </c>
      <c r="F2300" s="47" t="str">
        <f>IF(COUNTA(archive!H2300:CI2300)=0,"",COUNTA(archive!H2300:CI2300))</f>
        <v/>
      </c>
      <c r="G2300" s="47" t="str">
        <f>IF(archive!G2300="","",archive!G2300)</f>
        <v/>
      </c>
      <c r="H2300" s="51" t="str">
        <f>IF(archive!CJ2300="","",archive!CJ2300)</f>
        <v/>
      </c>
      <c r="I2300" s="51" t="str">
        <f>IF(archive!CK2300="","",archive!CK2300)</f>
        <v/>
      </c>
      <c r="J2300" s="47" t="str">
        <f t="shared" si="493"/>
        <v/>
      </c>
      <c r="K2300" s="51" t="str">
        <f t="shared" si="494"/>
        <v/>
      </c>
      <c r="L2300" s="52" t="str">
        <f t="shared" si="495"/>
        <v/>
      </c>
      <c r="M2300" s="53" t="str">
        <f t="shared" si="496"/>
        <v/>
      </c>
      <c r="N2300" s="53" t="str">
        <f t="shared" si="497"/>
        <v/>
      </c>
      <c r="O2300" s="53" t="str">
        <f t="shared" si="498"/>
        <v/>
      </c>
      <c r="P2300" s="53" t="str">
        <f t="shared" si="499"/>
        <v/>
      </c>
      <c r="Q2300" s="53" t="str">
        <f t="shared" si="500"/>
        <v/>
      </c>
      <c r="R2300" s="53" t="str">
        <f t="shared" si="501"/>
        <v/>
      </c>
      <c r="S2300" s="53" t="str">
        <f t="shared" si="502"/>
        <v/>
      </c>
      <c r="T2300" s="53" t="str">
        <f t="shared" si="503"/>
        <v/>
      </c>
    </row>
    <row r="2301" spans="1:20">
      <c r="A2301" s="47" t="str">
        <f>IF(archive!E2301="","",archive!E2301)</f>
        <v/>
      </c>
      <c r="B2301" s="48" t="str">
        <f t="shared" si="490"/>
        <v/>
      </c>
      <c r="C2301" s="49" t="str">
        <f>IF(archive!F2301="","",archive!F2301)</f>
        <v/>
      </c>
      <c r="D2301" s="50" t="str">
        <f t="shared" si="491"/>
        <v/>
      </c>
      <c r="E2301" s="50" t="str">
        <f t="shared" si="492"/>
        <v/>
      </c>
      <c r="F2301" s="47" t="str">
        <f>IF(COUNTA(archive!H2301:CI2301)=0,"",COUNTA(archive!H2301:CI2301))</f>
        <v/>
      </c>
      <c r="G2301" s="47" t="str">
        <f>IF(archive!G2301="","",archive!G2301)</f>
        <v/>
      </c>
      <c r="H2301" s="51" t="str">
        <f>IF(archive!CJ2301="","",archive!CJ2301)</f>
        <v/>
      </c>
      <c r="I2301" s="51" t="str">
        <f>IF(archive!CK2301="","",archive!CK2301)</f>
        <v/>
      </c>
      <c r="J2301" s="47" t="str">
        <f t="shared" si="493"/>
        <v/>
      </c>
      <c r="K2301" s="51" t="str">
        <f t="shared" si="494"/>
        <v/>
      </c>
      <c r="L2301" s="52" t="str">
        <f t="shared" si="495"/>
        <v/>
      </c>
      <c r="M2301" s="53" t="str">
        <f t="shared" si="496"/>
        <v/>
      </c>
      <c r="N2301" s="53" t="str">
        <f t="shared" si="497"/>
        <v/>
      </c>
      <c r="O2301" s="53" t="str">
        <f t="shared" si="498"/>
        <v/>
      </c>
      <c r="P2301" s="53" t="str">
        <f t="shared" si="499"/>
        <v/>
      </c>
      <c r="Q2301" s="53" t="str">
        <f t="shared" si="500"/>
        <v/>
      </c>
      <c r="R2301" s="53" t="str">
        <f t="shared" si="501"/>
        <v/>
      </c>
      <c r="S2301" s="53" t="str">
        <f t="shared" si="502"/>
        <v/>
      </c>
      <c r="T2301" s="53" t="str">
        <f t="shared" si="503"/>
        <v/>
      </c>
    </row>
    <row r="2302" spans="1:20">
      <c r="A2302" s="47" t="str">
        <f>IF(archive!E2302="","",archive!E2302)</f>
        <v/>
      </c>
      <c r="B2302" s="48" t="str">
        <f t="shared" si="490"/>
        <v/>
      </c>
      <c r="C2302" s="49" t="str">
        <f>IF(archive!F2302="","",archive!F2302)</f>
        <v/>
      </c>
      <c r="D2302" s="50" t="str">
        <f t="shared" si="491"/>
        <v/>
      </c>
      <c r="E2302" s="50" t="str">
        <f t="shared" si="492"/>
        <v/>
      </c>
      <c r="F2302" s="47" t="str">
        <f>IF(COUNTA(archive!H2302:CI2302)=0,"",COUNTA(archive!H2302:CI2302))</f>
        <v/>
      </c>
      <c r="G2302" s="47" t="str">
        <f>IF(archive!G2302="","",archive!G2302)</f>
        <v/>
      </c>
      <c r="H2302" s="51" t="str">
        <f>IF(archive!CJ2302="","",archive!CJ2302)</f>
        <v/>
      </c>
      <c r="I2302" s="51" t="str">
        <f>IF(archive!CK2302="","",archive!CK2302)</f>
        <v/>
      </c>
      <c r="J2302" s="47" t="str">
        <f t="shared" si="493"/>
        <v/>
      </c>
      <c r="K2302" s="51" t="str">
        <f t="shared" si="494"/>
        <v/>
      </c>
      <c r="L2302" s="52" t="str">
        <f t="shared" si="495"/>
        <v/>
      </c>
      <c r="M2302" s="53" t="str">
        <f t="shared" si="496"/>
        <v/>
      </c>
      <c r="N2302" s="53" t="str">
        <f t="shared" si="497"/>
        <v/>
      </c>
      <c r="O2302" s="53" t="str">
        <f t="shared" si="498"/>
        <v/>
      </c>
      <c r="P2302" s="53" t="str">
        <f t="shared" si="499"/>
        <v/>
      </c>
      <c r="Q2302" s="53" t="str">
        <f t="shared" si="500"/>
        <v/>
      </c>
      <c r="R2302" s="53" t="str">
        <f t="shared" si="501"/>
        <v/>
      </c>
      <c r="S2302" s="53" t="str">
        <f t="shared" si="502"/>
        <v/>
      </c>
      <c r="T2302" s="53" t="str">
        <f t="shared" si="503"/>
        <v/>
      </c>
    </row>
    <row r="2303" spans="1:20">
      <c r="A2303" s="47" t="str">
        <f>IF(archive!E2303="","",archive!E2303)</f>
        <v/>
      </c>
      <c r="B2303" s="48" t="str">
        <f t="shared" si="490"/>
        <v/>
      </c>
      <c r="C2303" s="49" t="str">
        <f>IF(archive!F2303="","",archive!F2303)</f>
        <v/>
      </c>
      <c r="D2303" s="50" t="str">
        <f t="shared" si="491"/>
        <v/>
      </c>
      <c r="E2303" s="50" t="str">
        <f t="shared" si="492"/>
        <v/>
      </c>
      <c r="F2303" s="47" t="str">
        <f>IF(COUNTA(archive!H2303:CI2303)=0,"",COUNTA(archive!H2303:CI2303))</f>
        <v/>
      </c>
      <c r="G2303" s="47" t="str">
        <f>IF(archive!G2303="","",archive!G2303)</f>
        <v/>
      </c>
      <c r="H2303" s="51" t="str">
        <f>IF(archive!CJ2303="","",archive!CJ2303)</f>
        <v/>
      </c>
      <c r="I2303" s="51" t="str">
        <f>IF(archive!CK2303="","",archive!CK2303)</f>
        <v/>
      </c>
      <c r="J2303" s="47" t="str">
        <f t="shared" si="493"/>
        <v/>
      </c>
      <c r="K2303" s="51" t="str">
        <f t="shared" si="494"/>
        <v/>
      </c>
      <c r="L2303" s="52" t="str">
        <f t="shared" si="495"/>
        <v/>
      </c>
      <c r="M2303" s="53" t="str">
        <f t="shared" si="496"/>
        <v/>
      </c>
      <c r="N2303" s="53" t="str">
        <f t="shared" si="497"/>
        <v/>
      </c>
      <c r="O2303" s="53" t="str">
        <f t="shared" si="498"/>
        <v/>
      </c>
      <c r="P2303" s="53" t="str">
        <f t="shared" si="499"/>
        <v/>
      </c>
      <c r="Q2303" s="53" t="str">
        <f t="shared" si="500"/>
        <v/>
      </c>
      <c r="R2303" s="53" t="str">
        <f t="shared" si="501"/>
        <v/>
      </c>
      <c r="S2303" s="53" t="str">
        <f t="shared" si="502"/>
        <v/>
      </c>
      <c r="T2303" s="53" t="str">
        <f t="shared" si="503"/>
        <v/>
      </c>
    </row>
    <row r="2304" spans="1:20">
      <c r="A2304" s="47" t="str">
        <f>IF(archive!E2304="","",archive!E2304)</f>
        <v/>
      </c>
      <c r="B2304" s="48" t="str">
        <f t="shared" si="490"/>
        <v/>
      </c>
      <c r="C2304" s="49" t="str">
        <f>IF(archive!F2304="","",archive!F2304)</f>
        <v/>
      </c>
      <c r="D2304" s="50" t="str">
        <f t="shared" si="491"/>
        <v/>
      </c>
      <c r="E2304" s="50" t="str">
        <f t="shared" si="492"/>
        <v/>
      </c>
      <c r="F2304" s="47" t="str">
        <f>IF(COUNTA(archive!H2304:CI2304)=0,"",COUNTA(archive!H2304:CI2304))</f>
        <v/>
      </c>
      <c r="G2304" s="47" t="str">
        <f>IF(archive!G2304="","",archive!G2304)</f>
        <v/>
      </c>
      <c r="H2304" s="51" t="str">
        <f>IF(archive!CJ2304="","",archive!CJ2304)</f>
        <v/>
      </c>
      <c r="I2304" s="51" t="str">
        <f>IF(archive!CK2304="","",archive!CK2304)</f>
        <v/>
      </c>
      <c r="J2304" s="47" t="str">
        <f t="shared" si="493"/>
        <v/>
      </c>
      <c r="K2304" s="51" t="str">
        <f t="shared" si="494"/>
        <v/>
      </c>
      <c r="L2304" s="52" t="str">
        <f t="shared" si="495"/>
        <v/>
      </c>
      <c r="M2304" s="53" t="str">
        <f t="shared" si="496"/>
        <v/>
      </c>
      <c r="N2304" s="53" t="str">
        <f t="shared" si="497"/>
        <v/>
      </c>
      <c r="O2304" s="53" t="str">
        <f t="shared" si="498"/>
        <v/>
      </c>
      <c r="P2304" s="53" t="str">
        <f t="shared" si="499"/>
        <v/>
      </c>
      <c r="Q2304" s="53" t="str">
        <f t="shared" si="500"/>
        <v/>
      </c>
      <c r="R2304" s="53" t="str">
        <f t="shared" si="501"/>
        <v/>
      </c>
      <c r="S2304" s="53" t="str">
        <f t="shared" si="502"/>
        <v/>
      </c>
      <c r="T2304" s="53" t="str">
        <f t="shared" si="503"/>
        <v/>
      </c>
    </row>
    <row r="2305" spans="1:20">
      <c r="A2305" s="47" t="str">
        <f>IF(archive!E2305="","",archive!E2305)</f>
        <v/>
      </c>
      <c r="B2305" s="48" t="str">
        <f t="shared" si="490"/>
        <v/>
      </c>
      <c r="C2305" s="49" t="str">
        <f>IF(archive!F2305="","",archive!F2305)</f>
        <v/>
      </c>
      <c r="D2305" s="50" t="str">
        <f t="shared" si="491"/>
        <v/>
      </c>
      <c r="E2305" s="50" t="str">
        <f t="shared" si="492"/>
        <v/>
      </c>
      <c r="F2305" s="47" t="str">
        <f>IF(COUNTA(archive!H2305:CI2305)=0,"",COUNTA(archive!H2305:CI2305))</f>
        <v/>
      </c>
      <c r="G2305" s="47" t="str">
        <f>IF(archive!G2305="","",archive!G2305)</f>
        <v/>
      </c>
      <c r="H2305" s="51" t="str">
        <f>IF(archive!CJ2305="","",archive!CJ2305)</f>
        <v/>
      </c>
      <c r="I2305" s="51" t="str">
        <f>IF(archive!CK2305="","",archive!CK2305)</f>
        <v/>
      </c>
      <c r="J2305" s="47" t="str">
        <f t="shared" si="493"/>
        <v/>
      </c>
      <c r="K2305" s="51" t="str">
        <f t="shared" si="494"/>
        <v/>
      </c>
      <c r="L2305" s="52" t="str">
        <f t="shared" si="495"/>
        <v/>
      </c>
      <c r="M2305" s="53" t="str">
        <f t="shared" si="496"/>
        <v/>
      </c>
      <c r="N2305" s="53" t="str">
        <f t="shared" si="497"/>
        <v/>
      </c>
      <c r="O2305" s="53" t="str">
        <f t="shared" si="498"/>
        <v/>
      </c>
      <c r="P2305" s="53" t="str">
        <f t="shared" si="499"/>
        <v/>
      </c>
      <c r="Q2305" s="53" t="str">
        <f t="shared" si="500"/>
        <v/>
      </c>
      <c r="R2305" s="53" t="str">
        <f t="shared" si="501"/>
        <v/>
      </c>
      <c r="S2305" s="53" t="str">
        <f t="shared" si="502"/>
        <v/>
      </c>
      <c r="T2305" s="53" t="str">
        <f t="shared" si="503"/>
        <v/>
      </c>
    </row>
    <row r="2306" spans="1:20">
      <c r="A2306" s="47" t="str">
        <f>IF(archive!E2306="","",archive!E2306)</f>
        <v/>
      </c>
      <c r="B2306" s="48" t="str">
        <f t="shared" si="490"/>
        <v/>
      </c>
      <c r="C2306" s="49" t="str">
        <f>IF(archive!F2306="","",archive!F2306)</f>
        <v/>
      </c>
      <c r="D2306" s="50" t="str">
        <f t="shared" si="491"/>
        <v/>
      </c>
      <c r="E2306" s="50" t="str">
        <f t="shared" si="492"/>
        <v/>
      </c>
      <c r="F2306" s="47" t="str">
        <f>IF(COUNTA(archive!H2306:CI2306)=0,"",COUNTA(archive!H2306:CI2306))</f>
        <v/>
      </c>
      <c r="G2306" s="47" t="str">
        <f>IF(archive!G2306="","",archive!G2306)</f>
        <v/>
      </c>
      <c r="H2306" s="51" t="str">
        <f>IF(archive!CJ2306="","",archive!CJ2306)</f>
        <v/>
      </c>
      <c r="I2306" s="51" t="str">
        <f>IF(archive!CK2306="","",archive!CK2306)</f>
        <v/>
      </c>
      <c r="J2306" s="47" t="str">
        <f t="shared" si="493"/>
        <v/>
      </c>
      <c r="K2306" s="51" t="str">
        <f t="shared" si="494"/>
        <v/>
      </c>
      <c r="L2306" s="52" t="str">
        <f t="shared" si="495"/>
        <v/>
      </c>
      <c r="M2306" s="53" t="str">
        <f t="shared" si="496"/>
        <v/>
      </c>
      <c r="N2306" s="53" t="str">
        <f t="shared" si="497"/>
        <v/>
      </c>
      <c r="O2306" s="53" t="str">
        <f t="shared" si="498"/>
        <v/>
      </c>
      <c r="P2306" s="53" t="str">
        <f t="shared" si="499"/>
        <v/>
      </c>
      <c r="Q2306" s="53" t="str">
        <f t="shared" si="500"/>
        <v/>
      </c>
      <c r="R2306" s="53" t="str">
        <f t="shared" si="501"/>
        <v/>
      </c>
      <c r="S2306" s="53" t="str">
        <f t="shared" si="502"/>
        <v/>
      </c>
      <c r="T2306" s="53" t="str">
        <f t="shared" si="503"/>
        <v/>
      </c>
    </row>
    <row r="2307" spans="1:20">
      <c r="A2307" s="47" t="str">
        <f>IF(archive!E2307="","",archive!E2307)</f>
        <v/>
      </c>
      <c r="B2307" s="48" t="str">
        <f t="shared" si="490"/>
        <v/>
      </c>
      <c r="C2307" s="49" t="str">
        <f>IF(archive!F2307="","",archive!F2307)</f>
        <v/>
      </c>
      <c r="D2307" s="50" t="str">
        <f t="shared" si="491"/>
        <v/>
      </c>
      <c r="E2307" s="50" t="str">
        <f t="shared" si="492"/>
        <v/>
      </c>
      <c r="F2307" s="47" t="str">
        <f>IF(COUNTA(archive!H2307:CI2307)=0,"",COUNTA(archive!H2307:CI2307))</f>
        <v/>
      </c>
      <c r="G2307" s="47" t="str">
        <f>IF(archive!G2307="","",archive!G2307)</f>
        <v/>
      </c>
      <c r="H2307" s="51" t="str">
        <f>IF(archive!CJ2307="","",archive!CJ2307)</f>
        <v/>
      </c>
      <c r="I2307" s="51" t="str">
        <f>IF(archive!CK2307="","",archive!CK2307)</f>
        <v/>
      </c>
      <c r="J2307" s="47" t="str">
        <f t="shared" si="493"/>
        <v/>
      </c>
      <c r="K2307" s="51" t="str">
        <f t="shared" si="494"/>
        <v/>
      </c>
      <c r="L2307" s="52" t="str">
        <f t="shared" si="495"/>
        <v/>
      </c>
      <c r="M2307" s="53" t="str">
        <f t="shared" si="496"/>
        <v/>
      </c>
      <c r="N2307" s="53" t="str">
        <f t="shared" si="497"/>
        <v/>
      </c>
      <c r="O2307" s="53" t="str">
        <f t="shared" si="498"/>
        <v/>
      </c>
      <c r="P2307" s="53" t="str">
        <f t="shared" si="499"/>
        <v/>
      </c>
      <c r="Q2307" s="53" t="str">
        <f t="shared" si="500"/>
        <v/>
      </c>
      <c r="R2307" s="53" t="str">
        <f t="shared" si="501"/>
        <v/>
      </c>
      <c r="S2307" s="53" t="str">
        <f t="shared" si="502"/>
        <v/>
      </c>
      <c r="T2307" s="53" t="str">
        <f t="shared" si="503"/>
        <v/>
      </c>
    </row>
    <row r="2308" spans="1:20">
      <c r="A2308" s="47" t="str">
        <f>IF(archive!E2308="","",archive!E2308)</f>
        <v/>
      </c>
      <c r="B2308" s="48" t="str">
        <f t="shared" ref="B2308:B2371" si="504">IF(C2308="","",VLOOKUP($C2308,Tare,2,0))</f>
        <v/>
      </c>
      <c r="C2308" s="49" t="str">
        <f>IF(archive!F2308="","",archive!F2308)</f>
        <v/>
      </c>
      <c r="D2308" s="50" t="str">
        <f t="shared" ref="D2308:D2371" si="505">IF(C2308="","",C2308+B2308)</f>
        <v/>
      </c>
      <c r="E2308" s="50" t="str">
        <f t="shared" ref="E2308:E2371" si="506">IF(C2308="","",(C2308*0.025)+D2308)</f>
        <v/>
      </c>
      <c r="F2308" s="47" t="str">
        <f>IF(COUNTA(archive!H2308:CI2308)=0,"",COUNTA(archive!H2308:CI2308))</f>
        <v/>
      </c>
      <c r="G2308" s="47" t="str">
        <f>IF(archive!G2308="","",archive!G2308)</f>
        <v/>
      </c>
      <c r="H2308" s="51" t="str">
        <f>IF(archive!CJ2308="","",archive!CJ2308)</f>
        <v/>
      </c>
      <c r="I2308" s="51" t="str">
        <f>IF(archive!CK2308="","",archive!CK2308)</f>
        <v/>
      </c>
      <c r="J2308" s="47" t="str">
        <f t="shared" ref="J2308:J2371" si="507">IF(F2308="","",VLOOKUP(F2308,Valeur_g,2,0))</f>
        <v/>
      </c>
      <c r="K2308" s="51" t="str">
        <f t="shared" ref="K2308:K2371" si="508">IF(C2308="","",D2308+(J2308*I2308))</f>
        <v/>
      </c>
      <c r="L2308" s="52" t="str">
        <f t="shared" ref="L2308:L2371" si="509">IF(C2308="","",IF(K2308&lt;H2308,"Conforme","Non conforme"))</f>
        <v/>
      </c>
      <c r="M2308" s="53" t="str">
        <f t="shared" ref="M2308:M2371" si="510">IF(C2308="","",1)</f>
        <v/>
      </c>
      <c r="N2308" s="53" t="str">
        <f t="shared" ref="N2308:N2371" si="511">IF(L2308="","",COUNTIF(L2308,"Non conforme"))</f>
        <v/>
      </c>
      <c r="O2308" s="53" t="str">
        <f t="shared" ref="O2308:O2371" si="512">IF($C2308="","",IF($C2308=0.25,$G2308,"-"))</f>
        <v/>
      </c>
      <c r="P2308" s="53" t="str">
        <f t="shared" ref="P2308:P2371" si="513">IF($C2308="","",IF($C2308=0.4,$G2308,"-"))</f>
        <v/>
      </c>
      <c r="Q2308" s="53" t="str">
        <f t="shared" ref="Q2308:Q2371" si="514">IF($C2308="","",IF($C2308=0.5,$G2308,"-"))</f>
        <v/>
      </c>
      <c r="R2308" s="53" t="str">
        <f t="shared" ref="R2308:R2371" si="515">IF($C2308="","",IF($C2308=0.6,$G2308,"-"))</f>
        <v/>
      </c>
      <c r="S2308" s="53" t="str">
        <f t="shared" ref="S2308:S2371" si="516">IF($C2308="","",IF($C2308=0.8,$G2308,"-"))</f>
        <v/>
      </c>
      <c r="T2308" s="53" t="str">
        <f t="shared" ref="T2308:T2371" si="517">IF($C2308="","",IF($C2308=1,$G2308,"-"))</f>
        <v/>
      </c>
    </row>
    <row r="2309" spans="1:20">
      <c r="A2309" s="47" t="str">
        <f>IF(archive!E2309="","",archive!E2309)</f>
        <v/>
      </c>
      <c r="B2309" s="48" t="str">
        <f t="shared" si="504"/>
        <v/>
      </c>
      <c r="C2309" s="49" t="str">
        <f>IF(archive!F2309="","",archive!F2309)</f>
        <v/>
      </c>
      <c r="D2309" s="50" t="str">
        <f t="shared" si="505"/>
        <v/>
      </c>
      <c r="E2309" s="50" t="str">
        <f t="shared" si="506"/>
        <v/>
      </c>
      <c r="F2309" s="47" t="str">
        <f>IF(COUNTA(archive!H2309:CI2309)=0,"",COUNTA(archive!H2309:CI2309))</f>
        <v/>
      </c>
      <c r="G2309" s="47" t="str">
        <f>IF(archive!G2309="","",archive!G2309)</f>
        <v/>
      </c>
      <c r="H2309" s="51" t="str">
        <f>IF(archive!CJ2309="","",archive!CJ2309)</f>
        <v/>
      </c>
      <c r="I2309" s="51" t="str">
        <f>IF(archive!CK2309="","",archive!CK2309)</f>
        <v/>
      </c>
      <c r="J2309" s="47" t="str">
        <f t="shared" si="507"/>
        <v/>
      </c>
      <c r="K2309" s="51" t="str">
        <f t="shared" si="508"/>
        <v/>
      </c>
      <c r="L2309" s="52" t="str">
        <f t="shared" si="509"/>
        <v/>
      </c>
      <c r="M2309" s="53" t="str">
        <f t="shared" si="510"/>
        <v/>
      </c>
      <c r="N2309" s="53" t="str">
        <f t="shared" si="511"/>
        <v/>
      </c>
      <c r="O2309" s="53" t="str">
        <f t="shared" si="512"/>
        <v/>
      </c>
      <c r="P2309" s="53" t="str">
        <f t="shared" si="513"/>
        <v/>
      </c>
      <c r="Q2309" s="53" t="str">
        <f t="shared" si="514"/>
        <v/>
      </c>
      <c r="R2309" s="53" t="str">
        <f t="shared" si="515"/>
        <v/>
      </c>
      <c r="S2309" s="53" t="str">
        <f t="shared" si="516"/>
        <v/>
      </c>
      <c r="T2309" s="53" t="str">
        <f t="shared" si="517"/>
        <v/>
      </c>
    </row>
    <row r="2310" spans="1:20">
      <c r="A2310" s="47" t="str">
        <f>IF(archive!E2310="","",archive!E2310)</f>
        <v/>
      </c>
      <c r="B2310" s="48" t="str">
        <f t="shared" si="504"/>
        <v/>
      </c>
      <c r="C2310" s="49" t="str">
        <f>IF(archive!F2310="","",archive!F2310)</f>
        <v/>
      </c>
      <c r="D2310" s="50" t="str">
        <f t="shared" si="505"/>
        <v/>
      </c>
      <c r="E2310" s="50" t="str">
        <f t="shared" si="506"/>
        <v/>
      </c>
      <c r="F2310" s="47" t="str">
        <f>IF(COUNTA(archive!H2310:CI2310)=0,"",COUNTA(archive!H2310:CI2310))</f>
        <v/>
      </c>
      <c r="G2310" s="47" t="str">
        <f>IF(archive!G2310="","",archive!G2310)</f>
        <v/>
      </c>
      <c r="H2310" s="51" t="str">
        <f>IF(archive!CJ2310="","",archive!CJ2310)</f>
        <v/>
      </c>
      <c r="I2310" s="51" t="str">
        <f>IF(archive!CK2310="","",archive!CK2310)</f>
        <v/>
      </c>
      <c r="J2310" s="47" t="str">
        <f t="shared" si="507"/>
        <v/>
      </c>
      <c r="K2310" s="51" t="str">
        <f t="shared" si="508"/>
        <v/>
      </c>
      <c r="L2310" s="52" t="str">
        <f t="shared" si="509"/>
        <v/>
      </c>
      <c r="M2310" s="53" t="str">
        <f t="shared" si="510"/>
        <v/>
      </c>
      <c r="N2310" s="53" t="str">
        <f t="shared" si="511"/>
        <v/>
      </c>
      <c r="O2310" s="53" t="str">
        <f t="shared" si="512"/>
        <v/>
      </c>
      <c r="P2310" s="53" t="str">
        <f t="shared" si="513"/>
        <v/>
      </c>
      <c r="Q2310" s="53" t="str">
        <f t="shared" si="514"/>
        <v/>
      </c>
      <c r="R2310" s="53" t="str">
        <f t="shared" si="515"/>
        <v/>
      </c>
      <c r="S2310" s="53" t="str">
        <f t="shared" si="516"/>
        <v/>
      </c>
      <c r="T2310" s="53" t="str">
        <f t="shared" si="517"/>
        <v/>
      </c>
    </row>
    <row r="2311" spans="1:20">
      <c r="A2311" s="47" t="str">
        <f>IF(archive!E2311="","",archive!E2311)</f>
        <v/>
      </c>
      <c r="B2311" s="48" t="str">
        <f t="shared" si="504"/>
        <v/>
      </c>
      <c r="C2311" s="49" t="str">
        <f>IF(archive!F2311="","",archive!F2311)</f>
        <v/>
      </c>
      <c r="D2311" s="50" t="str">
        <f t="shared" si="505"/>
        <v/>
      </c>
      <c r="E2311" s="50" t="str">
        <f t="shared" si="506"/>
        <v/>
      </c>
      <c r="F2311" s="47" t="str">
        <f>IF(COUNTA(archive!H2311:CI2311)=0,"",COUNTA(archive!H2311:CI2311))</f>
        <v/>
      </c>
      <c r="G2311" s="47" t="str">
        <f>IF(archive!G2311="","",archive!G2311)</f>
        <v/>
      </c>
      <c r="H2311" s="51" t="str">
        <f>IF(archive!CJ2311="","",archive!CJ2311)</f>
        <v/>
      </c>
      <c r="I2311" s="51" t="str">
        <f>IF(archive!CK2311="","",archive!CK2311)</f>
        <v/>
      </c>
      <c r="J2311" s="47" t="str">
        <f t="shared" si="507"/>
        <v/>
      </c>
      <c r="K2311" s="51" t="str">
        <f t="shared" si="508"/>
        <v/>
      </c>
      <c r="L2311" s="52" t="str">
        <f t="shared" si="509"/>
        <v/>
      </c>
      <c r="M2311" s="53" t="str">
        <f t="shared" si="510"/>
        <v/>
      </c>
      <c r="N2311" s="53" t="str">
        <f t="shared" si="511"/>
        <v/>
      </c>
      <c r="O2311" s="53" t="str">
        <f t="shared" si="512"/>
        <v/>
      </c>
      <c r="P2311" s="53" t="str">
        <f t="shared" si="513"/>
        <v/>
      </c>
      <c r="Q2311" s="53" t="str">
        <f t="shared" si="514"/>
        <v/>
      </c>
      <c r="R2311" s="53" t="str">
        <f t="shared" si="515"/>
        <v/>
      </c>
      <c r="S2311" s="53" t="str">
        <f t="shared" si="516"/>
        <v/>
      </c>
      <c r="T2311" s="53" t="str">
        <f t="shared" si="517"/>
        <v/>
      </c>
    </row>
    <row r="2312" spans="1:20">
      <c r="A2312" s="47" t="str">
        <f>IF(archive!E2312="","",archive!E2312)</f>
        <v/>
      </c>
      <c r="B2312" s="48" t="str">
        <f t="shared" si="504"/>
        <v/>
      </c>
      <c r="C2312" s="49" t="str">
        <f>IF(archive!F2312="","",archive!F2312)</f>
        <v/>
      </c>
      <c r="D2312" s="50" t="str">
        <f t="shared" si="505"/>
        <v/>
      </c>
      <c r="E2312" s="50" t="str">
        <f t="shared" si="506"/>
        <v/>
      </c>
      <c r="F2312" s="47" t="str">
        <f>IF(COUNTA(archive!H2312:CI2312)=0,"",COUNTA(archive!H2312:CI2312))</f>
        <v/>
      </c>
      <c r="G2312" s="47" t="str">
        <f>IF(archive!G2312="","",archive!G2312)</f>
        <v/>
      </c>
      <c r="H2312" s="51" t="str">
        <f>IF(archive!CJ2312="","",archive!CJ2312)</f>
        <v/>
      </c>
      <c r="I2312" s="51" t="str">
        <f>IF(archive!CK2312="","",archive!CK2312)</f>
        <v/>
      </c>
      <c r="J2312" s="47" t="str">
        <f t="shared" si="507"/>
        <v/>
      </c>
      <c r="K2312" s="51" t="str">
        <f t="shared" si="508"/>
        <v/>
      </c>
      <c r="L2312" s="52" t="str">
        <f t="shared" si="509"/>
        <v/>
      </c>
      <c r="M2312" s="53" t="str">
        <f t="shared" si="510"/>
        <v/>
      </c>
      <c r="N2312" s="53" t="str">
        <f t="shared" si="511"/>
        <v/>
      </c>
      <c r="O2312" s="53" t="str">
        <f t="shared" si="512"/>
        <v/>
      </c>
      <c r="P2312" s="53" t="str">
        <f t="shared" si="513"/>
        <v/>
      </c>
      <c r="Q2312" s="53" t="str">
        <f t="shared" si="514"/>
        <v/>
      </c>
      <c r="R2312" s="53" t="str">
        <f t="shared" si="515"/>
        <v/>
      </c>
      <c r="S2312" s="53" t="str">
        <f t="shared" si="516"/>
        <v/>
      </c>
      <c r="T2312" s="53" t="str">
        <f t="shared" si="517"/>
        <v/>
      </c>
    </row>
    <row r="2313" spans="1:20">
      <c r="A2313" s="47" t="str">
        <f>IF(archive!E2313="","",archive!E2313)</f>
        <v/>
      </c>
      <c r="B2313" s="48" t="str">
        <f t="shared" si="504"/>
        <v/>
      </c>
      <c r="C2313" s="49" t="str">
        <f>IF(archive!F2313="","",archive!F2313)</f>
        <v/>
      </c>
      <c r="D2313" s="50" t="str">
        <f t="shared" si="505"/>
        <v/>
      </c>
      <c r="E2313" s="50" t="str">
        <f t="shared" si="506"/>
        <v/>
      </c>
      <c r="F2313" s="47" t="str">
        <f>IF(COUNTA(archive!H2313:CI2313)=0,"",COUNTA(archive!H2313:CI2313))</f>
        <v/>
      </c>
      <c r="G2313" s="47" t="str">
        <f>IF(archive!G2313="","",archive!G2313)</f>
        <v/>
      </c>
      <c r="H2313" s="51" t="str">
        <f>IF(archive!CJ2313="","",archive!CJ2313)</f>
        <v/>
      </c>
      <c r="I2313" s="51" t="str">
        <f>IF(archive!CK2313="","",archive!CK2313)</f>
        <v/>
      </c>
      <c r="J2313" s="47" t="str">
        <f t="shared" si="507"/>
        <v/>
      </c>
      <c r="K2313" s="51" t="str">
        <f t="shared" si="508"/>
        <v/>
      </c>
      <c r="L2313" s="52" t="str">
        <f t="shared" si="509"/>
        <v/>
      </c>
      <c r="M2313" s="53" t="str">
        <f t="shared" si="510"/>
        <v/>
      </c>
      <c r="N2313" s="53" t="str">
        <f t="shared" si="511"/>
        <v/>
      </c>
      <c r="O2313" s="53" t="str">
        <f t="shared" si="512"/>
        <v/>
      </c>
      <c r="P2313" s="53" t="str">
        <f t="shared" si="513"/>
        <v/>
      </c>
      <c r="Q2313" s="53" t="str">
        <f t="shared" si="514"/>
        <v/>
      </c>
      <c r="R2313" s="53" t="str">
        <f t="shared" si="515"/>
        <v/>
      </c>
      <c r="S2313" s="53" t="str">
        <f t="shared" si="516"/>
        <v/>
      </c>
      <c r="T2313" s="53" t="str">
        <f t="shared" si="517"/>
        <v/>
      </c>
    </row>
    <row r="2314" spans="1:20">
      <c r="A2314" s="47" t="str">
        <f>IF(archive!E2314="","",archive!E2314)</f>
        <v/>
      </c>
      <c r="B2314" s="48" t="str">
        <f t="shared" si="504"/>
        <v/>
      </c>
      <c r="C2314" s="49" t="str">
        <f>IF(archive!F2314="","",archive!F2314)</f>
        <v/>
      </c>
      <c r="D2314" s="50" t="str">
        <f t="shared" si="505"/>
        <v/>
      </c>
      <c r="E2314" s="50" t="str">
        <f t="shared" si="506"/>
        <v/>
      </c>
      <c r="F2314" s="47" t="str">
        <f>IF(COUNTA(archive!H2314:CI2314)=0,"",COUNTA(archive!H2314:CI2314))</f>
        <v/>
      </c>
      <c r="G2314" s="47" t="str">
        <f>IF(archive!G2314="","",archive!G2314)</f>
        <v/>
      </c>
      <c r="H2314" s="51" t="str">
        <f>IF(archive!CJ2314="","",archive!CJ2314)</f>
        <v/>
      </c>
      <c r="I2314" s="51" t="str">
        <f>IF(archive!CK2314="","",archive!CK2314)</f>
        <v/>
      </c>
      <c r="J2314" s="47" t="str">
        <f t="shared" si="507"/>
        <v/>
      </c>
      <c r="K2314" s="51" t="str">
        <f t="shared" si="508"/>
        <v/>
      </c>
      <c r="L2314" s="52" t="str">
        <f t="shared" si="509"/>
        <v/>
      </c>
      <c r="M2314" s="53" t="str">
        <f t="shared" si="510"/>
        <v/>
      </c>
      <c r="N2314" s="53" t="str">
        <f t="shared" si="511"/>
        <v/>
      </c>
      <c r="O2314" s="53" t="str">
        <f t="shared" si="512"/>
        <v/>
      </c>
      <c r="P2314" s="53" t="str">
        <f t="shared" si="513"/>
        <v/>
      </c>
      <c r="Q2314" s="53" t="str">
        <f t="shared" si="514"/>
        <v/>
      </c>
      <c r="R2314" s="53" t="str">
        <f t="shared" si="515"/>
        <v/>
      </c>
      <c r="S2314" s="53" t="str">
        <f t="shared" si="516"/>
        <v/>
      </c>
      <c r="T2314" s="53" t="str">
        <f t="shared" si="517"/>
        <v/>
      </c>
    </row>
    <row r="2315" spans="1:20">
      <c r="A2315" s="47" t="str">
        <f>IF(archive!E2315="","",archive!E2315)</f>
        <v/>
      </c>
      <c r="B2315" s="48" t="str">
        <f t="shared" si="504"/>
        <v/>
      </c>
      <c r="C2315" s="49" t="str">
        <f>IF(archive!F2315="","",archive!F2315)</f>
        <v/>
      </c>
      <c r="D2315" s="50" t="str">
        <f t="shared" si="505"/>
        <v/>
      </c>
      <c r="E2315" s="50" t="str">
        <f t="shared" si="506"/>
        <v/>
      </c>
      <c r="F2315" s="47" t="str">
        <f>IF(COUNTA(archive!H2315:CI2315)=0,"",COUNTA(archive!H2315:CI2315))</f>
        <v/>
      </c>
      <c r="G2315" s="47" t="str">
        <f>IF(archive!G2315="","",archive!G2315)</f>
        <v/>
      </c>
      <c r="H2315" s="51" t="str">
        <f>IF(archive!CJ2315="","",archive!CJ2315)</f>
        <v/>
      </c>
      <c r="I2315" s="51" t="str">
        <f>IF(archive!CK2315="","",archive!CK2315)</f>
        <v/>
      </c>
      <c r="J2315" s="47" t="str">
        <f t="shared" si="507"/>
        <v/>
      </c>
      <c r="K2315" s="51" t="str">
        <f t="shared" si="508"/>
        <v/>
      </c>
      <c r="L2315" s="52" t="str">
        <f t="shared" si="509"/>
        <v/>
      </c>
      <c r="M2315" s="53" t="str">
        <f t="shared" si="510"/>
        <v/>
      </c>
      <c r="N2315" s="53" t="str">
        <f t="shared" si="511"/>
        <v/>
      </c>
      <c r="O2315" s="53" t="str">
        <f t="shared" si="512"/>
        <v/>
      </c>
      <c r="P2315" s="53" t="str">
        <f t="shared" si="513"/>
        <v/>
      </c>
      <c r="Q2315" s="53" t="str">
        <f t="shared" si="514"/>
        <v/>
      </c>
      <c r="R2315" s="53" t="str">
        <f t="shared" si="515"/>
        <v/>
      </c>
      <c r="S2315" s="53" t="str">
        <f t="shared" si="516"/>
        <v/>
      </c>
      <c r="T2315" s="53" t="str">
        <f t="shared" si="517"/>
        <v/>
      </c>
    </row>
    <row r="2316" spans="1:20">
      <c r="A2316" s="47" t="str">
        <f>IF(archive!E2316="","",archive!E2316)</f>
        <v/>
      </c>
      <c r="B2316" s="48" t="str">
        <f t="shared" si="504"/>
        <v/>
      </c>
      <c r="C2316" s="49" t="str">
        <f>IF(archive!F2316="","",archive!F2316)</f>
        <v/>
      </c>
      <c r="D2316" s="50" t="str">
        <f t="shared" si="505"/>
        <v/>
      </c>
      <c r="E2316" s="50" t="str">
        <f t="shared" si="506"/>
        <v/>
      </c>
      <c r="F2316" s="47" t="str">
        <f>IF(COUNTA(archive!H2316:CI2316)=0,"",COUNTA(archive!H2316:CI2316))</f>
        <v/>
      </c>
      <c r="G2316" s="47" t="str">
        <f>IF(archive!G2316="","",archive!G2316)</f>
        <v/>
      </c>
      <c r="H2316" s="51" t="str">
        <f>IF(archive!CJ2316="","",archive!CJ2316)</f>
        <v/>
      </c>
      <c r="I2316" s="51" t="str">
        <f>IF(archive!CK2316="","",archive!CK2316)</f>
        <v/>
      </c>
      <c r="J2316" s="47" t="str">
        <f t="shared" si="507"/>
        <v/>
      </c>
      <c r="K2316" s="51" t="str">
        <f t="shared" si="508"/>
        <v/>
      </c>
      <c r="L2316" s="52" t="str">
        <f t="shared" si="509"/>
        <v/>
      </c>
      <c r="M2316" s="53" t="str">
        <f t="shared" si="510"/>
        <v/>
      </c>
      <c r="N2316" s="53" t="str">
        <f t="shared" si="511"/>
        <v/>
      </c>
      <c r="O2316" s="53" t="str">
        <f t="shared" si="512"/>
        <v/>
      </c>
      <c r="P2316" s="53" t="str">
        <f t="shared" si="513"/>
        <v/>
      </c>
      <c r="Q2316" s="53" t="str">
        <f t="shared" si="514"/>
        <v/>
      </c>
      <c r="R2316" s="53" t="str">
        <f t="shared" si="515"/>
        <v/>
      </c>
      <c r="S2316" s="53" t="str">
        <f t="shared" si="516"/>
        <v/>
      </c>
      <c r="T2316" s="53" t="str">
        <f t="shared" si="517"/>
        <v/>
      </c>
    </row>
    <row r="2317" spans="1:20">
      <c r="A2317" s="47" t="str">
        <f>IF(archive!E2317="","",archive!E2317)</f>
        <v/>
      </c>
      <c r="B2317" s="48" t="str">
        <f t="shared" si="504"/>
        <v/>
      </c>
      <c r="C2317" s="49" t="str">
        <f>IF(archive!F2317="","",archive!F2317)</f>
        <v/>
      </c>
      <c r="D2317" s="50" t="str">
        <f t="shared" si="505"/>
        <v/>
      </c>
      <c r="E2317" s="50" t="str">
        <f t="shared" si="506"/>
        <v/>
      </c>
      <c r="F2317" s="47" t="str">
        <f>IF(COUNTA(archive!H2317:CI2317)=0,"",COUNTA(archive!H2317:CI2317))</f>
        <v/>
      </c>
      <c r="G2317" s="47" t="str">
        <f>IF(archive!G2317="","",archive!G2317)</f>
        <v/>
      </c>
      <c r="H2317" s="51" t="str">
        <f>IF(archive!CJ2317="","",archive!CJ2317)</f>
        <v/>
      </c>
      <c r="I2317" s="51" t="str">
        <f>IF(archive!CK2317="","",archive!CK2317)</f>
        <v/>
      </c>
      <c r="J2317" s="47" t="str">
        <f t="shared" si="507"/>
        <v/>
      </c>
      <c r="K2317" s="51" t="str">
        <f t="shared" si="508"/>
        <v/>
      </c>
      <c r="L2317" s="52" t="str">
        <f t="shared" si="509"/>
        <v/>
      </c>
      <c r="M2317" s="53" t="str">
        <f t="shared" si="510"/>
        <v/>
      </c>
      <c r="N2317" s="53" t="str">
        <f t="shared" si="511"/>
        <v/>
      </c>
      <c r="O2317" s="53" t="str">
        <f t="shared" si="512"/>
        <v/>
      </c>
      <c r="P2317" s="53" t="str">
        <f t="shared" si="513"/>
        <v/>
      </c>
      <c r="Q2317" s="53" t="str">
        <f t="shared" si="514"/>
        <v/>
      </c>
      <c r="R2317" s="53" t="str">
        <f t="shared" si="515"/>
        <v/>
      </c>
      <c r="S2317" s="53" t="str">
        <f t="shared" si="516"/>
        <v/>
      </c>
      <c r="T2317" s="53" t="str">
        <f t="shared" si="517"/>
        <v/>
      </c>
    </row>
    <row r="2318" spans="1:20">
      <c r="A2318" s="47" t="str">
        <f>IF(archive!E2318="","",archive!E2318)</f>
        <v/>
      </c>
      <c r="B2318" s="48" t="str">
        <f t="shared" si="504"/>
        <v/>
      </c>
      <c r="C2318" s="49" t="str">
        <f>IF(archive!F2318="","",archive!F2318)</f>
        <v/>
      </c>
      <c r="D2318" s="50" t="str">
        <f t="shared" si="505"/>
        <v/>
      </c>
      <c r="E2318" s="50" t="str">
        <f t="shared" si="506"/>
        <v/>
      </c>
      <c r="F2318" s="47" t="str">
        <f>IF(COUNTA(archive!H2318:CI2318)=0,"",COUNTA(archive!H2318:CI2318))</f>
        <v/>
      </c>
      <c r="G2318" s="47" t="str">
        <f>IF(archive!G2318="","",archive!G2318)</f>
        <v/>
      </c>
      <c r="H2318" s="51" t="str">
        <f>IF(archive!CJ2318="","",archive!CJ2318)</f>
        <v/>
      </c>
      <c r="I2318" s="51" t="str">
        <f>IF(archive!CK2318="","",archive!CK2318)</f>
        <v/>
      </c>
      <c r="J2318" s="47" t="str">
        <f t="shared" si="507"/>
        <v/>
      </c>
      <c r="K2318" s="51" t="str">
        <f t="shared" si="508"/>
        <v/>
      </c>
      <c r="L2318" s="52" t="str">
        <f t="shared" si="509"/>
        <v/>
      </c>
      <c r="M2318" s="53" t="str">
        <f t="shared" si="510"/>
        <v/>
      </c>
      <c r="N2318" s="53" t="str">
        <f t="shared" si="511"/>
        <v/>
      </c>
      <c r="O2318" s="53" t="str">
        <f t="shared" si="512"/>
        <v/>
      </c>
      <c r="P2318" s="53" t="str">
        <f t="shared" si="513"/>
        <v/>
      </c>
      <c r="Q2318" s="53" t="str">
        <f t="shared" si="514"/>
        <v/>
      </c>
      <c r="R2318" s="53" t="str">
        <f t="shared" si="515"/>
        <v/>
      </c>
      <c r="S2318" s="53" t="str">
        <f t="shared" si="516"/>
        <v/>
      </c>
      <c r="T2318" s="53" t="str">
        <f t="shared" si="517"/>
        <v/>
      </c>
    </row>
    <row r="2319" spans="1:20">
      <c r="A2319" s="47" t="str">
        <f>IF(archive!E2319="","",archive!E2319)</f>
        <v/>
      </c>
      <c r="B2319" s="48" t="str">
        <f t="shared" si="504"/>
        <v/>
      </c>
      <c r="C2319" s="49" t="str">
        <f>IF(archive!F2319="","",archive!F2319)</f>
        <v/>
      </c>
      <c r="D2319" s="50" t="str">
        <f t="shared" si="505"/>
        <v/>
      </c>
      <c r="E2319" s="50" t="str">
        <f t="shared" si="506"/>
        <v/>
      </c>
      <c r="F2319" s="47" t="str">
        <f>IF(COUNTA(archive!H2319:CI2319)=0,"",COUNTA(archive!H2319:CI2319))</f>
        <v/>
      </c>
      <c r="G2319" s="47" t="str">
        <f>IF(archive!G2319="","",archive!G2319)</f>
        <v/>
      </c>
      <c r="H2319" s="51" t="str">
        <f>IF(archive!CJ2319="","",archive!CJ2319)</f>
        <v/>
      </c>
      <c r="I2319" s="51" t="str">
        <f>IF(archive!CK2319="","",archive!CK2319)</f>
        <v/>
      </c>
      <c r="J2319" s="47" t="str">
        <f t="shared" si="507"/>
        <v/>
      </c>
      <c r="K2319" s="51" t="str">
        <f t="shared" si="508"/>
        <v/>
      </c>
      <c r="L2319" s="52" t="str">
        <f t="shared" si="509"/>
        <v/>
      </c>
      <c r="M2319" s="53" t="str">
        <f t="shared" si="510"/>
        <v/>
      </c>
      <c r="N2319" s="53" t="str">
        <f t="shared" si="511"/>
        <v/>
      </c>
      <c r="O2319" s="53" t="str">
        <f t="shared" si="512"/>
        <v/>
      </c>
      <c r="P2319" s="53" t="str">
        <f t="shared" si="513"/>
        <v/>
      </c>
      <c r="Q2319" s="53" t="str">
        <f t="shared" si="514"/>
        <v/>
      </c>
      <c r="R2319" s="53" t="str">
        <f t="shared" si="515"/>
        <v/>
      </c>
      <c r="S2319" s="53" t="str">
        <f t="shared" si="516"/>
        <v/>
      </c>
      <c r="T2319" s="53" t="str">
        <f t="shared" si="517"/>
        <v/>
      </c>
    </row>
    <row r="2320" spans="1:20">
      <c r="A2320" s="47" t="str">
        <f>IF(archive!E2320="","",archive!E2320)</f>
        <v/>
      </c>
      <c r="B2320" s="48" t="str">
        <f t="shared" si="504"/>
        <v/>
      </c>
      <c r="C2320" s="49" t="str">
        <f>IF(archive!F2320="","",archive!F2320)</f>
        <v/>
      </c>
      <c r="D2320" s="50" t="str">
        <f t="shared" si="505"/>
        <v/>
      </c>
      <c r="E2320" s="50" t="str">
        <f t="shared" si="506"/>
        <v/>
      </c>
      <c r="F2320" s="47" t="str">
        <f>IF(COUNTA(archive!H2320:CI2320)=0,"",COUNTA(archive!H2320:CI2320))</f>
        <v/>
      </c>
      <c r="G2320" s="47" t="str">
        <f>IF(archive!G2320="","",archive!G2320)</f>
        <v/>
      </c>
      <c r="H2320" s="51" t="str">
        <f>IF(archive!CJ2320="","",archive!CJ2320)</f>
        <v/>
      </c>
      <c r="I2320" s="51" t="str">
        <f>IF(archive!CK2320="","",archive!CK2320)</f>
        <v/>
      </c>
      <c r="J2320" s="47" t="str">
        <f t="shared" si="507"/>
        <v/>
      </c>
      <c r="K2320" s="51" t="str">
        <f t="shared" si="508"/>
        <v/>
      </c>
      <c r="L2320" s="52" t="str">
        <f t="shared" si="509"/>
        <v/>
      </c>
      <c r="M2320" s="53" t="str">
        <f t="shared" si="510"/>
        <v/>
      </c>
      <c r="N2320" s="53" t="str">
        <f t="shared" si="511"/>
        <v/>
      </c>
      <c r="O2320" s="53" t="str">
        <f t="shared" si="512"/>
        <v/>
      </c>
      <c r="P2320" s="53" t="str">
        <f t="shared" si="513"/>
        <v/>
      </c>
      <c r="Q2320" s="53" t="str">
        <f t="shared" si="514"/>
        <v/>
      </c>
      <c r="R2320" s="53" t="str">
        <f t="shared" si="515"/>
        <v/>
      </c>
      <c r="S2320" s="53" t="str">
        <f t="shared" si="516"/>
        <v/>
      </c>
      <c r="T2320" s="53" t="str">
        <f t="shared" si="517"/>
        <v/>
      </c>
    </row>
    <row r="2321" spans="1:20">
      <c r="A2321" s="47" t="str">
        <f>IF(archive!E2321="","",archive!E2321)</f>
        <v/>
      </c>
      <c r="B2321" s="48" t="str">
        <f t="shared" si="504"/>
        <v/>
      </c>
      <c r="C2321" s="49" t="str">
        <f>IF(archive!F2321="","",archive!F2321)</f>
        <v/>
      </c>
      <c r="D2321" s="50" t="str">
        <f t="shared" si="505"/>
        <v/>
      </c>
      <c r="E2321" s="50" t="str">
        <f t="shared" si="506"/>
        <v/>
      </c>
      <c r="F2321" s="47" t="str">
        <f>IF(COUNTA(archive!H2321:CI2321)=0,"",COUNTA(archive!H2321:CI2321))</f>
        <v/>
      </c>
      <c r="G2321" s="47" t="str">
        <f>IF(archive!G2321="","",archive!G2321)</f>
        <v/>
      </c>
      <c r="H2321" s="51" t="str">
        <f>IF(archive!CJ2321="","",archive!CJ2321)</f>
        <v/>
      </c>
      <c r="I2321" s="51" t="str">
        <f>IF(archive!CK2321="","",archive!CK2321)</f>
        <v/>
      </c>
      <c r="J2321" s="47" t="str">
        <f t="shared" si="507"/>
        <v/>
      </c>
      <c r="K2321" s="51" t="str">
        <f t="shared" si="508"/>
        <v/>
      </c>
      <c r="L2321" s="52" t="str">
        <f t="shared" si="509"/>
        <v/>
      </c>
      <c r="M2321" s="53" t="str">
        <f t="shared" si="510"/>
        <v/>
      </c>
      <c r="N2321" s="53" t="str">
        <f t="shared" si="511"/>
        <v/>
      </c>
      <c r="O2321" s="53" t="str">
        <f t="shared" si="512"/>
        <v/>
      </c>
      <c r="P2321" s="53" t="str">
        <f t="shared" si="513"/>
        <v/>
      </c>
      <c r="Q2321" s="53" t="str">
        <f t="shared" si="514"/>
        <v/>
      </c>
      <c r="R2321" s="53" t="str">
        <f t="shared" si="515"/>
        <v/>
      </c>
      <c r="S2321" s="53" t="str">
        <f t="shared" si="516"/>
        <v/>
      </c>
      <c r="T2321" s="53" t="str">
        <f t="shared" si="517"/>
        <v/>
      </c>
    </row>
    <row r="2322" spans="1:20">
      <c r="A2322" s="47" t="str">
        <f>IF(archive!E2322="","",archive!E2322)</f>
        <v/>
      </c>
      <c r="B2322" s="48" t="str">
        <f t="shared" si="504"/>
        <v/>
      </c>
      <c r="C2322" s="49" t="str">
        <f>IF(archive!F2322="","",archive!F2322)</f>
        <v/>
      </c>
      <c r="D2322" s="50" t="str">
        <f t="shared" si="505"/>
        <v/>
      </c>
      <c r="E2322" s="50" t="str">
        <f t="shared" si="506"/>
        <v/>
      </c>
      <c r="F2322" s="47" t="str">
        <f>IF(COUNTA(archive!H2322:CI2322)=0,"",COUNTA(archive!H2322:CI2322))</f>
        <v/>
      </c>
      <c r="G2322" s="47" t="str">
        <f>IF(archive!G2322="","",archive!G2322)</f>
        <v/>
      </c>
      <c r="H2322" s="51" t="str">
        <f>IF(archive!CJ2322="","",archive!CJ2322)</f>
        <v/>
      </c>
      <c r="I2322" s="51" t="str">
        <f>IF(archive!CK2322="","",archive!CK2322)</f>
        <v/>
      </c>
      <c r="J2322" s="47" t="str">
        <f t="shared" si="507"/>
        <v/>
      </c>
      <c r="K2322" s="51" t="str">
        <f t="shared" si="508"/>
        <v/>
      </c>
      <c r="L2322" s="52" t="str">
        <f t="shared" si="509"/>
        <v/>
      </c>
      <c r="M2322" s="53" t="str">
        <f t="shared" si="510"/>
        <v/>
      </c>
      <c r="N2322" s="53" t="str">
        <f t="shared" si="511"/>
        <v/>
      </c>
      <c r="O2322" s="53" t="str">
        <f t="shared" si="512"/>
        <v/>
      </c>
      <c r="P2322" s="53" t="str">
        <f t="shared" si="513"/>
        <v/>
      </c>
      <c r="Q2322" s="53" t="str">
        <f t="shared" si="514"/>
        <v/>
      </c>
      <c r="R2322" s="53" t="str">
        <f t="shared" si="515"/>
        <v/>
      </c>
      <c r="S2322" s="53" t="str">
        <f t="shared" si="516"/>
        <v/>
      </c>
      <c r="T2322" s="53" t="str">
        <f t="shared" si="517"/>
        <v/>
      </c>
    </row>
    <row r="2323" spans="1:20">
      <c r="A2323" s="47" t="str">
        <f>IF(archive!E2323="","",archive!E2323)</f>
        <v/>
      </c>
      <c r="B2323" s="48" t="str">
        <f t="shared" si="504"/>
        <v/>
      </c>
      <c r="C2323" s="49" t="str">
        <f>IF(archive!F2323="","",archive!F2323)</f>
        <v/>
      </c>
      <c r="D2323" s="50" t="str">
        <f t="shared" si="505"/>
        <v/>
      </c>
      <c r="E2323" s="50" t="str">
        <f t="shared" si="506"/>
        <v/>
      </c>
      <c r="F2323" s="47" t="str">
        <f>IF(COUNTA(archive!H2323:CI2323)=0,"",COUNTA(archive!H2323:CI2323))</f>
        <v/>
      </c>
      <c r="G2323" s="47" t="str">
        <f>IF(archive!G2323="","",archive!G2323)</f>
        <v/>
      </c>
      <c r="H2323" s="51" t="str">
        <f>IF(archive!CJ2323="","",archive!CJ2323)</f>
        <v/>
      </c>
      <c r="I2323" s="51" t="str">
        <f>IF(archive!CK2323="","",archive!CK2323)</f>
        <v/>
      </c>
      <c r="J2323" s="47" t="str">
        <f t="shared" si="507"/>
        <v/>
      </c>
      <c r="K2323" s="51" t="str">
        <f t="shared" si="508"/>
        <v/>
      </c>
      <c r="L2323" s="52" t="str">
        <f t="shared" si="509"/>
        <v/>
      </c>
      <c r="M2323" s="53" t="str">
        <f t="shared" si="510"/>
        <v/>
      </c>
      <c r="N2323" s="53" t="str">
        <f t="shared" si="511"/>
        <v/>
      </c>
      <c r="O2323" s="53" t="str">
        <f t="shared" si="512"/>
        <v/>
      </c>
      <c r="P2323" s="53" t="str">
        <f t="shared" si="513"/>
        <v/>
      </c>
      <c r="Q2323" s="53" t="str">
        <f t="shared" si="514"/>
        <v/>
      </c>
      <c r="R2323" s="53" t="str">
        <f t="shared" si="515"/>
        <v/>
      </c>
      <c r="S2323" s="53" t="str">
        <f t="shared" si="516"/>
        <v/>
      </c>
      <c r="T2323" s="53" t="str">
        <f t="shared" si="517"/>
        <v/>
      </c>
    </row>
    <row r="2324" spans="1:20">
      <c r="A2324" s="47" t="str">
        <f>IF(archive!E2324="","",archive!E2324)</f>
        <v/>
      </c>
      <c r="B2324" s="48" t="str">
        <f t="shared" si="504"/>
        <v/>
      </c>
      <c r="C2324" s="49" t="str">
        <f>IF(archive!F2324="","",archive!F2324)</f>
        <v/>
      </c>
      <c r="D2324" s="50" t="str">
        <f t="shared" si="505"/>
        <v/>
      </c>
      <c r="E2324" s="50" t="str">
        <f t="shared" si="506"/>
        <v/>
      </c>
      <c r="F2324" s="47" t="str">
        <f>IF(COUNTA(archive!H2324:CI2324)=0,"",COUNTA(archive!H2324:CI2324))</f>
        <v/>
      </c>
      <c r="G2324" s="47" t="str">
        <f>IF(archive!G2324="","",archive!G2324)</f>
        <v/>
      </c>
      <c r="H2324" s="51" t="str">
        <f>IF(archive!CJ2324="","",archive!CJ2324)</f>
        <v/>
      </c>
      <c r="I2324" s="51" t="str">
        <f>IF(archive!CK2324="","",archive!CK2324)</f>
        <v/>
      </c>
      <c r="J2324" s="47" t="str">
        <f t="shared" si="507"/>
        <v/>
      </c>
      <c r="K2324" s="51" t="str">
        <f t="shared" si="508"/>
        <v/>
      </c>
      <c r="L2324" s="52" t="str">
        <f t="shared" si="509"/>
        <v/>
      </c>
      <c r="M2324" s="53" t="str">
        <f t="shared" si="510"/>
        <v/>
      </c>
      <c r="N2324" s="53" t="str">
        <f t="shared" si="511"/>
        <v/>
      </c>
      <c r="O2324" s="53" t="str">
        <f t="shared" si="512"/>
        <v/>
      </c>
      <c r="P2324" s="53" t="str">
        <f t="shared" si="513"/>
        <v/>
      </c>
      <c r="Q2324" s="53" t="str">
        <f t="shared" si="514"/>
        <v/>
      </c>
      <c r="R2324" s="53" t="str">
        <f t="shared" si="515"/>
        <v/>
      </c>
      <c r="S2324" s="53" t="str">
        <f t="shared" si="516"/>
        <v/>
      </c>
      <c r="T2324" s="53" t="str">
        <f t="shared" si="517"/>
        <v/>
      </c>
    </row>
    <row r="2325" spans="1:20">
      <c r="A2325" s="47" t="str">
        <f>IF(archive!E2325="","",archive!E2325)</f>
        <v/>
      </c>
      <c r="B2325" s="48" t="str">
        <f t="shared" si="504"/>
        <v/>
      </c>
      <c r="C2325" s="49" t="str">
        <f>IF(archive!F2325="","",archive!F2325)</f>
        <v/>
      </c>
      <c r="D2325" s="50" t="str">
        <f t="shared" si="505"/>
        <v/>
      </c>
      <c r="E2325" s="50" t="str">
        <f t="shared" si="506"/>
        <v/>
      </c>
      <c r="F2325" s="47" t="str">
        <f>IF(COUNTA(archive!H2325:CI2325)=0,"",COUNTA(archive!H2325:CI2325))</f>
        <v/>
      </c>
      <c r="G2325" s="47" t="str">
        <f>IF(archive!G2325="","",archive!G2325)</f>
        <v/>
      </c>
      <c r="H2325" s="51" t="str">
        <f>IF(archive!CJ2325="","",archive!CJ2325)</f>
        <v/>
      </c>
      <c r="I2325" s="51" t="str">
        <f>IF(archive!CK2325="","",archive!CK2325)</f>
        <v/>
      </c>
      <c r="J2325" s="47" t="str">
        <f t="shared" si="507"/>
        <v/>
      </c>
      <c r="K2325" s="51" t="str">
        <f t="shared" si="508"/>
        <v/>
      </c>
      <c r="L2325" s="52" t="str">
        <f t="shared" si="509"/>
        <v/>
      </c>
      <c r="M2325" s="53" t="str">
        <f t="shared" si="510"/>
        <v/>
      </c>
      <c r="N2325" s="53" t="str">
        <f t="shared" si="511"/>
        <v/>
      </c>
      <c r="O2325" s="53" t="str">
        <f t="shared" si="512"/>
        <v/>
      </c>
      <c r="P2325" s="53" t="str">
        <f t="shared" si="513"/>
        <v/>
      </c>
      <c r="Q2325" s="53" t="str">
        <f t="shared" si="514"/>
        <v/>
      </c>
      <c r="R2325" s="53" t="str">
        <f t="shared" si="515"/>
        <v/>
      </c>
      <c r="S2325" s="53" t="str">
        <f t="shared" si="516"/>
        <v/>
      </c>
      <c r="T2325" s="53" t="str">
        <f t="shared" si="517"/>
        <v/>
      </c>
    </row>
    <row r="2326" spans="1:20">
      <c r="A2326" s="47" t="str">
        <f>IF(archive!E2326="","",archive!E2326)</f>
        <v/>
      </c>
      <c r="B2326" s="48" t="str">
        <f t="shared" si="504"/>
        <v/>
      </c>
      <c r="C2326" s="49" t="str">
        <f>IF(archive!F2326="","",archive!F2326)</f>
        <v/>
      </c>
      <c r="D2326" s="50" t="str">
        <f t="shared" si="505"/>
        <v/>
      </c>
      <c r="E2326" s="50" t="str">
        <f t="shared" si="506"/>
        <v/>
      </c>
      <c r="F2326" s="47" t="str">
        <f>IF(COUNTA(archive!H2326:CI2326)=0,"",COUNTA(archive!H2326:CI2326))</f>
        <v/>
      </c>
      <c r="G2326" s="47" t="str">
        <f>IF(archive!G2326="","",archive!G2326)</f>
        <v/>
      </c>
      <c r="H2326" s="51" t="str">
        <f>IF(archive!CJ2326="","",archive!CJ2326)</f>
        <v/>
      </c>
      <c r="I2326" s="51" t="str">
        <f>IF(archive!CK2326="","",archive!CK2326)</f>
        <v/>
      </c>
      <c r="J2326" s="47" t="str">
        <f t="shared" si="507"/>
        <v/>
      </c>
      <c r="K2326" s="51" t="str">
        <f t="shared" si="508"/>
        <v/>
      </c>
      <c r="L2326" s="52" t="str">
        <f t="shared" si="509"/>
        <v/>
      </c>
      <c r="M2326" s="53" t="str">
        <f t="shared" si="510"/>
        <v/>
      </c>
      <c r="N2326" s="53" t="str">
        <f t="shared" si="511"/>
        <v/>
      </c>
      <c r="O2326" s="53" t="str">
        <f t="shared" si="512"/>
        <v/>
      </c>
      <c r="P2326" s="53" t="str">
        <f t="shared" si="513"/>
        <v/>
      </c>
      <c r="Q2326" s="53" t="str">
        <f t="shared" si="514"/>
        <v/>
      </c>
      <c r="R2326" s="53" t="str">
        <f t="shared" si="515"/>
        <v/>
      </c>
      <c r="S2326" s="53" t="str">
        <f t="shared" si="516"/>
        <v/>
      </c>
      <c r="T2326" s="53" t="str">
        <f t="shared" si="517"/>
        <v/>
      </c>
    </row>
    <row r="2327" spans="1:20">
      <c r="A2327" s="47" t="str">
        <f>IF(archive!E2327="","",archive!E2327)</f>
        <v/>
      </c>
      <c r="B2327" s="48" t="str">
        <f t="shared" si="504"/>
        <v/>
      </c>
      <c r="C2327" s="49" t="str">
        <f>IF(archive!F2327="","",archive!F2327)</f>
        <v/>
      </c>
      <c r="D2327" s="50" t="str">
        <f t="shared" si="505"/>
        <v/>
      </c>
      <c r="E2327" s="50" t="str">
        <f t="shared" si="506"/>
        <v/>
      </c>
      <c r="F2327" s="47" t="str">
        <f>IF(COUNTA(archive!H2327:CI2327)=0,"",COUNTA(archive!H2327:CI2327))</f>
        <v/>
      </c>
      <c r="G2327" s="47" t="str">
        <f>IF(archive!G2327="","",archive!G2327)</f>
        <v/>
      </c>
      <c r="H2327" s="51" t="str">
        <f>IF(archive!CJ2327="","",archive!CJ2327)</f>
        <v/>
      </c>
      <c r="I2327" s="51" t="str">
        <f>IF(archive!CK2327="","",archive!CK2327)</f>
        <v/>
      </c>
      <c r="J2327" s="47" t="str">
        <f t="shared" si="507"/>
        <v/>
      </c>
      <c r="K2327" s="51" t="str">
        <f t="shared" si="508"/>
        <v/>
      </c>
      <c r="L2327" s="52" t="str">
        <f t="shared" si="509"/>
        <v/>
      </c>
      <c r="M2327" s="53" t="str">
        <f t="shared" si="510"/>
        <v/>
      </c>
      <c r="N2327" s="53" t="str">
        <f t="shared" si="511"/>
        <v/>
      </c>
      <c r="O2327" s="53" t="str">
        <f t="shared" si="512"/>
        <v/>
      </c>
      <c r="P2327" s="53" t="str">
        <f t="shared" si="513"/>
        <v/>
      </c>
      <c r="Q2327" s="53" t="str">
        <f t="shared" si="514"/>
        <v/>
      </c>
      <c r="R2327" s="53" t="str">
        <f t="shared" si="515"/>
        <v/>
      </c>
      <c r="S2327" s="53" t="str">
        <f t="shared" si="516"/>
        <v/>
      </c>
      <c r="T2327" s="53" t="str">
        <f t="shared" si="517"/>
        <v/>
      </c>
    </row>
    <row r="2328" spans="1:20">
      <c r="A2328" s="47" t="str">
        <f>IF(archive!E2328="","",archive!E2328)</f>
        <v/>
      </c>
      <c r="B2328" s="48" t="str">
        <f t="shared" si="504"/>
        <v/>
      </c>
      <c r="C2328" s="49" t="str">
        <f>IF(archive!F2328="","",archive!F2328)</f>
        <v/>
      </c>
      <c r="D2328" s="50" t="str">
        <f t="shared" si="505"/>
        <v/>
      </c>
      <c r="E2328" s="50" t="str">
        <f t="shared" si="506"/>
        <v/>
      </c>
      <c r="F2328" s="47" t="str">
        <f>IF(COUNTA(archive!H2328:CI2328)=0,"",COUNTA(archive!H2328:CI2328))</f>
        <v/>
      </c>
      <c r="G2328" s="47" t="str">
        <f>IF(archive!G2328="","",archive!G2328)</f>
        <v/>
      </c>
      <c r="H2328" s="51" t="str">
        <f>IF(archive!CJ2328="","",archive!CJ2328)</f>
        <v/>
      </c>
      <c r="I2328" s="51" t="str">
        <f>IF(archive!CK2328="","",archive!CK2328)</f>
        <v/>
      </c>
      <c r="J2328" s="47" t="str">
        <f t="shared" si="507"/>
        <v/>
      </c>
      <c r="K2328" s="51" t="str">
        <f t="shared" si="508"/>
        <v/>
      </c>
      <c r="L2328" s="52" t="str">
        <f t="shared" si="509"/>
        <v/>
      </c>
      <c r="M2328" s="53" t="str">
        <f t="shared" si="510"/>
        <v/>
      </c>
      <c r="N2328" s="53" t="str">
        <f t="shared" si="511"/>
        <v/>
      </c>
      <c r="O2328" s="53" t="str">
        <f t="shared" si="512"/>
        <v/>
      </c>
      <c r="P2328" s="53" t="str">
        <f t="shared" si="513"/>
        <v/>
      </c>
      <c r="Q2328" s="53" t="str">
        <f t="shared" si="514"/>
        <v/>
      </c>
      <c r="R2328" s="53" t="str">
        <f t="shared" si="515"/>
        <v/>
      </c>
      <c r="S2328" s="53" t="str">
        <f t="shared" si="516"/>
        <v/>
      </c>
      <c r="T2328" s="53" t="str">
        <f t="shared" si="517"/>
        <v/>
      </c>
    </row>
    <row r="2329" spans="1:20">
      <c r="A2329" s="47" t="str">
        <f>IF(archive!E2329="","",archive!E2329)</f>
        <v/>
      </c>
      <c r="B2329" s="48" t="str">
        <f t="shared" si="504"/>
        <v/>
      </c>
      <c r="C2329" s="49" t="str">
        <f>IF(archive!F2329="","",archive!F2329)</f>
        <v/>
      </c>
      <c r="D2329" s="50" t="str">
        <f t="shared" si="505"/>
        <v/>
      </c>
      <c r="E2329" s="50" t="str">
        <f t="shared" si="506"/>
        <v/>
      </c>
      <c r="F2329" s="47" t="str">
        <f>IF(COUNTA(archive!H2329:CI2329)=0,"",COUNTA(archive!H2329:CI2329))</f>
        <v/>
      </c>
      <c r="G2329" s="47" t="str">
        <f>IF(archive!G2329="","",archive!G2329)</f>
        <v/>
      </c>
      <c r="H2329" s="51" t="str">
        <f>IF(archive!CJ2329="","",archive!CJ2329)</f>
        <v/>
      </c>
      <c r="I2329" s="51" t="str">
        <f>IF(archive!CK2329="","",archive!CK2329)</f>
        <v/>
      </c>
      <c r="J2329" s="47" t="str">
        <f t="shared" si="507"/>
        <v/>
      </c>
      <c r="K2329" s="51" t="str">
        <f t="shared" si="508"/>
        <v/>
      </c>
      <c r="L2329" s="52" t="str">
        <f t="shared" si="509"/>
        <v/>
      </c>
      <c r="M2329" s="53" t="str">
        <f t="shared" si="510"/>
        <v/>
      </c>
      <c r="N2329" s="53" t="str">
        <f t="shared" si="511"/>
        <v/>
      </c>
      <c r="O2329" s="53" t="str">
        <f t="shared" si="512"/>
        <v/>
      </c>
      <c r="P2329" s="53" t="str">
        <f t="shared" si="513"/>
        <v/>
      </c>
      <c r="Q2329" s="53" t="str">
        <f t="shared" si="514"/>
        <v/>
      </c>
      <c r="R2329" s="53" t="str">
        <f t="shared" si="515"/>
        <v/>
      </c>
      <c r="S2329" s="53" t="str">
        <f t="shared" si="516"/>
        <v/>
      </c>
      <c r="T2329" s="53" t="str">
        <f t="shared" si="517"/>
        <v/>
      </c>
    </row>
    <row r="2330" spans="1:20">
      <c r="A2330" s="47" t="str">
        <f>IF(archive!E2330="","",archive!E2330)</f>
        <v/>
      </c>
      <c r="B2330" s="48" t="str">
        <f t="shared" si="504"/>
        <v/>
      </c>
      <c r="C2330" s="49" t="str">
        <f>IF(archive!F2330="","",archive!F2330)</f>
        <v/>
      </c>
      <c r="D2330" s="50" t="str">
        <f t="shared" si="505"/>
        <v/>
      </c>
      <c r="E2330" s="50" t="str">
        <f t="shared" si="506"/>
        <v/>
      </c>
      <c r="F2330" s="47" t="str">
        <f>IF(COUNTA(archive!H2330:CI2330)=0,"",COUNTA(archive!H2330:CI2330))</f>
        <v/>
      </c>
      <c r="G2330" s="47" t="str">
        <f>IF(archive!G2330="","",archive!G2330)</f>
        <v/>
      </c>
      <c r="H2330" s="51" t="str">
        <f>IF(archive!CJ2330="","",archive!CJ2330)</f>
        <v/>
      </c>
      <c r="I2330" s="51" t="str">
        <f>IF(archive!CK2330="","",archive!CK2330)</f>
        <v/>
      </c>
      <c r="J2330" s="47" t="str">
        <f t="shared" si="507"/>
        <v/>
      </c>
      <c r="K2330" s="51" t="str">
        <f t="shared" si="508"/>
        <v/>
      </c>
      <c r="L2330" s="52" t="str">
        <f t="shared" si="509"/>
        <v/>
      </c>
      <c r="M2330" s="53" t="str">
        <f t="shared" si="510"/>
        <v/>
      </c>
      <c r="N2330" s="53" t="str">
        <f t="shared" si="511"/>
        <v/>
      </c>
      <c r="O2330" s="53" t="str">
        <f t="shared" si="512"/>
        <v/>
      </c>
      <c r="P2330" s="53" t="str">
        <f t="shared" si="513"/>
        <v/>
      </c>
      <c r="Q2330" s="53" t="str">
        <f t="shared" si="514"/>
        <v/>
      </c>
      <c r="R2330" s="53" t="str">
        <f t="shared" si="515"/>
        <v/>
      </c>
      <c r="S2330" s="53" t="str">
        <f t="shared" si="516"/>
        <v/>
      </c>
      <c r="T2330" s="53" t="str">
        <f t="shared" si="517"/>
        <v/>
      </c>
    </row>
    <row r="2331" spans="1:20">
      <c r="A2331" s="47" t="str">
        <f>IF(archive!E2331="","",archive!E2331)</f>
        <v/>
      </c>
      <c r="B2331" s="48" t="str">
        <f t="shared" si="504"/>
        <v/>
      </c>
      <c r="C2331" s="49" t="str">
        <f>IF(archive!F2331="","",archive!F2331)</f>
        <v/>
      </c>
      <c r="D2331" s="50" t="str">
        <f t="shared" si="505"/>
        <v/>
      </c>
      <c r="E2331" s="50" t="str">
        <f t="shared" si="506"/>
        <v/>
      </c>
      <c r="F2331" s="47" t="str">
        <f>IF(COUNTA(archive!H2331:CI2331)=0,"",COUNTA(archive!H2331:CI2331))</f>
        <v/>
      </c>
      <c r="G2331" s="47" t="str">
        <f>IF(archive!G2331="","",archive!G2331)</f>
        <v/>
      </c>
      <c r="H2331" s="51" t="str">
        <f>IF(archive!CJ2331="","",archive!CJ2331)</f>
        <v/>
      </c>
      <c r="I2331" s="51" t="str">
        <f>IF(archive!CK2331="","",archive!CK2331)</f>
        <v/>
      </c>
      <c r="J2331" s="47" t="str">
        <f t="shared" si="507"/>
        <v/>
      </c>
      <c r="K2331" s="51" t="str">
        <f t="shared" si="508"/>
        <v/>
      </c>
      <c r="L2331" s="52" t="str">
        <f t="shared" si="509"/>
        <v/>
      </c>
      <c r="M2331" s="53" t="str">
        <f t="shared" si="510"/>
        <v/>
      </c>
      <c r="N2331" s="53" t="str">
        <f t="shared" si="511"/>
        <v/>
      </c>
      <c r="O2331" s="53" t="str">
        <f t="shared" si="512"/>
        <v/>
      </c>
      <c r="P2331" s="53" t="str">
        <f t="shared" si="513"/>
        <v/>
      </c>
      <c r="Q2331" s="53" t="str">
        <f t="shared" si="514"/>
        <v/>
      </c>
      <c r="R2331" s="53" t="str">
        <f t="shared" si="515"/>
        <v/>
      </c>
      <c r="S2331" s="53" t="str">
        <f t="shared" si="516"/>
        <v/>
      </c>
      <c r="T2331" s="53" t="str">
        <f t="shared" si="517"/>
        <v/>
      </c>
    </row>
    <row r="2332" spans="1:20">
      <c r="A2332" s="47" t="str">
        <f>IF(archive!E2332="","",archive!E2332)</f>
        <v/>
      </c>
      <c r="B2332" s="48" t="str">
        <f t="shared" si="504"/>
        <v/>
      </c>
      <c r="C2332" s="49" t="str">
        <f>IF(archive!F2332="","",archive!F2332)</f>
        <v/>
      </c>
      <c r="D2332" s="50" t="str">
        <f t="shared" si="505"/>
        <v/>
      </c>
      <c r="E2332" s="50" t="str">
        <f t="shared" si="506"/>
        <v/>
      </c>
      <c r="F2332" s="47" t="str">
        <f>IF(COUNTA(archive!H2332:CI2332)=0,"",COUNTA(archive!H2332:CI2332))</f>
        <v/>
      </c>
      <c r="G2332" s="47" t="str">
        <f>IF(archive!G2332="","",archive!G2332)</f>
        <v/>
      </c>
      <c r="H2332" s="51" t="str">
        <f>IF(archive!CJ2332="","",archive!CJ2332)</f>
        <v/>
      </c>
      <c r="I2332" s="51" t="str">
        <f>IF(archive!CK2332="","",archive!CK2332)</f>
        <v/>
      </c>
      <c r="J2332" s="47" t="str">
        <f t="shared" si="507"/>
        <v/>
      </c>
      <c r="K2332" s="51" t="str">
        <f t="shared" si="508"/>
        <v/>
      </c>
      <c r="L2332" s="52" t="str">
        <f t="shared" si="509"/>
        <v/>
      </c>
      <c r="M2332" s="53" t="str">
        <f t="shared" si="510"/>
        <v/>
      </c>
      <c r="N2332" s="53" t="str">
        <f t="shared" si="511"/>
        <v/>
      </c>
      <c r="O2332" s="53" t="str">
        <f t="shared" si="512"/>
        <v/>
      </c>
      <c r="P2332" s="53" t="str">
        <f t="shared" si="513"/>
        <v/>
      </c>
      <c r="Q2332" s="53" t="str">
        <f t="shared" si="514"/>
        <v/>
      </c>
      <c r="R2332" s="53" t="str">
        <f t="shared" si="515"/>
        <v/>
      </c>
      <c r="S2332" s="53" t="str">
        <f t="shared" si="516"/>
        <v/>
      </c>
      <c r="T2332" s="53" t="str">
        <f t="shared" si="517"/>
        <v/>
      </c>
    </row>
    <row r="2333" spans="1:20">
      <c r="A2333" s="47" t="str">
        <f>IF(archive!E2333="","",archive!E2333)</f>
        <v/>
      </c>
      <c r="B2333" s="48" t="str">
        <f t="shared" si="504"/>
        <v/>
      </c>
      <c r="C2333" s="49" t="str">
        <f>IF(archive!F2333="","",archive!F2333)</f>
        <v/>
      </c>
      <c r="D2333" s="50" t="str">
        <f t="shared" si="505"/>
        <v/>
      </c>
      <c r="E2333" s="50" t="str">
        <f t="shared" si="506"/>
        <v/>
      </c>
      <c r="F2333" s="47" t="str">
        <f>IF(COUNTA(archive!H2333:CI2333)=0,"",COUNTA(archive!H2333:CI2333))</f>
        <v/>
      </c>
      <c r="G2333" s="47" t="str">
        <f>IF(archive!G2333="","",archive!G2333)</f>
        <v/>
      </c>
      <c r="H2333" s="51" t="str">
        <f>IF(archive!CJ2333="","",archive!CJ2333)</f>
        <v/>
      </c>
      <c r="I2333" s="51" t="str">
        <f>IF(archive!CK2333="","",archive!CK2333)</f>
        <v/>
      </c>
      <c r="J2333" s="47" t="str">
        <f t="shared" si="507"/>
        <v/>
      </c>
      <c r="K2333" s="51" t="str">
        <f t="shared" si="508"/>
        <v/>
      </c>
      <c r="L2333" s="52" t="str">
        <f t="shared" si="509"/>
        <v/>
      </c>
      <c r="M2333" s="53" t="str">
        <f t="shared" si="510"/>
        <v/>
      </c>
      <c r="N2333" s="53" t="str">
        <f t="shared" si="511"/>
        <v/>
      </c>
      <c r="O2333" s="53" t="str">
        <f t="shared" si="512"/>
        <v/>
      </c>
      <c r="P2333" s="53" t="str">
        <f t="shared" si="513"/>
        <v/>
      </c>
      <c r="Q2333" s="53" t="str">
        <f t="shared" si="514"/>
        <v/>
      </c>
      <c r="R2333" s="53" t="str">
        <f t="shared" si="515"/>
        <v/>
      </c>
      <c r="S2333" s="53" t="str">
        <f t="shared" si="516"/>
        <v/>
      </c>
      <c r="T2333" s="53" t="str">
        <f t="shared" si="517"/>
        <v/>
      </c>
    </row>
    <row r="2334" spans="1:20">
      <c r="A2334" s="47" t="str">
        <f>IF(archive!E2334="","",archive!E2334)</f>
        <v/>
      </c>
      <c r="B2334" s="48" t="str">
        <f t="shared" si="504"/>
        <v/>
      </c>
      <c r="C2334" s="49" t="str">
        <f>IF(archive!F2334="","",archive!F2334)</f>
        <v/>
      </c>
      <c r="D2334" s="50" t="str">
        <f t="shared" si="505"/>
        <v/>
      </c>
      <c r="E2334" s="50" t="str">
        <f t="shared" si="506"/>
        <v/>
      </c>
      <c r="F2334" s="47" t="str">
        <f>IF(COUNTA(archive!H2334:CI2334)=0,"",COUNTA(archive!H2334:CI2334))</f>
        <v/>
      </c>
      <c r="G2334" s="47" t="str">
        <f>IF(archive!G2334="","",archive!G2334)</f>
        <v/>
      </c>
      <c r="H2334" s="51" t="str">
        <f>IF(archive!CJ2334="","",archive!CJ2334)</f>
        <v/>
      </c>
      <c r="I2334" s="51" t="str">
        <f>IF(archive!CK2334="","",archive!CK2334)</f>
        <v/>
      </c>
      <c r="J2334" s="47" t="str">
        <f t="shared" si="507"/>
        <v/>
      </c>
      <c r="K2334" s="51" t="str">
        <f t="shared" si="508"/>
        <v/>
      </c>
      <c r="L2334" s="52" t="str">
        <f t="shared" si="509"/>
        <v/>
      </c>
      <c r="M2334" s="53" t="str">
        <f t="shared" si="510"/>
        <v/>
      </c>
      <c r="N2334" s="53" t="str">
        <f t="shared" si="511"/>
        <v/>
      </c>
      <c r="O2334" s="53" t="str">
        <f t="shared" si="512"/>
        <v/>
      </c>
      <c r="P2334" s="53" t="str">
        <f t="shared" si="513"/>
        <v/>
      </c>
      <c r="Q2334" s="53" t="str">
        <f t="shared" si="514"/>
        <v/>
      </c>
      <c r="R2334" s="53" t="str">
        <f t="shared" si="515"/>
        <v/>
      </c>
      <c r="S2334" s="53" t="str">
        <f t="shared" si="516"/>
        <v/>
      </c>
      <c r="T2334" s="53" t="str">
        <f t="shared" si="517"/>
        <v/>
      </c>
    </row>
    <row r="2335" spans="1:20">
      <c r="A2335" s="47" t="str">
        <f>IF(archive!E2335="","",archive!E2335)</f>
        <v/>
      </c>
      <c r="B2335" s="48" t="str">
        <f t="shared" si="504"/>
        <v/>
      </c>
      <c r="C2335" s="49" t="str">
        <f>IF(archive!F2335="","",archive!F2335)</f>
        <v/>
      </c>
      <c r="D2335" s="50" t="str">
        <f t="shared" si="505"/>
        <v/>
      </c>
      <c r="E2335" s="50" t="str">
        <f t="shared" si="506"/>
        <v/>
      </c>
      <c r="F2335" s="47" t="str">
        <f>IF(COUNTA(archive!H2335:CI2335)=0,"",COUNTA(archive!H2335:CI2335))</f>
        <v/>
      </c>
      <c r="G2335" s="47" t="str">
        <f>IF(archive!G2335="","",archive!G2335)</f>
        <v/>
      </c>
      <c r="H2335" s="51" t="str">
        <f>IF(archive!CJ2335="","",archive!CJ2335)</f>
        <v/>
      </c>
      <c r="I2335" s="51" t="str">
        <f>IF(archive!CK2335="","",archive!CK2335)</f>
        <v/>
      </c>
      <c r="J2335" s="47" t="str">
        <f t="shared" si="507"/>
        <v/>
      </c>
      <c r="K2335" s="51" t="str">
        <f t="shared" si="508"/>
        <v/>
      </c>
      <c r="L2335" s="52" t="str">
        <f t="shared" si="509"/>
        <v/>
      </c>
      <c r="M2335" s="53" t="str">
        <f t="shared" si="510"/>
        <v/>
      </c>
      <c r="N2335" s="53" t="str">
        <f t="shared" si="511"/>
        <v/>
      </c>
      <c r="O2335" s="53" t="str">
        <f t="shared" si="512"/>
        <v/>
      </c>
      <c r="P2335" s="53" t="str">
        <f t="shared" si="513"/>
        <v/>
      </c>
      <c r="Q2335" s="53" t="str">
        <f t="shared" si="514"/>
        <v/>
      </c>
      <c r="R2335" s="53" t="str">
        <f t="shared" si="515"/>
        <v/>
      </c>
      <c r="S2335" s="53" t="str">
        <f t="shared" si="516"/>
        <v/>
      </c>
      <c r="T2335" s="53" t="str">
        <f t="shared" si="517"/>
        <v/>
      </c>
    </row>
    <row r="2336" spans="1:20">
      <c r="A2336" s="47" t="str">
        <f>IF(archive!E2336="","",archive!E2336)</f>
        <v/>
      </c>
      <c r="B2336" s="48" t="str">
        <f t="shared" si="504"/>
        <v/>
      </c>
      <c r="C2336" s="49" t="str">
        <f>IF(archive!F2336="","",archive!F2336)</f>
        <v/>
      </c>
      <c r="D2336" s="50" t="str">
        <f t="shared" si="505"/>
        <v/>
      </c>
      <c r="E2336" s="50" t="str">
        <f t="shared" si="506"/>
        <v/>
      </c>
      <c r="F2336" s="47" t="str">
        <f>IF(COUNTA(archive!H2336:CI2336)=0,"",COUNTA(archive!H2336:CI2336))</f>
        <v/>
      </c>
      <c r="G2336" s="47" t="str">
        <f>IF(archive!G2336="","",archive!G2336)</f>
        <v/>
      </c>
      <c r="H2336" s="51" t="str">
        <f>IF(archive!CJ2336="","",archive!CJ2336)</f>
        <v/>
      </c>
      <c r="I2336" s="51" t="str">
        <f>IF(archive!CK2336="","",archive!CK2336)</f>
        <v/>
      </c>
      <c r="J2336" s="47" t="str">
        <f t="shared" si="507"/>
        <v/>
      </c>
      <c r="K2336" s="51" t="str">
        <f t="shared" si="508"/>
        <v/>
      </c>
      <c r="L2336" s="52" t="str">
        <f t="shared" si="509"/>
        <v/>
      </c>
      <c r="M2336" s="53" t="str">
        <f t="shared" si="510"/>
        <v/>
      </c>
      <c r="N2336" s="53" t="str">
        <f t="shared" si="511"/>
        <v/>
      </c>
      <c r="O2336" s="53" t="str">
        <f t="shared" si="512"/>
        <v/>
      </c>
      <c r="P2336" s="53" t="str">
        <f t="shared" si="513"/>
        <v/>
      </c>
      <c r="Q2336" s="53" t="str">
        <f t="shared" si="514"/>
        <v/>
      </c>
      <c r="R2336" s="53" t="str">
        <f t="shared" si="515"/>
        <v/>
      </c>
      <c r="S2336" s="53" t="str">
        <f t="shared" si="516"/>
        <v/>
      </c>
      <c r="T2336" s="53" t="str">
        <f t="shared" si="517"/>
        <v/>
      </c>
    </row>
    <row r="2337" spans="1:20">
      <c r="A2337" s="47" t="str">
        <f>IF(archive!E2337="","",archive!E2337)</f>
        <v/>
      </c>
      <c r="B2337" s="48" t="str">
        <f t="shared" si="504"/>
        <v/>
      </c>
      <c r="C2337" s="49" t="str">
        <f>IF(archive!F2337="","",archive!F2337)</f>
        <v/>
      </c>
      <c r="D2337" s="50" t="str">
        <f t="shared" si="505"/>
        <v/>
      </c>
      <c r="E2337" s="50" t="str">
        <f t="shared" si="506"/>
        <v/>
      </c>
      <c r="F2337" s="47" t="str">
        <f>IF(COUNTA(archive!H2337:CI2337)=0,"",COUNTA(archive!H2337:CI2337))</f>
        <v/>
      </c>
      <c r="G2337" s="47" t="str">
        <f>IF(archive!G2337="","",archive!G2337)</f>
        <v/>
      </c>
      <c r="H2337" s="51" t="str">
        <f>IF(archive!CJ2337="","",archive!CJ2337)</f>
        <v/>
      </c>
      <c r="I2337" s="51" t="str">
        <f>IF(archive!CK2337="","",archive!CK2337)</f>
        <v/>
      </c>
      <c r="J2337" s="47" t="str">
        <f t="shared" si="507"/>
        <v/>
      </c>
      <c r="K2337" s="51" t="str">
        <f t="shared" si="508"/>
        <v/>
      </c>
      <c r="L2337" s="52" t="str">
        <f t="shared" si="509"/>
        <v/>
      </c>
      <c r="M2337" s="53" t="str">
        <f t="shared" si="510"/>
        <v/>
      </c>
      <c r="N2337" s="53" t="str">
        <f t="shared" si="511"/>
        <v/>
      </c>
      <c r="O2337" s="53" t="str">
        <f t="shared" si="512"/>
        <v/>
      </c>
      <c r="P2337" s="53" t="str">
        <f t="shared" si="513"/>
        <v/>
      </c>
      <c r="Q2337" s="53" t="str">
        <f t="shared" si="514"/>
        <v/>
      </c>
      <c r="R2337" s="53" t="str">
        <f t="shared" si="515"/>
        <v/>
      </c>
      <c r="S2337" s="53" t="str">
        <f t="shared" si="516"/>
        <v/>
      </c>
      <c r="T2337" s="53" t="str">
        <f t="shared" si="517"/>
        <v/>
      </c>
    </row>
    <row r="2338" spans="1:20">
      <c r="A2338" s="47" t="str">
        <f>IF(archive!E2338="","",archive!E2338)</f>
        <v/>
      </c>
      <c r="B2338" s="48" t="str">
        <f t="shared" si="504"/>
        <v/>
      </c>
      <c r="C2338" s="49" t="str">
        <f>IF(archive!F2338="","",archive!F2338)</f>
        <v/>
      </c>
      <c r="D2338" s="50" t="str">
        <f t="shared" si="505"/>
        <v/>
      </c>
      <c r="E2338" s="50" t="str">
        <f t="shared" si="506"/>
        <v/>
      </c>
      <c r="F2338" s="47" t="str">
        <f>IF(COUNTA(archive!H2338:CI2338)=0,"",COUNTA(archive!H2338:CI2338))</f>
        <v/>
      </c>
      <c r="G2338" s="47" t="str">
        <f>IF(archive!G2338="","",archive!G2338)</f>
        <v/>
      </c>
      <c r="H2338" s="51" t="str">
        <f>IF(archive!CJ2338="","",archive!CJ2338)</f>
        <v/>
      </c>
      <c r="I2338" s="51" t="str">
        <f>IF(archive!CK2338="","",archive!CK2338)</f>
        <v/>
      </c>
      <c r="J2338" s="47" t="str">
        <f t="shared" si="507"/>
        <v/>
      </c>
      <c r="K2338" s="51" t="str">
        <f t="shared" si="508"/>
        <v/>
      </c>
      <c r="L2338" s="52" t="str">
        <f t="shared" si="509"/>
        <v/>
      </c>
      <c r="M2338" s="53" t="str">
        <f t="shared" si="510"/>
        <v/>
      </c>
      <c r="N2338" s="53" t="str">
        <f t="shared" si="511"/>
        <v/>
      </c>
      <c r="O2338" s="53" t="str">
        <f t="shared" si="512"/>
        <v/>
      </c>
      <c r="P2338" s="53" t="str">
        <f t="shared" si="513"/>
        <v/>
      </c>
      <c r="Q2338" s="53" t="str">
        <f t="shared" si="514"/>
        <v/>
      </c>
      <c r="R2338" s="53" t="str">
        <f t="shared" si="515"/>
        <v/>
      </c>
      <c r="S2338" s="53" t="str">
        <f t="shared" si="516"/>
        <v/>
      </c>
      <c r="T2338" s="53" t="str">
        <f t="shared" si="517"/>
        <v/>
      </c>
    </row>
    <row r="2339" spans="1:20">
      <c r="A2339" s="47" t="str">
        <f>IF(archive!E2339="","",archive!E2339)</f>
        <v/>
      </c>
      <c r="B2339" s="48" t="str">
        <f t="shared" si="504"/>
        <v/>
      </c>
      <c r="C2339" s="49" t="str">
        <f>IF(archive!F2339="","",archive!F2339)</f>
        <v/>
      </c>
      <c r="D2339" s="50" t="str">
        <f t="shared" si="505"/>
        <v/>
      </c>
      <c r="E2339" s="50" t="str">
        <f t="shared" si="506"/>
        <v/>
      </c>
      <c r="F2339" s="47" t="str">
        <f>IF(COUNTA(archive!H2339:CI2339)=0,"",COUNTA(archive!H2339:CI2339))</f>
        <v/>
      </c>
      <c r="G2339" s="47" t="str">
        <f>IF(archive!G2339="","",archive!G2339)</f>
        <v/>
      </c>
      <c r="H2339" s="51" t="str">
        <f>IF(archive!CJ2339="","",archive!CJ2339)</f>
        <v/>
      </c>
      <c r="I2339" s="51" t="str">
        <f>IF(archive!CK2339="","",archive!CK2339)</f>
        <v/>
      </c>
      <c r="J2339" s="47" t="str">
        <f t="shared" si="507"/>
        <v/>
      </c>
      <c r="K2339" s="51" t="str">
        <f t="shared" si="508"/>
        <v/>
      </c>
      <c r="L2339" s="52" t="str">
        <f t="shared" si="509"/>
        <v/>
      </c>
      <c r="M2339" s="53" t="str">
        <f t="shared" si="510"/>
        <v/>
      </c>
      <c r="N2339" s="53" t="str">
        <f t="shared" si="511"/>
        <v/>
      </c>
      <c r="O2339" s="53" t="str">
        <f t="shared" si="512"/>
        <v/>
      </c>
      <c r="P2339" s="53" t="str">
        <f t="shared" si="513"/>
        <v/>
      </c>
      <c r="Q2339" s="53" t="str">
        <f t="shared" si="514"/>
        <v/>
      </c>
      <c r="R2339" s="53" t="str">
        <f t="shared" si="515"/>
        <v/>
      </c>
      <c r="S2339" s="53" t="str">
        <f t="shared" si="516"/>
        <v/>
      </c>
      <c r="T2339" s="53" t="str">
        <f t="shared" si="517"/>
        <v/>
      </c>
    </row>
    <row r="2340" spans="1:20">
      <c r="A2340" s="47" t="str">
        <f>IF(archive!E2340="","",archive!E2340)</f>
        <v/>
      </c>
      <c r="B2340" s="48" t="str">
        <f t="shared" si="504"/>
        <v/>
      </c>
      <c r="C2340" s="49" t="str">
        <f>IF(archive!F2340="","",archive!F2340)</f>
        <v/>
      </c>
      <c r="D2340" s="50" t="str">
        <f t="shared" si="505"/>
        <v/>
      </c>
      <c r="E2340" s="50" t="str">
        <f t="shared" si="506"/>
        <v/>
      </c>
      <c r="F2340" s="47" t="str">
        <f>IF(COUNTA(archive!H2340:CI2340)=0,"",COUNTA(archive!H2340:CI2340))</f>
        <v/>
      </c>
      <c r="G2340" s="47" t="str">
        <f>IF(archive!G2340="","",archive!G2340)</f>
        <v/>
      </c>
      <c r="H2340" s="51" t="str">
        <f>IF(archive!CJ2340="","",archive!CJ2340)</f>
        <v/>
      </c>
      <c r="I2340" s="51" t="str">
        <f>IF(archive!CK2340="","",archive!CK2340)</f>
        <v/>
      </c>
      <c r="J2340" s="47" t="str">
        <f t="shared" si="507"/>
        <v/>
      </c>
      <c r="K2340" s="51" t="str">
        <f t="shared" si="508"/>
        <v/>
      </c>
      <c r="L2340" s="52" t="str">
        <f t="shared" si="509"/>
        <v/>
      </c>
      <c r="M2340" s="53" t="str">
        <f t="shared" si="510"/>
        <v/>
      </c>
      <c r="N2340" s="53" t="str">
        <f t="shared" si="511"/>
        <v/>
      </c>
      <c r="O2340" s="53" t="str">
        <f t="shared" si="512"/>
        <v/>
      </c>
      <c r="P2340" s="53" t="str">
        <f t="shared" si="513"/>
        <v/>
      </c>
      <c r="Q2340" s="53" t="str">
        <f t="shared" si="514"/>
        <v/>
      </c>
      <c r="R2340" s="53" t="str">
        <f t="shared" si="515"/>
        <v/>
      </c>
      <c r="S2340" s="53" t="str">
        <f t="shared" si="516"/>
        <v/>
      </c>
      <c r="T2340" s="53" t="str">
        <f t="shared" si="517"/>
        <v/>
      </c>
    </row>
    <row r="2341" spans="1:20">
      <c r="A2341" s="47" t="str">
        <f>IF(archive!E2341="","",archive!E2341)</f>
        <v/>
      </c>
      <c r="B2341" s="48" t="str">
        <f t="shared" si="504"/>
        <v/>
      </c>
      <c r="C2341" s="49" t="str">
        <f>IF(archive!F2341="","",archive!F2341)</f>
        <v/>
      </c>
      <c r="D2341" s="50" t="str">
        <f t="shared" si="505"/>
        <v/>
      </c>
      <c r="E2341" s="50" t="str">
        <f t="shared" si="506"/>
        <v/>
      </c>
      <c r="F2341" s="47" t="str">
        <f>IF(COUNTA(archive!H2341:CI2341)=0,"",COUNTA(archive!H2341:CI2341))</f>
        <v/>
      </c>
      <c r="G2341" s="47" t="str">
        <f>IF(archive!G2341="","",archive!G2341)</f>
        <v/>
      </c>
      <c r="H2341" s="51" t="str">
        <f>IF(archive!CJ2341="","",archive!CJ2341)</f>
        <v/>
      </c>
      <c r="I2341" s="51" t="str">
        <f>IF(archive!CK2341="","",archive!CK2341)</f>
        <v/>
      </c>
      <c r="J2341" s="47" t="str">
        <f t="shared" si="507"/>
        <v/>
      </c>
      <c r="K2341" s="51" t="str">
        <f t="shared" si="508"/>
        <v/>
      </c>
      <c r="L2341" s="52" t="str">
        <f t="shared" si="509"/>
        <v/>
      </c>
      <c r="M2341" s="53" t="str">
        <f t="shared" si="510"/>
        <v/>
      </c>
      <c r="N2341" s="53" t="str">
        <f t="shared" si="511"/>
        <v/>
      </c>
      <c r="O2341" s="53" t="str">
        <f t="shared" si="512"/>
        <v/>
      </c>
      <c r="P2341" s="53" t="str">
        <f t="shared" si="513"/>
        <v/>
      </c>
      <c r="Q2341" s="53" t="str">
        <f t="shared" si="514"/>
        <v/>
      </c>
      <c r="R2341" s="53" t="str">
        <f t="shared" si="515"/>
        <v/>
      </c>
      <c r="S2341" s="53" t="str">
        <f t="shared" si="516"/>
        <v/>
      </c>
      <c r="T2341" s="53" t="str">
        <f t="shared" si="517"/>
        <v/>
      </c>
    </row>
    <row r="2342" spans="1:20">
      <c r="A2342" s="47" t="str">
        <f>IF(archive!E2342="","",archive!E2342)</f>
        <v/>
      </c>
      <c r="B2342" s="48" t="str">
        <f t="shared" si="504"/>
        <v/>
      </c>
      <c r="C2342" s="49" t="str">
        <f>IF(archive!F2342="","",archive!F2342)</f>
        <v/>
      </c>
      <c r="D2342" s="50" t="str">
        <f t="shared" si="505"/>
        <v/>
      </c>
      <c r="E2342" s="50" t="str">
        <f t="shared" si="506"/>
        <v/>
      </c>
      <c r="F2342" s="47" t="str">
        <f>IF(COUNTA(archive!H2342:CI2342)=0,"",COUNTA(archive!H2342:CI2342))</f>
        <v/>
      </c>
      <c r="G2342" s="47" t="str">
        <f>IF(archive!G2342="","",archive!G2342)</f>
        <v/>
      </c>
      <c r="H2342" s="51" t="str">
        <f>IF(archive!CJ2342="","",archive!CJ2342)</f>
        <v/>
      </c>
      <c r="I2342" s="51" t="str">
        <f>IF(archive!CK2342="","",archive!CK2342)</f>
        <v/>
      </c>
      <c r="J2342" s="47" t="str">
        <f t="shared" si="507"/>
        <v/>
      </c>
      <c r="K2342" s="51" t="str">
        <f t="shared" si="508"/>
        <v/>
      </c>
      <c r="L2342" s="52" t="str">
        <f t="shared" si="509"/>
        <v/>
      </c>
      <c r="M2342" s="53" t="str">
        <f t="shared" si="510"/>
        <v/>
      </c>
      <c r="N2342" s="53" t="str">
        <f t="shared" si="511"/>
        <v/>
      </c>
      <c r="O2342" s="53" t="str">
        <f t="shared" si="512"/>
        <v/>
      </c>
      <c r="P2342" s="53" t="str">
        <f t="shared" si="513"/>
        <v/>
      </c>
      <c r="Q2342" s="53" t="str">
        <f t="shared" si="514"/>
        <v/>
      </c>
      <c r="R2342" s="53" t="str">
        <f t="shared" si="515"/>
        <v/>
      </c>
      <c r="S2342" s="53" t="str">
        <f t="shared" si="516"/>
        <v/>
      </c>
      <c r="T2342" s="53" t="str">
        <f t="shared" si="517"/>
        <v/>
      </c>
    </row>
    <row r="2343" spans="1:20">
      <c r="A2343" s="47" t="str">
        <f>IF(archive!E2343="","",archive!E2343)</f>
        <v/>
      </c>
      <c r="B2343" s="48" t="str">
        <f t="shared" si="504"/>
        <v/>
      </c>
      <c r="C2343" s="49" t="str">
        <f>IF(archive!F2343="","",archive!F2343)</f>
        <v/>
      </c>
      <c r="D2343" s="50" t="str">
        <f t="shared" si="505"/>
        <v/>
      </c>
      <c r="E2343" s="50" t="str">
        <f t="shared" si="506"/>
        <v/>
      </c>
      <c r="F2343" s="47" t="str">
        <f>IF(COUNTA(archive!H2343:CI2343)=0,"",COUNTA(archive!H2343:CI2343))</f>
        <v/>
      </c>
      <c r="G2343" s="47" t="str">
        <f>IF(archive!G2343="","",archive!G2343)</f>
        <v/>
      </c>
      <c r="H2343" s="51" t="str">
        <f>IF(archive!CJ2343="","",archive!CJ2343)</f>
        <v/>
      </c>
      <c r="I2343" s="51" t="str">
        <f>IF(archive!CK2343="","",archive!CK2343)</f>
        <v/>
      </c>
      <c r="J2343" s="47" t="str">
        <f t="shared" si="507"/>
        <v/>
      </c>
      <c r="K2343" s="51" t="str">
        <f t="shared" si="508"/>
        <v/>
      </c>
      <c r="L2343" s="52" t="str">
        <f t="shared" si="509"/>
        <v/>
      </c>
      <c r="M2343" s="53" t="str">
        <f t="shared" si="510"/>
        <v/>
      </c>
      <c r="N2343" s="53" t="str">
        <f t="shared" si="511"/>
        <v/>
      </c>
      <c r="O2343" s="53" t="str">
        <f t="shared" si="512"/>
        <v/>
      </c>
      <c r="P2343" s="53" t="str">
        <f t="shared" si="513"/>
        <v/>
      </c>
      <c r="Q2343" s="53" t="str">
        <f t="shared" si="514"/>
        <v/>
      </c>
      <c r="R2343" s="53" t="str">
        <f t="shared" si="515"/>
        <v/>
      </c>
      <c r="S2343" s="53" t="str">
        <f t="shared" si="516"/>
        <v/>
      </c>
      <c r="T2343" s="53" t="str">
        <f t="shared" si="517"/>
        <v/>
      </c>
    </row>
    <row r="2344" spans="1:20">
      <c r="A2344" s="47" t="str">
        <f>IF(archive!E2344="","",archive!E2344)</f>
        <v/>
      </c>
      <c r="B2344" s="48" t="str">
        <f t="shared" si="504"/>
        <v/>
      </c>
      <c r="C2344" s="49" t="str">
        <f>IF(archive!F2344="","",archive!F2344)</f>
        <v/>
      </c>
      <c r="D2344" s="50" t="str">
        <f t="shared" si="505"/>
        <v/>
      </c>
      <c r="E2344" s="50" t="str">
        <f t="shared" si="506"/>
        <v/>
      </c>
      <c r="F2344" s="47" t="str">
        <f>IF(COUNTA(archive!H2344:CI2344)=0,"",COUNTA(archive!H2344:CI2344))</f>
        <v/>
      </c>
      <c r="G2344" s="47" t="str">
        <f>IF(archive!G2344="","",archive!G2344)</f>
        <v/>
      </c>
      <c r="H2344" s="51" t="str">
        <f>IF(archive!CJ2344="","",archive!CJ2344)</f>
        <v/>
      </c>
      <c r="I2344" s="51" t="str">
        <f>IF(archive!CK2344="","",archive!CK2344)</f>
        <v/>
      </c>
      <c r="J2344" s="47" t="str">
        <f t="shared" si="507"/>
        <v/>
      </c>
      <c r="K2344" s="51" t="str">
        <f t="shared" si="508"/>
        <v/>
      </c>
      <c r="L2344" s="52" t="str">
        <f t="shared" si="509"/>
        <v/>
      </c>
      <c r="M2344" s="53" t="str">
        <f t="shared" si="510"/>
        <v/>
      </c>
      <c r="N2344" s="53" t="str">
        <f t="shared" si="511"/>
        <v/>
      </c>
      <c r="O2344" s="53" t="str">
        <f t="shared" si="512"/>
        <v/>
      </c>
      <c r="P2344" s="53" t="str">
        <f t="shared" si="513"/>
        <v/>
      </c>
      <c r="Q2344" s="53" t="str">
        <f t="shared" si="514"/>
        <v/>
      </c>
      <c r="R2344" s="53" t="str">
        <f t="shared" si="515"/>
        <v/>
      </c>
      <c r="S2344" s="53" t="str">
        <f t="shared" si="516"/>
        <v/>
      </c>
      <c r="T2344" s="53" t="str">
        <f t="shared" si="517"/>
        <v/>
      </c>
    </row>
    <row r="2345" spans="1:20">
      <c r="A2345" s="47" t="str">
        <f>IF(archive!E2345="","",archive!E2345)</f>
        <v/>
      </c>
      <c r="B2345" s="48" t="str">
        <f t="shared" si="504"/>
        <v/>
      </c>
      <c r="C2345" s="49" t="str">
        <f>IF(archive!F2345="","",archive!F2345)</f>
        <v/>
      </c>
      <c r="D2345" s="50" t="str">
        <f t="shared" si="505"/>
        <v/>
      </c>
      <c r="E2345" s="50" t="str">
        <f t="shared" si="506"/>
        <v/>
      </c>
      <c r="F2345" s="47" t="str">
        <f>IF(COUNTA(archive!H2345:CI2345)=0,"",COUNTA(archive!H2345:CI2345))</f>
        <v/>
      </c>
      <c r="G2345" s="47" t="str">
        <f>IF(archive!G2345="","",archive!G2345)</f>
        <v/>
      </c>
      <c r="H2345" s="51" t="str">
        <f>IF(archive!CJ2345="","",archive!CJ2345)</f>
        <v/>
      </c>
      <c r="I2345" s="51" t="str">
        <f>IF(archive!CK2345="","",archive!CK2345)</f>
        <v/>
      </c>
      <c r="J2345" s="47" t="str">
        <f t="shared" si="507"/>
        <v/>
      </c>
      <c r="K2345" s="51" t="str">
        <f t="shared" si="508"/>
        <v/>
      </c>
      <c r="L2345" s="52" t="str">
        <f t="shared" si="509"/>
        <v/>
      </c>
      <c r="M2345" s="53" t="str">
        <f t="shared" si="510"/>
        <v/>
      </c>
      <c r="N2345" s="53" t="str">
        <f t="shared" si="511"/>
        <v/>
      </c>
      <c r="O2345" s="53" t="str">
        <f t="shared" si="512"/>
        <v/>
      </c>
      <c r="P2345" s="53" t="str">
        <f t="shared" si="513"/>
        <v/>
      </c>
      <c r="Q2345" s="53" t="str">
        <f t="shared" si="514"/>
        <v/>
      </c>
      <c r="R2345" s="53" t="str">
        <f t="shared" si="515"/>
        <v/>
      </c>
      <c r="S2345" s="53" t="str">
        <f t="shared" si="516"/>
        <v/>
      </c>
      <c r="T2345" s="53" t="str">
        <f t="shared" si="517"/>
        <v/>
      </c>
    </row>
    <row r="2346" spans="1:20">
      <c r="A2346" s="47" t="str">
        <f>IF(archive!E2346="","",archive!E2346)</f>
        <v/>
      </c>
      <c r="B2346" s="48" t="str">
        <f t="shared" si="504"/>
        <v/>
      </c>
      <c r="C2346" s="49" t="str">
        <f>IF(archive!F2346="","",archive!F2346)</f>
        <v/>
      </c>
      <c r="D2346" s="50" t="str">
        <f t="shared" si="505"/>
        <v/>
      </c>
      <c r="E2346" s="50" t="str">
        <f t="shared" si="506"/>
        <v/>
      </c>
      <c r="F2346" s="47" t="str">
        <f>IF(COUNTA(archive!H2346:CI2346)=0,"",COUNTA(archive!H2346:CI2346))</f>
        <v/>
      </c>
      <c r="G2346" s="47" t="str">
        <f>IF(archive!G2346="","",archive!G2346)</f>
        <v/>
      </c>
      <c r="H2346" s="51" t="str">
        <f>IF(archive!CJ2346="","",archive!CJ2346)</f>
        <v/>
      </c>
      <c r="I2346" s="51" t="str">
        <f>IF(archive!CK2346="","",archive!CK2346)</f>
        <v/>
      </c>
      <c r="J2346" s="47" t="str">
        <f t="shared" si="507"/>
        <v/>
      </c>
      <c r="K2346" s="51" t="str">
        <f t="shared" si="508"/>
        <v/>
      </c>
      <c r="L2346" s="52" t="str">
        <f t="shared" si="509"/>
        <v/>
      </c>
      <c r="M2346" s="53" t="str">
        <f t="shared" si="510"/>
        <v/>
      </c>
      <c r="N2346" s="53" t="str">
        <f t="shared" si="511"/>
        <v/>
      </c>
      <c r="O2346" s="53" t="str">
        <f t="shared" si="512"/>
        <v/>
      </c>
      <c r="P2346" s="53" t="str">
        <f t="shared" si="513"/>
        <v/>
      </c>
      <c r="Q2346" s="53" t="str">
        <f t="shared" si="514"/>
        <v/>
      </c>
      <c r="R2346" s="53" t="str">
        <f t="shared" si="515"/>
        <v/>
      </c>
      <c r="S2346" s="53" t="str">
        <f t="shared" si="516"/>
        <v/>
      </c>
      <c r="T2346" s="53" t="str">
        <f t="shared" si="517"/>
        <v/>
      </c>
    </row>
    <row r="2347" spans="1:20">
      <c r="A2347" s="47" t="str">
        <f>IF(archive!E2347="","",archive!E2347)</f>
        <v/>
      </c>
      <c r="B2347" s="48" t="str">
        <f t="shared" si="504"/>
        <v/>
      </c>
      <c r="C2347" s="49" t="str">
        <f>IF(archive!F2347="","",archive!F2347)</f>
        <v/>
      </c>
      <c r="D2347" s="50" t="str">
        <f t="shared" si="505"/>
        <v/>
      </c>
      <c r="E2347" s="50" t="str">
        <f t="shared" si="506"/>
        <v/>
      </c>
      <c r="F2347" s="47" t="str">
        <f>IF(COUNTA(archive!H2347:CI2347)=0,"",COUNTA(archive!H2347:CI2347))</f>
        <v/>
      </c>
      <c r="G2347" s="47" t="str">
        <f>IF(archive!G2347="","",archive!G2347)</f>
        <v/>
      </c>
      <c r="H2347" s="51" t="str">
        <f>IF(archive!CJ2347="","",archive!CJ2347)</f>
        <v/>
      </c>
      <c r="I2347" s="51" t="str">
        <f>IF(archive!CK2347="","",archive!CK2347)</f>
        <v/>
      </c>
      <c r="J2347" s="47" t="str">
        <f t="shared" si="507"/>
        <v/>
      </c>
      <c r="K2347" s="51" t="str">
        <f t="shared" si="508"/>
        <v/>
      </c>
      <c r="L2347" s="52" t="str">
        <f t="shared" si="509"/>
        <v/>
      </c>
      <c r="M2347" s="53" t="str">
        <f t="shared" si="510"/>
        <v/>
      </c>
      <c r="N2347" s="53" t="str">
        <f t="shared" si="511"/>
        <v/>
      </c>
      <c r="O2347" s="53" t="str">
        <f t="shared" si="512"/>
        <v/>
      </c>
      <c r="P2347" s="53" t="str">
        <f t="shared" si="513"/>
        <v/>
      </c>
      <c r="Q2347" s="53" t="str">
        <f t="shared" si="514"/>
        <v/>
      </c>
      <c r="R2347" s="53" t="str">
        <f t="shared" si="515"/>
        <v/>
      </c>
      <c r="S2347" s="53" t="str">
        <f t="shared" si="516"/>
        <v/>
      </c>
      <c r="T2347" s="53" t="str">
        <f t="shared" si="517"/>
        <v/>
      </c>
    </row>
    <row r="2348" spans="1:20">
      <c r="A2348" s="47" t="str">
        <f>IF(archive!E2348="","",archive!E2348)</f>
        <v/>
      </c>
      <c r="B2348" s="48" t="str">
        <f t="shared" si="504"/>
        <v/>
      </c>
      <c r="C2348" s="49" t="str">
        <f>IF(archive!F2348="","",archive!F2348)</f>
        <v/>
      </c>
      <c r="D2348" s="50" t="str">
        <f t="shared" si="505"/>
        <v/>
      </c>
      <c r="E2348" s="50" t="str">
        <f t="shared" si="506"/>
        <v/>
      </c>
      <c r="F2348" s="47" t="str">
        <f>IF(COUNTA(archive!H2348:CI2348)=0,"",COUNTA(archive!H2348:CI2348))</f>
        <v/>
      </c>
      <c r="G2348" s="47" t="str">
        <f>IF(archive!G2348="","",archive!G2348)</f>
        <v/>
      </c>
      <c r="H2348" s="51" t="str">
        <f>IF(archive!CJ2348="","",archive!CJ2348)</f>
        <v/>
      </c>
      <c r="I2348" s="51" t="str">
        <f>IF(archive!CK2348="","",archive!CK2348)</f>
        <v/>
      </c>
      <c r="J2348" s="47" t="str">
        <f t="shared" si="507"/>
        <v/>
      </c>
      <c r="K2348" s="51" t="str">
        <f t="shared" si="508"/>
        <v/>
      </c>
      <c r="L2348" s="52" t="str">
        <f t="shared" si="509"/>
        <v/>
      </c>
      <c r="M2348" s="53" t="str">
        <f t="shared" si="510"/>
        <v/>
      </c>
      <c r="N2348" s="53" t="str">
        <f t="shared" si="511"/>
        <v/>
      </c>
      <c r="O2348" s="53" t="str">
        <f t="shared" si="512"/>
        <v/>
      </c>
      <c r="P2348" s="53" t="str">
        <f t="shared" si="513"/>
        <v/>
      </c>
      <c r="Q2348" s="53" t="str">
        <f t="shared" si="514"/>
        <v/>
      </c>
      <c r="R2348" s="53" t="str">
        <f t="shared" si="515"/>
        <v/>
      </c>
      <c r="S2348" s="53" t="str">
        <f t="shared" si="516"/>
        <v/>
      </c>
      <c r="T2348" s="53" t="str">
        <f t="shared" si="517"/>
        <v/>
      </c>
    </row>
    <row r="2349" spans="1:20">
      <c r="A2349" s="47" t="str">
        <f>IF(archive!E2349="","",archive!E2349)</f>
        <v/>
      </c>
      <c r="B2349" s="48" t="str">
        <f t="shared" si="504"/>
        <v/>
      </c>
      <c r="C2349" s="49" t="str">
        <f>IF(archive!F2349="","",archive!F2349)</f>
        <v/>
      </c>
      <c r="D2349" s="50" t="str">
        <f t="shared" si="505"/>
        <v/>
      </c>
      <c r="E2349" s="50" t="str">
        <f t="shared" si="506"/>
        <v/>
      </c>
      <c r="F2349" s="47" t="str">
        <f>IF(COUNTA(archive!H2349:CI2349)=0,"",COUNTA(archive!H2349:CI2349))</f>
        <v/>
      </c>
      <c r="G2349" s="47" t="str">
        <f>IF(archive!G2349="","",archive!G2349)</f>
        <v/>
      </c>
      <c r="H2349" s="51" t="str">
        <f>IF(archive!CJ2349="","",archive!CJ2349)</f>
        <v/>
      </c>
      <c r="I2349" s="51" t="str">
        <f>IF(archive!CK2349="","",archive!CK2349)</f>
        <v/>
      </c>
      <c r="J2349" s="47" t="str">
        <f t="shared" si="507"/>
        <v/>
      </c>
      <c r="K2349" s="51" t="str">
        <f t="shared" si="508"/>
        <v/>
      </c>
      <c r="L2349" s="52" t="str">
        <f t="shared" si="509"/>
        <v/>
      </c>
      <c r="M2349" s="53" t="str">
        <f t="shared" si="510"/>
        <v/>
      </c>
      <c r="N2349" s="53" t="str">
        <f t="shared" si="511"/>
        <v/>
      </c>
      <c r="O2349" s="53" t="str">
        <f t="shared" si="512"/>
        <v/>
      </c>
      <c r="P2349" s="53" t="str">
        <f t="shared" si="513"/>
        <v/>
      </c>
      <c r="Q2349" s="53" t="str">
        <f t="shared" si="514"/>
        <v/>
      </c>
      <c r="R2349" s="53" t="str">
        <f t="shared" si="515"/>
        <v/>
      </c>
      <c r="S2349" s="53" t="str">
        <f t="shared" si="516"/>
        <v/>
      </c>
      <c r="T2349" s="53" t="str">
        <f t="shared" si="517"/>
        <v/>
      </c>
    </row>
    <row r="2350" spans="1:20">
      <c r="A2350" s="47" t="str">
        <f>IF(archive!E2350="","",archive!E2350)</f>
        <v/>
      </c>
      <c r="B2350" s="48" t="str">
        <f t="shared" si="504"/>
        <v/>
      </c>
      <c r="C2350" s="49" t="str">
        <f>IF(archive!F2350="","",archive!F2350)</f>
        <v/>
      </c>
      <c r="D2350" s="50" t="str">
        <f t="shared" si="505"/>
        <v/>
      </c>
      <c r="E2350" s="50" t="str">
        <f t="shared" si="506"/>
        <v/>
      </c>
      <c r="F2350" s="47" t="str">
        <f>IF(COUNTA(archive!H2350:CI2350)=0,"",COUNTA(archive!H2350:CI2350))</f>
        <v/>
      </c>
      <c r="G2350" s="47" t="str">
        <f>IF(archive!G2350="","",archive!G2350)</f>
        <v/>
      </c>
      <c r="H2350" s="51" t="str">
        <f>IF(archive!CJ2350="","",archive!CJ2350)</f>
        <v/>
      </c>
      <c r="I2350" s="51" t="str">
        <f>IF(archive!CK2350="","",archive!CK2350)</f>
        <v/>
      </c>
      <c r="J2350" s="47" t="str">
        <f t="shared" si="507"/>
        <v/>
      </c>
      <c r="K2350" s="51" t="str">
        <f t="shared" si="508"/>
        <v/>
      </c>
      <c r="L2350" s="52" t="str">
        <f t="shared" si="509"/>
        <v/>
      </c>
      <c r="M2350" s="53" t="str">
        <f t="shared" si="510"/>
        <v/>
      </c>
      <c r="N2350" s="53" t="str">
        <f t="shared" si="511"/>
        <v/>
      </c>
      <c r="O2350" s="53" t="str">
        <f t="shared" si="512"/>
        <v/>
      </c>
      <c r="P2350" s="53" t="str">
        <f t="shared" si="513"/>
        <v/>
      </c>
      <c r="Q2350" s="53" t="str">
        <f t="shared" si="514"/>
        <v/>
      </c>
      <c r="R2350" s="53" t="str">
        <f t="shared" si="515"/>
        <v/>
      </c>
      <c r="S2350" s="53" t="str">
        <f t="shared" si="516"/>
        <v/>
      </c>
      <c r="T2350" s="53" t="str">
        <f t="shared" si="517"/>
        <v/>
      </c>
    </row>
    <row r="2351" spans="1:20">
      <c r="A2351" s="47" t="str">
        <f>IF(archive!E2351="","",archive!E2351)</f>
        <v/>
      </c>
      <c r="B2351" s="48" t="str">
        <f t="shared" si="504"/>
        <v/>
      </c>
      <c r="C2351" s="49" t="str">
        <f>IF(archive!F2351="","",archive!F2351)</f>
        <v/>
      </c>
      <c r="D2351" s="50" t="str">
        <f t="shared" si="505"/>
        <v/>
      </c>
      <c r="E2351" s="50" t="str">
        <f t="shared" si="506"/>
        <v/>
      </c>
      <c r="F2351" s="47" t="str">
        <f>IF(COUNTA(archive!H2351:CI2351)=0,"",COUNTA(archive!H2351:CI2351))</f>
        <v/>
      </c>
      <c r="G2351" s="47" t="str">
        <f>IF(archive!G2351="","",archive!G2351)</f>
        <v/>
      </c>
      <c r="H2351" s="51" t="str">
        <f>IF(archive!CJ2351="","",archive!CJ2351)</f>
        <v/>
      </c>
      <c r="I2351" s="51" t="str">
        <f>IF(archive!CK2351="","",archive!CK2351)</f>
        <v/>
      </c>
      <c r="J2351" s="47" t="str">
        <f t="shared" si="507"/>
        <v/>
      </c>
      <c r="K2351" s="51" t="str">
        <f t="shared" si="508"/>
        <v/>
      </c>
      <c r="L2351" s="52" t="str">
        <f t="shared" si="509"/>
        <v/>
      </c>
      <c r="M2351" s="53" t="str">
        <f t="shared" si="510"/>
        <v/>
      </c>
      <c r="N2351" s="53" t="str">
        <f t="shared" si="511"/>
        <v/>
      </c>
      <c r="O2351" s="53" t="str">
        <f t="shared" si="512"/>
        <v/>
      </c>
      <c r="P2351" s="53" t="str">
        <f t="shared" si="513"/>
        <v/>
      </c>
      <c r="Q2351" s="53" t="str">
        <f t="shared" si="514"/>
        <v/>
      </c>
      <c r="R2351" s="53" t="str">
        <f t="shared" si="515"/>
        <v/>
      </c>
      <c r="S2351" s="53" t="str">
        <f t="shared" si="516"/>
        <v/>
      </c>
      <c r="T2351" s="53" t="str">
        <f t="shared" si="517"/>
        <v/>
      </c>
    </row>
    <row r="2352" spans="1:20">
      <c r="A2352" s="47" t="str">
        <f>IF(archive!E2352="","",archive!E2352)</f>
        <v/>
      </c>
      <c r="B2352" s="48" t="str">
        <f t="shared" si="504"/>
        <v/>
      </c>
      <c r="C2352" s="49" t="str">
        <f>IF(archive!F2352="","",archive!F2352)</f>
        <v/>
      </c>
      <c r="D2352" s="50" t="str">
        <f t="shared" si="505"/>
        <v/>
      </c>
      <c r="E2352" s="50" t="str">
        <f t="shared" si="506"/>
        <v/>
      </c>
      <c r="F2352" s="47" t="str">
        <f>IF(COUNTA(archive!H2352:CI2352)=0,"",COUNTA(archive!H2352:CI2352))</f>
        <v/>
      </c>
      <c r="G2352" s="47" t="str">
        <f>IF(archive!G2352="","",archive!G2352)</f>
        <v/>
      </c>
      <c r="H2352" s="51" t="str">
        <f>IF(archive!CJ2352="","",archive!CJ2352)</f>
        <v/>
      </c>
      <c r="I2352" s="51" t="str">
        <f>IF(archive!CK2352="","",archive!CK2352)</f>
        <v/>
      </c>
      <c r="J2352" s="47" t="str">
        <f t="shared" si="507"/>
        <v/>
      </c>
      <c r="K2352" s="51" t="str">
        <f t="shared" si="508"/>
        <v/>
      </c>
      <c r="L2352" s="52" t="str">
        <f t="shared" si="509"/>
        <v/>
      </c>
      <c r="M2352" s="53" t="str">
        <f t="shared" si="510"/>
        <v/>
      </c>
      <c r="N2352" s="53" t="str">
        <f t="shared" si="511"/>
        <v/>
      </c>
      <c r="O2352" s="53" t="str">
        <f t="shared" si="512"/>
        <v/>
      </c>
      <c r="P2352" s="53" t="str">
        <f t="shared" si="513"/>
        <v/>
      </c>
      <c r="Q2352" s="53" t="str">
        <f t="shared" si="514"/>
        <v/>
      </c>
      <c r="R2352" s="53" t="str">
        <f t="shared" si="515"/>
        <v/>
      </c>
      <c r="S2352" s="53" t="str">
        <f t="shared" si="516"/>
        <v/>
      </c>
      <c r="T2352" s="53" t="str">
        <f t="shared" si="517"/>
        <v/>
      </c>
    </row>
    <row r="2353" spans="1:20">
      <c r="A2353" s="47" t="str">
        <f>IF(archive!E2353="","",archive!E2353)</f>
        <v/>
      </c>
      <c r="B2353" s="48" t="str">
        <f t="shared" si="504"/>
        <v/>
      </c>
      <c r="C2353" s="49" t="str">
        <f>IF(archive!F2353="","",archive!F2353)</f>
        <v/>
      </c>
      <c r="D2353" s="50" t="str">
        <f t="shared" si="505"/>
        <v/>
      </c>
      <c r="E2353" s="50" t="str">
        <f t="shared" si="506"/>
        <v/>
      </c>
      <c r="F2353" s="47" t="str">
        <f>IF(COUNTA(archive!H2353:CI2353)=0,"",COUNTA(archive!H2353:CI2353))</f>
        <v/>
      </c>
      <c r="G2353" s="47" t="str">
        <f>IF(archive!G2353="","",archive!G2353)</f>
        <v/>
      </c>
      <c r="H2353" s="51" t="str">
        <f>IF(archive!CJ2353="","",archive!CJ2353)</f>
        <v/>
      </c>
      <c r="I2353" s="51" t="str">
        <f>IF(archive!CK2353="","",archive!CK2353)</f>
        <v/>
      </c>
      <c r="J2353" s="47" t="str">
        <f t="shared" si="507"/>
        <v/>
      </c>
      <c r="K2353" s="51" t="str">
        <f t="shared" si="508"/>
        <v/>
      </c>
      <c r="L2353" s="52" t="str">
        <f t="shared" si="509"/>
        <v/>
      </c>
      <c r="M2353" s="53" t="str">
        <f t="shared" si="510"/>
        <v/>
      </c>
      <c r="N2353" s="53" t="str">
        <f t="shared" si="511"/>
        <v/>
      </c>
      <c r="O2353" s="53" t="str">
        <f t="shared" si="512"/>
        <v/>
      </c>
      <c r="P2353" s="53" t="str">
        <f t="shared" si="513"/>
        <v/>
      </c>
      <c r="Q2353" s="53" t="str">
        <f t="shared" si="514"/>
        <v/>
      </c>
      <c r="R2353" s="53" t="str">
        <f t="shared" si="515"/>
        <v/>
      </c>
      <c r="S2353" s="53" t="str">
        <f t="shared" si="516"/>
        <v/>
      </c>
      <c r="T2353" s="53" t="str">
        <f t="shared" si="517"/>
        <v/>
      </c>
    </row>
    <row r="2354" spans="1:20">
      <c r="A2354" s="47" t="str">
        <f>IF(archive!E2354="","",archive!E2354)</f>
        <v/>
      </c>
      <c r="B2354" s="48" t="str">
        <f t="shared" si="504"/>
        <v/>
      </c>
      <c r="C2354" s="49" t="str">
        <f>IF(archive!F2354="","",archive!F2354)</f>
        <v/>
      </c>
      <c r="D2354" s="50" t="str">
        <f t="shared" si="505"/>
        <v/>
      </c>
      <c r="E2354" s="50" t="str">
        <f t="shared" si="506"/>
        <v/>
      </c>
      <c r="F2354" s="47" t="str">
        <f>IF(COUNTA(archive!H2354:CI2354)=0,"",COUNTA(archive!H2354:CI2354))</f>
        <v/>
      </c>
      <c r="G2354" s="47" t="str">
        <f>IF(archive!G2354="","",archive!G2354)</f>
        <v/>
      </c>
      <c r="H2354" s="51" t="str">
        <f>IF(archive!CJ2354="","",archive!CJ2354)</f>
        <v/>
      </c>
      <c r="I2354" s="51" t="str">
        <f>IF(archive!CK2354="","",archive!CK2354)</f>
        <v/>
      </c>
      <c r="J2354" s="47" t="str">
        <f t="shared" si="507"/>
        <v/>
      </c>
      <c r="K2354" s="51" t="str">
        <f t="shared" si="508"/>
        <v/>
      </c>
      <c r="L2354" s="52" t="str">
        <f t="shared" si="509"/>
        <v/>
      </c>
      <c r="M2354" s="53" t="str">
        <f t="shared" si="510"/>
        <v/>
      </c>
      <c r="N2354" s="53" t="str">
        <f t="shared" si="511"/>
        <v/>
      </c>
      <c r="O2354" s="53" t="str">
        <f t="shared" si="512"/>
        <v/>
      </c>
      <c r="P2354" s="53" t="str">
        <f t="shared" si="513"/>
        <v/>
      </c>
      <c r="Q2354" s="53" t="str">
        <f t="shared" si="514"/>
        <v/>
      </c>
      <c r="R2354" s="53" t="str">
        <f t="shared" si="515"/>
        <v/>
      </c>
      <c r="S2354" s="53" t="str">
        <f t="shared" si="516"/>
        <v/>
      </c>
      <c r="T2354" s="53" t="str">
        <f t="shared" si="517"/>
        <v/>
      </c>
    </row>
    <row r="2355" spans="1:20">
      <c r="A2355" s="47" t="str">
        <f>IF(archive!E2355="","",archive!E2355)</f>
        <v/>
      </c>
      <c r="B2355" s="48" t="str">
        <f t="shared" si="504"/>
        <v/>
      </c>
      <c r="C2355" s="49" t="str">
        <f>IF(archive!F2355="","",archive!F2355)</f>
        <v/>
      </c>
      <c r="D2355" s="50" t="str">
        <f t="shared" si="505"/>
        <v/>
      </c>
      <c r="E2355" s="50" t="str">
        <f t="shared" si="506"/>
        <v/>
      </c>
      <c r="F2355" s="47" t="str">
        <f>IF(COUNTA(archive!H2355:CI2355)=0,"",COUNTA(archive!H2355:CI2355))</f>
        <v/>
      </c>
      <c r="G2355" s="47" t="str">
        <f>IF(archive!G2355="","",archive!G2355)</f>
        <v/>
      </c>
      <c r="H2355" s="51" t="str">
        <f>IF(archive!CJ2355="","",archive!CJ2355)</f>
        <v/>
      </c>
      <c r="I2355" s="51" t="str">
        <f>IF(archive!CK2355="","",archive!CK2355)</f>
        <v/>
      </c>
      <c r="J2355" s="47" t="str">
        <f t="shared" si="507"/>
        <v/>
      </c>
      <c r="K2355" s="51" t="str">
        <f t="shared" si="508"/>
        <v/>
      </c>
      <c r="L2355" s="52" t="str">
        <f t="shared" si="509"/>
        <v/>
      </c>
      <c r="M2355" s="53" t="str">
        <f t="shared" si="510"/>
        <v/>
      </c>
      <c r="N2355" s="53" t="str">
        <f t="shared" si="511"/>
        <v/>
      </c>
      <c r="O2355" s="53" t="str">
        <f t="shared" si="512"/>
        <v/>
      </c>
      <c r="P2355" s="53" t="str">
        <f t="shared" si="513"/>
        <v/>
      </c>
      <c r="Q2355" s="53" t="str">
        <f t="shared" si="514"/>
        <v/>
      </c>
      <c r="R2355" s="53" t="str">
        <f t="shared" si="515"/>
        <v/>
      </c>
      <c r="S2355" s="53" t="str">
        <f t="shared" si="516"/>
        <v/>
      </c>
      <c r="T2355" s="53" t="str">
        <f t="shared" si="517"/>
        <v/>
      </c>
    </row>
    <row r="2356" spans="1:20">
      <c r="A2356" s="47" t="str">
        <f>IF(archive!E2356="","",archive!E2356)</f>
        <v/>
      </c>
      <c r="B2356" s="48" t="str">
        <f t="shared" si="504"/>
        <v/>
      </c>
      <c r="C2356" s="49" t="str">
        <f>IF(archive!F2356="","",archive!F2356)</f>
        <v/>
      </c>
      <c r="D2356" s="50" t="str">
        <f t="shared" si="505"/>
        <v/>
      </c>
      <c r="E2356" s="50" t="str">
        <f t="shared" si="506"/>
        <v/>
      </c>
      <c r="F2356" s="47" t="str">
        <f>IF(COUNTA(archive!H2356:CI2356)=0,"",COUNTA(archive!H2356:CI2356))</f>
        <v/>
      </c>
      <c r="G2356" s="47" t="str">
        <f>IF(archive!G2356="","",archive!G2356)</f>
        <v/>
      </c>
      <c r="H2356" s="51" t="str">
        <f>IF(archive!CJ2356="","",archive!CJ2356)</f>
        <v/>
      </c>
      <c r="I2356" s="51" t="str">
        <f>IF(archive!CK2356="","",archive!CK2356)</f>
        <v/>
      </c>
      <c r="J2356" s="47" t="str">
        <f t="shared" si="507"/>
        <v/>
      </c>
      <c r="K2356" s="51" t="str">
        <f t="shared" si="508"/>
        <v/>
      </c>
      <c r="L2356" s="52" t="str">
        <f t="shared" si="509"/>
        <v/>
      </c>
      <c r="M2356" s="53" t="str">
        <f t="shared" si="510"/>
        <v/>
      </c>
      <c r="N2356" s="53" t="str">
        <f t="shared" si="511"/>
        <v/>
      </c>
      <c r="O2356" s="53" t="str">
        <f t="shared" si="512"/>
        <v/>
      </c>
      <c r="P2356" s="53" t="str">
        <f t="shared" si="513"/>
        <v/>
      </c>
      <c r="Q2356" s="53" t="str">
        <f t="shared" si="514"/>
        <v/>
      </c>
      <c r="R2356" s="53" t="str">
        <f t="shared" si="515"/>
        <v/>
      </c>
      <c r="S2356" s="53" t="str">
        <f t="shared" si="516"/>
        <v/>
      </c>
      <c r="T2356" s="53" t="str">
        <f t="shared" si="517"/>
        <v/>
      </c>
    </row>
    <row r="2357" spans="1:20">
      <c r="A2357" s="47" t="str">
        <f>IF(archive!E2357="","",archive!E2357)</f>
        <v/>
      </c>
      <c r="B2357" s="48" t="str">
        <f t="shared" si="504"/>
        <v/>
      </c>
      <c r="C2357" s="49" t="str">
        <f>IF(archive!F2357="","",archive!F2357)</f>
        <v/>
      </c>
      <c r="D2357" s="50" t="str">
        <f t="shared" si="505"/>
        <v/>
      </c>
      <c r="E2357" s="50" t="str">
        <f t="shared" si="506"/>
        <v/>
      </c>
      <c r="F2357" s="47" t="str">
        <f>IF(COUNTA(archive!H2357:CI2357)=0,"",COUNTA(archive!H2357:CI2357))</f>
        <v/>
      </c>
      <c r="G2357" s="47" t="str">
        <f>IF(archive!G2357="","",archive!G2357)</f>
        <v/>
      </c>
      <c r="H2357" s="51" t="str">
        <f>IF(archive!CJ2357="","",archive!CJ2357)</f>
        <v/>
      </c>
      <c r="I2357" s="51" t="str">
        <f>IF(archive!CK2357="","",archive!CK2357)</f>
        <v/>
      </c>
      <c r="J2357" s="47" t="str">
        <f t="shared" si="507"/>
        <v/>
      </c>
      <c r="K2357" s="51" t="str">
        <f t="shared" si="508"/>
        <v/>
      </c>
      <c r="L2357" s="52" t="str">
        <f t="shared" si="509"/>
        <v/>
      </c>
      <c r="M2357" s="53" t="str">
        <f t="shared" si="510"/>
        <v/>
      </c>
      <c r="N2357" s="53" t="str">
        <f t="shared" si="511"/>
        <v/>
      </c>
      <c r="O2357" s="53" t="str">
        <f t="shared" si="512"/>
        <v/>
      </c>
      <c r="P2357" s="53" t="str">
        <f t="shared" si="513"/>
        <v/>
      </c>
      <c r="Q2357" s="53" t="str">
        <f t="shared" si="514"/>
        <v/>
      </c>
      <c r="R2357" s="53" t="str">
        <f t="shared" si="515"/>
        <v/>
      </c>
      <c r="S2357" s="53" t="str">
        <f t="shared" si="516"/>
        <v/>
      </c>
      <c r="T2357" s="53" t="str">
        <f t="shared" si="517"/>
        <v/>
      </c>
    </row>
    <row r="2358" spans="1:20">
      <c r="A2358" s="47" t="str">
        <f>IF(archive!E2358="","",archive!E2358)</f>
        <v/>
      </c>
      <c r="B2358" s="48" t="str">
        <f t="shared" si="504"/>
        <v/>
      </c>
      <c r="C2358" s="49" t="str">
        <f>IF(archive!F2358="","",archive!F2358)</f>
        <v/>
      </c>
      <c r="D2358" s="50" t="str">
        <f t="shared" si="505"/>
        <v/>
      </c>
      <c r="E2358" s="50" t="str">
        <f t="shared" si="506"/>
        <v/>
      </c>
      <c r="F2358" s="47" t="str">
        <f>IF(COUNTA(archive!H2358:CI2358)=0,"",COUNTA(archive!H2358:CI2358))</f>
        <v/>
      </c>
      <c r="G2358" s="47" t="str">
        <f>IF(archive!G2358="","",archive!G2358)</f>
        <v/>
      </c>
      <c r="H2358" s="51" t="str">
        <f>IF(archive!CJ2358="","",archive!CJ2358)</f>
        <v/>
      </c>
      <c r="I2358" s="51" t="str">
        <f>IF(archive!CK2358="","",archive!CK2358)</f>
        <v/>
      </c>
      <c r="J2358" s="47" t="str">
        <f t="shared" si="507"/>
        <v/>
      </c>
      <c r="K2358" s="51" t="str">
        <f t="shared" si="508"/>
        <v/>
      </c>
      <c r="L2358" s="52" t="str">
        <f t="shared" si="509"/>
        <v/>
      </c>
      <c r="M2358" s="53" t="str">
        <f t="shared" si="510"/>
        <v/>
      </c>
      <c r="N2358" s="53" t="str">
        <f t="shared" si="511"/>
        <v/>
      </c>
      <c r="O2358" s="53" t="str">
        <f t="shared" si="512"/>
        <v/>
      </c>
      <c r="P2358" s="53" t="str">
        <f t="shared" si="513"/>
        <v/>
      </c>
      <c r="Q2358" s="53" t="str">
        <f t="shared" si="514"/>
        <v/>
      </c>
      <c r="R2358" s="53" t="str">
        <f t="shared" si="515"/>
        <v/>
      </c>
      <c r="S2358" s="53" t="str">
        <f t="shared" si="516"/>
        <v/>
      </c>
      <c r="T2358" s="53" t="str">
        <f t="shared" si="517"/>
        <v/>
      </c>
    </row>
    <row r="2359" spans="1:20">
      <c r="A2359" s="47" t="str">
        <f>IF(archive!E2359="","",archive!E2359)</f>
        <v/>
      </c>
      <c r="B2359" s="48" t="str">
        <f t="shared" si="504"/>
        <v/>
      </c>
      <c r="C2359" s="49" t="str">
        <f>IF(archive!F2359="","",archive!F2359)</f>
        <v/>
      </c>
      <c r="D2359" s="50" t="str">
        <f t="shared" si="505"/>
        <v/>
      </c>
      <c r="E2359" s="50" t="str">
        <f t="shared" si="506"/>
        <v/>
      </c>
      <c r="F2359" s="47" t="str">
        <f>IF(COUNTA(archive!H2359:CI2359)=0,"",COUNTA(archive!H2359:CI2359))</f>
        <v/>
      </c>
      <c r="G2359" s="47" t="str">
        <f>IF(archive!G2359="","",archive!G2359)</f>
        <v/>
      </c>
      <c r="H2359" s="51" t="str">
        <f>IF(archive!CJ2359="","",archive!CJ2359)</f>
        <v/>
      </c>
      <c r="I2359" s="51" t="str">
        <f>IF(archive!CK2359="","",archive!CK2359)</f>
        <v/>
      </c>
      <c r="J2359" s="47" t="str">
        <f t="shared" si="507"/>
        <v/>
      </c>
      <c r="K2359" s="51" t="str">
        <f t="shared" si="508"/>
        <v/>
      </c>
      <c r="L2359" s="52" t="str">
        <f t="shared" si="509"/>
        <v/>
      </c>
      <c r="M2359" s="53" t="str">
        <f t="shared" si="510"/>
        <v/>
      </c>
      <c r="N2359" s="53" t="str">
        <f t="shared" si="511"/>
        <v/>
      </c>
      <c r="O2359" s="53" t="str">
        <f t="shared" si="512"/>
        <v/>
      </c>
      <c r="P2359" s="53" t="str">
        <f t="shared" si="513"/>
        <v/>
      </c>
      <c r="Q2359" s="53" t="str">
        <f t="shared" si="514"/>
        <v/>
      </c>
      <c r="R2359" s="53" t="str">
        <f t="shared" si="515"/>
        <v/>
      </c>
      <c r="S2359" s="53" t="str">
        <f t="shared" si="516"/>
        <v/>
      </c>
      <c r="T2359" s="53" t="str">
        <f t="shared" si="517"/>
        <v/>
      </c>
    </row>
    <row r="2360" spans="1:20">
      <c r="A2360" s="47" t="str">
        <f>IF(archive!E2360="","",archive!E2360)</f>
        <v/>
      </c>
      <c r="B2360" s="48" t="str">
        <f t="shared" si="504"/>
        <v/>
      </c>
      <c r="C2360" s="49" t="str">
        <f>IF(archive!F2360="","",archive!F2360)</f>
        <v/>
      </c>
      <c r="D2360" s="50" t="str">
        <f t="shared" si="505"/>
        <v/>
      </c>
      <c r="E2360" s="50" t="str">
        <f t="shared" si="506"/>
        <v/>
      </c>
      <c r="F2360" s="47" t="str">
        <f>IF(COUNTA(archive!H2360:CI2360)=0,"",COUNTA(archive!H2360:CI2360))</f>
        <v/>
      </c>
      <c r="G2360" s="47" t="str">
        <f>IF(archive!G2360="","",archive!G2360)</f>
        <v/>
      </c>
      <c r="H2360" s="51" t="str">
        <f>IF(archive!CJ2360="","",archive!CJ2360)</f>
        <v/>
      </c>
      <c r="I2360" s="51" t="str">
        <f>IF(archive!CK2360="","",archive!CK2360)</f>
        <v/>
      </c>
      <c r="J2360" s="47" t="str">
        <f t="shared" si="507"/>
        <v/>
      </c>
      <c r="K2360" s="51" t="str">
        <f t="shared" si="508"/>
        <v/>
      </c>
      <c r="L2360" s="52" t="str">
        <f t="shared" si="509"/>
        <v/>
      </c>
      <c r="M2360" s="53" t="str">
        <f t="shared" si="510"/>
        <v/>
      </c>
      <c r="N2360" s="53" t="str">
        <f t="shared" si="511"/>
        <v/>
      </c>
      <c r="O2360" s="53" t="str">
        <f t="shared" si="512"/>
        <v/>
      </c>
      <c r="P2360" s="53" t="str">
        <f t="shared" si="513"/>
        <v/>
      </c>
      <c r="Q2360" s="53" t="str">
        <f t="shared" si="514"/>
        <v/>
      </c>
      <c r="R2360" s="53" t="str">
        <f t="shared" si="515"/>
        <v/>
      </c>
      <c r="S2360" s="53" t="str">
        <f t="shared" si="516"/>
        <v/>
      </c>
      <c r="T2360" s="53" t="str">
        <f t="shared" si="517"/>
        <v/>
      </c>
    </row>
    <row r="2361" spans="1:20">
      <c r="A2361" s="47" t="str">
        <f>IF(archive!E2361="","",archive!E2361)</f>
        <v/>
      </c>
      <c r="B2361" s="48" t="str">
        <f t="shared" si="504"/>
        <v/>
      </c>
      <c r="C2361" s="49" t="str">
        <f>IF(archive!F2361="","",archive!F2361)</f>
        <v/>
      </c>
      <c r="D2361" s="50" t="str">
        <f t="shared" si="505"/>
        <v/>
      </c>
      <c r="E2361" s="50" t="str">
        <f t="shared" si="506"/>
        <v/>
      </c>
      <c r="F2361" s="47" t="str">
        <f>IF(COUNTA(archive!H2361:CI2361)=0,"",COUNTA(archive!H2361:CI2361))</f>
        <v/>
      </c>
      <c r="G2361" s="47" t="str">
        <f>IF(archive!G2361="","",archive!G2361)</f>
        <v/>
      </c>
      <c r="H2361" s="51" t="str">
        <f>IF(archive!CJ2361="","",archive!CJ2361)</f>
        <v/>
      </c>
      <c r="I2361" s="51" t="str">
        <f>IF(archive!CK2361="","",archive!CK2361)</f>
        <v/>
      </c>
      <c r="J2361" s="47" t="str">
        <f t="shared" si="507"/>
        <v/>
      </c>
      <c r="K2361" s="51" t="str">
        <f t="shared" si="508"/>
        <v/>
      </c>
      <c r="L2361" s="52" t="str">
        <f t="shared" si="509"/>
        <v/>
      </c>
      <c r="M2361" s="53" t="str">
        <f t="shared" si="510"/>
        <v/>
      </c>
      <c r="N2361" s="53" t="str">
        <f t="shared" si="511"/>
        <v/>
      </c>
      <c r="O2361" s="53" t="str">
        <f t="shared" si="512"/>
        <v/>
      </c>
      <c r="P2361" s="53" t="str">
        <f t="shared" si="513"/>
        <v/>
      </c>
      <c r="Q2361" s="53" t="str">
        <f t="shared" si="514"/>
        <v/>
      </c>
      <c r="R2361" s="53" t="str">
        <f t="shared" si="515"/>
        <v/>
      </c>
      <c r="S2361" s="53" t="str">
        <f t="shared" si="516"/>
        <v/>
      </c>
      <c r="T2361" s="53" t="str">
        <f t="shared" si="517"/>
        <v/>
      </c>
    </row>
    <row r="2362" spans="1:20">
      <c r="A2362" s="47" t="str">
        <f>IF(archive!E2362="","",archive!E2362)</f>
        <v/>
      </c>
      <c r="B2362" s="48" t="str">
        <f t="shared" si="504"/>
        <v/>
      </c>
      <c r="C2362" s="49" t="str">
        <f>IF(archive!F2362="","",archive!F2362)</f>
        <v/>
      </c>
      <c r="D2362" s="50" t="str">
        <f t="shared" si="505"/>
        <v/>
      </c>
      <c r="E2362" s="50" t="str">
        <f t="shared" si="506"/>
        <v/>
      </c>
      <c r="F2362" s="47" t="str">
        <f>IF(COUNTA(archive!H2362:CI2362)=0,"",COUNTA(archive!H2362:CI2362))</f>
        <v/>
      </c>
      <c r="G2362" s="47" t="str">
        <f>IF(archive!G2362="","",archive!G2362)</f>
        <v/>
      </c>
      <c r="H2362" s="51" t="str">
        <f>IF(archive!CJ2362="","",archive!CJ2362)</f>
        <v/>
      </c>
      <c r="I2362" s="51" t="str">
        <f>IF(archive!CK2362="","",archive!CK2362)</f>
        <v/>
      </c>
      <c r="J2362" s="47" t="str">
        <f t="shared" si="507"/>
        <v/>
      </c>
      <c r="K2362" s="51" t="str">
        <f t="shared" si="508"/>
        <v/>
      </c>
      <c r="L2362" s="52" t="str">
        <f t="shared" si="509"/>
        <v/>
      </c>
      <c r="M2362" s="53" t="str">
        <f t="shared" si="510"/>
        <v/>
      </c>
      <c r="N2362" s="53" t="str">
        <f t="shared" si="511"/>
        <v/>
      </c>
      <c r="O2362" s="53" t="str">
        <f t="shared" si="512"/>
        <v/>
      </c>
      <c r="P2362" s="53" t="str">
        <f t="shared" si="513"/>
        <v/>
      </c>
      <c r="Q2362" s="53" t="str">
        <f t="shared" si="514"/>
        <v/>
      </c>
      <c r="R2362" s="53" t="str">
        <f t="shared" si="515"/>
        <v/>
      </c>
      <c r="S2362" s="53" t="str">
        <f t="shared" si="516"/>
        <v/>
      </c>
      <c r="T2362" s="53" t="str">
        <f t="shared" si="517"/>
        <v/>
      </c>
    </row>
    <row r="2363" spans="1:20">
      <c r="A2363" s="47" t="str">
        <f>IF(archive!E2363="","",archive!E2363)</f>
        <v/>
      </c>
      <c r="B2363" s="48" t="str">
        <f t="shared" si="504"/>
        <v/>
      </c>
      <c r="C2363" s="49" t="str">
        <f>IF(archive!F2363="","",archive!F2363)</f>
        <v/>
      </c>
      <c r="D2363" s="50" t="str">
        <f t="shared" si="505"/>
        <v/>
      </c>
      <c r="E2363" s="50" t="str">
        <f t="shared" si="506"/>
        <v/>
      </c>
      <c r="F2363" s="47" t="str">
        <f>IF(COUNTA(archive!H2363:CI2363)=0,"",COUNTA(archive!H2363:CI2363))</f>
        <v/>
      </c>
      <c r="G2363" s="47" t="str">
        <f>IF(archive!G2363="","",archive!G2363)</f>
        <v/>
      </c>
      <c r="H2363" s="51" t="str">
        <f>IF(archive!CJ2363="","",archive!CJ2363)</f>
        <v/>
      </c>
      <c r="I2363" s="51" t="str">
        <f>IF(archive!CK2363="","",archive!CK2363)</f>
        <v/>
      </c>
      <c r="J2363" s="47" t="str">
        <f t="shared" si="507"/>
        <v/>
      </c>
      <c r="K2363" s="51" t="str">
        <f t="shared" si="508"/>
        <v/>
      </c>
      <c r="L2363" s="52" t="str">
        <f t="shared" si="509"/>
        <v/>
      </c>
      <c r="M2363" s="53" t="str">
        <f t="shared" si="510"/>
        <v/>
      </c>
      <c r="N2363" s="53" t="str">
        <f t="shared" si="511"/>
        <v/>
      </c>
      <c r="O2363" s="53" t="str">
        <f t="shared" si="512"/>
        <v/>
      </c>
      <c r="P2363" s="53" t="str">
        <f t="shared" si="513"/>
        <v/>
      </c>
      <c r="Q2363" s="53" t="str">
        <f t="shared" si="514"/>
        <v/>
      </c>
      <c r="R2363" s="53" t="str">
        <f t="shared" si="515"/>
        <v/>
      </c>
      <c r="S2363" s="53" t="str">
        <f t="shared" si="516"/>
        <v/>
      </c>
      <c r="T2363" s="53" t="str">
        <f t="shared" si="517"/>
        <v/>
      </c>
    </row>
    <row r="2364" spans="1:20">
      <c r="A2364" s="47" t="str">
        <f>IF(archive!E2364="","",archive!E2364)</f>
        <v/>
      </c>
      <c r="B2364" s="48" t="str">
        <f t="shared" si="504"/>
        <v/>
      </c>
      <c r="C2364" s="49" t="str">
        <f>IF(archive!F2364="","",archive!F2364)</f>
        <v/>
      </c>
      <c r="D2364" s="50" t="str">
        <f t="shared" si="505"/>
        <v/>
      </c>
      <c r="E2364" s="50" t="str">
        <f t="shared" si="506"/>
        <v/>
      </c>
      <c r="F2364" s="47" t="str">
        <f>IF(COUNTA(archive!H2364:CI2364)=0,"",COUNTA(archive!H2364:CI2364))</f>
        <v/>
      </c>
      <c r="G2364" s="47" t="str">
        <f>IF(archive!G2364="","",archive!G2364)</f>
        <v/>
      </c>
      <c r="H2364" s="51" t="str">
        <f>IF(archive!CJ2364="","",archive!CJ2364)</f>
        <v/>
      </c>
      <c r="I2364" s="51" t="str">
        <f>IF(archive!CK2364="","",archive!CK2364)</f>
        <v/>
      </c>
      <c r="J2364" s="47" t="str">
        <f t="shared" si="507"/>
        <v/>
      </c>
      <c r="K2364" s="51" t="str">
        <f t="shared" si="508"/>
        <v/>
      </c>
      <c r="L2364" s="52" t="str">
        <f t="shared" si="509"/>
        <v/>
      </c>
      <c r="M2364" s="53" t="str">
        <f t="shared" si="510"/>
        <v/>
      </c>
      <c r="N2364" s="53" t="str">
        <f t="shared" si="511"/>
        <v/>
      </c>
      <c r="O2364" s="53" t="str">
        <f t="shared" si="512"/>
        <v/>
      </c>
      <c r="P2364" s="53" t="str">
        <f t="shared" si="513"/>
        <v/>
      </c>
      <c r="Q2364" s="53" t="str">
        <f t="shared" si="514"/>
        <v/>
      </c>
      <c r="R2364" s="53" t="str">
        <f t="shared" si="515"/>
        <v/>
      </c>
      <c r="S2364" s="53" t="str">
        <f t="shared" si="516"/>
        <v/>
      </c>
      <c r="T2364" s="53" t="str">
        <f t="shared" si="517"/>
        <v/>
      </c>
    </row>
    <row r="2365" spans="1:20">
      <c r="A2365" s="47" t="str">
        <f>IF(archive!E2365="","",archive!E2365)</f>
        <v/>
      </c>
      <c r="B2365" s="48" t="str">
        <f t="shared" si="504"/>
        <v/>
      </c>
      <c r="C2365" s="49" t="str">
        <f>IF(archive!F2365="","",archive!F2365)</f>
        <v/>
      </c>
      <c r="D2365" s="50" t="str">
        <f t="shared" si="505"/>
        <v/>
      </c>
      <c r="E2365" s="50" t="str">
        <f t="shared" si="506"/>
        <v/>
      </c>
      <c r="F2365" s="47" t="str">
        <f>IF(COUNTA(archive!H2365:CI2365)=0,"",COUNTA(archive!H2365:CI2365))</f>
        <v/>
      </c>
      <c r="G2365" s="47" t="str">
        <f>IF(archive!G2365="","",archive!G2365)</f>
        <v/>
      </c>
      <c r="H2365" s="51" t="str">
        <f>IF(archive!CJ2365="","",archive!CJ2365)</f>
        <v/>
      </c>
      <c r="I2365" s="51" t="str">
        <f>IF(archive!CK2365="","",archive!CK2365)</f>
        <v/>
      </c>
      <c r="J2365" s="47" t="str">
        <f t="shared" si="507"/>
        <v/>
      </c>
      <c r="K2365" s="51" t="str">
        <f t="shared" si="508"/>
        <v/>
      </c>
      <c r="L2365" s="52" t="str">
        <f t="shared" si="509"/>
        <v/>
      </c>
      <c r="M2365" s="53" t="str">
        <f t="shared" si="510"/>
        <v/>
      </c>
      <c r="N2365" s="53" t="str">
        <f t="shared" si="511"/>
        <v/>
      </c>
      <c r="O2365" s="53" t="str">
        <f t="shared" si="512"/>
        <v/>
      </c>
      <c r="P2365" s="53" t="str">
        <f t="shared" si="513"/>
        <v/>
      </c>
      <c r="Q2365" s="53" t="str">
        <f t="shared" si="514"/>
        <v/>
      </c>
      <c r="R2365" s="53" t="str">
        <f t="shared" si="515"/>
        <v/>
      </c>
      <c r="S2365" s="53" t="str">
        <f t="shared" si="516"/>
        <v/>
      </c>
      <c r="T2365" s="53" t="str">
        <f t="shared" si="517"/>
        <v/>
      </c>
    </row>
    <row r="2366" spans="1:20">
      <c r="A2366" s="47" t="str">
        <f>IF(archive!E2366="","",archive!E2366)</f>
        <v/>
      </c>
      <c r="B2366" s="48" t="str">
        <f t="shared" si="504"/>
        <v/>
      </c>
      <c r="C2366" s="49" t="str">
        <f>IF(archive!F2366="","",archive!F2366)</f>
        <v/>
      </c>
      <c r="D2366" s="50" t="str">
        <f t="shared" si="505"/>
        <v/>
      </c>
      <c r="E2366" s="50" t="str">
        <f t="shared" si="506"/>
        <v/>
      </c>
      <c r="F2366" s="47" t="str">
        <f>IF(COUNTA(archive!H2366:CI2366)=0,"",COUNTA(archive!H2366:CI2366))</f>
        <v/>
      </c>
      <c r="G2366" s="47" t="str">
        <f>IF(archive!G2366="","",archive!G2366)</f>
        <v/>
      </c>
      <c r="H2366" s="51" t="str">
        <f>IF(archive!CJ2366="","",archive!CJ2366)</f>
        <v/>
      </c>
      <c r="I2366" s="51" t="str">
        <f>IF(archive!CK2366="","",archive!CK2366)</f>
        <v/>
      </c>
      <c r="J2366" s="47" t="str">
        <f t="shared" si="507"/>
        <v/>
      </c>
      <c r="K2366" s="51" t="str">
        <f t="shared" si="508"/>
        <v/>
      </c>
      <c r="L2366" s="52" t="str">
        <f t="shared" si="509"/>
        <v/>
      </c>
      <c r="M2366" s="53" t="str">
        <f t="shared" si="510"/>
        <v/>
      </c>
      <c r="N2366" s="53" t="str">
        <f t="shared" si="511"/>
        <v/>
      </c>
      <c r="O2366" s="53" t="str">
        <f t="shared" si="512"/>
        <v/>
      </c>
      <c r="P2366" s="53" t="str">
        <f t="shared" si="513"/>
        <v/>
      </c>
      <c r="Q2366" s="53" t="str">
        <f t="shared" si="514"/>
        <v/>
      </c>
      <c r="R2366" s="53" t="str">
        <f t="shared" si="515"/>
        <v/>
      </c>
      <c r="S2366" s="53" t="str">
        <f t="shared" si="516"/>
        <v/>
      </c>
      <c r="T2366" s="53" t="str">
        <f t="shared" si="517"/>
        <v/>
      </c>
    </row>
    <row r="2367" spans="1:20">
      <c r="A2367" s="47" t="str">
        <f>IF(archive!E2367="","",archive!E2367)</f>
        <v/>
      </c>
      <c r="B2367" s="48" t="str">
        <f t="shared" si="504"/>
        <v/>
      </c>
      <c r="C2367" s="49" t="str">
        <f>IF(archive!F2367="","",archive!F2367)</f>
        <v/>
      </c>
      <c r="D2367" s="50" t="str">
        <f t="shared" si="505"/>
        <v/>
      </c>
      <c r="E2367" s="50" t="str">
        <f t="shared" si="506"/>
        <v/>
      </c>
      <c r="F2367" s="47" t="str">
        <f>IF(COUNTA(archive!H2367:CI2367)=0,"",COUNTA(archive!H2367:CI2367))</f>
        <v/>
      </c>
      <c r="G2367" s="47" t="str">
        <f>IF(archive!G2367="","",archive!G2367)</f>
        <v/>
      </c>
      <c r="H2367" s="51" t="str">
        <f>IF(archive!CJ2367="","",archive!CJ2367)</f>
        <v/>
      </c>
      <c r="I2367" s="51" t="str">
        <f>IF(archive!CK2367="","",archive!CK2367)</f>
        <v/>
      </c>
      <c r="J2367" s="47" t="str">
        <f t="shared" si="507"/>
        <v/>
      </c>
      <c r="K2367" s="51" t="str">
        <f t="shared" si="508"/>
        <v/>
      </c>
      <c r="L2367" s="52" t="str">
        <f t="shared" si="509"/>
        <v/>
      </c>
      <c r="M2367" s="53" t="str">
        <f t="shared" si="510"/>
        <v/>
      </c>
      <c r="N2367" s="53" t="str">
        <f t="shared" si="511"/>
        <v/>
      </c>
      <c r="O2367" s="53" t="str">
        <f t="shared" si="512"/>
        <v/>
      </c>
      <c r="P2367" s="53" t="str">
        <f t="shared" si="513"/>
        <v/>
      </c>
      <c r="Q2367" s="53" t="str">
        <f t="shared" si="514"/>
        <v/>
      </c>
      <c r="R2367" s="53" t="str">
        <f t="shared" si="515"/>
        <v/>
      </c>
      <c r="S2367" s="53" t="str">
        <f t="shared" si="516"/>
        <v/>
      </c>
      <c r="T2367" s="53" t="str">
        <f t="shared" si="517"/>
        <v/>
      </c>
    </row>
    <row r="2368" spans="1:20">
      <c r="A2368" s="47" t="str">
        <f>IF(archive!E2368="","",archive!E2368)</f>
        <v/>
      </c>
      <c r="B2368" s="48" t="str">
        <f t="shared" si="504"/>
        <v/>
      </c>
      <c r="C2368" s="49" t="str">
        <f>IF(archive!F2368="","",archive!F2368)</f>
        <v/>
      </c>
      <c r="D2368" s="50" t="str">
        <f t="shared" si="505"/>
        <v/>
      </c>
      <c r="E2368" s="50" t="str">
        <f t="shared" si="506"/>
        <v/>
      </c>
      <c r="F2368" s="47" t="str">
        <f>IF(COUNTA(archive!H2368:CI2368)=0,"",COUNTA(archive!H2368:CI2368))</f>
        <v/>
      </c>
      <c r="G2368" s="47" t="str">
        <f>IF(archive!G2368="","",archive!G2368)</f>
        <v/>
      </c>
      <c r="H2368" s="51" t="str">
        <f>IF(archive!CJ2368="","",archive!CJ2368)</f>
        <v/>
      </c>
      <c r="I2368" s="51" t="str">
        <f>IF(archive!CK2368="","",archive!CK2368)</f>
        <v/>
      </c>
      <c r="J2368" s="47" t="str">
        <f t="shared" si="507"/>
        <v/>
      </c>
      <c r="K2368" s="51" t="str">
        <f t="shared" si="508"/>
        <v/>
      </c>
      <c r="L2368" s="52" t="str">
        <f t="shared" si="509"/>
        <v/>
      </c>
      <c r="M2368" s="53" t="str">
        <f t="shared" si="510"/>
        <v/>
      </c>
      <c r="N2368" s="53" t="str">
        <f t="shared" si="511"/>
        <v/>
      </c>
      <c r="O2368" s="53" t="str">
        <f t="shared" si="512"/>
        <v/>
      </c>
      <c r="P2368" s="53" t="str">
        <f t="shared" si="513"/>
        <v/>
      </c>
      <c r="Q2368" s="53" t="str">
        <f t="shared" si="514"/>
        <v/>
      </c>
      <c r="R2368" s="53" t="str">
        <f t="shared" si="515"/>
        <v/>
      </c>
      <c r="S2368" s="53" t="str">
        <f t="shared" si="516"/>
        <v/>
      </c>
      <c r="T2368" s="53" t="str">
        <f t="shared" si="517"/>
        <v/>
      </c>
    </row>
    <row r="2369" spans="1:20">
      <c r="A2369" s="47" t="str">
        <f>IF(archive!E2369="","",archive!E2369)</f>
        <v/>
      </c>
      <c r="B2369" s="48" t="str">
        <f t="shared" si="504"/>
        <v/>
      </c>
      <c r="C2369" s="49" t="str">
        <f>IF(archive!F2369="","",archive!F2369)</f>
        <v/>
      </c>
      <c r="D2369" s="50" t="str">
        <f t="shared" si="505"/>
        <v/>
      </c>
      <c r="E2369" s="50" t="str">
        <f t="shared" si="506"/>
        <v/>
      </c>
      <c r="F2369" s="47" t="str">
        <f>IF(COUNTA(archive!H2369:CI2369)=0,"",COUNTA(archive!H2369:CI2369))</f>
        <v/>
      </c>
      <c r="G2369" s="47" t="str">
        <f>IF(archive!G2369="","",archive!G2369)</f>
        <v/>
      </c>
      <c r="H2369" s="51" t="str">
        <f>IF(archive!CJ2369="","",archive!CJ2369)</f>
        <v/>
      </c>
      <c r="I2369" s="51" t="str">
        <f>IF(archive!CK2369="","",archive!CK2369)</f>
        <v/>
      </c>
      <c r="J2369" s="47" t="str">
        <f t="shared" si="507"/>
        <v/>
      </c>
      <c r="K2369" s="51" t="str">
        <f t="shared" si="508"/>
        <v/>
      </c>
      <c r="L2369" s="52" t="str">
        <f t="shared" si="509"/>
        <v/>
      </c>
      <c r="M2369" s="53" t="str">
        <f t="shared" si="510"/>
        <v/>
      </c>
      <c r="N2369" s="53" t="str">
        <f t="shared" si="511"/>
        <v/>
      </c>
      <c r="O2369" s="53" t="str">
        <f t="shared" si="512"/>
        <v/>
      </c>
      <c r="P2369" s="53" t="str">
        <f t="shared" si="513"/>
        <v/>
      </c>
      <c r="Q2369" s="53" t="str">
        <f t="shared" si="514"/>
        <v/>
      </c>
      <c r="R2369" s="53" t="str">
        <f t="shared" si="515"/>
        <v/>
      </c>
      <c r="S2369" s="53" t="str">
        <f t="shared" si="516"/>
        <v/>
      </c>
      <c r="T2369" s="53" t="str">
        <f t="shared" si="517"/>
        <v/>
      </c>
    </row>
    <row r="2370" spans="1:20">
      <c r="A2370" s="47" t="str">
        <f>IF(archive!E2370="","",archive!E2370)</f>
        <v/>
      </c>
      <c r="B2370" s="48" t="str">
        <f t="shared" si="504"/>
        <v/>
      </c>
      <c r="C2370" s="49" t="str">
        <f>IF(archive!F2370="","",archive!F2370)</f>
        <v/>
      </c>
      <c r="D2370" s="50" t="str">
        <f t="shared" si="505"/>
        <v/>
      </c>
      <c r="E2370" s="50" t="str">
        <f t="shared" si="506"/>
        <v/>
      </c>
      <c r="F2370" s="47" t="str">
        <f>IF(COUNTA(archive!H2370:CI2370)=0,"",COUNTA(archive!H2370:CI2370))</f>
        <v/>
      </c>
      <c r="G2370" s="47" t="str">
        <f>IF(archive!G2370="","",archive!G2370)</f>
        <v/>
      </c>
      <c r="H2370" s="51" t="str">
        <f>IF(archive!CJ2370="","",archive!CJ2370)</f>
        <v/>
      </c>
      <c r="I2370" s="51" t="str">
        <f>IF(archive!CK2370="","",archive!CK2370)</f>
        <v/>
      </c>
      <c r="J2370" s="47" t="str">
        <f t="shared" si="507"/>
        <v/>
      </c>
      <c r="K2370" s="51" t="str">
        <f t="shared" si="508"/>
        <v/>
      </c>
      <c r="L2370" s="52" t="str">
        <f t="shared" si="509"/>
        <v/>
      </c>
      <c r="M2370" s="53" t="str">
        <f t="shared" si="510"/>
        <v/>
      </c>
      <c r="N2370" s="53" t="str">
        <f t="shared" si="511"/>
        <v/>
      </c>
      <c r="O2370" s="53" t="str">
        <f t="shared" si="512"/>
        <v/>
      </c>
      <c r="P2370" s="53" t="str">
        <f t="shared" si="513"/>
        <v/>
      </c>
      <c r="Q2370" s="53" t="str">
        <f t="shared" si="514"/>
        <v/>
      </c>
      <c r="R2370" s="53" t="str">
        <f t="shared" si="515"/>
        <v/>
      </c>
      <c r="S2370" s="53" t="str">
        <f t="shared" si="516"/>
        <v/>
      </c>
      <c r="T2370" s="53" t="str">
        <f t="shared" si="517"/>
        <v/>
      </c>
    </row>
    <row r="2371" spans="1:20">
      <c r="A2371" s="47" t="str">
        <f>IF(archive!E2371="","",archive!E2371)</f>
        <v/>
      </c>
      <c r="B2371" s="48" t="str">
        <f t="shared" si="504"/>
        <v/>
      </c>
      <c r="C2371" s="49" t="str">
        <f>IF(archive!F2371="","",archive!F2371)</f>
        <v/>
      </c>
      <c r="D2371" s="50" t="str">
        <f t="shared" si="505"/>
        <v/>
      </c>
      <c r="E2371" s="50" t="str">
        <f t="shared" si="506"/>
        <v/>
      </c>
      <c r="F2371" s="47" t="str">
        <f>IF(COUNTA(archive!H2371:CI2371)=0,"",COUNTA(archive!H2371:CI2371))</f>
        <v/>
      </c>
      <c r="G2371" s="47" t="str">
        <f>IF(archive!G2371="","",archive!G2371)</f>
        <v/>
      </c>
      <c r="H2371" s="51" t="str">
        <f>IF(archive!CJ2371="","",archive!CJ2371)</f>
        <v/>
      </c>
      <c r="I2371" s="51" t="str">
        <f>IF(archive!CK2371="","",archive!CK2371)</f>
        <v/>
      </c>
      <c r="J2371" s="47" t="str">
        <f t="shared" si="507"/>
        <v/>
      </c>
      <c r="K2371" s="51" t="str">
        <f t="shared" si="508"/>
        <v/>
      </c>
      <c r="L2371" s="52" t="str">
        <f t="shared" si="509"/>
        <v/>
      </c>
      <c r="M2371" s="53" t="str">
        <f t="shared" si="510"/>
        <v/>
      </c>
      <c r="N2371" s="53" t="str">
        <f t="shared" si="511"/>
        <v/>
      </c>
      <c r="O2371" s="53" t="str">
        <f t="shared" si="512"/>
        <v/>
      </c>
      <c r="P2371" s="53" t="str">
        <f t="shared" si="513"/>
        <v/>
      </c>
      <c r="Q2371" s="53" t="str">
        <f t="shared" si="514"/>
        <v/>
      </c>
      <c r="R2371" s="53" t="str">
        <f t="shared" si="515"/>
        <v/>
      </c>
      <c r="S2371" s="53" t="str">
        <f t="shared" si="516"/>
        <v/>
      </c>
      <c r="T2371" s="53" t="str">
        <f t="shared" si="517"/>
        <v/>
      </c>
    </row>
    <row r="2372" spans="1:20">
      <c r="A2372" s="47" t="str">
        <f>IF(archive!E2372="","",archive!E2372)</f>
        <v/>
      </c>
      <c r="B2372" s="48" t="str">
        <f t="shared" ref="B2372:B2435" si="518">IF(C2372="","",VLOOKUP($C2372,Tare,2,0))</f>
        <v/>
      </c>
      <c r="C2372" s="49" t="str">
        <f>IF(archive!F2372="","",archive!F2372)</f>
        <v/>
      </c>
      <c r="D2372" s="50" t="str">
        <f t="shared" ref="D2372:D2435" si="519">IF(C2372="","",C2372+B2372)</f>
        <v/>
      </c>
      <c r="E2372" s="50" t="str">
        <f t="shared" ref="E2372:E2435" si="520">IF(C2372="","",(C2372*0.025)+D2372)</f>
        <v/>
      </c>
      <c r="F2372" s="47" t="str">
        <f>IF(COUNTA(archive!H2372:CI2372)=0,"",COUNTA(archive!H2372:CI2372))</f>
        <v/>
      </c>
      <c r="G2372" s="47" t="str">
        <f>IF(archive!G2372="","",archive!G2372)</f>
        <v/>
      </c>
      <c r="H2372" s="51" t="str">
        <f>IF(archive!CJ2372="","",archive!CJ2372)</f>
        <v/>
      </c>
      <c r="I2372" s="51" t="str">
        <f>IF(archive!CK2372="","",archive!CK2372)</f>
        <v/>
      </c>
      <c r="J2372" s="47" t="str">
        <f t="shared" ref="J2372:J2435" si="521">IF(F2372="","",VLOOKUP(F2372,Valeur_g,2,0))</f>
        <v/>
      </c>
      <c r="K2372" s="51" t="str">
        <f t="shared" ref="K2372:K2435" si="522">IF(C2372="","",D2372+(J2372*I2372))</f>
        <v/>
      </c>
      <c r="L2372" s="52" t="str">
        <f t="shared" ref="L2372:L2435" si="523">IF(C2372="","",IF(K2372&lt;H2372,"Conforme","Non conforme"))</f>
        <v/>
      </c>
      <c r="M2372" s="53" t="str">
        <f t="shared" ref="M2372:M2435" si="524">IF(C2372="","",1)</f>
        <v/>
      </c>
      <c r="N2372" s="53" t="str">
        <f t="shared" ref="N2372:N2435" si="525">IF(L2372="","",COUNTIF(L2372,"Non conforme"))</f>
        <v/>
      </c>
      <c r="O2372" s="53" t="str">
        <f t="shared" ref="O2372:O2435" si="526">IF($C2372="","",IF($C2372=0.25,$G2372,"-"))</f>
        <v/>
      </c>
      <c r="P2372" s="53" t="str">
        <f t="shared" ref="P2372:P2435" si="527">IF($C2372="","",IF($C2372=0.4,$G2372,"-"))</f>
        <v/>
      </c>
      <c r="Q2372" s="53" t="str">
        <f t="shared" ref="Q2372:Q2435" si="528">IF($C2372="","",IF($C2372=0.5,$G2372,"-"))</f>
        <v/>
      </c>
      <c r="R2372" s="53" t="str">
        <f t="shared" ref="R2372:R2435" si="529">IF($C2372="","",IF($C2372=0.6,$G2372,"-"))</f>
        <v/>
      </c>
      <c r="S2372" s="53" t="str">
        <f t="shared" ref="S2372:S2435" si="530">IF($C2372="","",IF($C2372=0.8,$G2372,"-"))</f>
        <v/>
      </c>
      <c r="T2372" s="53" t="str">
        <f t="shared" ref="T2372:T2435" si="531">IF($C2372="","",IF($C2372=1,$G2372,"-"))</f>
        <v/>
      </c>
    </row>
    <row r="2373" spans="1:20">
      <c r="A2373" s="47" t="str">
        <f>IF(archive!E2373="","",archive!E2373)</f>
        <v/>
      </c>
      <c r="B2373" s="48" t="str">
        <f t="shared" si="518"/>
        <v/>
      </c>
      <c r="C2373" s="49" t="str">
        <f>IF(archive!F2373="","",archive!F2373)</f>
        <v/>
      </c>
      <c r="D2373" s="50" t="str">
        <f t="shared" si="519"/>
        <v/>
      </c>
      <c r="E2373" s="50" t="str">
        <f t="shared" si="520"/>
        <v/>
      </c>
      <c r="F2373" s="47" t="str">
        <f>IF(COUNTA(archive!H2373:CI2373)=0,"",COUNTA(archive!H2373:CI2373))</f>
        <v/>
      </c>
      <c r="G2373" s="47" t="str">
        <f>IF(archive!G2373="","",archive!G2373)</f>
        <v/>
      </c>
      <c r="H2373" s="51" t="str">
        <f>IF(archive!CJ2373="","",archive!CJ2373)</f>
        <v/>
      </c>
      <c r="I2373" s="51" t="str">
        <f>IF(archive!CK2373="","",archive!CK2373)</f>
        <v/>
      </c>
      <c r="J2373" s="47" t="str">
        <f t="shared" si="521"/>
        <v/>
      </c>
      <c r="K2373" s="51" t="str">
        <f t="shared" si="522"/>
        <v/>
      </c>
      <c r="L2373" s="52" t="str">
        <f t="shared" si="523"/>
        <v/>
      </c>
      <c r="M2373" s="53" t="str">
        <f t="shared" si="524"/>
        <v/>
      </c>
      <c r="N2373" s="53" t="str">
        <f t="shared" si="525"/>
        <v/>
      </c>
      <c r="O2373" s="53" t="str">
        <f t="shared" si="526"/>
        <v/>
      </c>
      <c r="P2373" s="53" t="str">
        <f t="shared" si="527"/>
        <v/>
      </c>
      <c r="Q2373" s="53" t="str">
        <f t="shared" si="528"/>
        <v/>
      </c>
      <c r="R2373" s="53" t="str">
        <f t="shared" si="529"/>
        <v/>
      </c>
      <c r="S2373" s="53" t="str">
        <f t="shared" si="530"/>
        <v/>
      </c>
      <c r="T2373" s="53" t="str">
        <f t="shared" si="531"/>
        <v/>
      </c>
    </row>
    <row r="2374" spans="1:20">
      <c r="A2374" s="47" t="str">
        <f>IF(archive!E2374="","",archive!E2374)</f>
        <v/>
      </c>
      <c r="B2374" s="48" t="str">
        <f t="shared" si="518"/>
        <v/>
      </c>
      <c r="C2374" s="49" t="str">
        <f>IF(archive!F2374="","",archive!F2374)</f>
        <v/>
      </c>
      <c r="D2374" s="50" t="str">
        <f t="shared" si="519"/>
        <v/>
      </c>
      <c r="E2374" s="50" t="str">
        <f t="shared" si="520"/>
        <v/>
      </c>
      <c r="F2374" s="47" t="str">
        <f>IF(COUNTA(archive!H2374:CI2374)=0,"",COUNTA(archive!H2374:CI2374))</f>
        <v/>
      </c>
      <c r="G2374" s="47" t="str">
        <f>IF(archive!G2374="","",archive!G2374)</f>
        <v/>
      </c>
      <c r="H2374" s="51" t="str">
        <f>IF(archive!CJ2374="","",archive!CJ2374)</f>
        <v/>
      </c>
      <c r="I2374" s="51" t="str">
        <f>IF(archive!CK2374="","",archive!CK2374)</f>
        <v/>
      </c>
      <c r="J2374" s="47" t="str">
        <f t="shared" si="521"/>
        <v/>
      </c>
      <c r="K2374" s="51" t="str">
        <f t="shared" si="522"/>
        <v/>
      </c>
      <c r="L2374" s="52" t="str">
        <f t="shared" si="523"/>
        <v/>
      </c>
      <c r="M2374" s="53" t="str">
        <f t="shared" si="524"/>
        <v/>
      </c>
      <c r="N2374" s="53" t="str">
        <f t="shared" si="525"/>
        <v/>
      </c>
      <c r="O2374" s="53" t="str">
        <f t="shared" si="526"/>
        <v/>
      </c>
      <c r="P2374" s="53" t="str">
        <f t="shared" si="527"/>
        <v/>
      </c>
      <c r="Q2374" s="53" t="str">
        <f t="shared" si="528"/>
        <v/>
      </c>
      <c r="R2374" s="53" t="str">
        <f t="shared" si="529"/>
        <v/>
      </c>
      <c r="S2374" s="53" t="str">
        <f t="shared" si="530"/>
        <v/>
      </c>
      <c r="T2374" s="53" t="str">
        <f t="shared" si="531"/>
        <v/>
      </c>
    </row>
    <row r="2375" spans="1:20">
      <c r="A2375" s="47" t="str">
        <f>IF(archive!E2375="","",archive!E2375)</f>
        <v/>
      </c>
      <c r="B2375" s="48" t="str">
        <f t="shared" si="518"/>
        <v/>
      </c>
      <c r="C2375" s="49" t="str">
        <f>IF(archive!F2375="","",archive!F2375)</f>
        <v/>
      </c>
      <c r="D2375" s="50" t="str">
        <f t="shared" si="519"/>
        <v/>
      </c>
      <c r="E2375" s="50" t="str">
        <f t="shared" si="520"/>
        <v/>
      </c>
      <c r="F2375" s="47" t="str">
        <f>IF(COUNTA(archive!H2375:CI2375)=0,"",COUNTA(archive!H2375:CI2375))</f>
        <v/>
      </c>
      <c r="G2375" s="47" t="str">
        <f>IF(archive!G2375="","",archive!G2375)</f>
        <v/>
      </c>
      <c r="H2375" s="51" t="str">
        <f>IF(archive!CJ2375="","",archive!CJ2375)</f>
        <v/>
      </c>
      <c r="I2375" s="51" t="str">
        <f>IF(archive!CK2375="","",archive!CK2375)</f>
        <v/>
      </c>
      <c r="J2375" s="47" t="str">
        <f t="shared" si="521"/>
        <v/>
      </c>
      <c r="K2375" s="51" t="str">
        <f t="shared" si="522"/>
        <v/>
      </c>
      <c r="L2375" s="52" t="str">
        <f t="shared" si="523"/>
        <v/>
      </c>
      <c r="M2375" s="53" t="str">
        <f t="shared" si="524"/>
        <v/>
      </c>
      <c r="N2375" s="53" t="str">
        <f t="shared" si="525"/>
        <v/>
      </c>
      <c r="O2375" s="53" t="str">
        <f t="shared" si="526"/>
        <v/>
      </c>
      <c r="P2375" s="53" t="str">
        <f t="shared" si="527"/>
        <v/>
      </c>
      <c r="Q2375" s="53" t="str">
        <f t="shared" si="528"/>
        <v/>
      </c>
      <c r="R2375" s="53" t="str">
        <f t="shared" si="529"/>
        <v/>
      </c>
      <c r="S2375" s="53" t="str">
        <f t="shared" si="530"/>
        <v/>
      </c>
      <c r="T2375" s="53" t="str">
        <f t="shared" si="531"/>
        <v/>
      </c>
    </row>
    <row r="2376" spans="1:20">
      <c r="A2376" s="47" t="str">
        <f>IF(archive!E2376="","",archive!E2376)</f>
        <v/>
      </c>
      <c r="B2376" s="48" t="str">
        <f t="shared" si="518"/>
        <v/>
      </c>
      <c r="C2376" s="49" t="str">
        <f>IF(archive!F2376="","",archive!F2376)</f>
        <v/>
      </c>
      <c r="D2376" s="50" t="str">
        <f t="shared" si="519"/>
        <v/>
      </c>
      <c r="E2376" s="50" t="str">
        <f t="shared" si="520"/>
        <v/>
      </c>
      <c r="F2376" s="47" t="str">
        <f>IF(COUNTA(archive!H2376:CI2376)=0,"",COUNTA(archive!H2376:CI2376))</f>
        <v/>
      </c>
      <c r="G2376" s="47" t="str">
        <f>IF(archive!G2376="","",archive!G2376)</f>
        <v/>
      </c>
      <c r="H2376" s="51" t="str">
        <f>IF(archive!CJ2376="","",archive!CJ2376)</f>
        <v/>
      </c>
      <c r="I2376" s="51" t="str">
        <f>IF(archive!CK2376="","",archive!CK2376)</f>
        <v/>
      </c>
      <c r="J2376" s="47" t="str">
        <f t="shared" si="521"/>
        <v/>
      </c>
      <c r="K2376" s="51" t="str">
        <f t="shared" si="522"/>
        <v/>
      </c>
      <c r="L2376" s="52" t="str">
        <f t="shared" si="523"/>
        <v/>
      </c>
      <c r="M2376" s="53" t="str">
        <f t="shared" si="524"/>
        <v/>
      </c>
      <c r="N2376" s="53" t="str">
        <f t="shared" si="525"/>
        <v/>
      </c>
      <c r="O2376" s="53" t="str">
        <f t="shared" si="526"/>
        <v/>
      </c>
      <c r="P2376" s="53" t="str">
        <f t="shared" si="527"/>
        <v/>
      </c>
      <c r="Q2376" s="53" t="str">
        <f t="shared" si="528"/>
        <v/>
      </c>
      <c r="R2376" s="53" t="str">
        <f t="shared" si="529"/>
        <v/>
      </c>
      <c r="S2376" s="53" t="str">
        <f t="shared" si="530"/>
        <v/>
      </c>
      <c r="T2376" s="53" t="str">
        <f t="shared" si="531"/>
        <v/>
      </c>
    </row>
    <row r="2377" spans="1:20">
      <c r="A2377" s="47" t="str">
        <f>IF(archive!E2377="","",archive!E2377)</f>
        <v/>
      </c>
      <c r="B2377" s="48" t="str">
        <f t="shared" si="518"/>
        <v/>
      </c>
      <c r="C2377" s="49" t="str">
        <f>IF(archive!F2377="","",archive!F2377)</f>
        <v/>
      </c>
      <c r="D2377" s="50" t="str">
        <f t="shared" si="519"/>
        <v/>
      </c>
      <c r="E2377" s="50" t="str">
        <f t="shared" si="520"/>
        <v/>
      </c>
      <c r="F2377" s="47" t="str">
        <f>IF(COUNTA(archive!H2377:CI2377)=0,"",COUNTA(archive!H2377:CI2377))</f>
        <v/>
      </c>
      <c r="G2377" s="47" t="str">
        <f>IF(archive!G2377="","",archive!G2377)</f>
        <v/>
      </c>
      <c r="H2377" s="51" t="str">
        <f>IF(archive!CJ2377="","",archive!CJ2377)</f>
        <v/>
      </c>
      <c r="I2377" s="51" t="str">
        <f>IF(archive!CK2377="","",archive!CK2377)</f>
        <v/>
      </c>
      <c r="J2377" s="47" t="str">
        <f t="shared" si="521"/>
        <v/>
      </c>
      <c r="K2377" s="51" t="str">
        <f t="shared" si="522"/>
        <v/>
      </c>
      <c r="L2377" s="52" t="str">
        <f t="shared" si="523"/>
        <v/>
      </c>
      <c r="M2377" s="53" t="str">
        <f t="shared" si="524"/>
        <v/>
      </c>
      <c r="N2377" s="53" t="str">
        <f t="shared" si="525"/>
        <v/>
      </c>
      <c r="O2377" s="53" t="str">
        <f t="shared" si="526"/>
        <v/>
      </c>
      <c r="P2377" s="53" t="str">
        <f t="shared" si="527"/>
        <v/>
      </c>
      <c r="Q2377" s="53" t="str">
        <f t="shared" si="528"/>
        <v/>
      </c>
      <c r="R2377" s="53" t="str">
        <f t="shared" si="529"/>
        <v/>
      </c>
      <c r="S2377" s="53" t="str">
        <f t="shared" si="530"/>
        <v/>
      </c>
      <c r="T2377" s="53" t="str">
        <f t="shared" si="531"/>
        <v/>
      </c>
    </row>
    <row r="2378" spans="1:20">
      <c r="A2378" s="47" t="str">
        <f>IF(archive!E2378="","",archive!E2378)</f>
        <v/>
      </c>
      <c r="B2378" s="48" t="str">
        <f t="shared" si="518"/>
        <v/>
      </c>
      <c r="C2378" s="49" t="str">
        <f>IF(archive!F2378="","",archive!F2378)</f>
        <v/>
      </c>
      <c r="D2378" s="50" t="str">
        <f t="shared" si="519"/>
        <v/>
      </c>
      <c r="E2378" s="50" t="str">
        <f t="shared" si="520"/>
        <v/>
      </c>
      <c r="F2378" s="47" t="str">
        <f>IF(COUNTA(archive!H2378:CI2378)=0,"",COUNTA(archive!H2378:CI2378))</f>
        <v/>
      </c>
      <c r="G2378" s="47" t="str">
        <f>IF(archive!G2378="","",archive!G2378)</f>
        <v/>
      </c>
      <c r="H2378" s="51" t="str">
        <f>IF(archive!CJ2378="","",archive!CJ2378)</f>
        <v/>
      </c>
      <c r="I2378" s="51" t="str">
        <f>IF(archive!CK2378="","",archive!CK2378)</f>
        <v/>
      </c>
      <c r="J2378" s="47" t="str">
        <f t="shared" si="521"/>
        <v/>
      </c>
      <c r="K2378" s="51" t="str">
        <f t="shared" si="522"/>
        <v/>
      </c>
      <c r="L2378" s="52" t="str">
        <f t="shared" si="523"/>
        <v/>
      </c>
      <c r="M2378" s="53" t="str">
        <f t="shared" si="524"/>
        <v/>
      </c>
      <c r="N2378" s="53" t="str">
        <f t="shared" si="525"/>
        <v/>
      </c>
      <c r="O2378" s="53" t="str">
        <f t="shared" si="526"/>
        <v/>
      </c>
      <c r="P2378" s="53" t="str">
        <f t="shared" si="527"/>
        <v/>
      </c>
      <c r="Q2378" s="53" t="str">
        <f t="shared" si="528"/>
        <v/>
      </c>
      <c r="R2378" s="53" t="str">
        <f t="shared" si="529"/>
        <v/>
      </c>
      <c r="S2378" s="53" t="str">
        <f t="shared" si="530"/>
        <v/>
      </c>
      <c r="T2378" s="53" t="str">
        <f t="shared" si="531"/>
        <v/>
      </c>
    </row>
    <row r="2379" spans="1:20">
      <c r="A2379" s="47" t="str">
        <f>IF(archive!E2379="","",archive!E2379)</f>
        <v/>
      </c>
      <c r="B2379" s="48" t="str">
        <f t="shared" si="518"/>
        <v/>
      </c>
      <c r="C2379" s="49" t="str">
        <f>IF(archive!F2379="","",archive!F2379)</f>
        <v/>
      </c>
      <c r="D2379" s="50" t="str">
        <f t="shared" si="519"/>
        <v/>
      </c>
      <c r="E2379" s="50" t="str">
        <f t="shared" si="520"/>
        <v/>
      </c>
      <c r="F2379" s="47" t="str">
        <f>IF(COUNTA(archive!H2379:CI2379)=0,"",COUNTA(archive!H2379:CI2379))</f>
        <v/>
      </c>
      <c r="G2379" s="47" t="str">
        <f>IF(archive!G2379="","",archive!G2379)</f>
        <v/>
      </c>
      <c r="H2379" s="51" t="str">
        <f>IF(archive!CJ2379="","",archive!CJ2379)</f>
        <v/>
      </c>
      <c r="I2379" s="51" t="str">
        <f>IF(archive!CK2379="","",archive!CK2379)</f>
        <v/>
      </c>
      <c r="J2379" s="47" t="str">
        <f t="shared" si="521"/>
        <v/>
      </c>
      <c r="K2379" s="51" t="str">
        <f t="shared" si="522"/>
        <v/>
      </c>
      <c r="L2379" s="52" t="str">
        <f t="shared" si="523"/>
        <v/>
      </c>
      <c r="M2379" s="53" t="str">
        <f t="shared" si="524"/>
        <v/>
      </c>
      <c r="N2379" s="53" t="str">
        <f t="shared" si="525"/>
        <v/>
      </c>
      <c r="O2379" s="53" t="str">
        <f t="shared" si="526"/>
        <v/>
      </c>
      <c r="P2379" s="53" t="str">
        <f t="shared" si="527"/>
        <v/>
      </c>
      <c r="Q2379" s="53" t="str">
        <f t="shared" si="528"/>
        <v/>
      </c>
      <c r="R2379" s="53" t="str">
        <f t="shared" si="529"/>
        <v/>
      </c>
      <c r="S2379" s="53" t="str">
        <f t="shared" si="530"/>
        <v/>
      </c>
      <c r="T2379" s="53" t="str">
        <f t="shared" si="531"/>
        <v/>
      </c>
    </row>
    <row r="2380" spans="1:20">
      <c r="A2380" s="47" t="str">
        <f>IF(archive!E2380="","",archive!E2380)</f>
        <v/>
      </c>
      <c r="B2380" s="48" t="str">
        <f t="shared" si="518"/>
        <v/>
      </c>
      <c r="C2380" s="49" t="str">
        <f>IF(archive!F2380="","",archive!F2380)</f>
        <v/>
      </c>
      <c r="D2380" s="50" t="str">
        <f t="shared" si="519"/>
        <v/>
      </c>
      <c r="E2380" s="50" t="str">
        <f t="shared" si="520"/>
        <v/>
      </c>
      <c r="F2380" s="47" t="str">
        <f>IF(COUNTA(archive!H2380:CI2380)=0,"",COUNTA(archive!H2380:CI2380))</f>
        <v/>
      </c>
      <c r="G2380" s="47" t="str">
        <f>IF(archive!G2380="","",archive!G2380)</f>
        <v/>
      </c>
      <c r="H2380" s="51" t="str">
        <f>IF(archive!CJ2380="","",archive!CJ2380)</f>
        <v/>
      </c>
      <c r="I2380" s="51" t="str">
        <f>IF(archive!CK2380="","",archive!CK2380)</f>
        <v/>
      </c>
      <c r="J2380" s="47" t="str">
        <f t="shared" si="521"/>
        <v/>
      </c>
      <c r="K2380" s="51" t="str">
        <f t="shared" si="522"/>
        <v/>
      </c>
      <c r="L2380" s="52" t="str">
        <f t="shared" si="523"/>
        <v/>
      </c>
      <c r="M2380" s="53" t="str">
        <f t="shared" si="524"/>
        <v/>
      </c>
      <c r="N2380" s="53" t="str">
        <f t="shared" si="525"/>
        <v/>
      </c>
      <c r="O2380" s="53" t="str">
        <f t="shared" si="526"/>
        <v/>
      </c>
      <c r="P2380" s="53" t="str">
        <f t="shared" si="527"/>
        <v/>
      </c>
      <c r="Q2380" s="53" t="str">
        <f t="shared" si="528"/>
        <v/>
      </c>
      <c r="R2380" s="53" t="str">
        <f t="shared" si="529"/>
        <v/>
      </c>
      <c r="S2380" s="53" t="str">
        <f t="shared" si="530"/>
        <v/>
      </c>
      <c r="T2380" s="53" t="str">
        <f t="shared" si="531"/>
        <v/>
      </c>
    </row>
    <row r="2381" spans="1:20">
      <c r="A2381" s="47" t="str">
        <f>IF(archive!E2381="","",archive!E2381)</f>
        <v/>
      </c>
      <c r="B2381" s="48" t="str">
        <f t="shared" si="518"/>
        <v/>
      </c>
      <c r="C2381" s="49" t="str">
        <f>IF(archive!F2381="","",archive!F2381)</f>
        <v/>
      </c>
      <c r="D2381" s="50" t="str">
        <f t="shared" si="519"/>
        <v/>
      </c>
      <c r="E2381" s="50" t="str">
        <f t="shared" si="520"/>
        <v/>
      </c>
      <c r="F2381" s="47" t="str">
        <f>IF(COUNTA(archive!H2381:CI2381)=0,"",COUNTA(archive!H2381:CI2381))</f>
        <v/>
      </c>
      <c r="G2381" s="47" t="str">
        <f>IF(archive!G2381="","",archive!G2381)</f>
        <v/>
      </c>
      <c r="H2381" s="51" t="str">
        <f>IF(archive!CJ2381="","",archive!CJ2381)</f>
        <v/>
      </c>
      <c r="I2381" s="51" t="str">
        <f>IF(archive!CK2381="","",archive!CK2381)</f>
        <v/>
      </c>
      <c r="J2381" s="47" t="str">
        <f t="shared" si="521"/>
        <v/>
      </c>
      <c r="K2381" s="51" t="str">
        <f t="shared" si="522"/>
        <v/>
      </c>
      <c r="L2381" s="52" t="str">
        <f t="shared" si="523"/>
        <v/>
      </c>
      <c r="M2381" s="53" t="str">
        <f t="shared" si="524"/>
        <v/>
      </c>
      <c r="N2381" s="53" t="str">
        <f t="shared" si="525"/>
        <v/>
      </c>
      <c r="O2381" s="53" t="str">
        <f t="shared" si="526"/>
        <v/>
      </c>
      <c r="P2381" s="53" t="str">
        <f t="shared" si="527"/>
        <v/>
      </c>
      <c r="Q2381" s="53" t="str">
        <f t="shared" si="528"/>
        <v/>
      </c>
      <c r="R2381" s="53" t="str">
        <f t="shared" si="529"/>
        <v/>
      </c>
      <c r="S2381" s="53" t="str">
        <f t="shared" si="530"/>
        <v/>
      </c>
      <c r="T2381" s="53" t="str">
        <f t="shared" si="531"/>
        <v/>
      </c>
    </row>
    <row r="2382" spans="1:20">
      <c r="A2382" s="47" t="str">
        <f>IF(archive!E2382="","",archive!E2382)</f>
        <v/>
      </c>
      <c r="B2382" s="48" t="str">
        <f t="shared" si="518"/>
        <v/>
      </c>
      <c r="C2382" s="49" t="str">
        <f>IF(archive!F2382="","",archive!F2382)</f>
        <v/>
      </c>
      <c r="D2382" s="50" t="str">
        <f t="shared" si="519"/>
        <v/>
      </c>
      <c r="E2382" s="50" t="str">
        <f t="shared" si="520"/>
        <v/>
      </c>
      <c r="F2382" s="47" t="str">
        <f>IF(COUNTA(archive!H2382:CI2382)=0,"",COUNTA(archive!H2382:CI2382))</f>
        <v/>
      </c>
      <c r="G2382" s="47" t="str">
        <f>IF(archive!G2382="","",archive!G2382)</f>
        <v/>
      </c>
      <c r="H2382" s="51" t="str">
        <f>IF(archive!CJ2382="","",archive!CJ2382)</f>
        <v/>
      </c>
      <c r="I2382" s="51" t="str">
        <f>IF(archive!CK2382="","",archive!CK2382)</f>
        <v/>
      </c>
      <c r="J2382" s="47" t="str">
        <f t="shared" si="521"/>
        <v/>
      </c>
      <c r="K2382" s="51" t="str">
        <f t="shared" si="522"/>
        <v/>
      </c>
      <c r="L2382" s="52" t="str">
        <f t="shared" si="523"/>
        <v/>
      </c>
      <c r="M2382" s="53" t="str">
        <f t="shared" si="524"/>
        <v/>
      </c>
      <c r="N2382" s="53" t="str">
        <f t="shared" si="525"/>
        <v/>
      </c>
      <c r="O2382" s="53" t="str">
        <f t="shared" si="526"/>
        <v/>
      </c>
      <c r="P2382" s="53" t="str">
        <f t="shared" si="527"/>
        <v/>
      </c>
      <c r="Q2382" s="53" t="str">
        <f t="shared" si="528"/>
        <v/>
      </c>
      <c r="R2382" s="53" t="str">
        <f t="shared" si="529"/>
        <v/>
      </c>
      <c r="S2382" s="53" t="str">
        <f t="shared" si="530"/>
        <v/>
      </c>
      <c r="T2382" s="53" t="str">
        <f t="shared" si="531"/>
        <v/>
      </c>
    </row>
    <row r="2383" spans="1:20">
      <c r="A2383" s="47" t="str">
        <f>IF(archive!E2383="","",archive!E2383)</f>
        <v/>
      </c>
      <c r="B2383" s="48" t="str">
        <f t="shared" si="518"/>
        <v/>
      </c>
      <c r="C2383" s="49" t="str">
        <f>IF(archive!F2383="","",archive!F2383)</f>
        <v/>
      </c>
      <c r="D2383" s="50" t="str">
        <f t="shared" si="519"/>
        <v/>
      </c>
      <c r="E2383" s="50" t="str">
        <f t="shared" si="520"/>
        <v/>
      </c>
      <c r="F2383" s="47" t="str">
        <f>IF(COUNTA(archive!H2383:CI2383)=0,"",COUNTA(archive!H2383:CI2383))</f>
        <v/>
      </c>
      <c r="G2383" s="47" t="str">
        <f>IF(archive!G2383="","",archive!G2383)</f>
        <v/>
      </c>
      <c r="H2383" s="51" t="str">
        <f>IF(archive!CJ2383="","",archive!CJ2383)</f>
        <v/>
      </c>
      <c r="I2383" s="51" t="str">
        <f>IF(archive!CK2383="","",archive!CK2383)</f>
        <v/>
      </c>
      <c r="J2383" s="47" t="str">
        <f t="shared" si="521"/>
        <v/>
      </c>
      <c r="K2383" s="51" t="str">
        <f t="shared" si="522"/>
        <v/>
      </c>
      <c r="L2383" s="52" t="str">
        <f t="shared" si="523"/>
        <v/>
      </c>
      <c r="M2383" s="53" t="str">
        <f t="shared" si="524"/>
        <v/>
      </c>
      <c r="N2383" s="53" t="str">
        <f t="shared" si="525"/>
        <v/>
      </c>
      <c r="O2383" s="53" t="str">
        <f t="shared" si="526"/>
        <v/>
      </c>
      <c r="P2383" s="53" t="str">
        <f t="shared" si="527"/>
        <v/>
      </c>
      <c r="Q2383" s="53" t="str">
        <f t="shared" si="528"/>
        <v/>
      </c>
      <c r="R2383" s="53" t="str">
        <f t="shared" si="529"/>
        <v/>
      </c>
      <c r="S2383" s="53" t="str">
        <f t="shared" si="530"/>
        <v/>
      </c>
      <c r="T2383" s="53" t="str">
        <f t="shared" si="531"/>
        <v/>
      </c>
    </row>
    <row r="2384" spans="1:20">
      <c r="A2384" s="47" t="str">
        <f>IF(archive!E2384="","",archive!E2384)</f>
        <v/>
      </c>
      <c r="B2384" s="48" t="str">
        <f t="shared" si="518"/>
        <v/>
      </c>
      <c r="C2384" s="49" t="str">
        <f>IF(archive!F2384="","",archive!F2384)</f>
        <v/>
      </c>
      <c r="D2384" s="50" t="str">
        <f t="shared" si="519"/>
        <v/>
      </c>
      <c r="E2384" s="50" t="str">
        <f t="shared" si="520"/>
        <v/>
      </c>
      <c r="F2384" s="47" t="str">
        <f>IF(COUNTA(archive!H2384:CI2384)=0,"",COUNTA(archive!H2384:CI2384))</f>
        <v/>
      </c>
      <c r="G2384" s="47" t="str">
        <f>IF(archive!G2384="","",archive!G2384)</f>
        <v/>
      </c>
      <c r="H2384" s="51" t="str">
        <f>IF(archive!CJ2384="","",archive!CJ2384)</f>
        <v/>
      </c>
      <c r="I2384" s="51" t="str">
        <f>IF(archive!CK2384="","",archive!CK2384)</f>
        <v/>
      </c>
      <c r="J2384" s="47" t="str">
        <f t="shared" si="521"/>
        <v/>
      </c>
      <c r="K2384" s="51" t="str">
        <f t="shared" si="522"/>
        <v/>
      </c>
      <c r="L2384" s="52" t="str">
        <f t="shared" si="523"/>
        <v/>
      </c>
      <c r="M2384" s="53" t="str">
        <f t="shared" si="524"/>
        <v/>
      </c>
      <c r="N2384" s="53" t="str">
        <f t="shared" si="525"/>
        <v/>
      </c>
      <c r="O2384" s="53" t="str">
        <f t="shared" si="526"/>
        <v/>
      </c>
      <c r="P2384" s="53" t="str">
        <f t="shared" si="527"/>
        <v/>
      </c>
      <c r="Q2384" s="53" t="str">
        <f t="shared" si="528"/>
        <v/>
      </c>
      <c r="R2384" s="53" t="str">
        <f t="shared" si="529"/>
        <v/>
      </c>
      <c r="S2384" s="53" t="str">
        <f t="shared" si="530"/>
        <v/>
      </c>
      <c r="T2384" s="53" t="str">
        <f t="shared" si="531"/>
        <v/>
      </c>
    </row>
    <row r="2385" spans="1:20">
      <c r="A2385" s="47" t="str">
        <f>IF(archive!E2385="","",archive!E2385)</f>
        <v/>
      </c>
      <c r="B2385" s="48" t="str">
        <f t="shared" si="518"/>
        <v/>
      </c>
      <c r="C2385" s="49" t="str">
        <f>IF(archive!F2385="","",archive!F2385)</f>
        <v/>
      </c>
      <c r="D2385" s="50" t="str">
        <f t="shared" si="519"/>
        <v/>
      </c>
      <c r="E2385" s="50" t="str">
        <f t="shared" si="520"/>
        <v/>
      </c>
      <c r="F2385" s="47" t="str">
        <f>IF(COUNTA(archive!H2385:CI2385)=0,"",COUNTA(archive!H2385:CI2385))</f>
        <v/>
      </c>
      <c r="G2385" s="47" t="str">
        <f>IF(archive!G2385="","",archive!G2385)</f>
        <v/>
      </c>
      <c r="H2385" s="51" t="str">
        <f>IF(archive!CJ2385="","",archive!CJ2385)</f>
        <v/>
      </c>
      <c r="I2385" s="51" t="str">
        <f>IF(archive!CK2385="","",archive!CK2385)</f>
        <v/>
      </c>
      <c r="J2385" s="47" t="str">
        <f t="shared" si="521"/>
        <v/>
      </c>
      <c r="K2385" s="51" t="str">
        <f t="shared" si="522"/>
        <v/>
      </c>
      <c r="L2385" s="52" t="str">
        <f t="shared" si="523"/>
        <v/>
      </c>
      <c r="M2385" s="53" t="str">
        <f t="shared" si="524"/>
        <v/>
      </c>
      <c r="N2385" s="53" t="str">
        <f t="shared" si="525"/>
        <v/>
      </c>
      <c r="O2385" s="53" t="str">
        <f t="shared" si="526"/>
        <v/>
      </c>
      <c r="P2385" s="53" t="str">
        <f t="shared" si="527"/>
        <v/>
      </c>
      <c r="Q2385" s="53" t="str">
        <f t="shared" si="528"/>
        <v/>
      </c>
      <c r="R2385" s="53" t="str">
        <f t="shared" si="529"/>
        <v/>
      </c>
      <c r="S2385" s="53" t="str">
        <f t="shared" si="530"/>
        <v/>
      </c>
      <c r="T2385" s="53" t="str">
        <f t="shared" si="531"/>
        <v/>
      </c>
    </row>
    <row r="2386" spans="1:20">
      <c r="A2386" s="47" t="str">
        <f>IF(archive!E2386="","",archive!E2386)</f>
        <v/>
      </c>
      <c r="B2386" s="48" t="str">
        <f t="shared" si="518"/>
        <v/>
      </c>
      <c r="C2386" s="49" t="str">
        <f>IF(archive!F2386="","",archive!F2386)</f>
        <v/>
      </c>
      <c r="D2386" s="50" t="str">
        <f t="shared" si="519"/>
        <v/>
      </c>
      <c r="E2386" s="50" t="str">
        <f t="shared" si="520"/>
        <v/>
      </c>
      <c r="F2386" s="47" t="str">
        <f>IF(COUNTA(archive!H2386:CI2386)=0,"",COUNTA(archive!H2386:CI2386))</f>
        <v/>
      </c>
      <c r="G2386" s="47" t="str">
        <f>IF(archive!G2386="","",archive!G2386)</f>
        <v/>
      </c>
      <c r="H2386" s="51" t="str">
        <f>IF(archive!CJ2386="","",archive!CJ2386)</f>
        <v/>
      </c>
      <c r="I2386" s="51" t="str">
        <f>IF(archive!CK2386="","",archive!CK2386)</f>
        <v/>
      </c>
      <c r="J2386" s="47" t="str">
        <f t="shared" si="521"/>
        <v/>
      </c>
      <c r="K2386" s="51" t="str">
        <f t="shared" si="522"/>
        <v/>
      </c>
      <c r="L2386" s="52" t="str">
        <f t="shared" si="523"/>
        <v/>
      </c>
      <c r="M2386" s="53" t="str">
        <f t="shared" si="524"/>
        <v/>
      </c>
      <c r="N2386" s="53" t="str">
        <f t="shared" si="525"/>
        <v/>
      </c>
      <c r="O2386" s="53" t="str">
        <f t="shared" si="526"/>
        <v/>
      </c>
      <c r="P2386" s="53" t="str">
        <f t="shared" si="527"/>
        <v/>
      </c>
      <c r="Q2386" s="53" t="str">
        <f t="shared" si="528"/>
        <v/>
      </c>
      <c r="R2386" s="53" t="str">
        <f t="shared" si="529"/>
        <v/>
      </c>
      <c r="S2386" s="53" t="str">
        <f t="shared" si="530"/>
        <v/>
      </c>
      <c r="T2386" s="53" t="str">
        <f t="shared" si="531"/>
        <v/>
      </c>
    </row>
    <row r="2387" spans="1:20">
      <c r="A2387" s="47" t="str">
        <f>IF(archive!E2387="","",archive!E2387)</f>
        <v/>
      </c>
      <c r="B2387" s="48" t="str">
        <f t="shared" si="518"/>
        <v/>
      </c>
      <c r="C2387" s="49" t="str">
        <f>IF(archive!F2387="","",archive!F2387)</f>
        <v/>
      </c>
      <c r="D2387" s="50" t="str">
        <f t="shared" si="519"/>
        <v/>
      </c>
      <c r="E2387" s="50" t="str">
        <f t="shared" si="520"/>
        <v/>
      </c>
      <c r="F2387" s="47" t="str">
        <f>IF(COUNTA(archive!H2387:CI2387)=0,"",COUNTA(archive!H2387:CI2387))</f>
        <v/>
      </c>
      <c r="G2387" s="47" t="str">
        <f>IF(archive!G2387="","",archive!G2387)</f>
        <v/>
      </c>
      <c r="H2387" s="51" t="str">
        <f>IF(archive!CJ2387="","",archive!CJ2387)</f>
        <v/>
      </c>
      <c r="I2387" s="51" t="str">
        <f>IF(archive!CK2387="","",archive!CK2387)</f>
        <v/>
      </c>
      <c r="J2387" s="47" t="str">
        <f t="shared" si="521"/>
        <v/>
      </c>
      <c r="K2387" s="51" t="str">
        <f t="shared" si="522"/>
        <v/>
      </c>
      <c r="L2387" s="52" t="str">
        <f t="shared" si="523"/>
        <v/>
      </c>
      <c r="M2387" s="53" t="str">
        <f t="shared" si="524"/>
        <v/>
      </c>
      <c r="N2387" s="53" t="str">
        <f t="shared" si="525"/>
        <v/>
      </c>
      <c r="O2387" s="53" t="str">
        <f t="shared" si="526"/>
        <v/>
      </c>
      <c r="P2387" s="53" t="str">
        <f t="shared" si="527"/>
        <v/>
      </c>
      <c r="Q2387" s="53" t="str">
        <f t="shared" si="528"/>
        <v/>
      </c>
      <c r="R2387" s="53" t="str">
        <f t="shared" si="529"/>
        <v/>
      </c>
      <c r="S2387" s="53" t="str">
        <f t="shared" si="530"/>
        <v/>
      </c>
      <c r="T2387" s="53" t="str">
        <f t="shared" si="531"/>
        <v/>
      </c>
    </row>
    <row r="2388" spans="1:20">
      <c r="A2388" s="47" t="str">
        <f>IF(archive!E2388="","",archive!E2388)</f>
        <v/>
      </c>
      <c r="B2388" s="48" t="str">
        <f t="shared" si="518"/>
        <v/>
      </c>
      <c r="C2388" s="49" t="str">
        <f>IF(archive!F2388="","",archive!F2388)</f>
        <v/>
      </c>
      <c r="D2388" s="50" t="str">
        <f t="shared" si="519"/>
        <v/>
      </c>
      <c r="E2388" s="50" t="str">
        <f t="shared" si="520"/>
        <v/>
      </c>
      <c r="F2388" s="47" t="str">
        <f>IF(COUNTA(archive!H2388:CI2388)=0,"",COUNTA(archive!H2388:CI2388))</f>
        <v/>
      </c>
      <c r="G2388" s="47" t="str">
        <f>IF(archive!G2388="","",archive!G2388)</f>
        <v/>
      </c>
      <c r="H2388" s="51" t="str">
        <f>IF(archive!CJ2388="","",archive!CJ2388)</f>
        <v/>
      </c>
      <c r="I2388" s="51" t="str">
        <f>IF(archive!CK2388="","",archive!CK2388)</f>
        <v/>
      </c>
      <c r="J2388" s="47" t="str">
        <f t="shared" si="521"/>
        <v/>
      </c>
      <c r="K2388" s="51" t="str">
        <f t="shared" si="522"/>
        <v/>
      </c>
      <c r="L2388" s="52" t="str">
        <f t="shared" si="523"/>
        <v/>
      </c>
      <c r="M2388" s="53" t="str">
        <f t="shared" si="524"/>
        <v/>
      </c>
      <c r="N2388" s="53" t="str">
        <f t="shared" si="525"/>
        <v/>
      </c>
      <c r="O2388" s="53" t="str">
        <f t="shared" si="526"/>
        <v/>
      </c>
      <c r="P2388" s="53" t="str">
        <f t="shared" si="527"/>
        <v/>
      </c>
      <c r="Q2388" s="53" t="str">
        <f t="shared" si="528"/>
        <v/>
      </c>
      <c r="R2388" s="53" t="str">
        <f t="shared" si="529"/>
        <v/>
      </c>
      <c r="S2388" s="53" t="str">
        <f t="shared" si="530"/>
        <v/>
      </c>
      <c r="T2388" s="53" t="str">
        <f t="shared" si="531"/>
        <v/>
      </c>
    </row>
    <row r="2389" spans="1:20">
      <c r="A2389" s="47" t="str">
        <f>IF(archive!E2389="","",archive!E2389)</f>
        <v/>
      </c>
      <c r="B2389" s="48" t="str">
        <f t="shared" si="518"/>
        <v/>
      </c>
      <c r="C2389" s="49" t="str">
        <f>IF(archive!F2389="","",archive!F2389)</f>
        <v/>
      </c>
      <c r="D2389" s="50" t="str">
        <f t="shared" si="519"/>
        <v/>
      </c>
      <c r="E2389" s="50" t="str">
        <f t="shared" si="520"/>
        <v/>
      </c>
      <c r="F2389" s="47" t="str">
        <f>IF(COUNTA(archive!H2389:CI2389)=0,"",COUNTA(archive!H2389:CI2389))</f>
        <v/>
      </c>
      <c r="G2389" s="47" t="str">
        <f>IF(archive!G2389="","",archive!G2389)</f>
        <v/>
      </c>
      <c r="H2389" s="51" t="str">
        <f>IF(archive!CJ2389="","",archive!CJ2389)</f>
        <v/>
      </c>
      <c r="I2389" s="51" t="str">
        <f>IF(archive!CK2389="","",archive!CK2389)</f>
        <v/>
      </c>
      <c r="J2389" s="47" t="str">
        <f t="shared" si="521"/>
        <v/>
      </c>
      <c r="K2389" s="51" t="str">
        <f t="shared" si="522"/>
        <v/>
      </c>
      <c r="L2389" s="52" t="str">
        <f t="shared" si="523"/>
        <v/>
      </c>
      <c r="M2389" s="53" t="str">
        <f t="shared" si="524"/>
        <v/>
      </c>
      <c r="N2389" s="53" t="str">
        <f t="shared" si="525"/>
        <v/>
      </c>
      <c r="O2389" s="53" t="str">
        <f t="shared" si="526"/>
        <v/>
      </c>
      <c r="P2389" s="53" t="str">
        <f t="shared" si="527"/>
        <v/>
      </c>
      <c r="Q2389" s="53" t="str">
        <f t="shared" si="528"/>
        <v/>
      </c>
      <c r="R2389" s="53" t="str">
        <f t="shared" si="529"/>
        <v/>
      </c>
      <c r="S2389" s="53" t="str">
        <f t="shared" si="530"/>
        <v/>
      </c>
      <c r="T2389" s="53" t="str">
        <f t="shared" si="531"/>
        <v/>
      </c>
    </row>
    <row r="2390" spans="1:20">
      <c r="A2390" s="47" t="str">
        <f>IF(archive!E2390="","",archive!E2390)</f>
        <v/>
      </c>
      <c r="B2390" s="48" t="str">
        <f t="shared" si="518"/>
        <v/>
      </c>
      <c r="C2390" s="49" t="str">
        <f>IF(archive!F2390="","",archive!F2390)</f>
        <v/>
      </c>
      <c r="D2390" s="50" t="str">
        <f t="shared" si="519"/>
        <v/>
      </c>
      <c r="E2390" s="50" t="str">
        <f t="shared" si="520"/>
        <v/>
      </c>
      <c r="F2390" s="47" t="str">
        <f>IF(COUNTA(archive!H2390:CI2390)=0,"",COUNTA(archive!H2390:CI2390))</f>
        <v/>
      </c>
      <c r="G2390" s="47" t="str">
        <f>IF(archive!G2390="","",archive!G2390)</f>
        <v/>
      </c>
      <c r="H2390" s="51" t="str">
        <f>IF(archive!CJ2390="","",archive!CJ2390)</f>
        <v/>
      </c>
      <c r="I2390" s="51" t="str">
        <f>IF(archive!CK2390="","",archive!CK2390)</f>
        <v/>
      </c>
      <c r="J2390" s="47" t="str">
        <f t="shared" si="521"/>
        <v/>
      </c>
      <c r="K2390" s="51" t="str">
        <f t="shared" si="522"/>
        <v/>
      </c>
      <c r="L2390" s="52" t="str">
        <f t="shared" si="523"/>
        <v/>
      </c>
      <c r="M2390" s="53" t="str">
        <f t="shared" si="524"/>
        <v/>
      </c>
      <c r="N2390" s="53" t="str">
        <f t="shared" si="525"/>
        <v/>
      </c>
      <c r="O2390" s="53" t="str">
        <f t="shared" si="526"/>
        <v/>
      </c>
      <c r="P2390" s="53" t="str">
        <f t="shared" si="527"/>
        <v/>
      </c>
      <c r="Q2390" s="53" t="str">
        <f t="shared" si="528"/>
        <v/>
      </c>
      <c r="R2390" s="53" t="str">
        <f t="shared" si="529"/>
        <v/>
      </c>
      <c r="S2390" s="53" t="str">
        <f t="shared" si="530"/>
        <v/>
      </c>
      <c r="T2390" s="53" t="str">
        <f t="shared" si="531"/>
        <v/>
      </c>
    </row>
    <row r="2391" spans="1:20">
      <c r="A2391" s="47" t="str">
        <f>IF(archive!E2391="","",archive!E2391)</f>
        <v/>
      </c>
      <c r="B2391" s="48" t="str">
        <f t="shared" si="518"/>
        <v/>
      </c>
      <c r="C2391" s="49" t="str">
        <f>IF(archive!F2391="","",archive!F2391)</f>
        <v/>
      </c>
      <c r="D2391" s="50" t="str">
        <f t="shared" si="519"/>
        <v/>
      </c>
      <c r="E2391" s="50" t="str">
        <f t="shared" si="520"/>
        <v/>
      </c>
      <c r="F2391" s="47" t="str">
        <f>IF(COUNTA(archive!H2391:CI2391)=0,"",COUNTA(archive!H2391:CI2391))</f>
        <v/>
      </c>
      <c r="G2391" s="47" t="str">
        <f>IF(archive!G2391="","",archive!G2391)</f>
        <v/>
      </c>
      <c r="H2391" s="51" t="str">
        <f>IF(archive!CJ2391="","",archive!CJ2391)</f>
        <v/>
      </c>
      <c r="I2391" s="51" t="str">
        <f>IF(archive!CK2391="","",archive!CK2391)</f>
        <v/>
      </c>
      <c r="J2391" s="47" t="str">
        <f t="shared" si="521"/>
        <v/>
      </c>
      <c r="K2391" s="51" t="str">
        <f t="shared" si="522"/>
        <v/>
      </c>
      <c r="L2391" s="52" t="str">
        <f t="shared" si="523"/>
        <v/>
      </c>
      <c r="M2391" s="53" t="str">
        <f t="shared" si="524"/>
        <v/>
      </c>
      <c r="N2391" s="53" t="str">
        <f t="shared" si="525"/>
        <v/>
      </c>
      <c r="O2391" s="53" t="str">
        <f t="shared" si="526"/>
        <v/>
      </c>
      <c r="P2391" s="53" t="str">
        <f t="shared" si="527"/>
        <v/>
      </c>
      <c r="Q2391" s="53" t="str">
        <f t="shared" si="528"/>
        <v/>
      </c>
      <c r="R2391" s="53" t="str">
        <f t="shared" si="529"/>
        <v/>
      </c>
      <c r="S2391" s="53" t="str">
        <f t="shared" si="530"/>
        <v/>
      </c>
      <c r="T2391" s="53" t="str">
        <f t="shared" si="531"/>
        <v/>
      </c>
    </row>
    <row r="2392" spans="1:20">
      <c r="A2392" s="47" t="str">
        <f>IF(archive!E2392="","",archive!E2392)</f>
        <v/>
      </c>
      <c r="B2392" s="48" t="str">
        <f t="shared" si="518"/>
        <v/>
      </c>
      <c r="C2392" s="49" t="str">
        <f>IF(archive!F2392="","",archive!F2392)</f>
        <v/>
      </c>
      <c r="D2392" s="50" t="str">
        <f t="shared" si="519"/>
        <v/>
      </c>
      <c r="E2392" s="50" t="str">
        <f t="shared" si="520"/>
        <v/>
      </c>
      <c r="F2392" s="47" t="str">
        <f>IF(COUNTA(archive!H2392:CI2392)=0,"",COUNTA(archive!H2392:CI2392))</f>
        <v/>
      </c>
      <c r="G2392" s="47" t="str">
        <f>IF(archive!G2392="","",archive!G2392)</f>
        <v/>
      </c>
      <c r="H2392" s="51" t="str">
        <f>IF(archive!CJ2392="","",archive!CJ2392)</f>
        <v/>
      </c>
      <c r="I2392" s="51" t="str">
        <f>IF(archive!CK2392="","",archive!CK2392)</f>
        <v/>
      </c>
      <c r="J2392" s="47" t="str">
        <f t="shared" si="521"/>
        <v/>
      </c>
      <c r="K2392" s="51" t="str">
        <f t="shared" si="522"/>
        <v/>
      </c>
      <c r="L2392" s="52" t="str">
        <f t="shared" si="523"/>
        <v/>
      </c>
      <c r="M2392" s="53" t="str">
        <f t="shared" si="524"/>
        <v/>
      </c>
      <c r="N2392" s="53" t="str">
        <f t="shared" si="525"/>
        <v/>
      </c>
      <c r="O2392" s="53" t="str">
        <f t="shared" si="526"/>
        <v/>
      </c>
      <c r="P2392" s="53" t="str">
        <f t="shared" si="527"/>
        <v/>
      </c>
      <c r="Q2392" s="53" t="str">
        <f t="shared" si="528"/>
        <v/>
      </c>
      <c r="R2392" s="53" t="str">
        <f t="shared" si="529"/>
        <v/>
      </c>
      <c r="S2392" s="53" t="str">
        <f t="shared" si="530"/>
        <v/>
      </c>
      <c r="T2392" s="53" t="str">
        <f t="shared" si="531"/>
        <v/>
      </c>
    </row>
    <row r="2393" spans="1:20">
      <c r="A2393" s="47" t="str">
        <f>IF(archive!E2393="","",archive!E2393)</f>
        <v/>
      </c>
      <c r="B2393" s="48" t="str">
        <f t="shared" si="518"/>
        <v/>
      </c>
      <c r="C2393" s="49" t="str">
        <f>IF(archive!F2393="","",archive!F2393)</f>
        <v/>
      </c>
      <c r="D2393" s="50" t="str">
        <f t="shared" si="519"/>
        <v/>
      </c>
      <c r="E2393" s="50" t="str">
        <f t="shared" si="520"/>
        <v/>
      </c>
      <c r="F2393" s="47" t="str">
        <f>IF(COUNTA(archive!H2393:CI2393)=0,"",COUNTA(archive!H2393:CI2393))</f>
        <v/>
      </c>
      <c r="G2393" s="47" t="str">
        <f>IF(archive!G2393="","",archive!G2393)</f>
        <v/>
      </c>
      <c r="H2393" s="51" t="str">
        <f>IF(archive!CJ2393="","",archive!CJ2393)</f>
        <v/>
      </c>
      <c r="I2393" s="51" t="str">
        <f>IF(archive!CK2393="","",archive!CK2393)</f>
        <v/>
      </c>
      <c r="J2393" s="47" t="str">
        <f t="shared" si="521"/>
        <v/>
      </c>
      <c r="K2393" s="51" t="str">
        <f t="shared" si="522"/>
        <v/>
      </c>
      <c r="L2393" s="52" t="str">
        <f t="shared" si="523"/>
        <v/>
      </c>
      <c r="M2393" s="53" t="str">
        <f t="shared" si="524"/>
        <v/>
      </c>
      <c r="N2393" s="53" t="str">
        <f t="shared" si="525"/>
        <v/>
      </c>
      <c r="O2393" s="53" t="str">
        <f t="shared" si="526"/>
        <v/>
      </c>
      <c r="P2393" s="53" t="str">
        <f t="shared" si="527"/>
        <v/>
      </c>
      <c r="Q2393" s="53" t="str">
        <f t="shared" si="528"/>
        <v/>
      </c>
      <c r="R2393" s="53" t="str">
        <f t="shared" si="529"/>
        <v/>
      </c>
      <c r="S2393" s="53" t="str">
        <f t="shared" si="530"/>
        <v/>
      </c>
      <c r="T2393" s="53" t="str">
        <f t="shared" si="531"/>
        <v/>
      </c>
    </row>
    <row r="2394" spans="1:20">
      <c r="A2394" s="47" t="str">
        <f>IF(archive!E2394="","",archive!E2394)</f>
        <v/>
      </c>
      <c r="B2394" s="48" t="str">
        <f t="shared" si="518"/>
        <v/>
      </c>
      <c r="C2394" s="49" t="str">
        <f>IF(archive!F2394="","",archive!F2394)</f>
        <v/>
      </c>
      <c r="D2394" s="50" t="str">
        <f t="shared" si="519"/>
        <v/>
      </c>
      <c r="E2394" s="50" t="str">
        <f t="shared" si="520"/>
        <v/>
      </c>
      <c r="F2394" s="47" t="str">
        <f>IF(COUNTA(archive!H2394:CI2394)=0,"",COUNTA(archive!H2394:CI2394))</f>
        <v/>
      </c>
      <c r="G2394" s="47" t="str">
        <f>IF(archive!G2394="","",archive!G2394)</f>
        <v/>
      </c>
      <c r="H2394" s="51" t="str">
        <f>IF(archive!CJ2394="","",archive!CJ2394)</f>
        <v/>
      </c>
      <c r="I2394" s="51" t="str">
        <f>IF(archive!CK2394="","",archive!CK2394)</f>
        <v/>
      </c>
      <c r="J2394" s="47" t="str">
        <f t="shared" si="521"/>
        <v/>
      </c>
      <c r="K2394" s="51" t="str">
        <f t="shared" si="522"/>
        <v/>
      </c>
      <c r="L2394" s="52" t="str">
        <f t="shared" si="523"/>
        <v/>
      </c>
      <c r="M2394" s="53" t="str">
        <f t="shared" si="524"/>
        <v/>
      </c>
      <c r="N2394" s="53" t="str">
        <f t="shared" si="525"/>
        <v/>
      </c>
      <c r="O2394" s="53" t="str">
        <f t="shared" si="526"/>
        <v/>
      </c>
      <c r="P2394" s="53" t="str">
        <f t="shared" si="527"/>
        <v/>
      </c>
      <c r="Q2394" s="53" t="str">
        <f t="shared" si="528"/>
        <v/>
      </c>
      <c r="R2394" s="53" t="str">
        <f t="shared" si="529"/>
        <v/>
      </c>
      <c r="S2394" s="53" t="str">
        <f t="shared" si="530"/>
        <v/>
      </c>
      <c r="T2394" s="53" t="str">
        <f t="shared" si="531"/>
        <v/>
      </c>
    </row>
    <row r="2395" spans="1:20">
      <c r="A2395" s="47" t="str">
        <f>IF(archive!E2395="","",archive!E2395)</f>
        <v/>
      </c>
      <c r="B2395" s="48" t="str">
        <f t="shared" si="518"/>
        <v/>
      </c>
      <c r="C2395" s="49" t="str">
        <f>IF(archive!F2395="","",archive!F2395)</f>
        <v/>
      </c>
      <c r="D2395" s="50" t="str">
        <f t="shared" si="519"/>
        <v/>
      </c>
      <c r="E2395" s="50" t="str">
        <f t="shared" si="520"/>
        <v/>
      </c>
      <c r="F2395" s="47" t="str">
        <f>IF(COUNTA(archive!H2395:CI2395)=0,"",COUNTA(archive!H2395:CI2395))</f>
        <v/>
      </c>
      <c r="G2395" s="47" t="str">
        <f>IF(archive!G2395="","",archive!G2395)</f>
        <v/>
      </c>
      <c r="H2395" s="51" t="str">
        <f>IF(archive!CJ2395="","",archive!CJ2395)</f>
        <v/>
      </c>
      <c r="I2395" s="51" t="str">
        <f>IF(archive!CK2395="","",archive!CK2395)</f>
        <v/>
      </c>
      <c r="J2395" s="47" t="str">
        <f t="shared" si="521"/>
        <v/>
      </c>
      <c r="K2395" s="51" t="str">
        <f t="shared" si="522"/>
        <v/>
      </c>
      <c r="L2395" s="52" t="str">
        <f t="shared" si="523"/>
        <v/>
      </c>
      <c r="M2395" s="53" t="str">
        <f t="shared" si="524"/>
        <v/>
      </c>
      <c r="N2395" s="53" t="str">
        <f t="shared" si="525"/>
        <v/>
      </c>
      <c r="O2395" s="53" t="str">
        <f t="shared" si="526"/>
        <v/>
      </c>
      <c r="P2395" s="53" t="str">
        <f t="shared" si="527"/>
        <v/>
      </c>
      <c r="Q2395" s="53" t="str">
        <f t="shared" si="528"/>
        <v/>
      </c>
      <c r="R2395" s="53" t="str">
        <f t="shared" si="529"/>
        <v/>
      </c>
      <c r="S2395" s="53" t="str">
        <f t="shared" si="530"/>
        <v/>
      </c>
      <c r="T2395" s="53" t="str">
        <f t="shared" si="531"/>
        <v/>
      </c>
    </row>
    <row r="2396" spans="1:20">
      <c r="A2396" s="47" t="str">
        <f>IF(archive!E2396="","",archive!E2396)</f>
        <v/>
      </c>
      <c r="B2396" s="48" t="str">
        <f t="shared" si="518"/>
        <v/>
      </c>
      <c r="C2396" s="49" t="str">
        <f>IF(archive!F2396="","",archive!F2396)</f>
        <v/>
      </c>
      <c r="D2396" s="50" t="str">
        <f t="shared" si="519"/>
        <v/>
      </c>
      <c r="E2396" s="50" t="str">
        <f t="shared" si="520"/>
        <v/>
      </c>
      <c r="F2396" s="47" t="str">
        <f>IF(COUNTA(archive!H2396:CI2396)=0,"",COUNTA(archive!H2396:CI2396))</f>
        <v/>
      </c>
      <c r="G2396" s="47" t="str">
        <f>IF(archive!G2396="","",archive!G2396)</f>
        <v/>
      </c>
      <c r="H2396" s="51" t="str">
        <f>IF(archive!CJ2396="","",archive!CJ2396)</f>
        <v/>
      </c>
      <c r="I2396" s="51" t="str">
        <f>IF(archive!CK2396="","",archive!CK2396)</f>
        <v/>
      </c>
      <c r="J2396" s="47" t="str">
        <f t="shared" si="521"/>
        <v/>
      </c>
      <c r="K2396" s="51" t="str">
        <f t="shared" si="522"/>
        <v/>
      </c>
      <c r="L2396" s="52" t="str">
        <f t="shared" si="523"/>
        <v/>
      </c>
      <c r="M2396" s="53" t="str">
        <f t="shared" si="524"/>
        <v/>
      </c>
      <c r="N2396" s="53" t="str">
        <f t="shared" si="525"/>
        <v/>
      </c>
      <c r="O2396" s="53" t="str">
        <f t="shared" si="526"/>
        <v/>
      </c>
      <c r="P2396" s="53" t="str">
        <f t="shared" si="527"/>
        <v/>
      </c>
      <c r="Q2396" s="53" t="str">
        <f t="shared" si="528"/>
        <v/>
      </c>
      <c r="R2396" s="53" t="str">
        <f t="shared" si="529"/>
        <v/>
      </c>
      <c r="S2396" s="53" t="str">
        <f t="shared" si="530"/>
        <v/>
      </c>
      <c r="T2396" s="53" t="str">
        <f t="shared" si="531"/>
        <v/>
      </c>
    </row>
    <row r="2397" spans="1:20">
      <c r="A2397" s="47" t="str">
        <f>IF(archive!E2397="","",archive!E2397)</f>
        <v/>
      </c>
      <c r="B2397" s="48" t="str">
        <f t="shared" si="518"/>
        <v/>
      </c>
      <c r="C2397" s="49" t="str">
        <f>IF(archive!F2397="","",archive!F2397)</f>
        <v/>
      </c>
      <c r="D2397" s="50" t="str">
        <f t="shared" si="519"/>
        <v/>
      </c>
      <c r="E2397" s="50" t="str">
        <f t="shared" si="520"/>
        <v/>
      </c>
      <c r="F2397" s="47" t="str">
        <f>IF(COUNTA(archive!H2397:CI2397)=0,"",COUNTA(archive!H2397:CI2397))</f>
        <v/>
      </c>
      <c r="G2397" s="47" t="str">
        <f>IF(archive!G2397="","",archive!G2397)</f>
        <v/>
      </c>
      <c r="H2397" s="51" t="str">
        <f>IF(archive!CJ2397="","",archive!CJ2397)</f>
        <v/>
      </c>
      <c r="I2397" s="51" t="str">
        <f>IF(archive!CK2397="","",archive!CK2397)</f>
        <v/>
      </c>
      <c r="J2397" s="47" t="str">
        <f t="shared" si="521"/>
        <v/>
      </c>
      <c r="K2397" s="51" t="str">
        <f t="shared" si="522"/>
        <v/>
      </c>
      <c r="L2397" s="52" t="str">
        <f t="shared" si="523"/>
        <v/>
      </c>
      <c r="M2397" s="53" t="str">
        <f t="shared" si="524"/>
        <v/>
      </c>
      <c r="N2397" s="53" t="str">
        <f t="shared" si="525"/>
        <v/>
      </c>
      <c r="O2397" s="53" t="str">
        <f t="shared" si="526"/>
        <v/>
      </c>
      <c r="P2397" s="53" t="str">
        <f t="shared" si="527"/>
        <v/>
      </c>
      <c r="Q2397" s="53" t="str">
        <f t="shared" si="528"/>
        <v/>
      </c>
      <c r="R2397" s="53" t="str">
        <f t="shared" si="529"/>
        <v/>
      </c>
      <c r="S2397" s="53" t="str">
        <f t="shared" si="530"/>
        <v/>
      </c>
      <c r="T2397" s="53" t="str">
        <f t="shared" si="531"/>
        <v/>
      </c>
    </row>
    <row r="2398" spans="1:20">
      <c r="A2398" s="47" t="str">
        <f>IF(archive!E2398="","",archive!E2398)</f>
        <v/>
      </c>
      <c r="B2398" s="48" t="str">
        <f t="shared" si="518"/>
        <v/>
      </c>
      <c r="C2398" s="49" t="str">
        <f>IF(archive!F2398="","",archive!F2398)</f>
        <v/>
      </c>
      <c r="D2398" s="50" t="str">
        <f t="shared" si="519"/>
        <v/>
      </c>
      <c r="E2398" s="50" t="str">
        <f t="shared" si="520"/>
        <v/>
      </c>
      <c r="F2398" s="47" t="str">
        <f>IF(COUNTA(archive!H2398:CI2398)=0,"",COUNTA(archive!H2398:CI2398))</f>
        <v/>
      </c>
      <c r="G2398" s="47" t="str">
        <f>IF(archive!G2398="","",archive!G2398)</f>
        <v/>
      </c>
      <c r="H2398" s="51" t="str">
        <f>IF(archive!CJ2398="","",archive!CJ2398)</f>
        <v/>
      </c>
      <c r="I2398" s="51" t="str">
        <f>IF(archive!CK2398="","",archive!CK2398)</f>
        <v/>
      </c>
      <c r="J2398" s="47" t="str">
        <f t="shared" si="521"/>
        <v/>
      </c>
      <c r="K2398" s="51" t="str">
        <f t="shared" si="522"/>
        <v/>
      </c>
      <c r="L2398" s="52" t="str">
        <f t="shared" si="523"/>
        <v/>
      </c>
      <c r="M2398" s="53" t="str">
        <f t="shared" si="524"/>
        <v/>
      </c>
      <c r="N2398" s="53" t="str">
        <f t="shared" si="525"/>
        <v/>
      </c>
      <c r="O2398" s="53" t="str">
        <f t="shared" si="526"/>
        <v/>
      </c>
      <c r="P2398" s="53" t="str">
        <f t="shared" si="527"/>
        <v/>
      </c>
      <c r="Q2398" s="53" t="str">
        <f t="shared" si="528"/>
        <v/>
      </c>
      <c r="R2398" s="53" t="str">
        <f t="shared" si="529"/>
        <v/>
      </c>
      <c r="S2398" s="53" t="str">
        <f t="shared" si="530"/>
        <v/>
      </c>
      <c r="T2398" s="53" t="str">
        <f t="shared" si="531"/>
        <v/>
      </c>
    </row>
    <row r="2399" spans="1:20">
      <c r="A2399" s="47" t="str">
        <f>IF(archive!E2399="","",archive!E2399)</f>
        <v/>
      </c>
      <c r="B2399" s="48" t="str">
        <f t="shared" si="518"/>
        <v/>
      </c>
      <c r="C2399" s="49" t="str">
        <f>IF(archive!F2399="","",archive!F2399)</f>
        <v/>
      </c>
      <c r="D2399" s="50" t="str">
        <f t="shared" si="519"/>
        <v/>
      </c>
      <c r="E2399" s="50" t="str">
        <f t="shared" si="520"/>
        <v/>
      </c>
      <c r="F2399" s="47" t="str">
        <f>IF(COUNTA(archive!H2399:CI2399)=0,"",COUNTA(archive!H2399:CI2399))</f>
        <v/>
      </c>
      <c r="G2399" s="47" t="str">
        <f>IF(archive!G2399="","",archive!G2399)</f>
        <v/>
      </c>
      <c r="H2399" s="51" t="str">
        <f>IF(archive!CJ2399="","",archive!CJ2399)</f>
        <v/>
      </c>
      <c r="I2399" s="51" t="str">
        <f>IF(archive!CK2399="","",archive!CK2399)</f>
        <v/>
      </c>
      <c r="J2399" s="47" t="str">
        <f t="shared" si="521"/>
        <v/>
      </c>
      <c r="K2399" s="51" t="str">
        <f t="shared" si="522"/>
        <v/>
      </c>
      <c r="L2399" s="52" t="str">
        <f t="shared" si="523"/>
        <v/>
      </c>
      <c r="M2399" s="53" t="str">
        <f t="shared" si="524"/>
        <v/>
      </c>
      <c r="N2399" s="53" t="str">
        <f t="shared" si="525"/>
        <v/>
      </c>
      <c r="O2399" s="53" t="str">
        <f t="shared" si="526"/>
        <v/>
      </c>
      <c r="P2399" s="53" t="str">
        <f t="shared" si="527"/>
        <v/>
      </c>
      <c r="Q2399" s="53" t="str">
        <f t="shared" si="528"/>
        <v/>
      </c>
      <c r="R2399" s="53" t="str">
        <f t="shared" si="529"/>
        <v/>
      </c>
      <c r="S2399" s="53" t="str">
        <f t="shared" si="530"/>
        <v/>
      </c>
      <c r="T2399" s="53" t="str">
        <f t="shared" si="531"/>
        <v/>
      </c>
    </row>
    <row r="2400" spans="1:20">
      <c r="A2400" s="47" t="str">
        <f>IF(archive!E2400="","",archive!E2400)</f>
        <v/>
      </c>
      <c r="B2400" s="48" t="str">
        <f t="shared" si="518"/>
        <v/>
      </c>
      <c r="C2400" s="49" t="str">
        <f>IF(archive!F2400="","",archive!F2400)</f>
        <v/>
      </c>
      <c r="D2400" s="50" t="str">
        <f t="shared" si="519"/>
        <v/>
      </c>
      <c r="E2400" s="50" t="str">
        <f t="shared" si="520"/>
        <v/>
      </c>
      <c r="F2400" s="47" t="str">
        <f>IF(COUNTA(archive!H2400:CI2400)=0,"",COUNTA(archive!H2400:CI2400))</f>
        <v/>
      </c>
      <c r="G2400" s="47" t="str">
        <f>IF(archive!G2400="","",archive!G2400)</f>
        <v/>
      </c>
      <c r="H2400" s="51" t="str">
        <f>IF(archive!CJ2400="","",archive!CJ2400)</f>
        <v/>
      </c>
      <c r="I2400" s="51" t="str">
        <f>IF(archive!CK2400="","",archive!CK2400)</f>
        <v/>
      </c>
      <c r="J2400" s="47" t="str">
        <f t="shared" si="521"/>
        <v/>
      </c>
      <c r="K2400" s="51" t="str">
        <f t="shared" si="522"/>
        <v/>
      </c>
      <c r="L2400" s="52" t="str">
        <f t="shared" si="523"/>
        <v/>
      </c>
      <c r="M2400" s="53" t="str">
        <f t="shared" si="524"/>
        <v/>
      </c>
      <c r="N2400" s="53" t="str">
        <f t="shared" si="525"/>
        <v/>
      </c>
      <c r="O2400" s="53" t="str">
        <f t="shared" si="526"/>
        <v/>
      </c>
      <c r="P2400" s="53" t="str">
        <f t="shared" si="527"/>
        <v/>
      </c>
      <c r="Q2400" s="53" t="str">
        <f t="shared" si="528"/>
        <v/>
      </c>
      <c r="R2400" s="53" t="str">
        <f t="shared" si="529"/>
        <v/>
      </c>
      <c r="S2400" s="53" t="str">
        <f t="shared" si="530"/>
        <v/>
      </c>
      <c r="T2400" s="53" t="str">
        <f t="shared" si="531"/>
        <v/>
      </c>
    </row>
    <row r="2401" spans="1:20">
      <c r="A2401" s="47" t="str">
        <f>IF(archive!E2401="","",archive!E2401)</f>
        <v/>
      </c>
      <c r="B2401" s="48" t="str">
        <f t="shared" si="518"/>
        <v/>
      </c>
      <c r="C2401" s="49" t="str">
        <f>IF(archive!F2401="","",archive!F2401)</f>
        <v/>
      </c>
      <c r="D2401" s="50" t="str">
        <f t="shared" si="519"/>
        <v/>
      </c>
      <c r="E2401" s="50" t="str">
        <f t="shared" si="520"/>
        <v/>
      </c>
      <c r="F2401" s="47" t="str">
        <f>IF(COUNTA(archive!H2401:CI2401)=0,"",COUNTA(archive!H2401:CI2401))</f>
        <v/>
      </c>
      <c r="G2401" s="47" t="str">
        <f>IF(archive!G2401="","",archive!G2401)</f>
        <v/>
      </c>
      <c r="H2401" s="51" t="str">
        <f>IF(archive!CJ2401="","",archive!CJ2401)</f>
        <v/>
      </c>
      <c r="I2401" s="51" t="str">
        <f>IF(archive!CK2401="","",archive!CK2401)</f>
        <v/>
      </c>
      <c r="J2401" s="47" t="str">
        <f t="shared" si="521"/>
        <v/>
      </c>
      <c r="K2401" s="51" t="str">
        <f t="shared" si="522"/>
        <v/>
      </c>
      <c r="L2401" s="52" t="str">
        <f t="shared" si="523"/>
        <v/>
      </c>
      <c r="M2401" s="53" t="str">
        <f t="shared" si="524"/>
        <v/>
      </c>
      <c r="N2401" s="53" t="str">
        <f t="shared" si="525"/>
        <v/>
      </c>
      <c r="O2401" s="53" t="str">
        <f t="shared" si="526"/>
        <v/>
      </c>
      <c r="P2401" s="53" t="str">
        <f t="shared" si="527"/>
        <v/>
      </c>
      <c r="Q2401" s="53" t="str">
        <f t="shared" si="528"/>
        <v/>
      </c>
      <c r="R2401" s="53" t="str">
        <f t="shared" si="529"/>
        <v/>
      </c>
      <c r="S2401" s="53" t="str">
        <f t="shared" si="530"/>
        <v/>
      </c>
      <c r="T2401" s="53" t="str">
        <f t="shared" si="531"/>
        <v/>
      </c>
    </row>
    <row r="2402" spans="1:20">
      <c r="A2402" s="47" t="str">
        <f>IF(archive!E2402="","",archive!E2402)</f>
        <v/>
      </c>
      <c r="B2402" s="48" t="str">
        <f t="shared" si="518"/>
        <v/>
      </c>
      <c r="C2402" s="49" t="str">
        <f>IF(archive!F2402="","",archive!F2402)</f>
        <v/>
      </c>
      <c r="D2402" s="50" t="str">
        <f t="shared" si="519"/>
        <v/>
      </c>
      <c r="E2402" s="50" t="str">
        <f t="shared" si="520"/>
        <v/>
      </c>
      <c r="F2402" s="47" t="str">
        <f>IF(COUNTA(archive!H2402:CI2402)=0,"",COUNTA(archive!H2402:CI2402))</f>
        <v/>
      </c>
      <c r="G2402" s="47" t="str">
        <f>IF(archive!G2402="","",archive!G2402)</f>
        <v/>
      </c>
      <c r="H2402" s="51" t="str">
        <f>IF(archive!CJ2402="","",archive!CJ2402)</f>
        <v/>
      </c>
      <c r="I2402" s="51" t="str">
        <f>IF(archive!CK2402="","",archive!CK2402)</f>
        <v/>
      </c>
      <c r="J2402" s="47" t="str">
        <f t="shared" si="521"/>
        <v/>
      </c>
      <c r="K2402" s="51" t="str">
        <f t="shared" si="522"/>
        <v/>
      </c>
      <c r="L2402" s="52" t="str">
        <f t="shared" si="523"/>
        <v/>
      </c>
      <c r="M2402" s="53" t="str">
        <f t="shared" si="524"/>
        <v/>
      </c>
      <c r="N2402" s="53" t="str">
        <f t="shared" si="525"/>
        <v/>
      </c>
      <c r="O2402" s="53" t="str">
        <f t="shared" si="526"/>
        <v/>
      </c>
      <c r="P2402" s="53" t="str">
        <f t="shared" si="527"/>
        <v/>
      </c>
      <c r="Q2402" s="53" t="str">
        <f t="shared" si="528"/>
        <v/>
      </c>
      <c r="R2402" s="53" t="str">
        <f t="shared" si="529"/>
        <v/>
      </c>
      <c r="S2402" s="53" t="str">
        <f t="shared" si="530"/>
        <v/>
      </c>
      <c r="T2402" s="53" t="str">
        <f t="shared" si="531"/>
        <v/>
      </c>
    </row>
    <row r="2403" spans="1:20">
      <c r="A2403" s="47" t="str">
        <f>IF(archive!E2403="","",archive!E2403)</f>
        <v/>
      </c>
      <c r="B2403" s="48" t="str">
        <f t="shared" si="518"/>
        <v/>
      </c>
      <c r="C2403" s="49" t="str">
        <f>IF(archive!F2403="","",archive!F2403)</f>
        <v/>
      </c>
      <c r="D2403" s="50" t="str">
        <f t="shared" si="519"/>
        <v/>
      </c>
      <c r="E2403" s="50" t="str">
        <f t="shared" si="520"/>
        <v/>
      </c>
      <c r="F2403" s="47" t="str">
        <f>IF(COUNTA(archive!H2403:CI2403)=0,"",COUNTA(archive!H2403:CI2403))</f>
        <v/>
      </c>
      <c r="G2403" s="47" t="str">
        <f>IF(archive!G2403="","",archive!G2403)</f>
        <v/>
      </c>
      <c r="H2403" s="51" t="str">
        <f>IF(archive!CJ2403="","",archive!CJ2403)</f>
        <v/>
      </c>
      <c r="I2403" s="51" t="str">
        <f>IF(archive!CK2403="","",archive!CK2403)</f>
        <v/>
      </c>
      <c r="J2403" s="47" t="str">
        <f t="shared" si="521"/>
        <v/>
      </c>
      <c r="K2403" s="51" t="str">
        <f t="shared" si="522"/>
        <v/>
      </c>
      <c r="L2403" s="52" t="str">
        <f t="shared" si="523"/>
        <v/>
      </c>
      <c r="M2403" s="53" t="str">
        <f t="shared" si="524"/>
        <v/>
      </c>
      <c r="N2403" s="53" t="str">
        <f t="shared" si="525"/>
        <v/>
      </c>
      <c r="O2403" s="53" t="str">
        <f t="shared" si="526"/>
        <v/>
      </c>
      <c r="P2403" s="53" t="str">
        <f t="shared" si="527"/>
        <v/>
      </c>
      <c r="Q2403" s="53" t="str">
        <f t="shared" si="528"/>
        <v/>
      </c>
      <c r="R2403" s="53" t="str">
        <f t="shared" si="529"/>
        <v/>
      </c>
      <c r="S2403" s="53" t="str">
        <f t="shared" si="530"/>
        <v/>
      </c>
      <c r="T2403" s="53" t="str">
        <f t="shared" si="531"/>
        <v/>
      </c>
    </row>
    <row r="2404" spans="1:20">
      <c r="A2404" s="47" t="str">
        <f>IF(archive!E2404="","",archive!E2404)</f>
        <v/>
      </c>
      <c r="B2404" s="48" t="str">
        <f t="shared" si="518"/>
        <v/>
      </c>
      <c r="C2404" s="49" t="str">
        <f>IF(archive!F2404="","",archive!F2404)</f>
        <v/>
      </c>
      <c r="D2404" s="50" t="str">
        <f t="shared" si="519"/>
        <v/>
      </c>
      <c r="E2404" s="50" t="str">
        <f t="shared" si="520"/>
        <v/>
      </c>
      <c r="F2404" s="47" t="str">
        <f>IF(COUNTA(archive!H2404:CI2404)=0,"",COUNTA(archive!H2404:CI2404))</f>
        <v/>
      </c>
      <c r="G2404" s="47" t="str">
        <f>IF(archive!G2404="","",archive!G2404)</f>
        <v/>
      </c>
      <c r="H2404" s="51" t="str">
        <f>IF(archive!CJ2404="","",archive!CJ2404)</f>
        <v/>
      </c>
      <c r="I2404" s="51" t="str">
        <f>IF(archive!CK2404="","",archive!CK2404)</f>
        <v/>
      </c>
      <c r="J2404" s="47" t="str">
        <f t="shared" si="521"/>
        <v/>
      </c>
      <c r="K2404" s="51" t="str">
        <f t="shared" si="522"/>
        <v/>
      </c>
      <c r="L2404" s="52" t="str">
        <f t="shared" si="523"/>
        <v/>
      </c>
      <c r="M2404" s="53" t="str">
        <f t="shared" si="524"/>
        <v/>
      </c>
      <c r="N2404" s="53" t="str">
        <f t="shared" si="525"/>
        <v/>
      </c>
      <c r="O2404" s="53" t="str">
        <f t="shared" si="526"/>
        <v/>
      </c>
      <c r="P2404" s="53" t="str">
        <f t="shared" si="527"/>
        <v/>
      </c>
      <c r="Q2404" s="53" t="str">
        <f t="shared" si="528"/>
        <v/>
      </c>
      <c r="R2404" s="53" t="str">
        <f t="shared" si="529"/>
        <v/>
      </c>
      <c r="S2404" s="53" t="str">
        <f t="shared" si="530"/>
        <v/>
      </c>
      <c r="T2404" s="53" t="str">
        <f t="shared" si="531"/>
        <v/>
      </c>
    </row>
    <row r="2405" spans="1:20">
      <c r="A2405" s="47" t="str">
        <f>IF(archive!E2405="","",archive!E2405)</f>
        <v/>
      </c>
      <c r="B2405" s="48" t="str">
        <f t="shared" si="518"/>
        <v/>
      </c>
      <c r="C2405" s="49" t="str">
        <f>IF(archive!F2405="","",archive!F2405)</f>
        <v/>
      </c>
      <c r="D2405" s="50" t="str">
        <f t="shared" si="519"/>
        <v/>
      </c>
      <c r="E2405" s="50" t="str">
        <f t="shared" si="520"/>
        <v/>
      </c>
      <c r="F2405" s="47" t="str">
        <f>IF(COUNTA(archive!H2405:CI2405)=0,"",COUNTA(archive!H2405:CI2405))</f>
        <v/>
      </c>
      <c r="G2405" s="47" t="str">
        <f>IF(archive!G2405="","",archive!G2405)</f>
        <v/>
      </c>
      <c r="H2405" s="51" t="str">
        <f>IF(archive!CJ2405="","",archive!CJ2405)</f>
        <v/>
      </c>
      <c r="I2405" s="51" t="str">
        <f>IF(archive!CK2405="","",archive!CK2405)</f>
        <v/>
      </c>
      <c r="J2405" s="47" t="str">
        <f t="shared" si="521"/>
        <v/>
      </c>
      <c r="K2405" s="51" t="str">
        <f t="shared" si="522"/>
        <v/>
      </c>
      <c r="L2405" s="52" t="str">
        <f t="shared" si="523"/>
        <v/>
      </c>
      <c r="M2405" s="53" t="str">
        <f t="shared" si="524"/>
        <v/>
      </c>
      <c r="N2405" s="53" t="str">
        <f t="shared" si="525"/>
        <v/>
      </c>
      <c r="O2405" s="53" t="str">
        <f t="shared" si="526"/>
        <v/>
      </c>
      <c r="P2405" s="53" t="str">
        <f t="shared" si="527"/>
        <v/>
      </c>
      <c r="Q2405" s="53" t="str">
        <f t="shared" si="528"/>
        <v/>
      </c>
      <c r="R2405" s="53" t="str">
        <f t="shared" si="529"/>
        <v/>
      </c>
      <c r="S2405" s="53" t="str">
        <f t="shared" si="530"/>
        <v/>
      </c>
      <c r="T2405" s="53" t="str">
        <f t="shared" si="531"/>
        <v/>
      </c>
    </row>
    <row r="2406" spans="1:20">
      <c r="A2406" s="47" t="str">
        <f>IF(archive!E2406="","",archive!E2406)</f>
        <v/>
      </c>
      <c r="B2406" s="48" t="str">
        <f t="shared" si="518"/>
        <v/>
      </c>
      <c r="C2406" s="49" t="str">
        <f>IF(archive!F2406="","",archive!F2406)</f>
        <v/>
      </c>
      <c r="D2406" s="50" t="str">
        <f t="shared" si="519"/>
        <v/>
      </c>
      <c r="E2406" s="50" t="str">
        <f t="shared" si="520"/>
        <v/>
      </c>
      <c r="F2406" s="47" t="str">
        <f>IF(COUNTA(archive!H2406:CI2406)=0,"",COUNTA(archive!H2406:CI2406))</f>
        <v/>
      </c>
      <c r="G2406" s="47" t="str">
        <f>IF(archive!G2406="","",archive!G2406)</f>
        <v/>
      </c>
      <c r="H2406" s="51" t="str">
        <f>IF(archive!CJ2406="","",archive!CJ2406)</f>
        <v/>
      </c>
      <c r="I2406" s="51" t="str">
        <f>IF(archive!CK2406="","",archive!CK2406)</f>
        <v/>
      </c>
      <c r="J2406" s="47" t="str">
        <f t="shared" si="521"/>
        <v/>
      </c>
      <c r="K2406" s="51" t="str">
        <f t="shared" si="522"/>
        <v/>
      </c>
      <c r="L2406" s="52" t="str">
        <f t="shared" si="523"/>
        <v/>
      </c>
      <c r="M2406" s="53" t="str">
        <f t="shared" si="524"/>
        <v/>
      </c>
      <c r="N2406" s="53" t="str">
        <f t="shared" si="525"/>
        <v/>
      </c>
      <c r="O2406" s="53" t="str">
        <f t="shared" si="526"/>
        <v/>
      </c>
      <c r="P2406" s="53" t="str">
        <f t="shared" si="527"/>
        <v/>
      </c>
      <c r="Q2406" s="53" t="str">
        <f t="shared" si="528"/>
        <v/>
      </c>
      <c r="R2406" s="53" t="str">
        <f t="shared" si="529"/>
        <v/>
      </c>
      <c r="S2406" s="53" t="str">
        <f t="shared" si="530"/>
        <v/>
      </c>
      <c r="T2406" s="53" t="str">
        <f t="shared" si="531"/>
        <v/>
      </c>
    </row>
    <row r="2407" spans="1:20">
      <c r="A2407" s="47" t="str">
        <f>IF(archive!E2407="","",archive!E2407)</f>
        <v/>
      </c>
      <c r="B2407" s="48" t="str">
        <f t="shared" si="518"/>
        <v/>
      </c>
      <c r="C2407" s="49" t="str">
        <f>IF(archive!F2407="","",archive!F2407)</f>
        <v/>
      </c>
      <c r="D2407" s="50" t="str">
        <f t="shared" si="519"/>
        <v/>
      </c>
      <c r="E2407" s="50" t="str">
        <f t="shared" si="520"/>
        <v/>
      </c>
      <c r="F2407" s="47" t="str">
        <f>IF(COUNTA(archive!H2407:CI2407)=0,"",COUNTA(archive!H2407:CI2407))</f>
        <v/>
      </c>
      <c r="G2407" s="47" t="str">
        <f>IF(archive!G2407="","",archive!G2407)</f>
        <v/>
      </c>
      <c r="H2407" s="51" t="str">
        <f>IF(archive!CJ2407="","",archive!CJ2407)</f>
        <v/>
      </c>
      <c r="I2407" s="51" t="str">
        <f>IF(archive!CK2407="","",archive!CK2407)</f>
        <v/>
      </c>
      <c r="J2407" s="47" t="str">
        <f t="shared" si="521"/>
        <v/>
      </c>
      <c r="K2407" s="51" t="str">
        <f t="shared" si="522"/>
        <v/>
      </c>
      <c r="L2407" s="52" t="str">
        <f t="shared" si="523"/>
        <v/>
      </c>
      <c r="M2407" s="53" t="str">
        <f t="shared" si="524"/>
        <v/>
      </c>
      <c r="N2407" s="53" t="str">
        <f t="shared" si="525"/>
        <v/>
      </c>
      <c r="O2407" s="53" t="str">
        <f t="shared" si="526"/>
        <v/>
      </c>
      <c r="P2407" s="53" t="str">
        <f t="shared" si="527"/>
        <v/>
      </c>
      <c r="Q2407" s="53" t="str">
        <f t="shared" si="528"/>
        <v/>
      </c>
      <c r="R2407" s="53" t="str">
        <f t="shared" si="529"/>
        <v/>
      </c>
      <c r="S2407" s="53" t="str">
        <f t="shared" si="530"/>
        <v/>
      </c>
      <c r="T2407" s="53" t="str">
        <f t="shared" si="531"/>
        <v/>
      </c>
    </row>
    <row r="2408" spans="1:20">
      <c r="A2408" s="47" t="str">
        <f>IF(archive!E2408="","",archive!E2408)</f>
        <v/>
      </c>
      <c r="B2408" s="48" t="str">
        <f t="shared" si="518"/>
        <v/>
      </c>
      <c r="C2408" s="49" t="str">
        <f>IF(archive!F2408="","",archive!F2408)</f>
        <v/>
      </c>
      <c r="D2408" s="50" t="str">
        <f t="shared" si="519"/>
        <v/>
      </c>
      <c r="E2408" s="50" t="str">
        <f t="shared" si="520"/>
        <v/>
      </c>
      <c r="F2408" s="47" t="str">
        <f>IF(COUNTA(archive!H2408:CI2408)=0,"",COUNTA(archive!H2408:CI2408))</f>
        <v/>
      </c>
      <c r="G2408" s="47" t="str">
        <f>IF(archive!G2408="","",archive!G2408)</f>
        <v/>
      </c>
      <c r="H2408" s="51" t="str">
        <f>IF(archive!CJ2408="","",archive!CJ2408)</f>
        <v/>
      </c>
      <c r="I2408" s="51" t="str">
        <f>IF(archive!CK2408="","",archive!CK2408)</f>
        <v/>
      </c>
      <c r="J2408" s="47" t="str">
        <f t="shared" si="521"/>
        <v/>
      </c>
      <c r="K2408" s="51" t="str">
        <f t="shared" si="522"/>
        <v/>
      </c>
      <c r="L2408" s="52" t="str">
        <f t="shared" si="523"/>
        <v/>
      </c>
      <c r="M2408" s="53" t="str">
        <f t="shared" si="524"/>
        <v/>
      </c>
      <c r="N2408" s="53" t="str">
        <f t="shared" si="525"/>
        <v/>
      </c>
      <c r="O2408" s="53" t="str">
        <f t="shared" si="526"/>
        <v/>
      </c>
      <c r="P2408" s="53" t="str">
        <f t="shared" si="527"/>
        <v/>
      </c>
      <c r="Q2408" s="53" t="str">
        <f t="shared" si="528"/>
        <v/>
      </c>
      <c r="R2408" s="53" t="str">
        <f t="shared" si="529"/>
        <v/>
      </c>
      <c r="S2408" s="53" t="str">
        <f t="shared" si="530"/>
        <v/>
      </c>
      <c r="T2408" s="53" t="str">
        <f t="shared" si="531"/>
        <v/>
      </c>
    </row>
    <row r="2409" spans="1:20">
      <c r="A2409" s="47" t="str">
        <f>IF(archive!E2409="","",archive!E2409)</f>
        <v/>
      </c>
      <c r="B2409" s="48" t="str">
        <f t="shared" si="518"/>
        <v/>
      </c>
      <c r="C2409" s="49" t="str">
        <f>IF(archive!F2409="","",archive!F2409)</f>
        <v/>
      </c>
      <c r="D2409" s="50" t="str">
        <f t="shared" si="519"/>
        <v/>
      </c>
      <c r="E2409" s="50" t="str">
        <f t="shared" si="520"/>
        <v/>
      </c>
      <c r="F2409" s="47" t="str">
        <f>IF(COUNTA(archive!H2409:CI2409)=0,"",COUNTA(archive!H2409:CI2409))</f>
        <v/>
      </c>
      <c r="G2409" s="47" t="str">
        <f>IF(archive!G2409="","",archive!G2409)</f>
        <v/>
      </c>
      <c r="H2409" s="51" t="str">
        <f>IF(archive!CJ2409="","",archive!CJ2409)</f>
        <v/>
      </c>
      <c r="I2409" s="51" t="str">
        <f>IF(archive!CK2409="","",archive!CK2409)</f>
        <v/>
      </c>
      <c r="J2409" s="47" t="str">
        <f t="shared" si="521"/>
        <v/>
      </c>
      <c r="K2409" s="51" t="str">
        <f t="shared" si="522"/>
        <v/>
      </c>
      <c r="L2409" s="52" t="str">
        <f t="shared" si="523"/>
        <v/>
      </c>
      <c r="M2409" s="53" t="str">
        <f t="shared" si="524"/>
        <v/>
      </c>
      <c r="N2409" s="53" t="str">
        <f t="shared" si="525"/>
        <v/>
      </c>
      <c r="O2409" s="53" t="str">
        <f t="shared" si="526"/>
        <v/>
      </c>
      <c r="P2409" s="53" t="str">
        <f t="shared" si="527"/>
        <v/>
      </c>
      <c r="Q2409" s="53" t="str">
        <f t="shared" si="528"/>
        <v/>
      </c>
      <c r="R2409" s="53" t="str">
        <f t="shared" si="529"/>
        <v/>
      </c>
      <c r="S2409" s="53" t="str">
        <f t="shared" si="530"/>
        <v/>
      </c>
      <c r="T2409" s="53" t="str">
        <f t="shared" si="531"/>
        <v/>
      </c>
    </row>
    <row r="2410" spans="1:20">
      <c r="A2410" s="47" t="str">
        <f>IF(archive!E2410="","",archive!E2410)</f>
        <v/>
      </c>
      <c r="B2410" s="48" t="str">
        <f t="shared" si="518"/>
        <v/>
      </c>
      <c r="C2410" s="49" t="str">
        <f>IF(archive!F2410="","",archive!F2410)</f>
        <v/>
      </c>
      <c r="D2410" s="50" t="str">
        <f t="shared" si="519"/>
        <v/>
      </c>
      <c r="E2410" s="50" t="str">
        <f t="shared" si="520"/>
        <v/>
      </c>
      <c r="F2410" s="47" t="str">
        <f>IF(COUNTA(archive!H2410:CI2410)=0,"",COUNTA(archive!H2410:CI2410))</f>
        <v/>
      </c>
      <c r="G2410" s="47" t="str">
        <f>IF(archive!G2410="","",archive!G2410)</f>
        <v/>
      </c>
      <c r="H2410" s="51" t="str">
        <f>IF(archive!CJ2410="","",archive!CJ2410)</f>
        <v/>
      </c>
      <c r="I2410" s="51" t="str">
        <f>IF(archive!CK2410="","",archive!CK2410)</f>
        <v/>
      </c>
      <c r="J2410" s="47" t="str">
        <f t="shared" si="521"/>
        <v/>
      </c>
      <c r="K2410" s="51" t="str">
        <f t="shared" si="522"/>
        <v/>
      </c>
      <c r="L2410" s="52" t="str">
        <f t="shared" si="523"/>
        <v/>
      </c>
      <c r="M2410" s="53" t="str">
        <f t="shared" si="524"/>
        <v/>
      </c>
      <c r="N2410" s="53" t="str">
        <f t="shared" si="525"/>
        <v/>
      </c>
      <c r="O2410" s="53" t="str">
        <f t="shared" si="526"/>
        <v/>
      </c>
      <c r="P2410" s="53" t="str">
        <f t="shared" si="527"/>
        <v/>
      </c>
      <c r="Q2410" s="53" t="str">
        <f t="shared" si="528"/>
        <v/>
      </c>
      <c r="R2410" s="53" t="str">
        <f t="shared" si="529"/>
        <v/>
      </c>
      <c r="S2410" s="53" t="str">
        <f t="shared" si="530"/>
        <v/>
      </c>
      <c r="T2410" s="53" t="str">
        <f t="shared" si="531"/>
        <v/>
      </c>
    </row>
    <row r="2411" spans="1:20">
      <c r="A2411" s="47" t="str">
        <f>IF(archive!E2411="","",archive!E2411)</f>
        <v/>
      </c>
      <c r="B2411" s="48" t="str">
        <f t="shared" si="518"/>
        <v/>
      </c>
      <c r="C2411" s="49" t="str">
        <f>IF(archive!F2411="","",archive!F2411)</f>
        <v/>
      </c>
      <c r="D2411" s="50" t="str">
        <f t="shared" si="519"/>
        <v/>
      </c>
      <c r="E2411" s="50" t="str">
        <f t="shared" si="520"/>
        <v/>
      </c>
      <c r="F2411" s="47" t="str">
        <f>IF(COUNTA(archive!H2411:CI2411)=0,"",COUNTA(archive!H2411:CI2411))</f>
        <v/>
      </c>
      <c r="G2411" s="47" t="str">
        <f>IF(archive!G2411="","",archive!G2411)</f>
        <v/>
      </c>
      <c r="H2411" s="51" t="str">
        <f>IF(archive!CJ2411="","",archive!CJ2411)</f>
        <v/>
      </c>
      <c r="I2411" s="51" t="str">
        <f>IF(archive!CK2411="","",archive!CK2411)</f>
        <v/>
      </c>
      <c r="J2411" s="47" t="str">
        <f t="shared" si="521"/>
        <v/>
      </c>
      <c r="K2411" s="51" t="str">
        <f t="shared" si="522"/>
        <v/>
      </c>
      <c r="L2411" s="52" t="str">
        <f t="shared" si="523"/>
        <v/>
      </c>
      <c r="M2411" s="53" t="str">
        <f t="shared" si="524"/>
        <v/>
      </c>
      <c r="N2411" s="53" t="str">
        <f t="shared" si="525"/>
        <v/>
      </c>
      <c r="O2411" s="53" t="str">
        <f t="shared" si="526"/>
        <v/>
      </c>
      <c r="P2411" s="53" t="str">
        <f t="shared" si="527"/>
        <v/>
      </c>
      <c r="Q2411" s="53" t="str">
        <f t="shared" si="528"/>
        <v/>
      </c>
      <c r="R2411" s="53" t="str">
        <f t="shared" si="529"/>
        <v/>
      </c>
      <c r="S2411" s="53" t="str">
        <f t="shared" si="530"/>
        <v/>
      </c>
      <c r="T2411" s="53" t="str">
        <f t="shared" si="531"/>
        <v/>
      </c>
    </row>
    <row r="2412" spans="1:20">
      <c r="A2412" s="47" t="str">
        <f>IF(archive!E2412="","",archive!E2412)</f>
        <v/>
      </c>
      <c r="B2412" s="48" t="str">
        <f t="shared" si="518"/>
        <v/>
      </c>
      <c r="C2412" s="49" t="str">
        <f>IF(archive!F2412="","",archive!F2412)</f>
        <v/>
      </c>
      <c r="D2412" s="50" t="str">
        <f t="shared" si="519"/>
        <v/>
      </c>
      <c r="E2412" s="50" t="str">
        <f t="shared" si="520"/>
        <v/>
      </c>
      <c r="F2412" s="47" t="str">
        <f>IF(COUNTA(archive!H2412:CI2412)=0,"",COUNTA(archive!H2412:CI2412))</f>
        <v/>
      </c>
      <c r="G2412" s="47" t="str">
        <f>IF(archive!G2412="","",archive!G2412)</f>
        <v/>
      </c>
      <c r="H2412" s="51" t="str">
        <f>IF(archive!CJ2412="","",archive!CJ2412)</f>
        <v/>
      </c>
      <c r="I2412" s="51" t="str">
        <f>IF(archive!CK2412="","",archive!CK2412)</f>
        <v/>
      </c>
      <c r="J2412" s="47" t="str">
        <f t="shared" si="521"/>
        <v/>
      </c>
      <c r="K2412" s="51" t="str">
        <f t="shared" si="522"/>
        <v/>
      </c>
      <c r="L2412" s="52" t="str">
        <f t="shared" si="523"/>
        <v/>
      </c>
      <c r="M2412" s="53" t="str">
        <f t="shared" si="524"/>
        <v/>
      </c>
      <c r="N2412" s="53" t="str">
        <f t="shared" si="525"/>
        <v/>
      </c>
      <c r="O2412" s="53" t="str">
        <f t="shared" si="526"/>
        <v/>
      </c>
      <c r="P2412" s="53" t="str">
        <f t="shared" si="527"/>
        <v/>
      </c>
      <c r="Q2412" s="53" t="str">
        <f t="shared" si="528"/>
        <v/>
      </c>
      <c r="R2412" s="53" t="str">
        <f t="shared" si="529"/>
        <v/>
      </c>
      <c r="S2412" s="53" t="str">
        <f t="shared" si="530"/>
        <v/>
      </c>
      <c r="T2412" s="53" t="str">
        <f t="shared" si="531"/>
        <v/>
      </c>
    </row>
    <row r="2413" spans="1:20">
      <c r="A2413" s="47" t="str">
        <f>IF(archive!E2413="","",archive!E2413)</f>
        <v/>
      </c>
      <c r="B2413" s="48" t="str">
        <f t="shared" si="518"/>
        <v/>
      </c>
      <c r="C2413" s="49" t="str">
        <f>IF(archive!F2413="","",archive!F2413)</f>
        <v/>
      </c>
      <c r="D2413" s="50" t="str">
        <f t="shared" si="519"/>
        <v/>
      </c>
      <c r="E2413" s="50" t="str">
        <f t="shared" si="520"/>
        <v/>
      </c>
      <c r="F2413" s="47" t="str">
        <f>IF(COUNTA(archive!H2413:CI2413)=0,"",COUNTA(archive!H2413:CI2413))</f>
        <v/>
      </c>
      <c r="G2413" s="47" t="str">
        <f>IF(archive!G2413="","",archive!G2413)</f>
        <v/>
      </c>
      <c r="H2413" s="51" t="str">
        <f>IF(archive!CJ2413="","",archive!CJ2413)</f>
        <v/>
      </c>
      <c r="I2413" s="51" t="str">
        <f>IF(archive!CK2413="","",archive!CK2413)</f>
        <v/>
      </c>
      <c r="J2413" s="47" t="str">
        <f t="shared" si="521"/>
        <v/>
      </c>
      <c r="K2413" s="51" t="str">
        <f t="shared" si="522"/>
        <v/>
      </c>
      <c r="L2413" s="52" t="str">
        <f t="shared" si="523"/>
        <v/>
      </c>
      <c r="M2413" s="53" t="str">
        <f t="shared" si="524"/>
        <v/>
      </c>
      <c r="N2413" s="53" t="str">
        <f t="shared" si="525"/>
        <v/>
      </c>
      <c r="O2413" s="53" t="str">
        <f t="shared" si="526"/>
        <v/>
      </c>
      <c r="P2413" s="53" t="str">
        <f t="shared" si="527"/>
        <v/>
      </c>
      <c r="Q2413" s="53" t="str">
        <f t="shared" si="528"/>
        <v/>
      </c>
      <c r="R2413" s="53" t="str">
        <f t="shared" si="529"/>
        <v/>
      </c>
      <c r="S2413" s="53" t="str">
        <f t="shared" si="530"/>
        <v/>
      </c>
      <c r="T2413" s="53" t="str">
        <f t="shared" si="531"/>
        <v/>
      </c>
    </row>
    <row r="2414" spans="1:20">
      <c r="A2414" s="47" t="str">
        <f>IF(archive!E2414="","",archive!E2414)</f>
        <v/>
      </c>
      <c r="B2414" s="48" t="str">
        <f t="shared" si="518"/>
        <v/>
      </c>
      <c r="C2414" s="49" t="str">
        <f>IF(archive!F2414="","",archive!F2414)</f>
        <v/>
      </c>
      <c r="D2414" s="50" t="str">
        <f t="shared" si="519"/>
        <v/>
      </c>
      <c r="E2414" s="50" t="str">
        <f t="shared" si="520"/>
        <v/>
      </c>
      <c r="F2414" s="47" t="str">
        <f>IF(COUNTA(archive!H2414:CI2414)=0,"",COUNTA(archive!H2414:CI2414))</f>
        <v/>
      </c>
      <c r="G2414" s="47" t="str">
        <f>IF(archive!G2414="","",archive!G2414)</f>
        <v/>
      </c>
      <c r="H2414" s="51" t="str">
        <f>IF(archive!CJ2414="","",archive!CJ2414)</f>
        <v/>
      </c>
      <c r="I2414" s="51" t="str">
        <f>IF(archive!CK2414="","",archive!CK2414)</f>
        <v/>
      </c>
      <c r="J2414" s="47" t="str">
        <f t="shared" si="521"/>
        <v/>
      </c>
      <c r="K2414" s="51" t="str">
        <f t="shared" si="522"/>
        <v/>
      </c>
      <c r="L2414" s="52" t="str">
        <f t="shared" si="523"/>
        <v/>
      </c>
      <c r="M2414" s="53" t="str">
        <f t="shared" si="524"/>
        <v/>
      </c>
      <c r="N2414" s="53" t="str">
        <f t="shared" si="525"/>
        <v/>
      </c>
      <c r="O2414" s="53" t="str">
        <f t="shared" si="526"/>
        <v/>
      </c>
      <c r="P2414" s="53" t="str">
        <f t="shared" si="527"/>
        <v/>
      </c>
      <c r="Q2414" s="53" t="str">
        <f t="shared" si="528"/>
        <v/>
      </c>
      <c r="R2414" s="53" t="str">
        <f t="shared" si="529"/>
        <v/>
      </c>
      <c r="S2414" s="53" t="str">
        <f t="shared" si="530"/>
        <v/>
      </c>
      <c r="T2414" s="53" t="str">
        <f t="shared" si="531"/>
        <v/>
      </c>
    </row>
    <row r="2415" spans="1:20">
      <c r="A2415" s="47" t="str">
        <f>IF(archive!E2415="","",archive!E2415)</f>
        <v/>
      </c>
      <c r="B2415" s="48" t="str">
        <f t="shared" si="518"/>
        <v/>
      </c>
      <c r="C2415" s="49" t="str">
        <f>IF(archive!F2415="","",archive!F2415)</f>
        <v/>
      </c>
      <c r="D2415" s="50" t="str">
        <f t="shared" si="519"/>
        <v/>
      </c>
      <c r="E2415" s="50" t="str">
        <f t="shared" si="520"/>
        <v/>
      </c>
      <c r="F2415" s="47" t="str">
        <f>IF(COUNTA(archive!H2415:CI2415)=0,"",COUNTA(archive!H2415:CI2415))</f>
        <v/>
      </c>
      <c r="G2415" s="47" t="str">
        <f>IF(archive!G2415="","",archive!G2415)</f>
        <v/>
      </c>
      <c r="H2415" s="51" t="str">
        <f>IF(archive!CJ2415="","",archive!CJ2415)</f>
        <v/>
      </c>
      <c r="I2415" s="51" t="str">
        <f>IF(archive!CK2415="","",archive!CK2415)</f>
        <v/>
      </c>
      <c r="J2415" s="47" t="str">
        <f t="shared" si="521"/>
        <v/>
      </c>
      <c r="K2415" s="51" t="str">
        <f t="shared" si="522"/>
        <v/>
      </c>
      <c r="L2415" s="52" t="str">
        <f t="shared" si="523"/>
        <v/>
      </c>
      <c r="M2415" s="53" t="str">
        <f t="shared" si="524"/>
        <v/>
      </c>
      <c r="N2415" s="53" t="str">
        <f t="shared" si="525"/>
        <v/>
      </c>
      <c r="O2415" s="53" t="str">
        <f t="shared" si="526"/>
        <v/>
      </c>
      <c r="P2415" s="53" t="str">
        <f t="shared" si="527"/>
        <v/>
      </c>
      <c r="Q2415" s="53" t="str">
        <f t="shared" si="528"/>
        <v/>
      </c>
      <c r="R2415" s="53" t="str">
        <f t="shared" si="529"/>
        <v/>
      </c>
      <c r="S2415" s="53" t="str">
        <f t="shared" si="530"/>
        <v/>
      </c>
      <c r="T2415" s="53" t="str">
        <f t="shared" si="531"/>
        <v/>
      </c>
    </row>
    <row r="2416" spans="1:20">
      <c r="A2416" s="47" t="str">
        <f>IF(archive!E2416="","",archive!E2416)</f>
        <v/>
      </c>
      <c r="B2416" s="48" t="str">
        <f t="shared" si="518"/>
        <v/>
      </c>
      <c r="C2416" s="49" t="str">
        <f>IF(archive!F2416="","",archive!F2416)</f>
        <v/>
      </c>
      <c r="D2416" s="50" t="str">
        <f t="shared" si="519"/>
        <v/>
      </c>
      <c r="E2416" s="50" t="str">
        <f t="shared" si="520"/>
        <v/>
      </c>
      <c r="F2416" s="47" t="str">
        <f>IF(COUNTA(archive!H2416:CI2416)=0,"",COUNTA(archive!H2416:CI2416))</f>
        <v/>
      </c>
      <c r="G2416" s="47" t="str">
        <f>IF(archive!G2416="","",archive!G2416)</f>
        <v/>
      </c>
      <c r="H2416" s="51" t="str">
        <f>IF(archive!CJ2416="","",archive!CJ2416)</f>
        <v/>
      </c>
      <c r="I2416" s="51" t="str">
        <f>IF(archive!CK2416="","",archive!CK2416)</f>
        <v/>
      </c>
      <c r="J2416" s="47" t="str">
        <f t="shared" si="521"/>
        <v/>
      </c>
      <c r="K2416" s="51" t="str">
        <f t="shared" si="522"/>
        <v/>
      </c>
      <c r="L2416" s="52" t="str">
        <f t="shared" si="523"/>
        <v/>
      </c>
      <c r="M2416" s="53" t="str">
        <f t="shared" si="524"/>
        <v/>
      </c>
      <c r="N2416" s="53" t="str">
        <f t="shared" si="525"/>
        <v/>
      </c>
      <c r="O2416" s="53" t="str">
        <f t="shared" si="526"/>
        <v/>
      </c>
      <c r="P2416" s="53" t="str">
        <f t="shared" si="527"/>
        <v/>
      </c>
      <c r="Q2416" s="53" t="str">
        <f t="shared" si="528"/>
        <v/>
      </c>
      <c r="R2416" s="53" t="str">
        <f t="shared" si="529"/>
        <v/>
      </c>
      <c r="S2416" s="53" t="str">
        <f t="shared" si="530"/>
        <v/>
      </c>
      <c r="T2416" s="53" t="str">
        <f t="shared" si="531"/>
        <v/>
      </c>
    </row>
    <row r="2417" spans="1:20">
      <c r="A2417" s="47" t="str">
        <f>IF(archive!E2417="","",archive!E2417)</f>
        <v/>
      </c>
      <c r="B2417" s="48" t="str">
        <f t="shared" si="518"/>
        <v/>
      </c>
      <c r="C2417" s="49" t="str">
        <f>IF(archive!F2417="","",archive!F2417)</f>
        <v/>
      </c>
      <c r="D2417" s="50" t="str">
        <f t="shared" si="519"/>
        <v/>
      </c>
      <c r="E2417" s="50" t="str">
        <f t="shared" si="520"/>
        <v/>
      </c>
      <c r="F2417" s="47" t="str">
        <f>IF(COUNTA(archive!H2417:CI2417)=0,"",COUNTA(archive!H2417:CI2417))</f>
        <v/>
      </c>
      <c r="G2417" s="47" t="str">
        <f>IF(archive!G2417="","",archive!G2417)</f>
        <v/>
      </c>
      <c r="H2417" s="51" t="str">
        <f>IF(archive!CJ2417="","",archive!CJ2417)</f>
        <v/>
      </c>
      <c r="I2417" s="51" t="str">
        <f>IF(archive!CK2417="","",archive!CK2417)</f>
        <v/>
      </c>
      <c r="J2417" s="47" t="str">
        <f t="shared" si="521"/>
        <v/>
      </c>
      <c r="K2417" s="51" t="str">
        <f t="shared" si="522"/>
        <v/>
      </c>
      <c r="L2417" s="52" t="str">
        <f t="shared" si="523"/>
        <v/>
      </c>
      <c r="M2417" s="53" t="str">
        <f t="shared" si="524"/>
        <v/>
      </c>
      <c r="N2417" s="53" t="str">
        <f t="shared" si="525"/>
        <v/>
      </c>
      <c r="O2417" s="53" t="str">
        <f t="shared" si="526"/>
        <v/>
      </c>
      <c r="P2417" s="53" t="str">
        <f t="shared" si="527"/>
        <v/>
      </c>
      <c r="Q2417" s="53" t="str">
        <f t="shared" si="528"/>
        <v/>
      </c>
      <c r="R2417" s="53" t="str">
        <f t="shared" si="529"/>
        <v/>
      </c>
      <c r="S2417" s="53" t="str">
        <f t="shared" si="530"/>
        <v/>
      </c>
      <c r="T2417" s="53" t="str">
        <f t="shared" si="531"/>
        <v/>
      </c>
    </row>
    <row r="2418" spans="1:20">
      <c r="A2418" s="47" t="str">
        <f>IF(archive!E2418="","",archive!E2418)</f>
        <v/>
      </c>
      <c r="B2418" s="48" t="str">
        <f t="shared" si="518"/>
        <v/>
      </c>
      <c r="C2418" s="49" t="str">
        <f>IF(archive!F2418="","",archive!F2418)</f>
        <v/>
      </c>
      <c r="D2418" s="50" t="str">
        <f t="shared" si="519"/>
        <v/>
      </c>
      <c r="E2418" s="50" t="str">
        <f t="shared" si="520"/>
        <v/>
      </c>
      <c r="F2418" s="47" t="str">
        <f>IF(COUNTA(archive!H2418:CI2418)=0,"",COUNTA(archive!H2418:CI2418))</f>
        <v/>
      </c>
      <c r="G2418" s="47" t="str">
        <f>IF(archive!G2418="","",archive!G2418)</f>
        <v/>
      </c>
      <c r="H2418" s="51" t="str">
        <f>IF(archive!CJ2418="","",archive!CJ2418)</f>
        <v/>
      </c>
      <c r="I2418" s="51" t="str">
        <f>IF(archive!CK2418="","",archive!CK2418)</f>
        <v/>
      </c>
      <c r="J2418" s="47" t="str">
        <f t="shared" si="521"/>
        <v/>
      </c>
      <c r="K2418" s="51" t="str">
        <f t="shared" si="522"/>
        <v/>
      </c>
      <c r="L2418" s="52" t="str">
        <f t="shared" si="523"/>
        <v/>
      </c>
      <c r="M2418" s="53" t="str">
        <f t="shared" si="524"/>
        <v/>
      </c>
      <c r="N2418" s="53" t="str">
        <f t="shared" si="525"/>
        <v/>
      </c>
      <c r="O2418" s="53" t="str">
        <f t="shared" si="526"/>
        <v/>
      </c>
      <c r="P2418" s="53" t="str">
        <f t="shared" si="527"/>
        <v/>
      </c>
      <c r="Q2418" s="53" t="str">
        <f t="shared" si="528"/>
        <v/>
      </c>
      <c r="R2418" s="53" t="str">
        <f t="shared" si="529"/>
        <v/>
      </c>
      <c r="S2418" s="53" t="str">
        <f t="shared" si="530"/>
        <v/>
      </c>
      <c r="T2418" s="53" t="str">
        <f t="shared" si="531"/>
        <v/>
      </c>
    </row>
    <row r="2419" spans="1:20">
      <c r="A2419" s="47" t="str">
        <f>IF(archive!E2419="","",archive!E2419)</f>
        <v/>
      </c>
      <c r="B2419" s="48" t="str">
        <f t="shared" si="518"/>
        <v/>
      </c>
      <c r="C2419" s="49" t="str">
        <f>IF(archive!F2419="","",archive!F2419)</f>
        <v/>
      </c>
      <c r="D2419" s="50" t="str">
        <f t="shared" si="519"/>
        <v/>
      </c>
      <c r="E2419" s="50" t="str">
        <f t="shared" si="520"/>
        <v/>
      </c>
      <c r="F2419" s="47" t="str">
        <f>IF(COUNTA(archive!H2419:CI2419)=0,"",COUNTA(archive!H2419:CI2419))</f>
        <v/>
      </c>
      <c r="G2419" s="47" t="str">
        <f>IF(archive!G2419="","",archive!G2419)</f>
        <v/>
      </c>
      <c r="H2419" s="51" t="str">
        <f>IF(archive!CJ2419="","",archive!CJ2419)</f>
        <v/>
      </c>
      <c r="I2419" s="51" t="str">
        <f>IF(archive!CK2419="","",archive!CK2419)</f>
        <v/>
      </c>
      <c r="J2419" s="47" t="str">
        <f t="shared" si="521"/>
        <v/>
      </c>
      <c r="K2419" s="51" t="str">
        <f t="shared" si="522"/>
        <v/>
      </c>
      <c r="L2419" s="52" t="str">
        <f t="shared" si="523"/>
        <v/>
      </c>
      <c r="M2419" s="53" t="str">
        <f t="shared" si="524"/>
        <v/>
      </c>
      <c r="N2419" s="53" t="str">
        <f t="shared" si="525"/>
        <v/>
      </c>
      <c r="O2419" s="53" t="str">
        <f t="shared" si="526"/>
        <v/>
      </c>
      <c r="P2419" s="53" t="str">
        <f t="shared" si="527"/>
        <v/>
      </c>
      <c r="Q2419" s="53" t="str">
        <f t="shared" si="528"/>
        <v/>
      </c>
      <c r="R2419" s="53" t="str">
        <f t="shared" si="529"/>
        <v/>
      </c>
      <c r="S2419" s="53" t="str">
        <f t="shared" si="530"/>
        <v/>
      </c>
      <c r="T2419" s="53" t="str">
        <f t="shared" si="531"/>
        <v/>
      </c>
    </row>
    <row r="2420" spans="1:20">
      <c r="A2420" s="47" t="str">
        <f>IF(archive!E2420="","",archive!E2420)</f>
        <v/>
      </c>
      <c r="B2420" s="48" t="str">
        <f t="shared" si="518"/>
        <v/>
      </c>
      <c r="C2420" s="49" t="str">
        <f>IF(archive!F2420="","",archive!F2420)</f>
        <v/>
      </c>
      <c r="D2420" s="50" t="str">
        <f t="shared" si="519"/>
        <v/>
      </c>
      <c r="E2420" s="50" t="str">
        <f t="shared" si="520"/>
        <v/>
      </c>
      <c r="F2420" s="47" t="str">
        <f>IF(COUNTA(archive!H2420:CI2420)=0,"",COUNTA(archive!H2420:CI2420))</f>
        <v/>
      </c>
      <c r="G2420" s="47" t="str">
        <f>IF(archive!G2420="","",archive!G2420)</f>
        <v/>
      </c>
      <c r="H2420" s="51" t="str">
        <f>IF(archive!CJ2420="","",archive!CJ2420)</f>
        <v/>
      </c>
      <c r="I2420" s="51" t="str">
        <f>IF(archive!CK2420="","",archive!CK2420)</f>
        <v/>
      </c>
      <c r="J2420" s="47" t="str">
        <f t="shared" si="521"/>
        <v/>
      </c>
      <c r="K2420" s="51" t="str">
        <f t="shared" si="522"/>
        <v/>
      </c>
      <c r="L2420" s="52" t="str">
        <f t="shared" si="523"/>
        <v/>
      </c>
      <c r="M2420" s="53" t="str">
        <f t="shared" si="524"/>
        <v/>
      </c>
      <c r="N2420" s="53" t="str">
        <f t="shared" si="525"/>
        <v/>
      </c>
      <c r="O2420" s="53" t="str">
        <f t="shared" si="526"/>
        <v/>
      </c>
      <c r="P2420" s="53" t="str">
        <f t="shared" si="527"/>
        <v/>
      </c>
      <c r="Q2420" s="53" t="str">
        <f t="shared" si="528"/>
        <v/>
      </c>
      <c r="R2420" s="53" t="str">
        <f t="shared" si="529"/>
        <v/>
      </c>
      <c r="S2420" s="53" t="str">
        <f t="shared" si="530"/>
        <v/>
      </c>
      <c r="T2420" s="53" t="str">
        <f t="shared" si="531"/>
        <v/>
      </c>
    </row>
    <row r="2421" spans="1:20">
      <c r="A2421" s="47" t="str">
        <f>IF(archive!E2421="","",archive!E2421)</f>
        <v/>
      </c>
      <c r="B2421" s="48" t="str">
        <f t="shared" si="518"/>
        <v/>
      </c>
      <c r="C2421" s="49" t="str">
        <f>IF(archive!F2421="","",archive!F2421)</f>
        <v/>
      </c>
      <c r="D2421" s="50" t="str">
        <f t="shared" si="519"/>
        <v/>
      </c>
      <c r="E2421" s="50" t="str">
        <f t="shared" si="520"/>
        <v/>
      </c>
      <c r="F2421" s="47" t="str">
        <f>IF(COUNTA(archive!H2421:CI2421)=0,"",COUNTA(archive!H2421:CI2421))</f>
        <v/>
      </c>
      <c r="G2421" s="47" t="str">
        <f>IF(archive!G2421="","",archive!G2421)</f>
        <v/>
      </c>
      <c r="H2421" s="51" t="str">
        <f>IF(archive!CJ2421="","",archive!CJ2421)</f>
        <v/>
      </c>
      <c r="I2421" s="51" t="str">
        <f>IF(archive!CK2421="","",archive!CK2421)</f>
        <v/>
      </c>
      <c r="J2421" s="47" t="str">
        <f t="shared" si="521"/>
        <v/>
      </c>
      <c r="K2421" s="51" t="str">
        <f t="shared" si="522"/>
        <v/>
      </c>
      <c r="L2421" s="52" t="str">
        <f t="shared" si="523"/>
        <v/>
      </c>
      <c r="M2421" s="53" t="str">
        <f t="shared" si="524"/>
        <v/>
      </c>
      <c r="N2421" s="53" t="str">
        <f t="shared" si="525"/>
        <v/>
      </c>
      <c r="O2421" s="53" t="str">
        <f t="shared" si="526"/>
        <v/>
      </c>
      <c r="P2421" s="53" t="str">
        <f t="shared" si="527"/>
        <v/>
      </c>
      <c r="Q2421" s="53" t="str">
        <f t="shared" si="528"/>
        <v/>
      </c>
      <c r="R2421" s="53" t="str">
        <f t="shared" si="529"/>
        <v/>
      </c>
      <c r="S2421" s="53" t="str">
        <f t="shared" si="530"/>
        <v/>
      </c>
      <c r="T2421" s="53" t="str">
        <f t="shared" si="531"/>
        <v/>
      </c>
    </row>
    <row r="2422" spans="1:20">
      <c r="A2422" s="47" t="str">
        <f>IF(archive!E2422="","",archive!E2422)</f>
        <v/>
      </c>
      <c r="B2422" s="48" t="str">
        <f t="shared" si="518"/>
        <v/>
      </c>
      <c r="C2422" s="49" t="str">
        <f>IF(archive!F2422="","",archive!F2422)</f>
        <v/>
      </c>
      <c r="D2422" s="50" t="str">
        <f t="shared" si="519"/>
        <v/>
      </c>
      <c r="E2422" s="50" t="str">
        <f t="shared" si="520"/>
        <v/>
      </c>
      <c r="F2422" s="47" t="str">
        <f>IF(COUNTA(archive!H2422:CI2422)=0,"",COUNTA(archive!H2422:CI2422))</f>
        <v/>
      </c>
      <c r="G2422" s="47" t="str">
        <f>IF(archive!G2422="","",archive!G2422)</f>
        <v/>
      </c>
      <c r="H2422" s="51" t="str">
        <f>IF(archive!CJ2422="","",archive!CJ2422)</f>
        <v/>
      </c>
      <c r="I2422" s="51" t="str">
        <f>IF(archive!CK2422="","",archive!CK2422)</f>
        <v/>
      </c>
      <c r="J2422" s="47" t="str">
        <f t="shared" si="521"/>
        <v/>
      </c>
      <c r="K2422" s="51" t="str">
        <f t="shared" si="522"/>
        <v/>
      </c>
      <c r="L2422" s="52" t="str">
        <f t="shared" si="523"/>
        <v/>
      </c>
      <c r="M2422" s="53" t="str">
        <f t="shared" si="524"/>
        <v/>
      </c>
      <c r="N2422" s="53" t="str">
        <f t="shared" si="525"/>
        <v/>
      </c>
      <c r="O2422" s="53" t="str">
        <f t="shared" si="526"/>
        <v/>
      </c>
      <c r="P2422" s="53" t="str">
        <f t="shared" si="527"/>
        <v/>
      </c>
      <c r="Q2422" s="53" t="str">
        <f t="shared" si="528"/>
        <v/>
      </c>
      <c r="R2422" s="53" t="str">
        <f t="shared" si="529"/>
        <v/>
      </c>
      <c r="S2422" s="53" t="str">
        <f t="shared" si="530"/>
        <v/>
      </c>
      <c r="T2422" s="53" t="str">
        <f t="shared" si="531"/>
        <v/>
      </c>
    </row>
    <row r="2423" spans="1:20">
      <c r="A2423" s="47" t="str">
        <f>IF(archive!E2423="","",archive!E2423)</f>
        <v/>
      </c>
      <c r="B2423" s="48" t="str">
        <f t="shared" si="518"/>
        <v/>
      </c>
      <c r="C2423" s="49" t="str">
        <f>IF(archive!F2423="","",archive!F2423)</f>
        <v/>
      </c>
      <c r="D2423" s="50" t="str">
        <f t="shared" si="519"/>
        <v/>
      </c>
      <c r="E2423" s="50" t="str">
        <f t="shared" si="520"/>
        <v/>
      </c>
      <c r="F2423" s="47" t="str">
        <f>IF(COUNTA(archive!H2423:CI2423)=0,"",COUNTA(archive!H2423:CI2423))</f>
        <v/>
      </c>
      <c r="G2423" s="47" t="str">
        <f>IF(archive!G2423="","",archive!G2423)</f>
        <v/>
      </c>
      <c r="H2423" s="51" t="str">
        <f>IF(archive!CJ2423="","",archive!CJ2423)</f>
        <v/>
      </c>
      <c r="I2423" s="51" t="str">
        <f>IF(archive!CK2423="","",archive!CK2423)</f>
        <v/>
      </c>
      <c r="J2423" s="47" t="str">
        <f t="shared" si="521"/>
        <v/>
      </c>
      <c r="K2423" s="51" t="str">
        <f t="shared" si="522"/>
        <v/>
      </c>
      <c r="L2423" s="52" t="str">
        <f t="shared" si="523"/>
        <v/>
      </c>
      <c r="M2423" s="53" t="str">
        <f t="shared" si="524"/>
        <v/>
      </c>
      <c r="N2423" s="53" t="str">
        <f t="shared" si="525"/>
        <v/>
      </c>
      <c r="O2423" s="53" t="str">
        <f t="shared" si="526"/>
        <v/>
      </c>
      <c r="P2423" s="53" t="str">
        <f t="shared" si="527"/>
        <v/>
      </c>
      <c r="Q2423" s="53" t="str">
        <f t="shared" si="528"/>
        <v/>
      </c>
      <c r="R2423" s="53" t="str">
        <f t="shared" si="529"/>
        <v/>
      </c>
      <c r="S2423" s="53" t="str">
        <f t="shared" si="530"/>
        <v/>
      </c>
      <c r="T2423" s="53" t="str">
        <f t="shared" si="531"/>
        <v/>
      </c>
    </row>
    <row r="2424" spans="1:20">
      <c r="A2424" s="47" t="str">
        <f>IF(archive!E2424="","",archive!E2424)</f>
        <v/>
      </c>
      <c r="B2424" s="48" t="str">
        <f t="shared" si="518"/>
        <v/>
      </c>
      <c r="C2424" s="49" t="str">
        <f>IF(archive!F2424="","",archive!F2424)</f>
        <v/>
      </c>
      <c r="D2424" s="50" t="str">
        <f t="shared" si="519"/>
        <v/>
      </c>
      <c r="E2424" s="50" t="str">
        <f t="shared" si="520"/>
        <v/>
      </c>
      <c r="F2424" s="47" t="str">
        <f>IF(COUNTA(archive!H2424:CI2424)=0,"",COUNTA(archive!H2424:CI2424))</f>
        <v/>
      </c>
      <c r="G2424" s="47" t="str">
        <f>IF(archive!G2424="","",archive!G2424)</f>
        <v/>
      </c>
      <c r="H2424" s="51" t="str">
        <f>IF(archive!CJ2424="","",archive!CJ2424)</f>
        <v/>
      </c>
      <c r="I2424" s="51" t="str">
        <f>IF(archive!CK2424="","",archive!CK2424)</f>
        <v/>
      </c>
      <c r="J2424" s="47" t="str">
        <f t="shared" si="521"/>
        <v/>
      </c>
      <c r="K2424" s="51" t="str">
        <f t="shared" si="522"/>
        <v/>
      </c>
      <c r="L2424" s="52" t="str">
        <f t="shared" si="523"/>
        <v/>
      </c>
      <c r="M2424" s="53" t="str">
        <f t="shared" si="524"/>
        <v/>
      </c>
      <c r="N2424" s="53" t="str">
        <f t="shared" si="525"/>
        <v/>
      </c>
      <c r="O2424" s="53" t="str">
        <f t="shared" si="526"/>
        <v/>
      </c>
      <c r="P2424" s="53" t="str">
        <f t="shared" si="527"/>
        <v/>
      </c>
      <c r="Q2424" s="53" t="str">
        <f t="shared" si="528"/>
        <v/>
      </c>
      <c r="R2424" s="53" t="str">
        <f t="shared" si="529"/>
        <v/>
      </c>
      <c r="S2424" s="53" t="str">
        <f t="shared" si="530"/>
        <v/>
      </c>
      <c r="T2424" s="53" t="str">
        <f t="shared" si="531"/>
        <v/>
      </c>
    </row>
    <row r="2425" spans="1:20">
      <c r="A2425" s="47" t="str">
        <f>IF(archive!E2425="","",archive!E2425)</f>
        <v/>
      </c>
      <c r="B2425" s="48" t="str">
        <f t="shared" si="518"/>
        <v/>
      </c>
      <c r="C2425" s="49" t="str">
        <f>IF(archive!F2425="","",archive!F2425)</f>
        <v/>
      </c>
      <c r="D2425" s="50" t="str">
        <f t="shared" si="519"/>
        <v/>
      </c>
      <c r="E2425" s="50" t="str">
        <f t="shared" si="520"/>
        <v/>
      </c>
      <c r="F2425" s="47" t="str">
        <f>IF(COUNTA(archive!H2425:CI2425)=0,"",COUNTA(archive!H2425:CI2425))</f>
        <v/>
      </c>
      <c r="G2425" s="47" t="str">
        <f>IF(archive!G2425="","",archive!G2425)</f>
        <v/>
      </c>
      <c r="H2425" s="51" t="str">
        <f>IF(archive!CJ2425="","",archive!CJ2425)</f>
        <v/>
      </c>
      <c r="I2425" s="51" t="str">
        <f>IF(archive!CK2425="","",archive!CK2425)</f>
        <v/>
      </c>
      <c r="J2425" s="47" t="str">
        <f t="shared" si="521"/>
        <v/>
      </c>
      <c r="K2425" s="51" t="str">
        <f t="shared" si="522"/>
        <v/>
      </c>
      <c r="L2425" s="52" t="str">
        <f t="shared" si="523"/>
        <v/>
      </c>
      <c r="M2425" s="53" t="str">
        <f t="shared" si="524"/>
        <v/>
      </c>
      <c r="N2425" s="53" t="str">
        <f t="shared" si="525"/>
        <v/>
      </c>
      <c r="O2425" s="53" t="str">
        <f t="shared" si="526"/>
        <v/>
      </c>
      <c r="P2425" s="53" t="str">
        <f t="shared" si="527"/>
        <v/>
      </c>
      <c r="Q2425" s="53" t="str">
        <f t="shared" si="528"/>
        <v/>
      </c>
      <c r="R2425" s="53" t="str">
        <f t="shared" si="529"/>
        <v/>
      </c>
      <c r="S2425" s="53" t="str">
        <f t="shared" si="530"/>
        <v/>
      </c>
      <c r="T2425" s="53" t="str">
        <f t="shared" si="531"/>
        <v/>
      </c>
    </row>
    <row r="2426" spans="1:20">
      <c r="A2426" s="47" t="str">
        <f>IF(archive!E2426="","",archive!E2426)</f>
        <v/>
      </c>
      <c r="B2426" s="48" t="str">
        <f t="shared" si="518"/>
        <v/>
      </c>
      <c r="C2426" s="49" t="str">
        <f>IF(archive!F2426="","",archive!F2426)</f>
        <v/>
      </c>
      <c r="D2426" s="50" t="str">
        <f t="shared" si="519"/>
        <v/>
      </c>
      <c r="E2426" s="50" t="str">
        <f t="shared" si="520"/>
        <v/>
      </c>
      <c r="F2426" s="47" t="str">
        <f>IF(COUNTA(archive!H2426:CI2426)=0,"",COUNTA(archive!H2426:CI2426))</f>
        <v/>
      </c>
      <c r="G2426" s="47" t="str">
        <f>IF(archive!G2426="","",archive!G2426)</f>
        <v/>
      </c>
      <c r="H2426" s="51" t="str">
        <f>IF(archive!CJ2426="","",archive!CJ2426)</f>
        <v/>
      </c>
      <c r="I2426" s="51" t="str">
        <f>IF(archive!CK2426="","",archive!CK2426)</f>
        <v/>
      </c>
      <c r="J2426" s="47" t="str">
        <f t="shared" si="521"/>
        <v/>
      </c>
      <c r="K2426" s="51" t="str">
        <f t="shared" si="522"/>
        <v/>
      </c>
      <c r="L2426" s="52" t="str">
        <f t="shared" si="523"/>
        <v/>
      </c>
      <c r="M2426" s="53" t="str">
        <f t="shared" si="524"/>
        <v/>
      </c>
      <c r="N2426" s="53" t="str">
        <f t="shared" si="525"/>
        <v/>
      </c>
      <c r="O2426" s="53" t="str">
        <f t="shared" si="526"/>
        <v/>
      </c>
      <c r="P2426" s="53" t="str">
        <f t="shared" si="527"/>
        <v/>
      </c>
      <c r="Q2426" s="53" t="str">
        <f t="shared" si="528"/>
        <v/>
      </c>
      <c r="R2426" s="53" t="str">
        <f t="shared" si="529"/>
        <v/>
      </c>
      <c r="S2426" s="53" t="str">
        <f t="shared" si="530"/>
        <v/>
      </c>
      <c r="T2426" s="53" t="str">
        <f t="shared" si="531"/>
        <v/>
      </c>
    </row>
    <row r="2427" spans="1:20">
      <c r="A2427" s="47" t="str">
        <f>IF(archive!E2427="","",archive!E2427)</f>
        <v/>
      </c>
      <c r="B2427" s="48" t="str">
        <f t="shared" si="518"/>
        <v/>
      </c>
      <c r="C2427" s="49" t="str">
        <f>IF(archive!F2427="","",archive!F2427)</f>
        <v/>
      </c>
      <c r="D2427" s="50" t="str">
        <f t="shared" si="519"/>
        <v/>
      </c>
      <c r="E2427" s="50" t="str">
        <f t="shared" si="520"/>
        <v/>
      </c>
      <c r="F2427" s="47" t="str">
        <f>IF(COUNTA(archive!H2427:CI2427)=0,"",COUNTA(archive!H2427:CI2427))</f>
        <v/>
      </c>
      <c r="G2427" s="47" t="str">
        <f>IF(archive!G2427="","",archive!G2427)</f>
        <v/>
      </c>
      <c r="H2427" s="51" t="str">
        <f>IF(archive!CJ2427="","",archive!CJ2427)</f>
        <v/>
      </c>
      <c r="I2427" s="51" t="str">
        <f>IF(archive!CK2427="","",archive!CK2427)</f>
        <v/>
      </c>
      <c r="J2427" s="47" t="str">
        <f t="shared" si="521"/>
        <v/>
      </c>
      <c r="K2427" s="51" t="str">
        <f t="shared" si="522"/>
        <v/>
      </c>
      <c r="L2427" s="52" t="str">
        <f t="shared" si="523"/>
        <v/>
      </c>
      <c r="M2427" s="53" t="str">
        <f t="shared" si="524"/>
        <v/>
      </c>
      <c r="N2427" s="53" t="str">
        <f t="shared" si="525"/>
        <v/>
      </c>
      <c r="O2427" s="53" t="str">
        <f t="shared" si="526"/>
        <v/>
      </c>
      <c r="P2427" s="53" t="str">
        <f t="shared" si="527"/>
        <v/>
      </c>
      <c r="Q2427" s="53" t="str">
        <f t="shared" si="528"/>
        <v/>
      </c>
      <c r="R2427" s="53" t="str">
        <f t="shared" si="529"/>
        <v/>
      </c>
      <c r="S2427" s="53" t="str">
        <f t="shared" si="530"/>
        <v/>
      </c>
      <c r="T2427" s="53" t="str">
        <f t="shared" si="531"/>
        <v/>
      </c>
    </row>
    <row r="2428" spans="1:20">
      <c r="A2428" s="47" t="str">
        <f>IF(archive!E2428="","",archive!E2428)</f>
        <v/>
      </c>
      <c r="B2428" s="48" t="str">
        <f t="shared" si="518"/>
        <v/>
      </c>
      <c r="C2428" s="49" t="str">
        <f>IF(archive!F2428="","",archive!F2428)</f>
        <v/>
      </c>
      <c r="D2428" s="50" t="str">
        <f t="shared" si="519"/>
        <v/>
      </c>
      <c r="E2428" s="50" t="str">
        <f t="shared" si="520"/>
        <v/>
      </c>
      <c r="F2428" s="47" t="str">
        <f>IF(COUNTA(archive!H2428:CI2428)=0,"",COUNTA(archive!H2428:CI2428))</f>
        <v/>
      </c>
      <c r="G2428" s="47" t="str">
        <f>IF(archive!G2428="","",archive!G2428)</f>
        <v/>
      </c>
      <c r="H2428" s="51" t="str">
        <f>IF(archive!CJ2428="","",archive!CJ2428)</f>
        <v/>
      </c>
      <c r="I2428" s="51" t="str">
        <f>IF(archive!CK2428="","",archive!CK2428)</f>
        <v/>
      </c>
      <c r="J2428" s="47" t="str">
        <f t="shared" si="521"/>
        <v/>
      </c>
      <c r="K2428" s="51" t="str">
        <f t="shared" si="522"/>
        <v/>
      </c>
      <c r="L2428" s="52" t="str">
        <f t="shared" si="523"/>
        <v/>
      </c>
      <c r="M2428" s="53" t="str">
        <f t="shared" si="524"/>
        <v/>
      </c>
      <c r="N2428" s="53" t="str">
        <f t="shared" si="525"/>
        <v/>
      </c>
      <c r="O2428" s="53" t="str">
        <f t="shared" si="526"/>
        <v/>
      </c>
      <c r="P2428" s="53" t="str">
        <f t="shared" si="527"/>
        <v/>
      </c>
      <c r="Q2428" s="53" t="str">
        <f t="shared" si="528"/>
        <v/>
      </c>
      <c r="R2428" s="53" t="str">
        <f t="shared" si="529"/>
        <v/>
      </c>
      <c r="S2428" s="53" t="str">
        <f t="shared" si="530"/>
        <v/>
      </c>
      <c r="T2428" s="53" t="str">
        <f t="shared" si="531"/>
        <v/>
      </c>
    </row>
    <row r="2429" spans="1:20">
      <c r="A2429" s="47" t="str">
        <f>IF(archive!E2429="","",archive!E2429)</f>
        <v/>
      </c>
      <c r="B2429" s="48" t="str">
        <f t="shared" si="518"/>
        <v/>
      </c>
      <c r="C2429" s="49" t="str">
        <f>IF(archive!F2429="","",archive!F2429)</f>
        <v/>
      </c>
      <c r="D2429" s="50" t="str">
        <f t="shared" si="519"/>
        <v/>
      </c>
      <c r="E2429" s="50" t="str">
        <f t="shared" si="520"/>
        <v/>
      </c>
      <c r="F2429" s="47" t="str">
        <f>IF(COUNTA(archive!H2429:CI2429)=0,"",COUNTA(archive!H2429:CI2429))</f>
        <v/>
      </c>
      <c r="G2429" s="47" t="str">
        <f>IF(archive!G2429="","",archive!G2429)</f>
        <v/>
      </c>
      <c r="H2429" s="51" t="str">
        <f>IF(archive!CJ2429="","",archive!CJ2429)</f>
        <v/>
      </c>
      <c r="I2429" s="51" t="str">
        <f>IF(archive!CK2429="","",archive!CK2429)</f>
        <v/>
      </c>
      <c r="J2429" s="47" t="str">
        <f t="shared" si="521"/>
        <v/>
      </c>
      <c r="K2429" s="51" t="str">
        <f t="shared" si="522"/>
        <v/>
      </c>
      <c r="L2429" s="52" t="str">
        <f t="shared" si="523"/>
        <v/>
      </c>
      <c r="M2429" s="53" t="str">
        <f t="shared" si="524"/>
        <v/>
      </c>
      <c r="N2429" s="53" t="str">
        <f t="shared" si="525"/>
        <v/>
      </c>
      <c r="O2429" s="53" t="str">
        <f t="shared" si="526"/>
        <v/>
      </c>
      <c r="P2429" s="53" t="str">
        <f t="shared" si="527"/>
        <v/>
      </c>
      <c r="Q2429" s="53" t="str">
        <f t="shared" si="528"/>
        <v/>
      </c>
      <c r="R2429" s="53" t="str">
        <f t="shared" si="529"/>
        <v/>
      </c>
      <c r="S2429" s="53" t="str">
        <f t="shared" si="530"/>
        <v/>
      </c>
      <c r="T2429" s="53" t="str">
        <f t="shared" si="531"/>
        <v/>
      </c>
    </row>
    <row r="2430" spans="1:20">
      <c r="A2430" s="47" t="str">
        <f>IF(archive!E2430="","",archive!E2430)</f>
        <v/>
      </c>
      <c r="B2430" s="48" t="str">
        <f t="shared" si="518"/>
        <v/>
      </c>
      <c r="C2430" s="49" t="str">
        <f>IF(archive!F2430="","",archive!F2430)</f>
        <v/>
      </c>
      <c r="D2430" s="50" t="str">
        <f t="shared" si="519"/>
        <v/>
      </c>
      <c r="E2430" s="50" t="str">
        <f t="shared" si="520"/>
        <v/>
      </c>
      <c r="F2430" s="47" t="str">
        <f>IF(COUNTA(archive!H2430:CI2430)=0,"",COUNTA(archive!H2430:CI2430))</f>
        <v/>
      </c>
      <c r="G2430" s="47" t="str">
        <f>IF(archive!G2430="","",archive!G2430)</f>
        <v/>
      </c>
      <c r="H2430" s="51" t="str">
        <f>IF(archive!CJ2430="","",archive!CJ2430)</f>
        <v/>
      </c>
      <c r="I2430" s="51" t="str">
        <f>IF(archive!CK2430="","",archive!CK2430)</f>
        <v/>
      </c>
      <c r="J2430" s="47" t="str">
        <f t="shared" si="521"/>
        <v/>
      </c>
      <c r="K2430" s="51" t="str">
        <f t="shared" si="522"/>
        <v/>
      </c>
      <c r="L2430" s="52" t="str">
        <f t="shared" si="523"/>
        <v/>
      </c>
      <c r="M2430" s="53" t="str">
        <f t="shared" si="524"/>
        <v/>
      </c>
      <c r="N2430" s="53" t="str">
        <f t="shared" si="525"/>
        <v/>
      </c>
      <c r="O2430" s="53" t="str">
        <f t="shared" si="526"/>
        <v/>
      </c>
      <c r="P2430" s="53" t="str">
        <f t="shared" si="527"/>
        <v/>
      </c>
      <c r="Q2430" s="53" t="str">
        <f t="shared" si="528"/>
        <v/>
      </c>
      <c r="R2430" s="53" t="str">
        <f t="shared" si="529"/>
        <v/>
      </c>
      <c r="S2430" s="53" t="str">
        <f t="shared" si="530"/>
        <v/>
      </c>
      <c r="T2430" s="53" t="str">
        <f t="shared" si="531"/>
        <v/>
      </c>
    </row>
    <row r="2431" spans="1:20">
      <c r="A2431" s="47" t="str">
        <f>IF(archive!E2431="","",archive!E2431)</f>
        <v/>
      </c>
      <c r="B2431" s="48" t="str">
        <f t="shared" si="518"/>
        <v/>
      </c>
      <c r="C2431" s="49" t="str">
        <f>IF(archive!F2431="","",archive!F2431)</f>
        <v/>
      </c>
      <c r="D2431" s="50" t="str">
        <f t="shared" si="519"/>
        <v/>
      </c>
      <c r="E2431" s="50" t="str">
        <f t="shared" si="520"/>
        <v/>
      </c>
      <c r="F2431" s="47" t="str">
        <f>IF(COUNTA(archive!H2431:CI2431)=0,"",COUNTA(archive!H2431:CI2431))</f>
        <v/>
      </c>
      <c r="G2431" s="47" t="str">
        <f>IF(archive!G2431="","",archive!G2431)</f>
        <v/>
      </c>
      <c r="H2431" s="51" t="str">
        <f>IF(archive!CJ2431="","",archive!CJ2431)</f>
        <v/>
      </c>
      <c r="I2431" s="51" t="str">
        <f>IF(archive!CK2431="","",archive!CK2431)</f>
        <v/>
      </c>
      <c r="J2431" s="47" t="str">
        <f t="shared" si="521"/>
        <v/>
      </c>
      <c r="K2431" s="51" t="str">
        <f t="shared" si="522"/>
        <v/>
      </c>
      <c r="L2431" s="52" t="str">
        <f t="shared" si="523"/>
        <v/>
      </c>
      <c r="M2431" s="53" t="str">
        <f t="shared" si="524"/>
        <v/>
      </c>
      <c r="N2431" s="53" t="str">
        <f t="shared" si="525"/>
        <v/>
      </c>
      <c r="O2431" s="53" t="str">
        <f t="shared" si="526"/>
        <v/>
      </c>
      <c r="P2431" s="53" t="str">
        <f t="shared" si="527"/>
        <v/>
      </c>
      <c r="Q2431" s="53" t="str">
        <f t="shared" si="528"/>
        <v/>
      </c>
      <c r="R2431" s="53" t="str">
        <f t="shared" si="529"/>
        <v/>
      </c>
      <c r="S2431" s="53" t="str">
        <f t="shared" si="530"/>
        <v/>
      </c>
      <c r="T2431" s="53" t="str">
        <f t="shared" si="531"/>
        <v/>
      </c>
    </row>
    <row r="2432" spans="1:20">
      <c r="A2432" s="47" t="str">
        <f>IF(archive!E2432="","",archive!E2432)</f>
        <v/>
      </c>
      <c r="B2432" s="48" t="str">
        <f t="shared" si="518"/>
        <v/>
      </c>
      <c r="C2432" s="49" t="str">
        <f>IF(archive!F2432="","",archive!F2432)</f>
        <v/>
      </c>
      <c r="D2432" s="50" t="str">
        <f t="shared" si="519"/>
        <v/>
      </c>
      <c r="E2432" s="50" t="str">
        <f t="shared" si="520"/>
        <v/>
      </c>
      <c r="F2432" s="47" t="str">
        <f>IF(COUNTA(archive!H2432:CI2432)=0,"",COUNTA(archive!H2432:CI2432))</f>
        <v/>
      </c>
      <c r="G2432" s="47" t="str">
        <f>IF(archive!G2432="","",archive!G2432)</f>
        <v/>
      </c>
      <c r="H2432" s="51" t="str">
        <f>IF(archive!CJ2432="","",archive!CJ2432)</f>
        <v/>
      </c>
      <c r="I2432" s="51" t="str">
        <f>IF(archive!CK2432="","",archive!CK2432)</f>
        <v/>
      </c>
      <c r="J2432" s="47" t="str">
        <f t="shared" si="521"/>
        <v/>
      </c>
      <c r="K2432" s="51" t="str">
        <f t="shared" si="522"/>
        <v/>
      </c>
      <c r="L2432" s="52" t="str">
        <f t="shared" si="523"/>
        <v/>
      </c>
      <c r="M2432" s="53" t="str">
        <f t="shared" si="524"/>
        <v/>
      </c>
      <c r="N2432" s="53" t="str">
        <f t="shared" si="525"/>
        <v/>
      </c>
      <c r="O2432" s="53" t="str">
        <f t="shared" si="526"/>
        <v/>
      </c>
      <c r="P2432" s="53" t="str">
        <f t="shared" si="527"/>
        <v/>
      </c>
      <c r="Q2432" s="53" t="str">
        <f t="shared" si="528"/>
        <v/>
      </c>
      <c r="R2432" s="53" t="str">
        <f t="shared" si="529"/>
        <v/>
      </c>
      <c r="S2432" s="53" t="str">
        <f t="shared" si="530"/>
        <v/>
      </c>
      <c r="T2432" s="53" t="str">
        <f t="shared" si="531"/>
        <v/>
      </c>
    </row>
    <row r="2433" spans="1:20">
      <c r="A2433" s="47" t="str">
        <f>IF(archive!E2433="","",archive!E2433)</f>
        <v/>
      </c>
      <c r="B2433" s="48" t="str">
        <f t="shared" si="518"/>
        <v/>
      </c>
      <c r="C2433" s="49" t="str">
        <f>IF(archive!F2433="","",archive!F2433)</f>
        <v/>
      </c>
      <c r="D2433" s="50" t="str">
        <f t="shared" si="519"/>
        <v/>
      </c>
      <c r="E2433" s="50" t="str">
        <f t="shared" si="520"/>
        <v/>
      </c>
      <c r="F2433" s="47" t="str">
        <f>IF(COUNTA(archive!H2433:CI2433)=0,"",COUNTA(archive!H2433:CI2433))</f>
        <v/>
      </c>
      <c r="G2433" s="47" t="str">
        <f>IF(archive!G2433="","",archive!G2433)</f>
        <v/>
      </c>
      <c r="H2433" s="51" t="str">
        <f>IF(archive!CJ2433="","",archive!CJ2433)</f>
        <v/>
      </c>
      <c r="I2433" s="51" t="str">
        <f>IF(archive!CK2433="","",archive!CK2433)</f>
        <v/>
      </c>
      <c r="J2433" s="47" t="str">
        <f t="shared" si="521"/>
        <v/>
      </c>
      <c r="K2433" s="51" t="str">
        <f t="shared" si="522"/>
        <v/>
      </c>
      <c r="L2433" s="52" t="str">
        <f t="shared" si="523"/>
        <v/>
      </c>
      <c r="M2433" s="53" t="str">
        <f t="shared" si="524"/>
        <v/>
      </c>
      <c r="N2433" s="53" t="str">
        <f t="shared" si="525"/>
        <v/>
      </c>
      <c r="O2433" s="53" t="str">
        <f t="shared" si="526"/>
        <v/>
      </c>
      <c r="P2433" s="53" t="str">
        <f t="shared" si="527"/>
        <v/>
      </c>
      <c r="Q2433" s="53" t="str">
        <f t="shared" si="528"/>
        <v/>
      </c>
      <c r="R2433" s="53" t="str">
        <f t="shared" si="529"/>
        <v/>
      </c>
      <c r="S2433" s="53" t="str">
        <f t="shared" si="530"/>
        <v/>
      </c>
      <c r="T2433" s="53" t="str">
        <f t="shared" si="531"/>
        <v/>
      </c>
    </row>
    <row r="2434" spans="1:20">
      <c r="A2434" s="47" t="str">
        <f>IF(archive!E2434="","",archive!E2434)</f>
        <v/>
      </c>
      <c r="B2434" s="48" t="str">
        <f t="shared" si="518"/>
        <v/>
      </c>
      <c r="C2434" s="49" t="str">
        <f>IF(archive!F2434="","",archive!F2434)</f>
        <v/>
      </c>
      <c r="D2434" s="50" t="str">
        <f t="shared" si="519"/>
        <v/>
      </c>
      <c r="E2434" s="50" t="str">
        <f t="shared" si="520"/>
        <v/>
      </c>
      <c r="F2434" s="47" t="str">
        <f>IF(COUNTA(archive!H2434:CI2434)=0,"",COUNTA(archive!H2434:CI2434))</f>
        <v/>
      </c>
      <c r="G2434" s="47" t="str">
        <f>IF(archive!G2434="","",archive!G2434)</f>
        <v/>
      </c>
      <c r="H2434" s="51" t="str">
        <f>IF(archive!CJ2434="","",archive!CJ2434)</f>
        <v/>
      </c>
      <c r="I2434" s="51" t="str">
        <f>IF(archive!CK2434="","",archive!CK2434)</f>
        <v/>
      </c>
      <c r="J2434" s="47" t="str">
        <f t="shared" si="521"/>
        <v/>
      </c>
      <c r="K2434" s="51" t="str">
        <f t="shared" si="522"/>
        <v/>
      </c>
      <c r="L2434" s="52" t="str">
        <f t="shared" si="523"/>
        <v/>
      </c>
      <c r="M2434" s="53" t="str">
        <f t="shared" si="524"/>
        <v/>
      </c>
      <c r="N2434" s="53" t="str">
        <f t="shared" si="525"/>
        <v/>
      </c>
      <c r="O2434" s="53" t="str">
        <f t="shared" si="526"/>
        <v/>
      </c>
      <c r="P2434" s="53" t="str">
        <f t="shared" si="527"/>
        <v/>
      </c>
      <c r="Q2434" s="53" t="str">
        <f t="shared" si="528"/>
        <v/>
      </c>
      <c r="R2434" s="53" t="str">
        <f t="shared" si="529"/>
        <v/>
      </c>
      <c r="S2434" s="53" t="str">
        <f t="shared" si="530"/>
        <v/>
      </c>
      <c r="T2434" s="53" t="str">
        <f t="shared" si="531"/>
        <v/>
      </c>
    </row>
    <row r="2435" spans="1:20">
      <c r="A2435" s="47" t="str">
        <f>IF(archive!E2435="","",archive!E2435)</f>
        <v/>
      </c>
      <c r="B2435" s="48" t="str">
        <f t="shared" si="518"/>
        <v/>
      </c>
      <c r="C2435" s="49" t="str">
        <f>IF(archive!F2435="","",archive!F2435)</f>
        <v/>
      </c>
      <c r="D2435" s="50" t="str">
        <f t="shared" si="519"/>
        <v/>
      </c>
      <c r="E2435" s="50" t="str">
        <f t="shared" si="520"/>
        <v/>
      </c>
      <c r="F2435" s="47" t="str">
        <f>IF(COUNTA(archive!H2435:CI2435)=0,"",COUNTA(archive!H2435:CI2435))</f>
        <v/>
      </c>
      <c r="G2435" s="47" t="str">
        <f>IF(archive!G2435="","",archive!G2435)</f>
        <v/>
      </c>
      <c r="H2435" s="51" t="str">
        <f>IF(archive!CJ2435="","",archive!CJ2435)</f>
        <v/>
      </c>
      <c r="I2435" s="51" t="str">
        <f>IF(archive!CK2435="","",archive!CK2435)</f>
        <v/>
      </c>
      <c r="J2435" s="47" t="str">
        <f t="shared" si="521"/>
        <v/>
      </c>
      <c r="K2435" s="51" t="str">
        <f t="shared" si="522"/>
        <v/>
      </c>
      <c r="L2435" s="52" t="str">
        <f t="shared" si="523"/>
        <v/>
      </c>
      <c r="M2435" s="53" t="str">
        <f t="shared" si="524"/>
        <v/>
      </c>
      <c r="N2435" s="53" t="str">
        <f t="shared" si="525"/>
        <v/>
      </c>
      <c r="O2435" s="53" t="str">
        <f t="shared" si="526"/>
        <v/>
      </c>
      <c r="P2435" s="53" t="str">
        <f t="shared" si="527"/>
        <v/>
      </c>
      <c r="Q2435" s="53" t="str">
        <f t="shared" si="528"/>
        <v/>
      </c>
      <c r="R2435" s="53" t="str">
        <f t="shared" si="529"/>
        <v/>
      </c>
      <c r="S2435" s="53" t="str">
        <f t="shared" si="530"/>
        <v/>
      </c>
      <c r="T2435" s="53" t="str">
        <f t="shared" si="531"/>
        <v/>
      </c>
    </row>
    <row r="2436" spans="1:20">
      <c r="A2436" s="47" t="str">
        <f>IF(archive!E2436="","",archive!E2436)</f>
        <v/>
      </c>
      <c r="B2436" s="48" t="str">
        <f t="shared" ref="B2436:B2499" si="532">IF(C2436="","",VLOOKUP($C2436,Tare,2,0))</f>
        <v/>
      </c>
      <c r="C2436" s="49" t="str">
        <f>IF(archive!F2436="","",archive!F2436)</f>
        <v/>
      </c>
      <c r="D2436" s="50" t="str">
        <f t="shared" ref="D2436:D2499" si="533">IF(C2436="","",C2436+B2436)</f>
        <v/>
      </c>
      <c r="E2436" s="50" t="str">
        <f t="shared" ref="E2436:E2499" si="534">IF(C2436="","",(C2436*0.025)+D2436)</f>
        <v/>
      </c>
      <c r="F2436" s="47" t="str">
        <f>IF(COUNTA(archive!H2436:CI2436)=0,"",COUNTA(archive!H2436:CI2436))</f>
        <v/>
      </c>
      <c r="G2436" s="47" t="str">
        <f>IF(archive!G2436="","",archive!G2436)</f>
        <v/>
      </c>
      <c r="H2436" s="51" t="str">
        <f>IF(archive!CJ2436="","",archive!CJ2436)</f>
        <v/>
      </c>
      <c r="I2436" s="51" t="str">
        <f>IF(archive!CK2436="","",archive!CK2436)</f>
        <v/>
      </c>
      <c r="J2436" s="47" t="str">
        <f t="shared" ref="J2436:J2499" si="535">IF(F2436="","",VLOOKUP(F2436,Valeur_g,2,0))</f>
        <v/>
      </c>
      <c r="K2436" s="51" t="str">
        <f t="shared" ref="K2436:K2499" si="536">IF(C2436="","",D2436+(J2436*I2436))</f>
        <v/>
      </c>
      <c r="L2436" s="52" t="str">
        <f t="shared" ref="L2436:L2499" si="537">IF(C2436="","",IF(K2436&lt;H2436,"Conforme","Non conforme"))</f>
        <v/>
      </c>
      <c r="M2436" s="53" t="str">
        <f t="shared" ref="M2436:M2499" si="538">IF(C2436="","",1)</f>
        <v/>
      </c>
      <c r="N2436" s="53" t="str">
        <f t="shared" ref="N2436:N2499" si="539">IF(L2436="","",COUNTIF(L2436,"Non conforme"))</f>
        <v/>
      </c>
      <c r="O2436" s="53" t="str">
        <f t="shared" ref="O2436:O2499" si="540">IF($C2436="","",IF($C2436=0.25,$G2436,"-"))</f>
        <v/>
      </c>
      <c r="P2436" s="53" t="str">
        <f t="shared" ref="P2436:P2499" si="541">IF($C2436="","",IF($C2436=0.4,$G2436,"-"))</f>
        <v/>
      </c>
      <c r="Q2436" s="53" t="str">
        <f t="shared" ref="Q2436:Q2499" si="542">IF($C2436="","",IF($C2436=0.5,$G2436,"-"))</f>
        <v/>
      </c>
      <c r="R2436" s="53" t="str">
        <f t="shared" ref="R2436:R2499" si="543">IF($C2436="","",IF($C2436=0.6,$G2436,"-"))</f>
        <v/>
      </c>
      <c r="S2436" s="53" t="str">
        <f t="shared" ref="S2436:S2499" si="544">IF($C2436="","",IF($C2436=0.8,$G2436,"-"))</f>
        <v/>
      </c>
      <c r="T2436" s="53" t="str">
        <f t="shared" ref="T2436:T2499" si="545">IF($C2436="","",IF($C2436=1,$G2436,"-"))</f>
        <v/>
      </c>
    </row>
    <row r="2437" spans="1:20">
      <c r="A2437" s="47" t="str">
        <f>IF(archive!E2437="","",archive!E2437)</f>
        <v/>
      </c>
      <c r="B2437" s="48" t="str">
        <f t="shared" si="532"/>
        <v/>
      </c>
      <c r="C2437" s="49" t="str">
        <f>IF(archive!F2437="","",archive!F2437)</f>
        <v/>
      </c>
      <c r="D2437" s="50" t="str">
        <f t="shared" si="533"/>
        <v/>
      </c>
      <c r="E2437" s="50" t="str">
        <f t="shared" si="534"/>
        <v/>
      </c>
      <c r="F2437" s="47" t="str">
        <f>IF(COUNTA(archive!H2437:CI2437)=0,"",COUNTA(archive!H2437:CI2437))</f>
        <v/>
      </c>
      <c r="G2437" s="47" t="str">
        <f>IF(archive!G2437="","",archive!G2437)</f>
        <v/>
      </c>
      <c r="H2437" s="51" t="str">
        <f>IF(archive!CJ2437="","",archive!CJ2437)</f>
        <v/>
      </c>
      <c r="I2437" s="51" t="str">
        <f>IF(archive!CK2437="","",archive!CK2437)</f>
        <v/>
      </c>
      <c r="J2437" s="47" t="str">
        <f t="shared" si="535"/>
        <v/>
      </c>
      <c r="K2437" s="51" t="str">
        <f t="shared" si="536"/>
        <v/>
      </c>
      <c r="L2437" s="52" t="str">
        <f t="shared" si="537"/>
        <v/>
      </c>
      <c r="M2437" s="53" t="str">
        <f t="shared" si="538"/>
        <v/>
      </c>
      <c r="N2437" s="53" t="str">
        <f t="shared" si="539"/>
        <v/>
      </c>
      <c r="O2437" s="53" t="str">
        <f t="shared" si="540"/>
        <v/>
      </c>
      <c r="P2437" s="53" t="str">
        <f t="shared" si="541"/>
        <v/>
      </c>
      <c r="Q2437" s="53" t="str">
        <f t="shared" si="542"/>
        <v/>
      </c>
      <c r="R2437" s="53" t="str">
        <f t="shared" si="543"/>
        <v/>
      </c>
      <c r="S2437" s="53" t="str">
        <f t="shared" si="544"/>
        <v/>
      </c>
      <c r="T2437" s="53" t="str">
        <f t="shared" si="545"/>
        <v/>
      </c>
    </row>
    <row r="2438" spans="1:20">
      <c r="A2438" s="47" t="str">
        <f>IF(archive!E2438="","",archive!E2438)</f>
        <v/>
      </c>
      <c r="B2438" s="48" t="str">
        <f t="shared" si="532"/>
        <v/>
      </c>
      <c r="C2438" s="49" t="str">
        <f>IF(archive!F2438="","",archive!F2438)</f>
        <v/>
      </c>
      <c r="D2438" s="50" t="str">
        <f t="shared" si="533"/>
        <v/>
      </c>
      <c r="E2438" s="50" t="str">
        <f t="shared" si="534"/>
        <v/>
      </c>
      <c r="F2438" s="47" t="str">
        <f>IF(COUNTA(archive!H2438:CI2438)=0,"",COUNTA(archive!H2438:CI2438))</f>
        <v/>
      </c>
      <c r="G2438" s="47" t="str">
        <f>IF(archive!G2438="","",archive!G2438)</f>
        <v/>
      </c>
      <c r="H2438" s="51" t="str">
        <f>IF(archive!CJ2438="","",archive!CJ2438)</f>
        <v/>
      </c>
      <c r="I2438" s="51" t="str">
        <f>IF(archive!CK2438="","",archive!CK2438)</f>
        <v/>
      </c>
      <c r="J2438" s="47" t="str">
        <f t="shared" si="535"/>
        <v/>
      </c>
      <c r="K2438" s="51" t="str">
        <f t="shared" si="536"/>
        <v/>
      </c>
      <c r="L2438" s="52" t="str">
        <f t="shared" si="537"/>
        <v/>
      </c>
      <c r="M2438" s="53" t="str">
        <f t="shared" si="538"/>
        <v/>
      </c>
      <c r="N2438" s="53" t="str">
        <f t="shared" si="539"/>
        <v/>
      </c>
      <c r="O2438" s="53" t="str">
        <f t="shared" si="540"/>
        <v/>
      </c>
      <c r="P2438" s="53" t="str">
        <f t="shared" si="541"/>
        <v/>
      </c>
      <c r="Q2438" s="53" t="str">
        <f t="shared" si="542"/>
        <v/>
      </c>
      <c r="R2438" s="53" t="str">
        <f t="shared" si="543"/>
        <v/>
      </c>
      <c r="S2438" s="53" t="str">
        <f t="shared" si="544"/>
        <v/>
      </c>
      <c r="T2438" s="53" t="str">
        <f t="shared" si="545"/>
        <v/>
      </c>
    </row>
    <row r="2439" spans="1:20">
      <c r="A2439" s="47" t="str">
        <f>IF(archive!E2439="","",archive!E2439)</f>
        <v/>
      </c>
      <c r="B2439" s="48" t="str">
        <f t="shared" si="532"/>
        <v/>
      </c>
      <c r="C2439" s="49" t="str">
        <f>IF(archive!F2439="","",archive!F2439)</f>
        <v/>
      </c>
      <c r="D2439" s="50" t="str">
        <f t="shared" si="533"/>
        <v/>
      </c>
      <c r="E2439" s="50" t="str">
        <f t="shared" si="534"/>
        <v/>
      </c>
      <c r="F2439" s="47" t="str">
        <f>IF(COUNTA(archive!H2439:CI2439)=0,"",COUNTA(archive!H2439:CI2439))</f>
        <v/>
      </c>
      <c r="G2439" s="47" t="str">
        <f>IF(archive!G2439="","",archive!G2439)</f>
        <v/>
      </c>
      <c r="H2439" s="51" t="str">
        <f>IF(archive!CJ2439="","",archive!CJ2439)</f>
        <v/>
      </c>
      <c r="I2439" s="51" t="str">
        <f>IF(archive!CK2439="","",archive!CK2439)</f>
        <v/>
      </c>
      <c r="J2439" s="47" t="str">
        <f t="shared" si="535"/>
        <v/>
      </c>
      <c r="K2439" s="51" t="str">
        <f t="shared" si="536"/>
        <v/>
      </c>
      <c r="L2439" s="52" t="str">
        <f t="shared" si="537"/>
        <v/>
      </c>
      <c r="M2439" s="53" t="str">
        <f t="shared" si="538"/>
        <v/>
      </c>
      <c r="N2439" s="53" t="str">
        <f t="shared" si="539"/>
        <v/>
      </c>
      <c r="O2439" s="53" t="str">
        <f t="shared" si="540"/>
        <v/>
      </c>
      <c r="P2439" s="53" t="str">
        <f t="shared" si="541"/>
        <v/>
      </c>
      <c r="Q2439" s="53" t="str">
        <f t="shared" si="542"/>
        <v/>
      </c>
      <c r="R2439" s="53" t="str">
        <f t="shared" si="543"/>
        <v/>
      </c>
      <c r="S2439" s="53" t="str">
        <f t="shared" si="544"/>
        <v/>
      </c>
      <c r="T2439" s="53" t="str">
        <f t="shared" si="545"/>
        <v/>
      </c>
    </row>
    <row r="2440" spans="1:20">
      <c r="A2440" s="47" t="str">
        <f>IF(archive!E2440="","",archive!E2440)</f>
        <v/>
      </c>
      <c r="B2440" s="48" t="str">
        <f t="shared" si="532"/>
        <v/>
      </c>
      <c r="C2440" s="49" t="str">
        <f>IF(archive!F2440="","",archive!F2440)</f>
        <v/>
      </c>
      <c r="D2440" s="50" t="str">
        <f t="shared" si="533"/>
        <v/>
      </c>
      <c r="E2440" s="50" t="str">
        <f t="shared" si="534"/>
        <v/>
      </c>
      <c r="F2440" s="47" t="str">
        <f>IF(COUNTA(archive!H2440:CI2440)=0,"",COUNTA(archive!H2440:CI2440))</f>
        <v/>
      </c>
      <c r="G2440" s="47" t="str">
        <f>IF(archive!G2440="","",archive!G2440)</f>
        <v/>
      </c>
      <c r="H2440" s="51" t="str">
        <f>IF(archive!CJ2440="","",archive!CJ2440)</f>
        <v/>
      </c>
      <c r="I2440" s="51" t="str">
        <f>IF(archive!CK2440="","",archive!CK2440)</f>
        <v/>
      </c>
      <c r="J2440" s="47" t="str">
        <f t="shared" si="535"/>
        <v/>
      </c>
      <c r="K2440" s="51" t="str">
        <f t="shared" si="536"/>
        <v/>
      </c>
      <c r="L2440" s="52" t="str">
        <f t="shared" si="537"/>
        <v/>
      </c>
      <c r="M2440" s="53" t="str">
        <f t="shared" si="538"/>
        <v/>
      </c>
      <c r="N2440" s="53" t="str">
        <f t="shared" si="539"/>
        <v/>
      </c>
      <c r="O2440" s="53" t="str">
        <f t="shared" si="540"/>
        <v/>
      </c>
      <c r="P2440" s="53" t="str">
        <f t="shared" si="541"/>
        <v/>
      </c>
      <c r="Q2440" s="53" t="str">
        <f t="shared" si="542"/>
        <v/>
      </c>
      <c r="R2440" s="53" t="str">
        <f t="shared" si="543"/>
        <v/>
      </c>
      <c r="S2440" s="53" t="str">
        <f t="shared" si="544"/>
        <v/>
      </c>
      <c r="T2440" s="53" t="str">
        <f t="shared" si="545"/>
        <v/>
      </c>
    </row>
    <row r="2441" spans="1:20">
      <c r="A2441" s="47" t="str">
        <f>IF(archive!E2441="","",archive!E2441)</f>
        <v/>
      </c>
      <c r="B2441" s="48" t="str">
        <f t="shared" si="532"/>
        <v/>
      </c>
      <c r="C2441" s="49" t="str">
        <f>IF(archive!F2441="","",archive!F2441)</f>
        <v/>
      </c>
      <c r="D2441" s="50" t="str">
        <f t="shared" si="533"/>
        <v/>
      </c>
      <c r="E2441" s="50" t="str">
        <f t="shared" si="534"/>
        <v/>
      </c>
      <c r="F2441" s="47" t="str">
        <f>IF(COUNTA(archive!H2441:CI2441)=0,"",COUNTA(archive!H2441:CI2441))</f>
        <v/>
      </c>
      <c r="G2441" s="47" t="str">
        <f>IF(archive!G2441="","",archive!G2441)</f>
        <v/>
      </c>
      <c r="H2441" s="51" t="str">
        <f>IF(archive!CJ2441="","",archive!CJ2441)</f>
        <v/>
      </c>
      <c r="I2441" s="51" t="str">
        <f>IF(archive!CK2441="","",archive!CK2441)</f>
        <v/>
      </c>
      <c r="J2441" s="47" t="str">
        <f t="shared" si="535"/>
        <v/>
      </c>
      <c r="K2441" s="51" t="str">
        <f t="shared" si="536"/>
        <v/>
      </c>
      <c r="L2441" s="52" t="str">
        <f t="shared" si="537"/>
        <v/>
      </c>
      <c r="M2441" s="53" t="str">
        <f t="shared" si="538"/>
        <v/>
      </c>
      <c r="N2441" s="53" t="str">
        <f t="shared" si="539"/>
        <v/>
      </c>
      <c r="O2441" s="53" t="str">
        <f t="shared" si="540"/>
        <v/>
      </c>
      <c r="P2441" s="53" t="str">
        <f t="shared" si="541"/>
        <v/>
      </c>
      <c r="Q2441" s="53" t="str">
        <f t="shared" si="542"/>
        <v/>
      </c>
      <c r="R2441" s="53" t="str">
        <f t="shared" si="543"/>
        <v/>
      </c>
      <c r="S2441" s="53" t="str">
        <f t="shared" si="544"/>
        <v/>
      </c>
      <c r="T2441" s="53" t="str">
        <f t="shared" si="545"/>
        <v/>
      </c>
    </row>
    <row r="2442" spans="1:20">
      <c r="A2442" s="47" t="str">
        <f>IF(archive!E2442="","",archive!E2442)</f>
        <v/>
      </c>
      <c r="B2442" s="48" t="str">
        <f t="shared" si="532"/>
        <v/>
      </c>
      <c r="C2442" s="49" t="str">
        <f>IF(archive!F2442="","",archive!F2442)</f>
        <v/>
      </c>
      <c r="D2442" s="50" t="str">
        <f t="shared" si="533"/>
        <v/>
      </c>
      <c r="E2442" s="50" t="str">
        <f t="shared" si="534"/>
        <v/>
      </c>
      <c r="F2442" s="47" t="str">
        <f>IF(COUNTA(archive!H2442:CI2442)=0,"",COUNTA(archive!H2442:CI2442))</f>
        <v/>
      </c>
      <c r="G2442" s="47" t="str">
        <f>IF(archive!G2442="","",archive!G2442)</f>
        <v/>
      </c>
      <c r="H2442" s="51" t="str">
        <f>IF(archive!CJ2442="","",archive!CJ2442)</f>
        <v/>
      </c>
      <c r="I2442" s="51" t="str">
        <f>IF(archive!CK2442="","",archive!CK2442)</f>
        <v/>
      </c>
      <c r="J2442" s="47" t="str">
        <f t="shared" si="535"/>
        <v/>
      </c>
      <c r="K2442" s="51" t="str">
        <f t="shared" si="536"/>
        <v/>
      </c>
      <c r="L2442" s="52" t="str">
        <f t="shared" si="537"/>
        <v/>
      </c>
      <c r="M2442" s="53" t="str">
        <f t="shared" si="538"/>
        <v/>
      </c>
      <c r="N2442" s="53" t="str">
        <f t="shared" si="539"/>
        <v/>
      </c>
      <c r="O2442" s="53" t="str">
        <f t="shared" si="540"/>
        <v/>
      </c>
      <c r="P2442" s="53" t="str">
        <f t="shared" si="541"/>
        <v/>
      </c>
      <c r="Q2442" s="53" t="str">
        <f t="shared" si="542"/>
        <v/>
      </c>
      <c r="R2442" s="53" t="str">
        <f t="shared" si="543"/>
        <v/>
      </c>
      <c r="S2442" s="53" t="str">
        <f t="shared" si="544"/>
        <v/>
      </c>
      <c r="T2442" s="53" t="str">
        <f t="shared" si="545"/>
        <v/>
      </c>
    </row>
    <row r="2443" spans="1:20">
      <c r="A2443" s="47" t="str">
        <f>IF(archive!E2443="","",archive!E2443)</f>
        <v/>
      </c>
      <c r="B2443" s="48" t="str">
        <f t="shared" si="532"/>
        <v/>
      </c>
      <c r="C2443" s="49" t="str">
        <f>IF(archive!F2443="","",archive!F2443)</f>
        <v/>
      </c>
      <c r="D2443" s="50" t="str">
        <f t="shared" si="533"/>
        <v/>
      </c>
      <c r="E2443" s="50" t="str">
        <f t="shared" si="534"/>
        <v/>
      </c>
      <c r="F2443" s="47" t="str">
        <f>IF(COUNTA(archive!H2443:CI2443)=0,"",COUNTA(archive!H2443:CI2443))</f>
        <v/>
      </c>
      <c r="G2443" s="47" t="str">
        <f>IF(archive!G2443="","",archive!G2443)</f>
        <v/>
      </c>
      <c r="H2443" s="51" t="str">
        <f>IF(archive!CJ2443="","",archive!CJ2443)</f>
        <v/>
      </c>
      <c r="I2443" s="51" t="str">
        <f>IF(archive!CK2443="","",archive!CK2443)</f>
        <v/>
      </c>
      <c r="J2443" s="47" t="str">
        <f t="shared" si="535"/>
        <v/>
      </c>
      <c r="K2443" s="51" t="str">
        <f t="shared" si="536"/>
        <v/>
      </c>
      <c r="L2443" s="52" t="str">
        <f t="shared" si="537"/>
        <v/>
      </c>
      <c r="M2443" s="53" t="str">
        <f t="shared" si="538"/>
        <v/>
      </c>
      <c r="N2443" s="53" t="str">
        <f t="shared" si="539"/>
        <v/>
      </c>
      <c r="O2443" s="53" t="str">
        <f t="shared" si="540"/>
        <v/>
      </c>
      <c r="P2443" s="53" t="str">
        <f t="shared" si="541"/>
        <v/>
      </c>
      <c r="Q2443" s="53" t="str">
        <f t="shared" si="542"/>
        <v/>
      </c>
      <c r="R2443" s="53" t="str">
        <f t="shared" si="543"/>
        <v/>
      </c>
      <c r="S2443" s="53" t="str">
        <f t="shared" si="544"/>
        <v/>
      </c>
      <c r="T2443" s="53" t="str">
        <f t="shared" si="545"/>
        <v/>
      </c>
    </row>
    <row r="2444" spans="1:20">
      <c r="A2444" s="47" t="str">
        <f>IF(archive!E2444="","",archive!E2444)</f>
        <v/>
      </c>
      <c r="B2444" s="48" t="str">
        <f t="shared" si="532"/>
        <v/>
      </c>
      <c r="C2444" s="49" t="str">
        <f>IF(archive!F2444="","",archive!F2444)</f>
        <v/>
      </c>
      <c r="D2444" s="50" t="str">
        <f t="shared" si="533"/>
        <v/>
      </c>
      <c r="E2444" s="50" t="str">
        <f t="shared" si="534"/>
        <v/>
      </c>
      <c r="F2444" s="47" t="str">
        <f>IF(COUNTA(archive!H2444:CI2444)=0,"",COUNTA(archive!H2444:CI2444))</f>
        <v/>
      </c>
      <c r="G2444" s="47" t="str">
        <f>IF(archive!G2444="","",archive!G2444)</f>
        <v/>
      </c>
      <c r="H2444" s="51" t="str">
        <f>IF(archive!CJ2444="","",archive!CJ2444)</f>
        <v/>
      </c>
      <c r="I2444" s="51" t="str">
        <f>IF(archive!CK2444="","",archive!CK2444)</f>
        <v/>
      </c>
      <c r="J2444" s="47" t="str">
        <f t="shared" si="535"/>
        <v/>
      </c>
      <c r="K2444" s="51" t="str">
        <f t="shared" si="536"/>
        <v/>
      </c>
      <c r="L2444" s="52" t="str">
        <f t="shared" si="537"/>
        <v/>
      </c>
      <c r="M2444" s="53" t="str">
        <f t="shared" si="538"/>
        <v/>
      </c>
      <c r="N2444" s="53" t="str">
        <f t="shared" si="539"/>
        <v/>
      </c>
      <c r="O2444" s="53" t="str">
        <f t="shared" si="540"/>
        <v/>
      </c>
      <c r="P2444" s="53" t="str">
        <f t="shared" si="541"/>
        <v/>
      </c>
      <c r="Q2444" s="53" t="str">
        <f t="shared" si="542"/>
        <v/>
      </c>
      <c r="R2444" s="53" t="str">
        <f t="shared" si="543"/>
        <v/>
      </c>
      <c r="S2444" s="53" t="str">
        <f t="shared" si="544"/>
        <v/>
      </c>
      <c r="T2444" s="53" t="str">
        <f t="shared" si="545"/>
        <v/>
      </c>
    </row>
    <row r="2445" spans="1:20">
      <c r="A2445" s="47" t="str">
        <f>IF(archive!E2445="","",archive!E2445)</f>
        <v/>
      </c>
      <c r="B2445" s="48" t="str">
        <f t="shared" si="532"/>
        <v/>
      </c>
      <c r="C2445" s="49" t="str">
        <f>IF(archive!F2445="","",archive!F2445)</f>
        <v/>
      </c>
      <c r="D2445" s="50" t="str">
        <f t="shared" si="533"/>
        <v/>
      </c>
      <c r="E2445" s="50" t="str">
        <f t="shared" si="534"/>
        <v/>
      </c>
      <c r="F2445" s="47" t="str">
        <f>IF(COUNTA(archive!H2445:CI2445)=0,"",COUNTA(archive!H2445:CI2445))</f>
        <v/>
      </c>
      <c r="G2445" s="47" t="str">
        <f>IF(archive!G2445="","",archive!G2445)</f>
        <v/>
      </c>
      <c r="H2445" s="51" t="str">
        <f>IF(archive!CJ2445="","",archive!CJ2445)</f>
        <v/>
      </c>
      <c r="I2445" s="51" t="str">
        <f>IF(archive!CK2445="","",archive!CK2445)</f>
        <v/>
      </c>
      <c r="J2445" s="47" t="str">
        <f t="shared" si="535"/>
        <v/>
      </c>
      <c r="K2445" s="51" t="str">
        <f t="shared" si="536"/>
        <v/>
      </c>
      <c r="L2445" s="52" t="str">
        <f t="shared" si="537"/>
        <v/>
      </c>
      <c r="M2445" s="53" t="str">
        <f t="shared" si="538"/>
        <v/>
      </c>
      <c r="N2445" s="53" t="str">
        <f t="shared" si="539"/>
        <v/>
      </c>
      <c r="O2445" s="53" t="str">
        <f t="shared" si="540"/>
        <v/>
      </c>
      <c r="P2445" s="53" t="str">
        <f t="shared" si="541"/>
        <v/>
      </c>
      <c r="Q2445" s="53" t="str">
        <f t="shared" si="542"/>
        <v/>
      </c>
      <c r="R2445" s="53" t="str">
        <f t="shared" si="543"/>
        <v/>
      </c>
      <c r="S2445" s="53" t="str">
        <f t="shared" si="544"/>
        <v/>
      </c>
      <c r="T2445" s="53" t="str">
        <f t="shared" si="545"/>
        <v/>
      </c>
    </row>
    <row r="2446" spans="1:20">
      <c r="A2446" s="47" t="str">
        <f>IF(archive!E2446="","",archive!E2446)</f>
        <v/>
      </c>
      <c r="B2446" s="48" t="str">
        <f t="shared" si="532"/>
        <v/>
      </c>
      <c r="C2446" s="49" t="str">
        <f>IF(archive!F2446="","",archive!F2446)</f>
        <v/>
      </c>
      <c r="D2446" s="50" t="str">
        <f t="shared" si="533"/>
        <v/>
      </c>
      <c r="E2446" s="50" t="str">
        <f t="shared" si="534"/>
        <v/>
      </c>
      <c r="F2446" s="47" t="str">
        <f>IF(COUNTA(archive!H2446:CI2446)=0,"",COUNTA(archive!H2446:CI2446))</f>
        <v/>
      </c>
      <c r="G2446" s="47" t="str">
        <f>IF(archive!G2446="","",archive!G2446)</f>
        <v/>
      </c>
      <c r="H2446" s="51" t="str">
        <f>IF(archive!CJ2446="","",archive!CJ2446)</f>
        <v/>
      </c>
      <c r="I2446" s="51" t="str">
        <f>IF(archive!CK2446="","",archive!CK2446)</f>
        <v/>
      </c>
      <c r="J2446" s="47" t="str">
        <f t="shared" si="535"/>
        <v/>
      </c>
      <c r="K2446" s="51" t="str">
        <f t="shared" si="536"/>
        <v/>
      </c>
      <c r="L2446" s="52" t="str">
        <f t="shared" si="537"/>
        <v/>
      </c>
      <c r="M2446" s="53" t="str">
        <f t="shared" si="538"/>
        <v/>
      </c>
      <c r="N2446" s="53" t="str">
        <f t="shared" si="539"/>
        <v/>
      </c>
      <c r="O2446" s="53" t="str">
        <f t="shared" si="540"/>
        <v/>
      </c>
      <c r="P2446" s="53" t="str">
        <f t="shared" si="541"/>
        <v/>
      </c>
      <c r="Q2446" s="53" t="str">
        <f t="shared" si="542"/>
        <v/>
      </c>
      <c r="R2446" s="53" t="str">
        <f t="shared" si="543"/>
        <v/>
      </c>
      <c r="S2446" s="53" t="str">
        <f t="shared" si="544"/>
        <v/>
      </c>
      <c r="T2446" s="53" t="str">
        <f t="shared" si="545"/>
        <v/>
      </c>
    </row>
    <row r="2447" spans="1:20">
      <c r="A2447" s="47" t="str">
        <f>IF(archive!E2447="","",archive!E2447)</f>
        <v/>
      </c>
      <c r="B2447" s="48" t="str">
        <f t="shared" si="532"/>
        <v/>
      </c>
      <c r="C2447" s="49" t="str">
        <f>IF(archive!F2447="","",archive!F2447)</f>
        <v/>
      </c>
      <c r="D2447" s="50" t="str">
        <f t="shared" si="533"/>
        <v/>
      </c>
      <c r="E2447" s="50" t="str">
        <f t="shared" si="534"/>
        <v/>
      </c>
      <c r="F2447" s="47" t="str">
        <f>IF(COUNTA(archive!H2447:CI2447)=0,"",COUNTA(archive!H2447:CI2447))</f>
        <v/>
      </c>
      <c r="G2447" s="47" t="str">
        <f>IF(archive!G2447="","",archive!G2447)</f>
        <v/>
      </c>
      <c r="H2447" s="51" t="str">
        <f>IF(archive!CJ2447="","",archive!CJ2447)</f>
        <v/>
      </c>
      <c r="I2447" s="51" t="str">
        <f>IF(archive!CK2447="","",archive!CK2447)</f>
        <v/>
      </c>
      <c r="J2447" s="47" t="str">
        <f t="shared" si="535"/>
        <v/>
      </c>
      <c r="K2447" s="51" t="str">
        <f t="shared" si="536"/>
        <v/>
      </c>
      <c r="L2447" s="52" t="str">
        <f t="shared" si="537"/>
        <v/>
      </c>
      <c r="M2447" s="53" t="str">
        <f t="shared" si="538"/>
        <v/>
      </c>
      <c r="N2447" s="53" t="str">
        <f t="shared" si="539"/>
        <v/>
      </c>
      <c r="O2447" s="53" t="str">
        <f t="shared" si="540"/>
        <v/>
      </c>
      <c r="P2447" s="53" t="str">
        <f t="shared" si="541"/>
        <v/>
      </c>
      <c r="Q2447" s="53" t="str">
        <f t="shared" si="542"/>
        <v/>
      </c>
      <c r="R2447" s="53" t="str">
        <f t="shared" si="543"/>
        <v/>
      </c>
      <c r="S2447" s="53" t="str">
        <f t="shared" si="544"/>
        <v/>
      </c>
      <c r="T2447" s="53" t="str">
        <f t="shared" si="545"/>
        <v/>
      </c>
    </row>
    <row r="2448" spans="1:20">
      <c r="A2448" s="47" t="str">
        <f>IF(archive!E2448="","",archive!E2448)</f>
        <v/>
      </c>
      <c r="B2448" s="48" t="str">
        <f t="shared" si="532"/>
        <v/>
      </c>
      <c r="C2448" s="49" t="str">
        <f>IF(archive!F2448="","",archive!F2448)</f>
        <v/>
      </c>
      <c r="D2448" s="50" t="str">
        <f t="shared" si="533"/>
        <v/>
      </c>
      <c r="E2448" s="50" t="str">
        <f t="shared" si="534"/>
        <v/>
      </c>
      <c r="F2448" s="47" t="str">
        <f>IF(COUNTA(archive!H2448:CI2448)=0,"",COUNTA(archive!H2448:CI2448))</f>
        <v/>
      </c>
      <c r="G2448" s="47" t="str">
        <f>IF(archive!G2448="","",archive!G2448)</f>
        <v/>
      </c>
      <c r="H2448" s="51" t="str">
        <f>IF(archive!CJ2448="","",archive!CJ2448)</f>
        <v/>
      </c>
      <c r="I2448" s="51" t="str">
        <f>IF(archive!CK2448="","",archive!CK2448)</f>
        <v/>
      </c>
      <c r="J2448" s="47" t="str">
        <f t="shared" si="535"/>
        <v/>
      </c>
      <c r="K2448" s="51" t="str">
        <f t="shared" si="536"/>
        <v/>
      </c>
      <c r="L2448" s="52" t="str">
        <f t="shared" si="537"/>
        <v/>
      </c>
      <c r="M2448" s="53" t="str">
        <f t="shared" si="538"/>
        <v/>
      </c>
      <c r="N2448" s="53" t="str">
        <f t="shared" si="539"/>
        <v/>
      </c>
      <c r="O2448" s="53" t="str">
        <f t="shared" si="540"/>
        <v/>
      </c>
      <c r="P2448" s="53" t="str">
        <f t="shared" si="541"/>
        <v/>
      </c>
      <c r="Q2448" s="53" t="str">
        <f t="shared" si="542"/>
        <v/>
      </c>
      <c r="R2448" s="53" t="str">
        <f t="shared" si="543"/>
        <v/>
      </c>
      <c r="S2448" s="53" t="str">
        <f t="shared" si="544"/>
        <v/>
      </c>
      <c r="T2448" s="53" t="str">
        <f t="shared" si="545"/>
        <v/>
      </c>
    </row>
    <row r="2449" spans="1:20">
      <c r="A2449" s="47" t="str">
        <f>IF(archive!E2449="","",archive!E2449)</f>
        <v/>
      </c>
      <c r="B2449" s="48" t="str">
        <f t="shared" si="532"/>
        <v/>
      </c>
      <c r="C2449" s="49" t="str">
        <f>IF(archive!F2449="","",archive!F2449)</f>
        <v/>
      </c>
      <c r="D2449" s="50" t="str">
        <f t="shared" si="533"/>
        <v/>
      </c>
      <c r="E2449" s="50" t="str">
        <f t="shared" si="534"/>
        <v/>
      </c>
      <c r="F2449" s="47" t="str">
        <f>IF(COUNTA(archive!H2449:CI2449)=0,"",COUNTA(archive!H2449:CI2449))</f>
        <v/>
      </c>
      <c r="G2449" s="47" t="str">
        <f>IF(archive!G2449="","",archive!G2449)</f>
        <v/>
      </c>
      <c r="H2449" s="51" t="str">
        <f>IF(archive!CJ2449="","",archive!CJ2449)</f>
        <v/>
      </c>
      <c r="I2449" s="51" t="str">
        <f>IF(archive!CK2449="","",archive!CK2449)</f>
        <v/>
      </c>
      <c r="J2449" s="47" t="str">
        <f t="shared" si="535"/>
        <v/>
      </c>
      <c r="K2449" s="51" t="str">
        <f t="shared" si="536"/>
        <v/>
      </c>
      <c r="L2449" s="52" t="str">
        <f t="shared" si="537"/>
        <v/>
      </c>
      <c r="M2449" s="53" t="str">
        <f t="shared" si="538"/>
        <v/>
      </c>
      <c r="N2449" s="53" t="str">
        <f t="shared" si="539"/>
        <v/>
      </c>
      <c r="O2449" s="53" t="str">
        <f t="shared" si="540"/>
        <v/>
      </c>
      <c r="P2449" s="53" t="str">
        <f t="shared" si="541"/>
        <v/>
      </c>
      <c r="Q2449" s="53" t="str">
        <f t="shared" si="542"/>
        <v/>
      </c>
      <c r="R2449" s="53" t="str">
        <f t="shared" si="543"/>
        <v/>
      </c>
      <c r="S2449" s="53" t="str">
        <f t="shared" si="544"/>
        <v/>
      </c>
      <c r="T2449" s="53" t="str">
        <f t="shared" si="545"/>
        <v/>
      </c>
    </row>
    <row r="2450" spans="1:20">
      <c r="A2450" s="47" t="str">
        <f>IF(archive!E2450="","",archive!E2450)</f>
        <v/>
      </c>
      <c r="B2450" s="48" t="str">
        <f t="shared" si="532"/>
        <v/>
      </c>
      <c r="C2450" s="49" t="str">
        <f>IF(archive!F2450="","",archive!F2450)</f>
        <v/>
      </c>
      <c r="D2450" s="50" t="str">
        <f t="shared" si="533"/>
        <v/>
      </c>
      <c r="E2450" s="50" t="str">
        <f t="shared" si="534"/>
        <v/>
      </c>
      <c r="F2450" s="47" t="str">
        <f>IF(COUNTA(archive!H2450:CI2450)=0,"",COUNTA(archive!H2450:CI2450))</f>
        <v/>
      </c>
      <c r="G2450" s="47" t="str">
        <f>IF(archive!G2450="","",archive!G2450)</f>
        <v/>
      </c>
      <c r="H2450" s="51" t="str">
        <f>IF(archive!CJ2450="","",archive!CJ2450)</f>
        <v/>
      </c>
      <c r="I2450" s="51" t="str">
        <f>IF(archive!CK2450="","",archive!CK2450)</f>
        <v/>
      </c>
      <c r="J2450" s="47" t="str">
        <f t="shared" si="535"/>
        <v/>
      </c>
      <c r="K2450" s="51" t="str">
        <f t="shared" si="536"/>
        <v/>
      </c>
      <c r="L2450" s="52" t="str">
        <f t="shared" si="537"/>
        <v/>
      </c>
      <c r="M2450" s="53" t="str">
        <f t="shared" si="538"/>
        <v/>
      </c>
      <c r="N2450" s="53" t="str">
        <f t="shared" si="539"/>
        <v/>
      </c>
      <c r="O2450" s="53" t="str">
        <f t="shared" si="540"/>
        <v/>
      </c>
      <c r="P2450" s="53" t="str">
        <f t="shared" si="541"/>
        <v/>
      </c>
      <c r="Q2450" s="53" t="str">
        <f t="shared" si="542"/>
        <v/>
      </c>
      <c r="R2450" s="53" t="str">
        <f t="shared" si="543"/>
        <v/>
      </c>
      <c r="S2450" s="53" t="str">
        <f t="shared" si="544"/>
        <v/>
      </c>
      <c r="T2450" s="53" t="str">
        <f t="shared" si="545"/>
        <v/>
      </c>
    </row>
    <row r="2451" spans="1:20">
      <c r="A2451" s="47" t="str">
        <f>IF(archive!E2451="","",archive!E2451)</f>
        <v/>
      </c>
      <c r="B2451" s="48" t="str">
        <f t="shared" si="532"/>
        <v/>
      </c>
      <c r="C2451" s="49" t="str">
        <f>IF(archive!F2451="","",archive!F2451)</f>
        <v/>
      </c>
      <c r="D2451" s="50" t="str">
        <f t="shared" si="533"/>
        <v/>
      </c>
      <c r="E2451" s="50" t="str">
        <f t="shared" si="534"/>
        <v/>
      </c>
      <c r="F2451" s="47" t="str">
        <f>IF(COUNTA(archive!H2451:CI2451)=0,"",COUNTA(archive!H2451:CI2451))</f>
        <v/>
      </c>
      <c r="G2451" s="47" t="str">
        <f>IF(archive!G2451="","",archive!G2451)</f>
        <v/>
      </c>
      <c r="H2451" s="51" t="str">
        <f>IF(archive!CJ2451="","",archive!CJ2451)</f>
        <v/>
      </c>
      <c r="I2451" s="51" t="str">
        <f>IF(archive!CK2451="","",archive!CK2451)</f>
        <v/>
      </c>
      <c r="J2451" s="47" t="str">
        <f t="shared" si="535"/>
        <v/>
      </c>
      <c r="K2451" s="51" t="str">
        <f t="shared" si="536"/>
        <v/>
      </c>
      <c r="L2451" s="52" t="str">
        <f t="shared" si="537"/>
        <v/>
      </c>
      <c r="M2451" s="53" t="str">
        <f t="shared" si="538"/>
        <v/>
      </c>
      <c r="N2451" s="53" t="str">
        <f t="shared" si="539"/>
        <v/>
      </c>
      <c r="O2451" s="53" t="str">
        <f t="shared" si="540"/>
        <v/>
      </c>
      <c r="P2451" s="53" t="str">
        <f t="shared" si="541"/>
        <v/>
      </c>
      <c r="Q2451" s="53" t="str">
        <f t="shared" si="542"/>
        <v/>
      </c>
      <c r="R2451" s="53" t="str">
        <f t="shared" si="543"/>
        <v/>
      </c>
      <c r="S2451" s="53" t="str">
        <f t="shared" si="544"/>
        <v/>
      </c>
      <c r="T2451" s="53" t="str">
        <f t="shared" si="545"/>
        <v/>
      </c>
    </row>
    <row r="2452" spans="1:20">
      <c r="A2452" s="47" t="str">
        <f>IF(archive!E2452="","",archive!E2452)</f>
        <v/>
      </c>
      <c r="B2452" s="48" t="str">
        <f t="shared" si="532"/>
        <v/>
      </c>
      <c r="C2452" s="49" t="str">
        <f>IF(archive!F2452="","",archive!F2452)</f>
        <v/>
      </c>
      <c r="D2452" s="50" t="str">
        <f t="shared" si="533"/>
        <v/>
      </c>
      <c r="E2452" s="50" t="str">
        <f t="shared" si="534"/>
        <v/>
      </c>
      <c r="F2452" s="47" t="str">
        <f>IF(COUNTA(archive!H2452:CI2452)=0,"",COUNTA(archive!H2452:CI2452))</f>
        <v/>
      </c>
      <c r="G2452" s="47" t="str">
        <f>IF(archive!G2452="","",archive!G2452)</f>
        <v/>
      </c>
      <c r="H2452" s="51" t="str">
        <f>IF(archive!CJ2452="","",archive!CJ2452)</f>
        <v/>
      </c>
      <c r="I2452" s="51" t="str">
        <f>IF(archive!CK2452="","",archive!CK2452)</f>
        <v/>
      </c>
      <c r="J2452" s="47" t="str">
        <f t="shared" si="535"/>
        <v/>
      </c>
      <c r="K2452" s="51" t="str">
        <f t="shared" si="536"/>
        <v/>
      </c>
      <c r="L2452" s="52" t="str">
        <f t="shared" si="537"/>
        <v/>
      </c>
      <c r="M2452" s="53" t="str">
        <f t="shared" si="538"/>
        <v/>
      </c>
      <c r="N2452" s="53" t="str">
        <f t="shared" si="539"/>
        <v/>
      </c>
      <c r="O2452" s="53" t="str">
        <f t="shared" si="540"/>
        <v/>
      </c>
      <c r="P2452" s="53" t="str">
        <f t="shared" si="541"/>
        <v/>
      </c>
      <c r="Q2452" s="53" t="str">
        <f t="shared" si="542"/>
        <v/>
      </c>
      <c r="R2452" s="53" t="str">
        <f t="shared" si="543"/>
        <v/>
      </c>
      <c r="S2452" s="53" t="str">
        <f t="shared" si="544"/>
        <v/>
      </c>
      <c r="T2452" s="53" t="str">
        <f t="shared" si="545"/>
        <v/>
      </c>
    </row>
    <row r="2453" spans="1:20">
      <c r="A2453" s="47" t="str">
        <f>IF(archive!E2453="","",archive!E2453)</f>
        <v/>
      </c>
      <c r="B2453" s="48" t="str">
        <f t="shared" si="532"/>
        <v/>
      </c>
      <c r="C2453" s="49" t="str">
        <f>IF(archive!F2453="","",archive!F2453)</f>
        <v/>
      </c>
      <c r="D2453" s="50" t="str">
        <f t="shared" si="533"/>
        <v/>
      </c>
      <c r="E2453" s="50" t="str">
        <f t="shared" si="534"/>
        <v/>
      </c>
      <c r="F2453" s="47" t="str">
        <f>IF(COUNTA(archive!H2453:CI2453)=0,"",COUNTA(archive!H2453:CI2453))</f>
        <v/>
      </c>
      <c r="G2453" s="47" t="str">
        <f>IF(archive!G2453="","",archive!G2453)</f>
        <v/>
      </c>
      <c r="H2453" s="51" t="str">
        <f>IF(archive!CJ2453="","",archive!CJ2453)</f>
        <v/>
      </c>
      <c r="I2453" s="51" t="str">
        <f>IF(archive!CK2453="","",archive!CK2453)</f>
        <v/>
      </c>
      <c r="J2453" s="47" t="str">
        <f t="shared" si="535"/>
        <v/>
      </c>
      <c r="K2453" s="51" t="str">
        <f t="shared" si="536"/>
        <v/>
      </c>
      <c r="L2453" s="52" t="str">
        <f t="shared" si="537"/>
        <v/>
      </c>
      <c r="M2453" s="53" t="str">
        <f t="shared" si="538"/>
        <v/>
      </c>
      <c r="N2453" s="53" t="str">
        <f t="shared" si="539"/>
        <v/>
      </c>
      <c r="O2453" s="53" t="str">
        <f t="shared" si="540"/>
        <v/>
      </c>
      <c r="P2453" s="53" t="str">
        <f t="shared" si="541"/>
        <v/>
      </c>
      <c r="Q2453" s="53" t="str">
        <f t="shared" si="542"/>
        <v/>
      </c>
      <c r="R2453" s="53" t="str">
        <f t="shared" si="543"/>
        <v/>
      </c>
      <c r="S2453" s="53" t="str">
        <f t="shared" si="544"/>
        <v/>
      </c>
      <c r="T2453" s="53" t="str">
        <f t="shared" si="545"/>
        <v/>
      </c>
    </row>
    <row r="2454" spans="1:20">
      <c r="A2454" s="47" t="str">
        <f>IF(archive!E2454="","",archive!E2454)</f>
        <v/>
      </c>
      <c r="B2454" s="48" t="str">
        <f t="shared" si="532"/>
        <v/>
      </c>
      <c r="C2454" s="49" t="str">
        <f>IF(archive!F2454="","",archive!F2454)</f>
        <v/>
      </c>
      <c r="D2454" s="50" t="str">
        <f t="shared" si="533"/>
        <v/>
      </c>
      <c r="E2454" s="50" t="str">
        <f t="shared" si="534"/>
        <v/>
      </c>
      <c r="F2454" s="47" t="str">
        <f>IF(COUNTA(archive!H2454:CI2454)=0,"",COUNTA(archive!H2454:CI2454))</f>
        <v/>
      </c>
      <c r="G2454" s="47" t="str">
        <f>IF(archive!G2454="","",archive!G2454)</f>
        <v/>
      </c>
      <c r="H2454" s="51" t="str">
        <f>IF(archive!CJ2454="","",archive!CJ2454)</f>
        <v/>
      </c>
      <c r="I2454" s="51" t="str">
        <f>IF(archive!CK2454="","",archive!CK2454)</f>
        <v/>
      </c>
      <c r="J2454" s="47" t="str">
        <f t="shared" si="535"/>
        <v/>
      </c>
      <c r="K2454" s="51" t="str">
        <f t="shared" si="536"/>
        <v/>
      </c>
      <c r="L2454" s="52" t="str">
        <f t="shared" si="537"/>
        <v/>
      </c>
      <c r="M2454" s="53" t="str">
        <f t="shared" si="538"/>
        <v/>
      </c>
      <c r="N2454" s="53" t="str">
        <f t="shared" si="539"/>
        <v/>
      </c>
      <c r="O2454" s="53" t="str">
        <f t="shared" si="540"/>
        <v/>
      </c>
      <c r="P2454" s="53" t="str">
        <f t="shared" si="541"/>
        <v/>
      </c>
      <c r="Q2454" s="53" t="str">
        <f t="shared" si="542"/>
        <v/>
      </c>
      <c r="R2454" s="53" t="str">
        <f t="shared" si="543"/>
        <v/>
      </c>
      <c r="S2454" s="53" t="str">
        <f t="shared" si="544"/>
        <v/>
      </c>
      <c r="T2454" s="53" t="str">
        <f t="shared" si="545"/>
        <v/>
      </c>
    </row>
    <row r="2455" spans="1:20">
      <c r="A2455" s="47" t="str">
        <f>IF(archive!E2455="","",archive!E2455)</f>
        <v/>
      </c>
      <c r="B2455" s="48" t="str">
        <f t="shared" si="532"/>
        <v/>
      </c>
      <c r="C2455" s="49" t="str">
        <f>IF(archive!F2455="","",archive!F2455)</f>
        <v/>
      </c>
      <c r="D2455" s="50" t="str">
        <f t="shared" si="533"/>
        <v/>
      </c>
      <c r="E2455" s="50" t="str">
        <f t="shared" si="534"/>
        <v/>
      </c>
      <c r="F2455" s="47" t="str">
        <f>IF(COUNTA(archive!H2455:CI2455)=0,"",COUNTA(archive!H2455:CI2455))</f>
        <v/>
      </c>
      <c r="G2455" s="47" t="str">
        <f>IF(archive!G2455="","",archive!G2455)</f>
        <v/>
      </c>
      <c r="H2455" s="51" t="str">
        <f>IF(archive!CJ2455="","",archive!CJ2455)</f>
        <v/>
      </c>
      <c r="I2455" s="51" t="str">
        <f>IF(archive!CK2455="","",archive!CK2455)</f>
        <v/>
      </c>
      <c r="J2455" s="47" t="str">
        <f t="shared" si="535"/>
        <v/>
      </c>
      <c r="K2455" s="51" t="str">
        <f t="shared" si="536"/>
        <v/>
      </c>
      <c r="L2455" s="52" t="str">
        <f t="shared" si="537"/>
        <v/>
      </c>
      <c r="M2455" s="53" t="str">
        <f t="shared" si="538"/>
        <v/>
      </c>
      <c r="N2455" s="53" t="str">
        <f t="shared" si="539"/>
        <v/>
      </c>
      <c r="O2455" s="53" t="str">
        <f t="shared" si="540"/>
        <v/>
      </c>
      <c r="P2455" s="53" t="str">
        <f t="shared" si="541"/>
        <v/>
      </c>
      <c r="Q2455" s="53" t="str">
        <f t="shared" si="542"/>
        <v/>
      </c>
      <c r="R2455" s="53" t="str">
        <f t="shared" si="543"/>
        <v/>
      </c>
      <c r="S2455" s="53" t="str">
        <f t="shared" si="544"/>
        <v/>
      </c>
      <c r="T2455" s="53" t="str">
        <f t="shared" si="545"/>
        <v/>
      </c>
    </row>
    <row r="2456" spans="1:20">
      <c r="A2456" s="47" t="str">
        <f>IF(archive!E2456="","",archive!E2456)</f>
        <v/>
      </c>
      <c r="B2456" s="48" t="str">
        <f t="shared" si="532"/>
        <v/>
      </c>
      <c r="C2456" s="49" t="str">
        <f>IF(archive!F2456="","",archive!F2456)</f>
        <v/>
      </c>
      <c r="D2456" s="50" t="str">
        <f t="shared" si="533"/>
        <v/>
      </c>
      <c r="E2456" s="50" t="str">
        <f t="shared" si="534"/>
        <v/>
      </c>
      <c r="F2456" s="47" t="str">
        <f>IF(COUNTA(archive!H2456:CI2456)=0,"",COUNTA(archive!H2456:CI2456))</f>
        <v/>
      </c>
      <c r="G2456" s="47" t="str">
        <f>IF(archive!G2456="","",archive!G2456)</f>
        <v/>
      </c>
      <c r="H2456" s="51" t="str">
        <f>IF(archive!CJ2456="","",archive!CJ2456)</f>
        <v/>
      </c>
      <c r="I2456" s="51" t="str">
        <f>IF(archive!CK2456="","",archive!CK2456)</f>
        <v/>
      </c>
      <c r="J2456" s="47" t="str">
        <f t="shared" si="535"/>
        <v/>
      </c>
      <c r="K2456" s="51" t="str">
        <f t="shared" si="536"/>
        <v/>
      </c>
      <c r="L2456" s="52" t="str">
        <f t="shared" si="537"/>
        <v/>
      </c>
      <c r="M2456" s="53" t="str">
        <f t="shared" si="538"/>
        <v/>
      </c>
      <c r="N2456" s="53" t="str">
        <f t="shared" si="539"/>
        <v/>
      </c>
      <c r="O2456" s="53" t="str">
        <f t="shared" si="540"/>
        <v/>
      </c>
      <c r="P2456" s="53" t="str">
        <f t="shared" si="541"/>
        <v/>
      </c>
      <c r="Q2456" s="53" t="str">
        <f t="shared" si="542"/>
        <v/>
      </c>
      <c r="R2456" s="53" t="str">
        <f t="shared" si="543"/>
        <v/>
      </c>
      <c r="S2456" s="53" t="str">
        <f t="shared" si="544"/>
        <v/>
      </c>
      <c r="T2456" s="53" t="str">
        <f t="shared" si="545"/>
        <v/>
      </c>
    </row>
    <row r="2457" spans="1:20">
      <c r="A2457" s="47" t="str">
        <f>IF(archive!E2457="","",archive!E2457)</f>
        <v/>
      </c>
      <c r="B2457" s="48" t="str">
        <f t="shared" si="532"/>
        <v/>
      </c>
      <c r="C2457" s="49" t="str">
        <f>IF(archive!F2457="","",archive!F2457)</f>
        <v/>
      </c>
      <c r="D2457" s="50" t="str">
        <f t="shared" si="533"/>
        <v/>
      </c>
      <c r="E2457" s="50" t="str">
        <f t="shared" si="534"/>
        <v/>
      </c>
      <c r="F2457" s="47" t="str">
        <f>IF(COUNTA(archive!H2457:CI2457)=0,"",COUNTA(archive!H2457:CI2457))</f>
        <v/>
      </c>
      <c r="G2457" s="47" t="str">
        <f>IF(archive!G2457="","",archive!G2457)</f>
        <v/>
      </c>
      <c r="H2457" s="51" t="str">
        <f>IF(archive!CJ2457="","",archive!CJ2457)</f>
        <v/>
      </c>
      <c r="I2457" s="51" t="str">
        <f>IF(archive!CK2457="","",archive!CK2457)</f>
        <v/>
      </c>
      <c r="J2457" s="47" t="str">
        <f t="shared" si="535"/>
        <v/>
      </c>
      <c r="K2457" s="51" t="str">
        <f t="shared" si="536"/>
        <v/>
      </c>
      <c r="L2457" s="52" t="str">
        <f t="shared" si="537"/>
        <v/>
      </c>
      <c r="M2457" s="53" t="str">
        <f t="shared" si="538"/>
        <v/>
      </c>
      <c r="N2457" s="53" t="str">
        <f t="shared" si="539"/>
        <v/>
      </c>
      <c r="O2457" s="53" t="str">
        <f t="shared" si="540"/>
        <v/>
      </c>
      <c r="P2457" s="53" t="str">
        <f t="shared" si="541"/>
        <v/>
      </c>
      <c r="Q2457" s="53" t="str">
        <f t="shared" si="542"/>
        <v/>
      </c>
      <c r="R2457" s="53" t="str">
        <f t="shared" si="543"/>
        <v/>
      </c>
      <c r="S2457" s="53" t="str">
        <f t="shared" si="544"/>
        <v/>
      </c>
      <c r="T2457" s="53" t="str">
        <f t="shared" si="545"/>
        <v/>
      </c>
    </row>
    <row r="2458" spans="1:20">
      <c r="A2458" s="47" t="str">
        <f>IF(archive!E2458="","",archive!E2458)</f>
        <v/>
      </c>
      <c r="B2458" s="48" t="str">
        <f t="shared" si="532"/>
        <v/>
      </c>
      <c r="C2458" s="49" t="str">
        <f>IF(archive!F2458="","",archive!F2458)</f>
        <v/>
      </c>
      <c r="D2458" s="50" t="str">
        <f t="shared" si="533"/>
        <v/>
      </c>
      <c r="E2458" s="50" t="str">
        <f t="shared" si="534"/>
        <v/>
      </c>
      <c r="F2458" s="47" t="str">
        <f>IF(COUNTA(archive!H2458:CI2458)=0,"",COUNTA(archive!H2458:CI2458))</f>
        <v/>
      </c>
      <c r="G2458" s="47" t="str">
        <f>IF(archive!G2458="","",archive!G2458)</f>
        <v/>
      </c>
      <c r="H2458" s="51" t="str">
        <f>IF(archive!CJ2458="","",archive!CJ2458)</f>
        <v/>
      </c>
      <c r="I2458" s="51" t="str">
        <f>IF(archive!CK2458="","",archive!CK2458)</f>
        <v/>
      </c>
      <c r="J2458" s="47" t="str">
        <f t="shared" si="535"/>
        <v/>
      </c>
      <c r="K2458" s="51" t="str">
        <f t="shared" si="536"/>
        <v/>
      </c>
      <c r="L2458" s="52" t="str">
        <f t="shared" si="537"/>
        <v/>
      </c>
      <c r="M2458" s="53" t="str">
        <f t="shared" si="538"/>
        <v/>
      </c>
      <c r="N2458" s="53" t="str">
        <f t="shared" si="539"/>
        <v/>
      </c>
      <c r="O2458" s="53" t="str">
        <f t="shared" si="540"/>
        <v/>
      </c>
      <c r="P2458" s="53" t="str">
        <f t="shared" si="541"/>
        <v/>
      </c>
      <c r="Q2458" s="53" t="str">
        <f t="shared" si="542"/>
        <v/>
      </c>
      <c r="R2458" s="53" t="str">
        <f t="shared" si="543"/>
        <v/>
      </c>
      <c r="S2458" s="53" t="str">
        <f t="shared" si="544"/>
        <v/>
      </c>
      <c r="T2458" s="53" t="str">
        <f t="shared" si="545"/>
        <v/>
      </c>
    </row>
    <row r="2459" spans="1:20">
      <c r="A2459" s="47" t="str">
        <f>IF(archive!E2459="","",archive!E2459)</f>
        <v/>
      </c>
      <c r="B2459" s="48" t="str">
        <f t="shared" si="532"/>
        <v/>
      </c>
      <c r="C2459" s="49" t="str">
        <f>IF(archive!F2459="","",archive!F2459)</f>
        <v/>
      </c>
      <c r="D2459" s="50" t="str">
        <f t="shared" si="533"/>
        <v/>
      </c>
      <c r="E2459" s="50" t="str">
        <f t="shared" si="534"/>
        <v/>
      </c>
      <c r="F2459" s="47" t="str">
        <f>IF(COUNTA(archive!H2459:CI2459)=0,"",COUNTA(archive!H2459:CI2459))</f>
        <v/>
      </c>
      <c r="G2459" s="47" t="str">
        <f>IF(archive!G2459="","",archive!G2459)</f>
        <v/>
      </c>
      <c r="H2459" s="51" t="str">
        <f>IF(archive!CJ2459="","",archive!CJ2459)</f>
        <v/>
      </c>
      <c r="I2459" s="51" t="str">
        <f>IF(archive!CK2459="","",archive!CK2459)</f>
        <v/>
      </c>
      <c r="J2459" s="47" t="str">
        <f t="shared" si="535"/>
        <v/>
      </c>
      <c r="K2459" s="51" t="str">
        <f t="shared" si="536"/>
        <v/>
      </c>
      <c r="L2459" s="52" t="str">
        <f t="shared" si="537"/>
        <v/>
      </c>
      <c r="M2459" s="53" t="str">
        <f t="shared" si="538"/>
        <v/>
      </c>
      <c r="N2459" s="53" t="str">
        <f t="shared" si="539"/>
        <v/>
      </c>
      <c r="O2459" s="53" t="str">
        <f t="shared" si="540"/>
        <v/>
      </c>
      <c r="P2459" s="53" t="str">
        <f t="shared" si="541"/>
        <v/>
      </c>
      <c r="Q2459" s="53" t="str">
        <f t="shared" si="542"/>
        <v/>
      </c>
      <c r="R2459" s="53" t="str">
        <f t="shared" si="543"/>
        <v/>
      </c>
      <c r="S2459" s="53" t="str">
        <f t="shared" si="544"/>
        <v/>
      </c>
      <c r="T2459" s="53" t="str">
        <f t="shared" si="545"/>
        <v/>
      </c>
    </row>
    <row r="2460" spans="1:20">
      <c r="A2460" s="47" t="str">
        <f>IF(archive!E2460="","",archive!E2460)</f>
        <v/>
      </c>
      <c r="B2460" s="48" t="str">
        <f t="shared" si="532"/>
        <v/>
      </c>
      <c r="C2460" s="49" t="str">
        <f>IF(archive!F2460="","",archive!F2460)</f>
        <v/>
      </c>
      <c r="D2460" s="50" t="str">
        <f t="shared" si="533"/>
        <v/>
      </c>
      <c r="E2460" s="50" t="str">
        <f t="shared" si="534"/>
        <v/>
      </c>
      <c r="F2460" s="47" t="str">
        <f>IF(COUNTA(archive!H2460:CI2460)=0,"",COUNTA(archive!H2460:CI2460))</f>
        <v/>
      </c>
      <c r="G2460" s="47" t="str">
        <f>IF(archive!G2460="","",archive!G2460)</f>
        <v/>
      </c>
      <c r="H2460" s="51" t="str">
        <f>IF(archive!CJ2460="","",archive!CJ2460)</f>
        <v/>
      </c>
      <c r="I2460" s="51" t="str">
        <f>IF(archive!CK2460="","",archive!CK2460)</f>
        <v/>
      </c>
      <c r="J2460" s="47" t="str">
        <f t="shared" si="535"/>
        <v/>
      </c>
      <c r="K2460" s="51" t="str">
        <f t="shared" si="536"/>
        <v/>
      </c>
      <c r="L2460" s="52" t="str">
        <f t="shared" si="537"/>
        <v/>
      </c>
      <c r="M2460" s="53" t="str">
        <f t="shared" si="538"/>
        <v/>
      </c>
      <c r="N2460" s="53" t="str">
        <f t="shared" si="539"/>
        <v/>
      </c>
      <c r="O2460" s="53" t="str">
        <f t="shared" si="540"/>
        <v/>
      </c>
      <c r="P2460" s="53" t="str">
        <f t="shared" si="541"/>
        <v/>
      </c>
      <c r="Q2460" s="53" t="str">
        <f t="shared" si="542"/>
        <v/>
      </c>
      <c r="R2460" s="53" t="str">
        <f t="shared" si="543"/>
        <v/>
      </c>
      <c r="S2460" s="53" t="str">
        <f t="shared" si="544"/>
        <v/>
      </c>
      <c r="T2460" s="53" t="str">
        <f t="shared" si="545"/>
        <v/>
      </c>
    </row>
    <row r="2461" spans="1:20">
      <c r="A2461" s="47" t="str">
        <f>IF(archive!E2461="","",archive!E2461)</f>
        <v/>
      </c>
      <c r="B2461" s="48" t="str">
        <f t="shared" si="532"/>
        <v/>
      </c>
      <c r="C2461" s="49" t="str">
        <f>IF(archive!F2461="","",archive!F2461)</f>
        <v/>
      </c>
      <c r="D2461" s="50" t="str">
        <f t="shared" si="533"/>
        <v/>
      </c>
      <c r="E2461" s="50" t="str">
        <f t="shared" si="534"/>
        <v/>
      </c>
      <c r="F2461" s="47" t="str">
        <f>IF(COUNTA(archive!H2461:CI2461)=0,"",COUNTA(archive!H2461:CI2461))</f>
        <v/>
      </c>
      <c r="G2461" s="47" t="str">
        <f>IF(archive!G2461="","",archive!G2461)</f>
        <v/>
      </c>
      <c r="H2461" s="51" t="str">
        <f>IF(archive!CJ2461="","",archive!CJ2461)</f>
        <v/>
      </c>
      <c r="I2461" s="51" t="str">
        <f>IF(archive!CK2461="","",archive!CK2461)</f>
        <v/>
      </c>
      <c r="J2461" s="47" t="str">
        <f t="shared" si="535"/>
        <v/>
      </c>
      <c r="K2461" s="51" t="str">
        <f t="shared" si="536"/>
        <v/>
      </c>
      <c r="L2461" s="52" t="str">
        <f t="shared" si="537"/>
        <v/>
      </c>
      <c r="M2461" s="53" t="str">
        <f t="shared" si="538"/>
        <v/>
      </c>
      <c r="N2461" s="53" t="str">
        <f t="shared" si="539"/>
        <v/>
      </c>
      <c r="O2461" s="53" t="str">
        <f t="shared" si="540"/>
        <v/>
      </c>
      <c r="P2461" s="53" t="str">
        <f t="shared" si="541"/>
        <v/>
      </c>
      <c r="Q2461" s="53" t="str">
        <f t="shared" si="542"/>
        <v/>
      </c>
      <c r="R2461" s="53" t="str">
        <f t="shared" si="543"/>
        <v/>
      </c>
      <c r="S2461" s="53" t="str">
        <f t="shared" si="544"/>
        <v/>
      </c>
      <c r="T2461" s="53" t="str">
        <f t="shared" si="545"/>
        <v/>
      </c>
    </row>
    <row r="2462" spans="1:20">
      <c r="A2462" s="47" t="str">
        <f>IF(archive!E2462="","",archive!E2462)</f>
        <v/>
      </c>
      <c r="B2462" s="48" t="str">
        <f t="shared" si="532"/>
        <v/>
      </c>
      <c r="C2462" s="49" t="str">
        <f>IF(archive!F2462="","",archive!F2462)</f>
        <v/>
      </c>
      <c r="D2462" s="50" t="str">
        <f t="shared" si="533"/>
        <v/>
      </c>
      <c r="E2462" s="50" t="str">
        <f t="shared" si="534"/>
        <v/>
      </c>
      <c r="F2462" s="47" t="str">
        <f>IF(COUNTA(archive!H2462:CI2462)=0,"",COUNTA(archive!H2462:CI2462))</f>
        <v/>
      </c>
      <c r="G2462" s="47" t="str">
        <f>IF(archive!G2462="","",archive!G2462)</f>
        <v/>
      </c>
      <c r="H2462" s="51" t="str">
        <f>IF(archive!CJ2462="","",archive!CJ2462)</f>
        <v/>
      </c>
      <c r="I2462" s="51" t="str">
        <f>IF(archive!CK2462="","",archive!CK2462)</f>
        <v/>
      </c>
      <c r="J2462" s="47" t="str">
        <f t="shared" si="535"/>
        <v/>
      </c>
      <c r="K2462" s="51" t="str">
        <f t="shared" si="536"/>
        <v/>
      </c>
      <c r="L2462" s="52" t="str">
        <f t="shared" si="537"/>
        <v/>
      </c>
      <c r="M2462" s="53" t="str">
        <f t="shared" si="538"/>
        <v/>
      </c>
      <c r="N2462" s="53" t="str">
        <f t="shared" si="539"/>
        <v/>
      </c>
      <c r="O2462" s="53" t="str">
        <f t="shared" si="540"/>
        <v/>
      </c>
      <c r="P2462" s="53" t="str">
        <f t="shared" si="541"/>
        <v/>
      </c>
      <c r="Q2462" s="53" t="str">
        <f t="shared" si="542"/>
        <v/>
      </c>
      <c r="R2462" s="53" t="str">
        <f t="shared" si="543"/>
        <v/>
      </c>
      <c r="S2462" s="53" t="str">
        <f t="shared" si="544"/>
        <v/>
      </c>
      <c r="T2462" s="53" t="str">
        <f t="shared" si="545"/>
        <v/>
      </c>
    </row>
    <row r="2463" spans="1:20">
      <c r="A2463" s="47" t="str">
        <f>IF(archive!E2463="","",archive!E2463)</f>
        <v/>
      </c>
      <c r="B2463" s="48" t="str">
        <f t="shared" si="532"/>
        <v/>
      </c>
      <c r="C2463" s="49" t="str">
        <f>IF(archive!F2463="","",archive!F2463)</f>
        <v/>
      </c>
      <c r="D2463" s="50" t="str">
        <f t="shared" si="533"/>
        <v/>
      </c>
      <c r="E2463" s="50" t="str">
        <f t="shared" si="534"/>
        <v/>
      </c>
      <c r="F2463" s="47" t="str">
        <f>IF(COUNTA(archive!H2463:CI2463)=0,"",COUNTA(archive!H2463:CI2463))</f>
        <v/>
      </c>
      <c r="G2463" s="47" t="str">
        <f>IF(archive!G2463="","",archive!G2463)</f>
        <v/>
      </c>
      <c r="H2463" s="51" t="str">
        <f>IF(archive!CJ2463="","",archive!CJ2463)</f>
        <v/>
      </c>
      <c r="I2463" s="51" t="str">
        <f>IF(archive!CK2463="","",archive!CK2463)</f>
        <v/>
      </c>
      <c r="J2463" s="47" t="str">
        <f t="shared" si="535"/>
        <v/>
      </c>
      <c r="K2463" s="51" t="str">
        <f t="shared" si="536"/>
        <v/>
      </c>
      <c r="L2463" s="52" t="str">
        <f t="shared" si="537"/>
        <v/>
      </c>
      <c r="M2463" s="53" t="str">
        <f t="shared" si="538"/>
        <v/>
      </c>
      <c r="N2463" s="53" t="str">
        <f t="shared" si="539"/>
        <v/>
      </c>
      <c r="O2463" s="53" t="str">
        <f t="shared" si="540"/>
        <v/>
      </c>
      <c r="P2463" s="53" t="str">
        <f t="shared" si="541"/>
        <v/>
      </c>
      <c r="Q2463" s="53" t="str">
        <f t="shared" si="542"/>
        <v/>
      </c>
      <c r="R2463" s="53" t="str">
        <f t="shared" si="543"/>
        <v/>
      </c>
      <c r="S2463" s="53" t="str">
        <f t="shared" si="544"/>
        <v/>
      </c>
      <c r="T2463" s="53" t="str">
        <f t="shared" si="545"/>
        <v/>
      </c>
    </row>
    <row r="2464" spans="1:20">
      <c r="A2464" s="47" t="str">
        <f>IF(archive!E2464="","",archive!E2464)</f>
        <v/>
      </c>
      <c r="B2464" s="48" t="str">
        <f t="shared" si="532"/>
        <v/>
      </c>
      <c r="C2464" s="49" t="str">
        <f>IF(archive!F2464="","",archive!F2464)</f>
        <v/>
      </c>
      <c r="D2464" s="50" t="str">
        <f t="shared" si="533"/>
        <v/>
      </c>
      <c r="E2464" s="50" t="str">
        <f t="shared" si="534"/>
        <v/>
      </c>
      <c r="F2464" s="47" t="str">
        <f>IF(COUNTA(archive!H2464:CI2464)=0,"",COUNTA(archive!H2464:CI2464))</f>
        <v/>
      </c>
      <c r="G2464" s="47" t="str">
        <f>IF(archive!G2464="","",archive!G2464)</f>
        <v/>
      </c>
      <c r="H2464" s="51" t="str">
        <f>IF(archive!CJ2464="","",archive!CJ2464)</f>
        <v/>
      </c>
      <c r="I2464" s="51" t="str">
        <f>IF(archive!CK2464="","",archive!CK2464)</f>
        <v/>
      </c>
      <c r="J2464" s="47" t="str">
        <f t="shared" si="535"/>
        <v/>
      </c>
      <c r="K2464" s="51" t="str">
        <f t="shared" si="536"/>
        <v/>
      </c>
      <c r="L2464" s="52" t="str">
        <f t="shared" si="537"/>
        <v/>
      </c>
      <c r="M2464" s="53" t="str">
        <f t="shared" si="538"/>
        <v/>
      </c>
      <c r="N2464" s="53" t="str">
        <f t="shared" si="539"/>
        <v/>
      </c>
      <c r="O2464" s="53" t="str">
        <f t="shared" si="540"/>
        <v/>
      </c>
      <c r="P2464" s="53" t="str">
        <f t="shared" si="541"/>
        <v/>
      </c>
      <c r="Q2464" s="53" t="str">
        <f t="shared" si="542"/>
        <v/>
      </c>
      <c r="R2464" s="53" t="str">
        <f t="shared" si="543"/>
        <v/>
      </c>
      <c r="S2464" s="53" t="str">
        <f t="shared" si="544"/>
        <v/>
      </c>
      <c r="T2464" s="53" t="str">
        <f t="shared" si="545"/>
        <v/>
      </c>
    </row>
    <row r="2465" spans="1:20">
      <c r="A2465" s="47" t="str">
        <f>IF(archive!E2465="","",archive!E2465)</f>
        <v/>
      </c>
      <c r="B2465" s="48" t="str">
        <f t="shared" si="532"/>
        <v/>
      </c>
      <c r="C2465" s="49" t="str">
        <f>IF(archive!F2465="","",archive!F2465)</f>
        <v/>
      </c>
      <c r="D2465" s="50" t="str">
        <f t="shared" si="533"/>
        <v/>
      </c>
      <c r="E2465" s="50" t="str">
        <f t="shared" si="534"/>
        <v/>
      </c>
      <c r="F2465" s="47" t="str">
        <f>IF(COUNTA(archive!H2465:CI2465)=0,"",COUNTA(archive!H2465:CI2465))</f>
        <v/>
      </c>
      <c r="G2465" s="47" t="str">
        <f>IF(archive!G2465="","",archive!G2465)</f>
        <v/>
      </c>
      <c r="H2465" s="51" t="str">
        <f>IF(archive!CJ2465="","",archive!CJ2465)</f>
        <v/>
      </c>
      <c r="I2465" s="51" t="str">
        <f>IF(archive!CK2465="","",archive!CK2465)</f>
        <v/>
      </c>
      <c r="J2465" s="47" t="str">
        <f t="shared" si="535"/>
        <v/>
      </c>
      <c r="K2465" s="51" t="str">
        <f t="shared" si="536"/>
        <v/>
      </c>
      <c r="L2465" s="52" t="str">
        <f t="shared" si="537"/>
        <v/>
      </c>
      <c r="M2465" s="53" t="str">
        <f t="shared" si="538"/>
        <v/>
      </c>
      <c r="N2465" s="53" t="str">
        <f t="shared" si="539"/>
        <v/>
      </c>
      <c r="O2465" s="53" t="str">
        <f t="shared" si="540"/>
        <v/>
      </c>
      <c r="P2465" s="53" t="str">
        <f t="shared" si="541"/>
        <v/>
      </c>
      <c r="Q2465" s="53" t="str">
        <f t="shared" si="542"/>
        <v/>
      </c>
      <c r="R2465" s="53" t="str">
        <f t="shared" si="543"/>
        <v/>
      </c>
      <c r="S2465" s="53" t="str">
        <f t="shared" si="544"/>
        <v/>
      </c>
      <c r="T2465" s="53" t="str">
        <f t="shared" si="545"/>
        <v/>
      </c>
    </row>
    <row r="2466" spans="1:20">
      <c r="A2466" s="47" t="str">
        <f>IF(archive!E2466="","",archive!E2466)</f>
        <v/>
      </c>
      <c r="B2466" s="48" t="str">
        <f t="shared" si="532"/>
        <v/>
      </c>
      <c r="C2466" s="49" t="str">
        <f>IF(archive!F2466="","",archive!F2466)</f>
        <v/>
      </c>
      <c r="D2466" s="50" t="str">
        <f t="shared" si="533"/>
        <v/>
      </c>
      <c r="E2466" s="50" t="str">
        <f t="shared" si="534"/>
        <v/>
      </c>
      <c r="F2466" s="47" t="str">
        <f>IF(COUNTA(archive!H2466:CI2466)=0,"",COUNTA(archive!H2466:CI2466))</f>
        <v/>
      </c>
      <c r="G2466" s="47" t="str">
        <f>IF(archive!G2466="","",archive!G2466)</f>
        <v/>
      </c>
      <c r="H2466" s="51" t="str">
        <f>IF(archive!CJ2466="","",archive!CJ2466)</f>
        <v/>
      </c>
      <c r="I2466" s="51" t="str">
        <f>IF(archive!CK2466="","",archive!CK2466)</f>
        <v/>
      </c>
      <c r="J2466" s="47" t="str">
        <f t="shared" si="535"/>
        <v/>
      </c>
      <c r="K2466" s="51" t="str">
        <f t="shared" si="536"/>
        <v/>
      </c>
      <c r="L2466" s="52" t="str">
        <f t="shared" si="537"/>
        <v/>
      </c>
      <c r="M2466" s="53" t="str">
        <f t="shared" si="538"/>
        <v/>
      </c>
      <c r="N2466" s="53" t="str">
        <f t="shared" si="539"/>
        <v/>
      </c>
      <c r="O2466" s="53" t="str">
        <f t="shared" si="540"/>
        <v/>
      </c>
      <c r="P2466" s="53" t="str">
        <f t="shared" si="541"/>
        <v/>
      </c>
      <c r="Q2466" s="53" t="str">
        <f t="shared" si="542"/>
        <v/>
      </c>
      <c r="R2466" s="53" t="str">
        <f t="shared" si="543"/>
        <v/>
      </c>
      <c r="S2466" s="53" t="str">
        <f t="shared" si="544"/>
        <v/>
      </c>
      <c r="T2466" s="53" t="str">
        <f t="shared" si="545"/>
        <v/>
      </c>
    </row>
    <row r="2467" spans="1:20">
      <c r="A2467" s="47" t="str">
        <f>IF(archive!E2467="","",archive!E2467)</f>
        <v/>
      </c>
      <c r="B2467" s="48" t="str">
        <f t="shared" si="532"/>
        <v/>
      </c>
      <c r="C2467" s="49" t="str">
        <f>IF(archive!F2467="","",archive!F2467)</f>
        <v/>
      </c>
      <c r="D2467" s="50" t="str">
        <f t="shared" si="533"/>
        <v/>
      </c>
      <c r="E2467" s="50" t="str">
        <f t="shared" si="534"/>
        <v/>
      </c>
      <c r="F2467" s="47" t="str">
        <f>IF(COUNTA(archive!H2467:CI2467)=0,"",COUNTA(archive!H2467:CI2467))</f>
        <v/>
      </c>
      <c r="G2467" s="47" t="str">
        <f>IF(archive!G2467="","",archive!G2467)</f>
        <v/>
      </c>
      <c r="H2467" s="51" t="str">
        <f>IF(archive!CJ2467="","",archive!CJ2467)</f>
        <v/>
      </c>
      <c r="I2467" s="51" t="str">
        <f>IF(archive!CK2467="","",archive!CK2467)</f>
        <v/>
      </c>
      <c r="J2467" s="47" t="str">
        <f t="shared" si="535"/>
        <v/>
      </c>
      <c r="K2467" s="51" t="str">
        <f t="shared" si="536"/>
        <v/>
      </c>
      <c r="L2467" s="52" t="str">
        <f t="shared" si="537"/>
        <v/>
      </c>
      <c r="M2467" s="53" t="str">
        <f t="shared" si="538"/>
        <v/>
      </c>
      <c r="N2467" s="53" t="str">
        <f t="shared" si="539"/>
        <v/>
      </c>
      <c r="O2467" s="53" t="str">
        <f t="shared" si="540"/>
        <v/>
      </c>
      <c r="P2467" s="53" t="str">
        <f t="shared" si="541"/>
        <v/>
      </c>
      <c r="Q2467" s="53" t="str">
        <f t="shared" si="542"/>
        <v/>
      </c>
      <c r="R2467" s="53" t="str">
        <f t="shared" si="543"/>
        <v/>
      </c>
      <c r="S2467" s="53" t="str">
        <f t="shared" si="544"/>
        <v/>
      </c>
      <c r="T2467" s="53" t="str">
        <f t="shared" si="545"/>
        <v/>
      </c>
    </row>
    <row r="2468" spans="1:20">
      <c r="A2468" s="47" t="str">
        <f>IF(archive!E2468="","",archive!E2468)</f>
        <v/>
      </c>
      <c r="B2468" s="48" t="str">
        <f t="shared" si="532"/>
        <v/>
      </c>
      <c r="C2468" s="49" t="str">
        <f>IF(archive!F2468="","",archive!F2468)</f>
        <v/>
      </c>
      <c r="D2468" s="50" t="str">
        <f t="shared" si="533"/>
        <v/>
      </c>
      <c r="E2468" s="50" t="str">
        <f t="shared" si="534"/>
        <v/>
      </c>
      <c r="F2468" s="47" t="str">
        <f>IF(COUNTA(archive!H2468:CI2468)=0,"",COUNTA(archive!H2468:CI2468))</f>
        <v/>
      </c>
      <c r="G2468" s="47" t="str">
        <f>IF(archive!G2468="","",archive!G2468)</f>
        <v/>
      </c>
      <c r="H2468" s="51" t="str">
        <f>IF(archive!CJ2468="","",archive!CJ2468)</f>
        <v/>
      </c>
      <c r="I2468" s="51" t="str">
        <f>IF(archive!CK2468="","",archive!CK2468)</f>
        <v/>
      </c>
      <c r="J2468" s="47" t="str">
        <f t="shared" si="535"/>
        <v/>
      </c>
      <c r="K2468" s="51" t="str">
        <f t="shared" si="536"/>
        <v/>
      </c>
      <c r="L2468" s="52" t="str">
        <f t="shared" si="537"/>
        <v/>
      </c>
      <c r="M2468" s="53" t="str">
        <f t="shared" si="538"/>
        <v/>
      </c>
      <c r="N2468" s="53" t="str">
        <f t="shared" si="539"/>
        <v/>
      </c>
      <c r="O2468" s="53" t="str">
        <f t="shared" si="540"/>
        <v/>
      </c>
      <c r="P2468" s="53" t="str">
        <f t="shared" si="541"/>
        <v/>
      </c>
      <c r="Q2468" s="53" t="str">
        <f t="shared" si="542"/>
        <v/>
      </c>
      <c r="R2468" s="53" t="str">
        <f t="shared" si="543"/>
        <v/>
      </c>
      <c r="S2468" s="53" t="str">
        <f t="shared" si="544"/>
        <v/>
      </c>
      <c r="T2468" s="53" t="str">
        <f t="shared" si="545"/>
        <v/>
      </c>
    </row>
    <row r="2469" spans="1:20">
      <c r="A2469" s="47" t="str">
        <f>IF(archive!E2469="","",archive!E2469)</f>
        <v/>
      </c>
      <c r="B2469" s="48" t="str">
        <f t="shared" si="532"/>
        <v/>
      </c>
      <c r="C2469" s="49" t="str">
        <f>IF(archive!F2469="","",archive!F2469)</f>
        <v/>
      </c>
      <c r="D2469" s="50" t="str">
        <f t="shared" si="533"/>
        <v/>
      </c>
      <c r="E2469" s="50" t="str">
        <f t="shared" si="534"/>
        <v/>
      </c>
      <c r="F2469" s="47" t="str">
        <f>IF(COUNTA(archive!H2469:CI2469)=0,"",COUNTA(archive!H2469:CI2469))</f>
        <v/>
      </c>
      <c r="G2469" s="47" t="str">
        <f>IF(archive!G2469="","",archive!G2469)</f>
        <v/>
      </c>
      <c r="H2469" s="51" t="str">
        <f>IF(archive!CJ2469="","",archive!CJ2469)</f>
        <v/>
      </c>
      <c r="I2469" s="51" t="str">
        <f>IF(archive!CK2469="","",archive!CK2469)</f>
        <v/>
      </c>
      <c r="J2469" s="47" t="str">
        <f t="shared" si="535"/>
        <v/>
      </c>
      <c r="K2469" s="51" t="str">
        <f t="shared" si="536"/>
        <v/>
      </c>
      <c r="L2469" s="52" t="str">
        <f t="shared" si="537"/>
        <v/>
      </c>
      <c r="M2469" s="53" t="str">
        <f t="shared" si="538"/>
        <v/>
      </c>
      <c r="N2469" s="53" t="str">
        <f t="shared" si="539"/>
        <v/>
      </c>
      <c r="O2469" s="53" t="str">
        <f t="shared" si="540"/>
        <v/>
      </c>
      <c r="P2469" s="53" t="str">
        <f t="shared" si="541"/>
        <v/>
      </c>
      <c r="Q2469" s="53" t="str">
        <f t="shared" si="542"/>
        <v/>
      </c>
      <c r="R2469" s="53" t="str">
        <f t="shared" si="543"/>
        <v/>
      </c>
      <c r="S2469" s="53" t="str">
        <f t="shared" si="544"/>
        <v/>
      </c>
      <c r="T2469" s="53" t="str">
        <f t="shared" si="545"/>
        <v/>
      </c>
    </row>
    <row r="2470" spans="1:20">
      <c r="A2470" s="47" t="str">
        <f>IF(archive!E2470="","",archive!E2470)</f>
        <v/>
      </c>
      <c r="B2470" s="48" t="str">
        <f t="shared" si="532"/>
        <v/>
      </c>
      <c r="C2470" s="49" t="str">
        <f>IF(archive!F2470="","",archive!F2470)</f>
        <v/>
      </c>
      <c r="D2470" s="50" t="str">
        <f t="shared" si="533"/>
        <v/>
      </c>
      <c r="E2470" s="50" t="str">
        <f t="shared" si="534"/>
        <v/>
      </c>
      <c r="F2470" s="47" t="str">
        <f>IF(COUNTA(archive!H2470:CI2470)=0,"",COUNTA(archive!H2470:CI2470))</f>
        <v/>
      </c>
      <c r="G2470" s="47" t="str">
        <f>IF(archive!G2470="","",archive!G2470)</f>
        <v/>
      </c>
      <c r="H2470" s="51" t="str">
        <f>IF(archive!CJ2470="","",archive!CJ2470)</f>
        <v/>
      </c>
      <c r="I2470" s="51" t="str">
        <f>IF(archive!CK2470="","",archive!CK2470)</f>
        <v/>
      </c>
      <c r="J2470" s="47" t="str">
        <f t="shared" si="535"/>
        <v/>
      </c>
      <c r="K2470" s="51" t="str">
        <f t="shared" si="536"/>
        <v/>
      </c>
      <c r="L2470" s="52" t="str">
        <f t="shared" si="537"/>
        <v/>
      </c>
      <c r="M2470" s="53" t="str">
        <f t="shared" si="538"/>
        <v/>
      </c>
      <c r="N2470" s="53" t="str">
        <f t="shared" si="539"/>
        <v/>
      </c>
      <c r="O2470" s="53" t="str">
        <f t="shared" si="540"/>
        <v/>
      </c>
      <c r="P2470" s="53" t="str">
        <f t="shared" si="541"/>
        <v/>
      </c>
      <c r="Q2470" s="53" t="str">
        <f t="shared" si="542"/>
        <v/>
      </c>
      <c r="R2470" s="53" t="str">
        <f t="shared" si="543"/>
        <v/>
      </c>
      <c r="S2470" s="53" t="str">
        <f t="shared" si="544"/>
        <v/>
      </c>
      <c r="T2470" s="53" t="str">
        <f t="shared" si="545"/>
        <v/>
      </c>
    </row>
    <row r="2471" spans="1:20">
      <c r="A2471" s="47" t="str">
        <f>IF(archive!E2471="","",archive!E2471)</f>
        <v/>
      </c>
      <c r="B2471" s="48" t="str">
        <f t="shared" si="532"/>
        <v/>
      </c>
      <c r="C2471" s="49" t="str">
        <f>IF(archive!F2471="","",archive!F2471)</f>
        <v/>
      </c>
      <c r="D2471" s="50" t="str">
        <f t="shared" si="533"/>
        <v/>
      </c>
      <c r="E2471" s="50" t="str">
        <f t="shared" si="534"/>
        <v/>
      </c>
      <c r="F2471" s="47" t="str">
        <f>IF(COUNTA(archive!H2471:CI2471)=0,"",COUNTA(archive!H2471:CI2471))</f>
        <v/>
      </c>
      <c r="G2471" s="47" t="str">
        <f>IF(archive!G2471="","",archive!G2471)</f>
        <v/>
      </c>
      <c r="H2471" s="51" t="str">
        <f>IF(archive!CJ2471="","",archive!CJ2471)</f>
        <v/>
      </c>
      <c r="I2471" s="51" t="str">
        <f>IF(archive!CK2471="","",archive!CK2471)</f>
        <v/>
      </c>
      <c r="J2471" s="47" t="str">
        <f t="shared" si="535"/>
        <v/>
      </c>
      <c r="K2471" s="51" t="str">
        <f t="shared" si="536"/>
        <v/>
      </c>
      <c r="L2471" s="52" t="str">
        <f t="shared" si="537"/>
        <v/>
      </c>
      <c r="M2471" s="53" t="str">
        <f t="shared" si="538"/>
        <v/>
      </c>
      <c r="N2471" s="53" t="str">
        <f t="shared" si="539"/>
        <v/>
      </c>
      <c r="O2471" s="53" t="str">
        <f t="shared" si="540"/>
        <v/>
      </c>
      <c r="P2471" s="53" t="str">
        <f t="shared" si="541"/>
        <v/>
      </c>
      <c r="Q2471" s="53" t="str">
        <f t="shared" si="542"/>
        <v/>
      </c>
      <c r="R2471" s="53" t="str">
        <f t="shared" si="543"/>
        <v/>
      </c>
      <c r="S2471" s="53" t="str">
        <f t="shared" si="544"/>
        <v/>
      </c>
      <c r="T2471" s="53" t="str">
        <f t="shared" si="545"/>
        <v/>
      </c>
    </row>
    <row r="2472" spans="1:20">
      <c r="A2472" s="47" t="str">
        <f>IF(archive!E2472="","",archive!E2472)</f>
        <v/>
      </c>
      <c r="B2472" s="48" t="str">
        <f t="shared" si="532"/>
        <v/>
      </c>
      <c r="C2472" s="49" t="str">
        <f>IF(archive!F2472="","",archive!F2472)</f>
        <v/>
      </c>
      <c r="D2472" s="50" t="str">
        <f t="shared" si="533"/>
        <v/>
      </c>
      <c r="E2472" s="50" t="str">
        <f t="shared" si="534"/>
        <v/>
      </c>
      <c r="F2472" s="47" t="str">
        <f>IF(COUNTA(archive!H2472:CI2472)=0,"",COUNTA(archive!H2472:CI2472))</f>
        <v/>
      </c>
      <c r="G2472" s="47" t="str">
        <f>IF(archive!G2472="","",archive!G2472)</f>
        <v/>
      </c>
      <c r="H2472" s="51" t="str">
        <f>IF(archive!CJ2472="","",archive!CJ2472)</f>
        <v/>
      </c>
      <c r="I2472" s="51" t="str">
        <f>IF(archive!CK2472="","",archive!CK2472)</f>
        <v/>
      </c>
      <c r="J2472" s="47" t="str">
        <f t="shared" si="535"/>
        <v/>
      </c>
      <c r="K2472" s="51" t="str">
        <f t="shared" si="536"/>
        <v/>
      </c>
      <c r="L2472" s="52" t="str">
        <f t="shared" si="537"/>
        <v/>
      </c>
      <c r="M2472" s="53" t="str">
        <f t="shared" si="538"/>
        <v/>
      </c>
      <c r="N2472" s="53" t="str">
        <f t="shared" si="539"/>
        <v/>
      </c>
      <c r="O2472" s="53" t="str">
        <f t="shared" si="540"/>
        <v/>
      </c>
      <c r="P2472" s="53" t="str">
        <f t="shared" si="541"/>
        <v/>
      </c>
      <c r="Q2472" s="53" t="str">
        <f t="shared" si="542"/>
        <v/>
      </c>
      <c r="R2472" s="53" t="str">
        <f t="shared" si="543"/>
        <v/>
      </c>
      <c r="S2472" s="53" t="str">
        <f t="shared" si="544"/>
        <v/>
      </c>
      <c r="T2472" s="53" t="str">
        <f t="shared" si="545"/>
        <v/>
      </c>
    </row>
    <row r="2473" spans="1:20">
      <c r="A2473" s="47" t="str">
        <f>IF(archive!E2473="","",archive!E2473)</f>
        <v/>
      </c>
      <c r="B2473" s="48" t="str">
        <f t="shared" si="532"/>
        <v/>
      </c>
      <c r="C2473" s="49" t="str">
        <f>IF(archive!F2473="","",archive!F2473)</f>
        <v/>
      </c>
      <c r="D2473" s="50" t="str">
        <f t="shared" si="533"/>
        <v/>
      </c>
      <c r="E2473" s="50" t="str">
        <f t="shared" si="534"/>
        <v/>
      </c>
      <c r="F2473" s="47" t="str">
        <f>IF(COUNTA(archive!H2473:CI2473)=0,"",COUNTA(archive!H2473:CI2473))</f>
        <v/>
      </c>
      <c r="G2473" s="47" t="str">
        <f>IF(archive!G2473="","",archive!G2473)</f>
        <v/>
      </c>
      <c r="H2473" s="51" t="str">
        <f>IF(archive!CJ2473="","",archive!CJ2473)</f>
        <v/>
      </c>
      <c r="I2473" s="51" t="str">
        <f>IF(archive!CK2473="","",archive!CK2473)</f>
        <v/>
      </c>
      <c r="J2473" s="47" t="str">
        <f t="shared" si="535"/>
        <v/>
      </c>
      <c r="K2473" s="51" t="str">
        <f t="shared" si="536"/>
        <v/>
      </c>
      <c r="L2473" s="52" t="str">
        <f t="shared" si="537"/>
        <v/>
      </c>
      <c r="M2473" s="53" t="str">
        <f t="shared" si="538"/>
        <v/>
      </c>
      <c r="N2473" s="53" t="str">
        <f t="shared" si="539"/>
        <v/>
      </c>
      <c r="O2473" s="53" t="str">
        <f t="shared" si="540"/>
        <v/>
      </c>
      <c r="P2473" s="53" t="str">
        <f t="shared" si="541"/>
        <v/>
      </c>
      <c r="Q2473" s="53" t="str">
        <f t="shared" si="542"/>
        <v/>
      </c>
      <c r="R2473" s="53" t="str">
        <f t="shared" si="543"/>
        <v/>
      </c>
      <c r="S2473" s="53" t="str">
        <f t="shared" si="544"/>
        <v/>
      </c>
      <c r="T2473" s="53" t="str">
        <f t="shared" si="545"/>
        <v/>
      </c>
    </row>
    <row r="2474" spans="1:20">
      <c r="A2474" s="47" t="str">
        <f>IF(archive!E2474="","",archive!E2474)</f>
        <v/>
      </c>
      <c r="B2474" s="48" t="str">
        <f t="shared" si="532"/>
        <v/>
      </c>
      <c r="C2474" s="49" t="str">
        <f>IF(archive!F2474="","",archive!F2474)</f>
        <v/>
      </c>
      <c r="D2474" s="50" t="str">
        <f t="shared" si="533"/>
        <v/>
      </c>
      <c r="E2474" s="50" t="str">
        <f t="shared" si="534"/>
        <v/>
      </c>
      <c r="F2474" s="47" t="str">
        <f>IF(COUNTA(archive!H2474:CI2474)=0,"",COUNTA(archive!H2474:CI2474))</f>
        <v/>
      </c>
      <c r="G2474" s="47" t="str">
        <f>IF(archive!G2474="","",archive!G2474)</f>
        <v/>
      </c>
      <c r="H2474" s="51" t="str">
        <f>IF(archive!CJ2474="","",archive!CJ2474)</f>
        <v/>
      </c>
      <c r="I2474" s="51" t="str">
        <f>IF(archive!CK2474="","",archive!CK2474)</f>
        <v/>
      </c>
      <c r="J2474" s="47" t="str">
        <f t="shared" si="535"/>
        <v/>
      </c>
      <c r="K2474" s="51" t="str">
        <f t="shared" si="536"/>
        <v/>
      </c>
      <c r="L2474" s="52" t="str">
        <f t="shared" si="537"/>
        <v/>
      </c>
      <c r="M2474" s="53" t="str">
        <f t="shared" si="538"/>
        <v/>
      </c>
      <c r="N2474" s="53" t="str">
        <f t="shared" si="539"/>
        <v/>
      </c>
      <c r="O2474" s="53" t="str">
        <f t="shared" si="540"/>
        <v/>
      </c>
      <c r="P2474" s="53" t="str">
        <f t="shared" si="541"/>
        <v/>
      </c>
      <c r="Q2474" s="53" t="str">
        <f t="shared" si="542"/>
        <v/>
      </c>
      <c r="R2474" s="53" t="str">
        <f t="shared" si="543"/>
        <v/>
      </c>
      <c r="S2474" s="53" t="str">
        <f t="shared" si="544"/>
        <v/>
      </c>
      <c r="T2474" s="53" t="str">
        <f t="shared" si="545"/>
        <v/>
      </c>
    </row>
    <row r="2475" spans="1:20">
      <c r="A2475" s="47" t="str">
        <f>IF(archive!E2475="","",archive!E2475)</f>
        <v/>
      </c>
      <c r="B2475" s="48" t="str">
        <f t="shared" si="532"/>
        <v/>
      </c>
      <c r="C2475" s="49" t="str">
        <f>IF(archive!F2475="","",archive!F2475)</f>
        <v/>
      </c>
      <c r="D2475" s="50" t="str">
        <f t="shared" si="533"/>
        <v/>
      </c>
      <c r="E2475" s="50" t="str">
        <f t="shared" si="534"/>
        <v/>
      </c>
      <c r="F2475" s="47" t="str">
        <f>IF(COUNTA(archive!H2475:CI2475)=0,"",COUNTA(archive!H2475:CI2475))</f>
        <v/>
      </c>
      <c r="G2475" s="47" t="str">
        <f>IF(archive!G2475="","",archive!G2475)</f>
        <v/>
      </c>
      <c r="H2475" s="51" t="str">
        <f>IF(archive!CJ2475="","",archive!CJ2475)</f>
        <v/>
      </c>
      <c r="I2475" s="51" t="str">
        <f>IF(archive!CK2475="","",archive!CK2475)</f>
        <v/>
      </c>
      <c r="J2475" s="47" t="str">
        <f t="shared" si="535"/>
        <v/>
      </c>
      <c r="K2475" s="51" t="str">
        <f t="shared" si="536"/>
        <v/>
      </c>
      <c r="L2475" s="52" t="str">
        <f t="shared" si="537"/>
        <v/>
      </c>
      <c r="M2475" s="53" t="str">
        <f t="shared" si="538"/>
        <v/>
      </c>
      <c r="N2475" s="53" t="str">
        <f t="shared" si="539"/>
        <v/>
      </c>
      <c r="O2475" s="53" t="str">
        <f t="shared" si="540"/>
        <v/>
      </c>
      <c r="P2475" s="53" t="str">
        <f t="shared" si="541"/>
        <v/>
      </c>
      <c r="Q2475" s="53" t="str">
        <f t="shared" si="542"/>
        <v/>
      </c>
      <c r="R2475" s="53" t="str">
        <f t="shared" si="543"/>
        <v/>
      </c>
      <c r="S2475" s="53" t="str">
        <f t="shared" si="544"/>
        <v/>
      </c>
      <c r="T2475" s="53" t="str">
        <f t="shared" si="545"/>
        <v/>
      </c>
    </row>
    <row r="2476" spans="1:20">
      <c r="A2476" s="47" t="str">
        <f>IF(archive!E2476="","",archive!E2476)</f>
        <v/>
      </c>
      <c r="B2476" s="48" t="str">
        <f t="shared" si="532"/>
        <v/>
      </c>
      <c r="C2476" s="49" t="str">
        <f>IF(archive!F2476="","",archive!F2476)</f>
        <v/>
      </c>
      <c r="D2476" s="50" t="str">
        <f t="shared" si="533"/>
        <v/>
      </c>
      <c r="E2476" s="50" t="str">
        <f t="shared" si="534"/>
        <v/>
      </c>
      <c r="F2476" s="47" t="str">
        <f>IF(COUNTA(archive!H2476:CI2476)=0,"",COUNTA(archive!H2476:CI2476))</f>
        <v/>
      </c>
      <c r="G2476" s="47" t="str">
        <f>IF(archive!G2476="","",archive!G2476)</f>
        <v/>
      </c>
      <c r="H2476" s="51" t="str">
        <f>IF(archive!CJ2476="","",archive!CJ2476)</f>
        <v/>
      </c>
      <c r="I2476" s="51" t="str">
        <f>IF(archive!CK2476="","",archive!CK2476)</f>
        <v/>
      </c>
      <c r="J2476" s="47" t="str">
        <f t="shared" si="535"/>
        <v/>
      </c>
      <c r="K2476" s="51" t="str">
        <f t="shared" si="536"/>
        <v/>
      </c>
      <c r="L2476" s="52" t="str">
        <f t="shared" si="537"/>
        <v/>
      </c>
      <c r="M2476" s="53" t="str">
        <f t="shared" si="538"/>
        <v/>
      </c>
      <c r="N2476" s="53" t="str">
        <f t="shared" si="539"/>
        <v/>
      </c>
      <c r="O2476" s="53" t="str">
        <f t="shared" si="540"/>
        <v/>
      </c>
      <c r="P2476" s="53" t="str">
        <f t="shared" si="541"/>
        <v/>
      </c>
      <c r="Q2476" s="53" t="str">
        <f t="shared" si="542"/>
        <v/>
      </c>
      <c r="R2476" s="53" t="str">
        <f t="shared" si="543"/>
        <v/>
      </c>
      <c r="S2476" s="53" t="str">
        <f t="shared" si="544"/>
        <v/>
      </c>
      <c r="T2476" s="53" t="str">
        <f t="shared" si="545"/>
        <v/>
      </c>
    </row>
    <row r="2477" spans="1:20">
      <c r="A2477" s="47" t="str">
        <f>IF(archive!E2477="","",archive!E2477)</f>
        <v/>
      </c>
      <c r="B2477" s="48" t="str">
        <f t="shared" si="532"/>
        <v/>
      </c>
      <c r="C2477" s="49" t="str">
        <f>IF(archive!F2477="","",archive!F2477)</f>
        <v/>
      </c>
      <c r="D2477" s="50" t="str">
        <f t="shared" si="533"/>
        <v/>
      </c>
      <c r="E2477" s="50" t="str">
        <f t="shared" si="534"/>
        <v/>
      </c>
      <c r="F2477" s="47" t="str">
        <f>IF(COUNTA(archive!H2477:CI2477)=0,"",COUNTA(archive!H2477:CI2477))</f>
        <v/>
      </c>
      <c r="G2477" s="47" t="str">
        <f>IF(archive!G2477="","",archive!G2477)</f>
        <v/>
      </c>
      <c r="H2477" s="51" t="str">
        <f>IF(archive!CJ2477="","",archive!CJ2477)</f>
        <v/>
      </c>
      <c r="I2477" s="51" t="str">
        <f>IF(archive!CK2477="","",archive!CK2477)</f>
        <v/>
      </c>
      <c r="J2477" s="47" t="str">
        <f t="shared" si="535"/>
        <v/>
      </c>
      <c r="K2477" s="51" t="str">
        <f t="shared" si="536"/>
        <v/>
      </c>
      <c r="L2477" s="52" t="str">
        <f t="shared" si="537"/>
        <v/>
      </c>
      <c r="M2477" s="53" t="str">
        <f t="shared" si="538"/>
        <v/>
      </c>
      <c r="N2477" s="53" t="str">
        <f t="shared" si="539"/>
        <v/>
      </c>
      <c r="O2477" s="53" t="str">
        <f t="shared" si="540"/>
        <v/>
      </c>
      <c r="P2477" s="53" t="str">
        <f t="shared" si="541"/>
        <v/>
      </c>
      <c r="Q2477" s="53" t="str">
        <f t="shared" si="542"/>
        <v/>
      </c>
      <c r="R2477" s="53" t="str">
        <f t="shared" si="543"/>
        <v/>
      </c>
      <c r="S2477" s="53" t="str">
        <f t="shared" si="544"/>
        <v/>
      </c>
      <c r="T2477" s="53" t="str">
        <f t="shared" si="545"/>
        <v/>
      </c>
    </row>
    <row r="2478" spans="1:20">
      <c r="A2478" s="47" t="str">
        <f>IF(archive!E2478="","",archive!E2478)</f>
        <v/>
      </c>
      <c r="B2478" s="48" t="str">
        <f t="shared" si="532"/>
        <v/>
      </c>
      <c r="C2478" s="49" t="str">
        <f>IF(archive!F2478="","",archive!F2478)</f>
        <v/>
      </c>
      <c r="D2478" s="50" t="str">
        <f t="shared" si="533"/>
        <v/>
      </c>
      <c r="E2478" s="50" t="str">
        <f t="shared" si="534"/>
        <v/>
      </c>
      <c r="F2478" s="47" t="str">
        <f>IF(COUNTA(archive!H2478:CI2478)=0,"",COUNTA(archive!H2478:CI2478))</f>
        <v/>
      </c>
      <c r="G2478" s="47" t="str">
        <f>IF(archive!G2478="","",archive!G2478)</f>
        <v/>
      </c>
      <c r="H2478" s="51" t="str">
        <f>IF(archive!CJ2478="","",archive!CJ2478)</f>
        <v/>
      </c>
      <c r="I2478" s="51" t="str">
        <f>IF(archive!CK2478="","",archive!CK2478)</f>
        <v/>
      </c>
      <c r="J2478" s="47" t="str">
        <f t="shared" si="535"/>
        <v/>
      </c>
      <c r="K2478" s="51" t="str">
        <f t="shared" si="536"/>
        <v/>
      </c>
      <c r="L2478" s="52" t="str">
        <f t="shared" si="537"/>
        <v/>
      </c>
      <c r="M2478" s="53" t="str">
        <f t="shared" si="538"/>
        <v/>
      </c>
      <c r="N2478" s="53" t="str">
        <f t="shared" si="539"/>
        <v/>
      </c>
      <c r="O2478" s="53" t="str">
        <f t="shared" si="540"/>
        <v/>
      </c>
      <c r="P2478" s="53" t="str">
        <f t="shared" si="541"/>
        <v/>
      </c>
      <c r="Q2478" s="53" t="str">
        <f t="shared" si="542"/>
        <v/>
      </c>
      <c r="R2478" s="53" t="str">
        <f t="shared" si="543"/>
        <v/>
      </c>
      <c r="S2478" s="53" t="str">
        <f t="shared" si="544"/>
        <v/>
      </c>
      <c r="T2478" s="53" t="str">
        <f t="shared" si="545"/>
        <v/>
      </c>
    </row>
    <row r="2479" spans="1:20">
      <c r="A2479" s="47" t="str">
        <f>IF(archive!E2479="","",archive!E2479)</f>
        <v/>
      </c>
      <c r="B2479" s="48" t="str">
        <f t="shared" si="532"/>
        <v/>
      </c>
      <c r="C2479" s="49" t="str">
        <f>IF(archive!F2479="","",archive!F2479)</f>
        <v/>
      </c>
      <c r="D2479" s="50" t="str">
        <f t="shared" si="533"/>
        <v/>
      </c>
      <c r="E2479" s="50" t="str">
        <f t="shared" si="534"/>
        <v/>
      </c>
      <c r="F2479" s="47" t="str">
        <f>IF(COUNTA(archive!H2479:CI2479)=0,"",COUNTA(archive!H2479:CI2479))</f>
        <v/>
      </c>
      <c r="G2479" s="47" t="str">
        <f>IF(archive!G2479="","",archive!G2479)</f>
        <v/>
      </c>
      <c r="H2479" s="51" t="str">
        <f>IF(archive!CJ2479="","",archive!CJ2479)</f>
        <v/>
      </c>
      <c r="I2479" s="51" t="str">
        <f>IF(archive!CK2479="","",archive!CK2479)</f>
        <v/>
      </c>
      <c r="J2479" s="47" t="str">
        <f t="shared" si="535"/>
        <v/>
      </c>
      <c r="K2479" s="51" t="str">
        <f t="shared" si="536"/>
        <v/>
      </c>
      <c r="L2479" s="52" t="str">
        <f t="shared" si="537"/>
        <v/>
      </c>
      <c r="M2479" s="53" t="str">
        <f t="shared" si="538"/>
        <v/>
      </c>
      <c r="N2479" s="53" t="str">
        <f t="shared" si="539"/>
        <v/>
      </c>
      <c r="O2479" s="53" t="str">
        <f t="shared" si="540"/>
        <v/>
      </c>
      <c r="P2479" s="53" t="str">
        <f t="shared" si="541"/>
        <v/>
      </c>
      <c r="Q2479" s="53" t="str">
        <f t="shared" si="542"/>
        <v/>
      </c>
      <c r="R2479" s="53" t="str">
        <f t="shared" si="543"/>
        <v/>
      </c>
      <c r="S2479" s="53" t="str">
        <f t="shared" si="544"/>
        <v/>
      </c>
      <c r="T2479" s="53" t="str">
        <f t="shared" si="545"/>
        <v/>
      </c>
    </row>
    <row r="2480" spans="1:20">
      <c r="A2480" s="47" t="str">
        <f>IF(archive!E2480="","",archive!E2480)</f>
        <v/>
      </c>
      <c r="B2480" s="48" t="str">
        <f t="shared" si="532"/>
        <v/>
      </c>
      <c r="C2480" s="49" t="str">
        <f>IF(archive!F2480="","",archive!F2480)</f>
        <v/>
      </c>
      <c r="D2480" s="50" t="str">
        <f t="shared" si="533"/>
        <v/>
      </c>
      <c r="E2480" s="50" t="str">
        <f t="shared" si="534"/>
        <v/>
      </c>
      <c r="F2480" s="47" t="str">
        <f>IF(COUNTA(archive!H2480:CI2480)=0,"",COUNTA(archive!H2480:CI2480))</f>
        <v/>
      </c>
      <c r="G2480" s="47" t="str">
        <f>IF(archive!G2480="","",archive!G2480)</f>
        <v/>
      </c>
      <c r="H2480" s="51" t="str">
        <f>IF(archive!CJ2480="","",archive!CJ2480)</f>
        <v/>
      </c>
      <c r="I2480" s="51" t="str">
        <f>IF(archive!CK2480="","",archive!CK2480)</f>
        <v/>
      </c>
      <c r="J2480" s="47" t="str">
        <f t="shared" si="535"/>
        <v/>
      </c>
      <c r="K2480" s="51" t="str">
        <f t="shared" si="536"/>
        <v/>
      </c>
      <c r="L2480" s="52" t="str">
        <f t="shared" si="537"/>
        <v/>
      </c>
      <c r="M2480" s="53" t="str">
        <f t="shared" si="538"/>
        <v/>
      </c>
      <c r="N2480" s="53" t="str">
        <f t="shared" si="539"/>
        <v/>
      </c>
      <c r="O2480" s="53" t="str">
        <f t="shared" si="540"/>
        <v/>
      </c>
      <c r="P2480" s="53" t="str">
        <f t="shared" si="541"/>
        <v/>
      </c>
      <c r="Q2480" s="53" t="str">
        <f t="shared" si="542"/>
        <v/>
      </c>
      <c r="R2480" s="53" t="str">
        <f t="shared" si="543"/>
        <v/>
      </c>
      <c r="S2480" s="53" t="str">
        <f t="shared" si="544"/>
        <v/>
      </c>
      <c r="T2480" s="53" t="str">
        <f t="shared" si="545"/>
        <v/>
      </c>
    </row>
    <row r="2481" spans="1:20">
      <c r="A2481" s="47" t="str">
        <f>IF(archive!E2481="","",archive!E2481)</f>
        <v/>
      </c>
      <c r="B2481" s="48" t="str">
        <f t="shared" si="532"/>
        <v/>
      </c>
      <c r="C2481" s="49" t="str">
        <f>IF(archive!F2481="","",archive!F2481)</f>
        <v/>
      </c>
      <c r="D2481" s="50" t="str">
        <f t="shared" si="533"/>
        <v/>
      </c>
      <c r="E2481" s="50" t="str">
        <f t="shared" si="534"/>
        <v/>
      </c>
      <c r="F2481" s="47" t="str">
        <f>IF(COUNTA(archive!H2481:CI2481)=0,"",COUNTA(archive!H2481:CI2481))</f>
        <v/>
      </c>
      <c r="G2481" s="47" t="str">
        <f>IF(archive!G2481="","",archive!G2481)</f>
        <v/>
      </c>
      <c r="H2481" s="51" t="str">
        <f>IF(archive!CJ2481="","",archive!CJ2481)</f>
        <v/>
      </c>
      <c r="I2481" s="51" t="str">
        <f>IF(archive!CK2481="","",archive!CK2481)</f>
        <v/>
      </c>
      <c r="J2481" s="47" t="str">
        <f t="shared" si="535"/>
        <v/>
      </c>
      <c r="K2481" s="51" t="str">
        <f t="shared" si="536"/>
        <v/>
      </c>
      <c r="L2481" s="52" t="str">
        <f t="shared" si="537"/>
        <v/>
      </c>
      <c r="M2481" s="53" t="str">
        <f t="shared" si="538"/>
        <v/>
      </c>
      <c r="N2481" s="53" t="str">
        <f t="shared" si="539"/>
        <v/>
      </c>
      <c r="O2481" s="53" t="str">
        <f t="shared" si="540"/>
        <v/>
      </c>
      <c r="P2481" s="53" t="str">
        <f t="shared" si="541"/>
        <v/>
      </c>
      <c r="Q2481" s="53" t="str">
        <f t="shared" si="542"/>
        <v/>
      </c>
      <c r="R2481" s="53" t="str">
        <f t="shared" si="543"/>
        <v/>
      </c>
      <c r="S2481" s="53" t="str">
        <f t="shared" si="544"/>
        <v/>
      </c>
      <c r="T2481" s="53" t="str">
        <f t="shared" si="545"/>
        <v/>
      </c>
    </row>
    <row r="2482" spans="1:20">
      <c r="A2482" s="47" t="str">
        <f>IF(archive!E2482="","",archive!E2482)</f>
        <v/>
      </c>
      <c r="B2482" s="48" t="str">
        <f t="shared" si="532"/>
        <v/>
      </c>
      <c r="C2482" s="49" t="str">
        <f>IF(archive!F2482="","",archive!F2482)</f>
        <v/>
      </c>
      <c r="D2482" s="50" t="str">
        <f t="shared" si="533"/>
        <v/>
      </c>
      <c r="E2482" s="50" t="str">
        <f t="shared" si="534"/>
        <v/>
      </c>
      <c r="F2482" s="47" t="str">
        <f>IF(COUNTA(archive!H2482:CI2482)=0,"",COUNTA(archive!H2482:CI2482))</f>
        <v/>
      </c>
      <c r="G2482" s="47" t="str">
        <f>IF(archive!G2482="","",archive!G2482)</f>
        <v/>
      </c>
      <c r="H2482" s="51" t="str">
        <f>IF(archive!CJ2482="","",archive!CJ2482)</f>
        <v/>
      </c>
      <c r="I2482" s="51" t="str">
        <f>IF(archive!CK2482="","",archive!CK2482)</f>
        <v/>
      </c>
      <c r="J2482" s="47" t="str">
        <f t="shared" si="535"/>
        <v/>
      </c>
      <c r="K2482" s="51" t="str">
        <f t="shared" si="536"/>
        <v/>
      </c>
      <c r="L2482" s="52" t="str">
        <f t="shared" si="537"/>
        <v/>
      </c>
      <c r="M2482" s="53" t="str">
        <f t="shared" si="538"/>
        <v/>
      </c>
      <c r="N2482" s="53" t="str">
        <f t="shared" si="539"/>
        <v/>
      </c>
      <c r="O2482" s="53" t="str">
        <f t="shared" si="540"/>
        <v/>
      </c>
      <c r="P2482" s="53" t="str">
        <f t="shared" si="541"/>
        <v/>
      </c>
      <c r="Q2482" s="53" t="str">
        <f t="shared" si="542"/>
        <v/>
      </c>
      <c r="R2482" s="53" t="str">
        <f t="shared" si="543"/>
        <v/>
      </c>
      <c r="S2482" s="53" t="str">
        <f t="shared" si="544"/>
        <v/>
      </c>
      <c r="T2482" s="53" t="str">
        <f t="shared" si="545"/>
        <v/>
      </c>
    </row>
    <row r="2483" spans="1:20">
      <c r="A2483" s="47" t="str">
        <f>IF(archive!E2483="","",archive!E2483)</f>
        <v/>
      </c>
      <c r="B2483" s="48" t="str">
        <f t="shared" si="532"/>
        <v/>
      </c>
      <c r="C2483" s="49" t="str">
        <f>IF(archive!F2483="","",archive!F2483)</f>
        <v/>
      </c>
      <c r="D2483" s="50" t="str">
        <f t="shared" si="533"/>
        <v/>
      </c>
      <c r="E2483" s="50" t="str">
        <f t="shared" si="534"/>
        <v/>
      </c>
      <c r="F2483" s="47" t="str">
        <f>IF(COUNTA(archive!H2483:CI2483)=0,"",COUNTA(archive!H2483:CI2483))</f>
        <v/>
      </c>
      <c r="G2483" s="47" t="str">
        <f>IF(archive!G2483="","",archive!G2483)</f>
        <v/>
      </c>
      <c r="H2483" s="51" t="str">
        <f>IF(archive!CJ2483="","",archive!CJ2483)</f>
        <v/>
      </c>
      <c r="I2483" s="51" t="str">
        <f>IF(archive!CK2483="","",archive!CK2483)</f>
        <v/>
      </c>
      <c r="J2483" s="47" t="str">
        <f t="shared" si="535"/>
        <v/>
      </c>
      <c r="K2483" s="51" t="str">
        <f t="shared" si="536"/>
        <v/>
      </c>
      <c r="L2483" s="52" t="str">
        <f t="shared" si="537"/>
        <v/>
      </c>
      <c r="M2483" s="53" t="str">
        <f t="shared" si="538"/>
        <v/>
      </c>
      <c r="N2483" s="53" t="str">
        <f t="shared" si="539"/>
        <v/>
      </c>
      <c r="O2483" s="53" t="str">
        <f t="shared" si="540"/>
        <v/>
      </c>
      <c r="P2483" s="53" t="str">
        <f t="shared" si="541"/>
        <v/>
      </c>
      <c r="Q2483" s="53" t="str">
        <f t="shared" si="542"/>
        <v/>
      </c>
      <c r="R2483" s="53" t="str">
        <f t="shared" si="543"/>
        <v/>
      </c>
      <c r="S2483" s="53" t="str">
        <f t="shared" si="544"/>
        <v/>
      </c>
      <c r="T2483" s="53" t="str">
        <f t="shared" si="545"/>
        <v/>
      </c>
    </row>
    <row r="2484" spans="1:20">
      <c r="A2484" s="47" t="str">
        <f>IF(archive!E2484="","",archive!E2484)</f>
        <v/>
      </c>
      <c r="B2484" s="48" t="str">
        <f t="shared" si="532"/>
        <v/>
      </c>
      <c r="C2484" s="49" t="str">
        <f>IF(archive!F2484="","",archive!F2484)</f>
        <v/>
      </c>
      <c r="D2484" s="50" t="str">
        <f t="shared" si="533"/>
        <v/>
      </c>
      <c r="E2484" s="50" t="str">
        <f t="shared" si="534"/>
        <v/>
      </c>
      <c r="F2484" s="47" t="str">
        <f>IF(COUNTA(archive!H2484:CI2484)=0,"",COUNTA(archive!H2484:CI2484))</f>
        <v/>
      </c>
      <c r="G2484" s="47" t="str">
        <f>IF(archive!G2484="","",archive!G2484)</f>
        <v/>
      </c>
      <c r="H2484" s="51" t="str">
        <f>IF(archive!CJ2484="","",archive!CJ2484)</f>
        <v/>
      </c>
      <c r="I2484" s="51" t="str">
        <f>IF(archive!CK2484="","",archive!CK2484)</f>
        <v/>
      </c>
      <c r="J2484" s="47" t="str">
        <f t="shared" si="535"/>
        <v/>
      </c>
      <c r="K2484" s="51" t="str">
        <f t="shared" si="536"/>
        <v/>
      </c>
      <c r="L2484" s="52" t="str">
        <f t="shared" si="537"/>
        <v/>
      </c>
      <c r="M2484" s="53" t="str">
        <f t="shared" si="538"/>
        <v/>
      </c>
      <c r="N2484" s="53" t="str">
        <f t="shared" si="539"/>
        <v/>
      </c>
      <c r="O2484" s="53" t="str">
        <f t="shared" si="540"/>
        <v/>
      </c>
      <c r="P2484" s="53" t="str">
        <f t="shared" si="541"/>
        <v/>
      </c>
      <c r="Q2484" s="53" t="str">
        <f t="shared" si="542"/>
        <v/>
      </c>
      <c r="R2484" s="53" t="str">
        <f t="shared" si="543"/>
        <v/>
      </c>
      <c r="S2484" s="53" t="str">
        <f t="shared" si="544"/>
        <v/>
      </c>
      <c r="T2484" s="53" t="str">
        <f t="shared" si="545"/>
        <v/>
      </c>
    </row>
    <row r="2485" spans="1:20">
      <c r="A2485" s="47" t="str">
        <f>IF(archive!E2485="","",archive!E2485)</f>
        <v/>
      </c>
      <c r="B2485" s="48" t="str">
        <f t="shared" si="532"/>
        <v/>
      </c>
      <c r="C2485" s="49" t="str">
        <f>IF(archive!F2485="","",archive!F2485)</f>
        <v/>
      </c>
      <c r="D2485" s="50" t="str">
        <f t="shared" si="533"/>
        <v/>
      </c>
      <c r="E2485" s="50" t="str">
        <f t="shared" si="534"/>
        <v/>
      </c>
      <c r="F2485" s="47" t="str">
        <f>IF(COUNTA(archive!H2485:CI2485)=0,"",COUNTA(archive!H2485:CI2485))</f>
        <v/>
      </c>
      <c r="G2485" s="47" t="str">
        <f>IF(archive!G2485="","",archive!G2485)</f>
        <v/>
      </c>
      <c r="H2485" s="51" t="str">
        <f>IF(archive!CJ2485="","",archive!CJ2485)</f>
        <v/>
      </c>
      <c r="I2485" s="51" t="str">
        <f>IF(archive!CK2485="","",archive!CK2485)</f>
        <v/>
      </c>
      <c r="J2485" s="47" t="str">
        <f t="shared" si="535"/>
        <v/>
      </c>
      <c r="K2485" s="51" t="str">
        <f t="shared" si="536"/>
        <v/>
      </c>
      <c r="L2485" s="52" t="str">
        <f t="shared" si="537"/>
        <v/>
      </c>
      <c r="M2485" s="53" t="str">
        <f t="shared" si="538"/>
        <v/>
      </c>
      <c r="N2485" s="53" t="str">
        <f t="shared" si="539"/>
        <v/>
      </c>
      <c r="O2485" s="53" t="str">
        <f t="shared" si="540"/>
        <v/>
      </c>
      <c r="P2485" s="53" t="str">
        <f t="shared" si="541"/>
        <v/>
      </c>
      <c r="Q2485" s="53" t="str">
        <f t="shared" si="542"/>
        <v/>
      </c>
      <c r="R2485" s="53" t="str">
        <f t="shared" si="543"/>
        <v/>
      </c>
      <c r="S2485" s="53" t="str">
        <f t="shared" si="544"/>
        <v/>
      </c>
      <c r="T2485" s="53" t="str">
        <f t="shared" si="545"/>
        <v/>
      </c>
    </row>
    <row r="2486" spans="1:20">
      <c r="A2486" s="47" t="str">
        <f>IF(archive!E2486="","",archive!E2486)</f>
        <v/>
      </c>
      <c r="B2486" s="48" t="str">
        <f t="shared" si="532"/>
        <v/>
      </c>
      <c r="C2486" s="49" t="str">
        <f>IF(archive!F2486="","",archive!F2486)</f>
        <v/>
      </c>
      <c r="D2486" s="50" t="str">
        <f t="shared" si="533"/>
        <v/>
      </c>
      <c r="E2486" s="50" t="str">
        <f t="shared" si="534"/>
        <v/>
      </c>
      <c r="F2486" s="47" t="str">
        <f>IF(COUNTA(archive!H2486:CI2486)=0,"",COUNTA(archive!H2486:CI2486))</f>
        <v/>
      </c>
      <c r="G2486" s="47" t="str">
        <f>IF(archive!G2486="","",archive!G2486)</f>
        <v/>
      </c>
      <c r="H2486" s="51" t="str">
        <f>IF(archive!CJ2486="","",archive!CJ2486)</f>
        <v/>
      </c>
      <c r="I2486" s="51" t="str">
        <f>IF(archive!CK2486="","",archive!CK2486)</f>
        <v/>
      </c>
      <c r="J2486" s="47" t="str">
        <f t="shared" si="535"/>
        <v/>
      </c>
      <c r="K2486" s="51" t="str">
        <f t="shared" si="536"/>
        <v/>
      </c>
      <c r="L2486" s="52" t="str">
        <f t="shared" si="537"/>
        <v/>
      </c>
      <c r="M2486" s="53" t="str">
        <f t="shared" si="538"/>
        <v/>
      </c>
      <c r="N2486" s="53" t="str">
        <f t="shared" si="539"/>
        <v/>
      </c>
      <c r="O2486" s="53" t="str">
        <f t="shared" si="540"/>
        <v/>
      </c>
      <c r="P2486" s="53" t="str">
        <f t="shared" si="541"/>
        <v/>
      </c>
      <c r="Q2486" s="53" t="str">
        <f t="shared" si="542"/>
        <v/>
      </c>
      <c r="R2486" s="53" t="str">
        <f t="shared" si="543"/>
        <v/>
      </c>
      <c r="S2486" s="53" t="str">
        <f t="shared" si="544"/>
        <v/>
      </c>
      <c r="T2486" s="53" t="str">
        <f t="shared" si="545"/>
        <v/>
      </c>
    </row>
    <row r="2487" spans="1:20">
      <c r="A2487" s="47" t="str">
        <f>IF(archive!E2487="","",archive!E2487)</f>
        <v/>
      </c>
      <c r="B2487" s="48" t="str">
        <f t="shared" si="532"/>
        <v/>
      </c>
      <c r="C2487" s="49" t="str">
        <f>IF(archive!F2487="","",archive!F2487)</f>
        <v/>
      </c>
      <c r="D2487" s="50" t="str">
        <f t="shared" si="533"/>
        <v/>
      </c>
      <c r="E2487" s="50" t="str">
        <f t="shared" si="534"/>
        <v/>
      </c>
      <c r="F2487" s="47" t="str">
        <f>IF(COUNTA(archive!H2487:CI2487)=0,"",COUNTA(archive!H2487:CI2487))</f>
        <v/>
      </c>
      <c r="G2487" s="47" t="str">
        <f>IF(archive!G2487="","",archive!G2487)</f>
        <v/>
      </c>
      <c r="H2487" s="51" t="str">
        <f>IF(archive!CJ2487="","",archive!CJ2487)</f>
        <v/>
      </c>
      <c r="I2487" s="51" t="str">
        <f>IF(archive!CK2487="","",archive!CK2487)</f>
        <v/>
      </c>
      <c r="J2487" s="47" t="str">
        <f t="shared" si="535"/>
        <v/>
      </c>
      <c r="K2487" s="51" t="str">
        <f t="shared" si="536"/>
        <v/>
      </c>
      <c r="L2487" s="52" t="str">
        <f t="shared" si="537"/>
        <v/>
      </c>
      <c r="M2487" s="53" t="str">
        <f t="shared" si="538"/>
        <v/>
      </c>
      <c r="N2487" s="53" t="str">
        <f t="shared" si="539"/>
        <v/>
      </c>
      <c r="O2487" s="53" t="str">
        <f t="shared" si="540"/>
        <v/>
      </c>
      <c r="P2487" s="53" t="str">
        <f t="shared" si="541"/>
        <v/>
      </c>
      <c r="Q2487" s="53" t="str">
        <f t="shared" si="542"/>
        <v/>
      </c>
      <c r="R2487" s="53" t="str">
        <f t="shared" si="543"/>
        <v/>
      </c>
      <c r="S2487" s="53" t="str">
        <f t="shared" si="544"/>
        <v/>
      </c>
      <c r="T2487" s="53" t="str">
        <f t="shared" si="545"/>
        <v/>
      </c>
    </row>
    <row r="2488" spans="1:20">
      <c r="A2488" s="47" t="str">
        <f>IF(archive!E2488="","",archive!E2488)</f>
        <v/>
      </c>
      <c r="B2488" s="48" t="str">
        <f t="shared" si="532"/>
        <v/>
      </c>
      <c r="C2488" s="49" t="str">
        <f>IF(archive!F2488="","",archive!F2488)</f>
        <v/>
      </c>
      <c r="D2488" s="50" t="str">
        <f t="shared" si="533"/>
        <v/>
      </c>
      <c r="E2488" s="50" t="str">
        <f t="shared" si="534"/>
        <v/>
      </c>
      <c r="F2488" s="47" t="str">
        <f>IF(COUNTA(archive!H2488:CI2488)=0,"",COUNTA(archive!H2488:CI2488))</f>
        <v/>
      </c>
      <c r="G2488" s="47" t="str">
        <f>IF(archive!G2488="","",archive!G2488)</f>
        <v/>
      </c>
      <c r="H2488" s="51" t="str">
        <f>IF(archive!CJ2488="","",archive!CJ2488)</f>
        <v/>
      </c>
      <c r="I2488" s="51" t="str">
        <f>IF(archive!CK2488="","",archive!CK2488)</f>
        <v/>
      </c>
      <c r="J2488" s="47" t="str">
        <f t="shared" si="535"/>
        <v/>
      </c>
      <c r="K2488" s="51" t="str">
        <f t="shared" si="536"/>
        <v/>
      </c>
      <c r="L2488" s="52" t="str">
        <f t="shared" si="537"/>
        <v/>
      </c>
      <c r="M2488" s="53" t="str">
        <f t="shared" si="538"/>
        <v/>
      </c>
      <c r="N2488" s="53" t="str">
        <f t="shared" si="539"/>
        <v/>
      </c>
      <c r="O2488" s="53" t="str">
        <f t="shared" si="540"/>
        <v/>
      </c>
      <c r="P2488" s="53" t="str">
        <f t="shared" si="541"/>
        <v/>
      </c>
      <c r="Q2488" s="53" t="str">
        <f t="shared" si="542"/>
        <v/>
      </c>
      <c r="R2488" s="53" t="str">
        <f t="shared" si="543"/>
        <v/>
      </c>
      <c r="S2488" s="53" t="str">
        <f t="shared" si="544"/>
        <v/>
      </c>
      <c r="T2488" s="53" t="str">
        <f t="shared" si="545"/>
        <v/>
      </c>
    </row>
    <row r="2489" spans="1:20">
      <c r="A2489" s="47" t="str">
        <f>IF(archive!E2489="","",archive!E2489)</f>
        <v/>
      </c>
      <c r="B2489" s="48" t="str">
        <f t="shared" si="532"/>
        <v/>
      </c>
      <c r="C2489" s="49" t="str">
        <f>IF(archive!F2489="","",archive!F2489)</f>
        <v/>
      </c>
      <c r="D2489" s="50" t="str">
        <f t="shared" si="533"/>
        <v/>
      </c>
      <c r="E2489" s="50" t="str">
        <f t="shared" si="534"/>
        <v/>
      </c>
      <c r="F2489" s="47" t="str">
        <f>IF(COUNTA(archive!H2489:CI2489)=0,"",COUNTA(archive!H2489:CI2489))</f>
        <v/>
      </c>
      <c r="G2489" s="47" t="str">
        <f>IF(archive!G2489="","",archive!G2489)</f>
        <v/>
      </c>
      <c r="H2489" s="51" t="str">
        <f>IF(archive!CJ2489="","",archive!CJ2489)</f>
        <v/>
      </c>
      <c r="I2489" s="51" t="str">
        <f>IF(archive!CK2489="","",archive!CK2489)</f>
        <v/>
      </c>
      <c r="J2489" s="47" t="str">
        <f t="shared" si="535"/>
        <v/>
      </c>
      <c r="K2489" s="51" t="str">
        <f t="shared" si="536"/>
        <v/>
      </c>
      <c r="L2489" s="52" t="str">
        <f t="shared" si="537"/>
        <v/>
      </c>
      <c r="M2489" s="53" t="str">
        <f t="shared" si="538"/>
        <v/>
      </c>
      <c r="N2489" s="53" t="str">
        <f t="shared" si="539"/>
        <v/>
      </c>
      <c r="O2489" s="53" t="str">
        <f t="shared" si="540"/>
        <v/>
      </c>
      <c r="P2489" s="53" t="str">
        <f t="shared" si="541"/>
        <v/>
      </c>
      <c r="Q2489" s="53" t="str">
        <f t="shared" si="542"/>
        <v/>
      </c>
      <c r="R2489" s="53" t="str">
        <f t="shared" si="543"/>
        <v/>
      </c>
      <c r="S2489" s="53" t="str">
        <f t="shared" si="544"/>
        <v/>
      </c>
      <c r="T2489" s="53" t="str">
        <f t="shared" si="545"/>
        <v/>
      </c>
    </row>
    <row r="2490" spans="1:20">
      <c r="A2490" s="47" t="str">
        <f>IF(archive!E2490="","",archive!E2490)</f>
        <v/>
      </c>
      <c r="B2490" s="48" t="str">
        <f t="shared" si="532"/>
        <v/>
      </c>
      <c r="C2490" s="49" t="str">
        <f>IF(archive!F2490="","",archive!F2490)</f>
        <v/>
      </c>
      <c r="D2490" s="50" t="str">
        <f t="shared" si="533"/>
        <v/>
      </c>
      <c r="E2490" s="50" t="str">
        <f t="shared" si="534"/>
        <v/>
      </c>
      <c r="F2490" s="47" t="str">
        <f>IF(COUNTA(archive!H2490:CI2490)=0,"",COUNTA(archive!H2490:CI2490))</f>
        <v/>
      </c>
      <c r="G2490" s="47" t="str">
        <f>IF(archive!G2490="","",archive!G2490)</f>
        <v/>
      </c>
      <c r="H2490" s="51" t="str">
        <f>IF(archive!CJ2490="","",archive!CJ2490)</f>
        <v/>
      </c>
      <c r="I2490" s="51" t="str">
        <f>IF(archive!CK2490="","",archive!CK2490)</f>
        <v/>
      </c>
      <c r="J2490" s="47" t="str">
        <f t="shared" si="535"/>
        <v/>
      </c>
      <c r="K2490" s="51" t="str">
        <f t="shared" si="536"/>
        <v/>
      </c>
      <c r="L2490" s="52" t="str">
        <f t="shared" si="537"/>
        <v/>
      </c>
      <c r="M2490" s="53" t="str">
        <f t="shared" si="538"/>
        <v/>
      </c>
      <c r="N2490" s="53" t="str">
        <f t="shared" si="539"/>
        <v/>
      </c>
      <c r="O2490" s="53" t="str">
        <f t="shared" si="540"/>
        <v/>
      </c>
      <c r="P2490" s="53" t="str">
        <f t="shared" si="541"/>
        <v/>
      </c>
      <c r="Q2490" s="53" t="str">
        <f t="shared" si="542"/>
        <v/>
      </c>
      <c r="R2490" s="53" t="str">
        <f t="shared" si="543"/>
        <v/>
      </c>
      <c r="S2490" s="53" t="str">
        <f t="shared" si="544"/>
        <v/>
      </c>
      <c r="T2490" s="53" t="str">
        <f t="shared" si="545"/>
        <v/>
      </c>
    </row>
    <row r="2491" spans="1:20">
      <c r="A2491" s="47" t="str">
        <f>IF(archive!E2491="","",archive!E2491)</f>
        <v/>
      </c>
      <c r="B2491" s="48" t="str">
        <f t="shared" si="532"/>
        <v/>
      </c>
      <c r="C2491" s="49" t="str">
        <f>IF(archive!F2491="","",archive!F2491)</f>
        <v/>
      </c>
      <c r="D2491" s="50" t="str">
        <f t="shared" si="533"/>
        <v/>
      </c>
      <c r="E2491" s="50" t="str">
        <f t="shared" si="534"/>
        <v/>
      </c>
      <c r="F2491" s="47" t="str">
        <f>IF(COUNTA(archive!H2491:CI2491)=0,"",COUNTA(archive!H2491:CI2491))</f>
        <v/>
      </c>
      <c r="G2491" s="47" t="str">
        <f>IF(archive!G2491="","",archive!G2491)</f>
        <v/>
      </c>
      <c r="H2491" s="51" t="str">
        <f>IF(archive!CJ2491="","",archive!CJ2491)</f>
        <v/>
      </c>
      <c r="I2491" s="51" t="str">
        <f>IF(archive!CK2491="","",archive!CK2491)</f>
        <v/>
      </c>
      <c r="J2491" s="47" t="str">
        <f t="shared" si="535"/>
        <v/>
      </c>
      <c r="K2491" s="51" t="str">
        <f t="shared" si="536"/>
        <v/>
      </c>
      <c r="L2491" s="52" t="str">
        <f t="shared" si="537"/>
        <v/>
      </c>
      <c r="M2491" s="53" t="str">
        <f t="shared" si="538"/>
        <v/>
      </c>
      <c r="N2491" s="53" t="str">
        <f t="shared" si="539"/>
        <v/>
      </c>
      <c r="O2491" s="53" t="str">
        <f t="shared" si="540"/>
        <v/>
      </c>
      <c r="P2491" s="53" t="str">
        <f t="shared" si="541"/>
        <v/>
      </c>
      <c r="Q2491" s="53" t="str">
        <f t="shared" si="542"/>
        <v/>
      </c>
      <c r="R2491" s="53" t="str">
        <f t="shared" si="543"/>
        <v/>
      </c>
      <c r="S2491" s="53" t="str">
        <f t="shared" si="544"/>
        <v/>
      </c>
      <c r="T2491" s="53" t="str">
        <f t="shared" si="545"/>
        <v/>
      </c>
    </row>
    <row r="2492" spans="1:20">
      <c r="A2492" s="47" t="str">
        <f>IF(archive!E2492="","",archive!E2492)</f>
        <v/>
      </c>
      <c r="B2492" s="48" t="str">
        <f t="shared" si="532"/>
        <v/>
      </c>
      <c r="C2492" s="49" t="str">
        <f>IF(archive!F2492="","",archive!F2492)</f>
        <v/>
      </c>
      <c r="D2492" s="50" t="str">
        <f t="shared" si="533"/>
        <v/>
      </c>
      <c r="E2492" s="50" t="str">
        <f t="shared" si="534"/>
        <v/>
      </c>
      <c r="F2492" s="47" t="str">
        <f>IF(COUNTA(archive!H2492:CI2492)=0,"",COUNTA(archive!H2492:CI2492))</f>
        <v/>
      </c>
      <c r="G2492" s="47" t="str">
        <f>IF(archive!G2492="","",archive!G2492)</f>
        <v/>
      </c>
      <c r="H2492" s="51" t="str">
        <f>IF(archive!CJ2492="","",archive!CJ2492)</f>
        <v/>
      </c>
      <c r="I2492" s="51" t="str">
        <f>IF(archive!CK2492="","",archive!CK2492)</f>
        <v/>
      </c>
      <c r="J2492" s="47" t="str">
        <f t="shared" si="535"/>
        <v/>
      </c>
      <c r="K2492" s="51" t="str">
        <f t="shared" si="536"/>
        <v/>
      </c>
      <c r="L2492" s="52" t="str">
        <f t="shared" si="537"/>
        <v/>
      </c>
      <c r="M2492" s="53" t="str">
        <f t="shared" si="538"/>
        <v/>
      </c>
      <c r="N2492" s="53" t="str">
        <f t="shared" si="539"/>
        <v/>
      </c>
      <c r="O2492" s="53" t="str">
        <f t="shared" si="540"/>
        <v/>
      </c>
      <c r="P2492" s="53" t="str">
        <f t="shared" si="541"/>
        <v/>
      </c>
      <c r="Q2492" s="53" t="str">
        <f t="shared" si="542"/>
        <v/>
      </c>
      <c r="R2492" s="53" t="str">
        <f t="shared" si="543"/>
        <v/>
      </c>
      <c r="S2492" s="53" t="str">
        <f t="shared" si="544"/>
        <v/>
      </c>
      <c r="T2492" s="53" t="str">
        <f t="shared" si="545"/>
        <v/>
      </c>
    </row>
    <row r="2493" spans="1:20">
      <c r="A2493" s="47" t="str">
        <f>IF(archive!E2493="","",archive!E2493)</f>
        <v/>
      </c>
      <c r="B2493" s="48" t="str">
        <f t="shared" si="532"/>
        <v/>
      </c>
      <c r="C2493" s="49" t="str">
        <f>IF(archive!F2493="","",archive!F2493)</f>
        <v/>
      </c>
      <c r="D2493" s="50" t="str">
        <f t="shared" si="533"/>
        <v/>
      </c>
      <c r="E2493" s="50" t="str">
        <f t="shared" si="534"/>
        <v/>
      </c>
      <c r="F2493" s="47" t="str">
        <f>IF(COUNTA(archive!H2493:CI2493)=0,"",COUNTA(archive!H2493:CI2493))</f>
        <v/>
      </c>
      <c r="G2493" s="47" t="str">
        <f>IF(archive!G2493="","",archive!G2493)</f>
        <v/>
      </c>
      <c r="H2493" s="51" t="str">
        <f>IF(archive!CJ2493="","",archive!CJ2493)</f>
        <v/>
      </c>
      <c r="I2493" s="51" t="str">
        <f>IF(archive!CK2493="","",archive!CK2493)</f>
        <v/>
      </c>
      <c r="J2493" s="47" t="str">
        <f t="shared" si="535"/>
        <v/>
      </c>
      <c r="K2493" s="51" t="str">
        <f t="shared" si="536"/>
        <v/>
      </c>
      <c r="L2493" s="52" t="str">
        <f t="shared" si="537"/>
        <v/>
      </c>
      <c r="M2493" s="53" t="str">
        <f t="shared" si="538"/>
        <v/>
      </c>
      <c r="N2493" s="53" t="str">
        <f t="shared" si="539"/>
        <v/>
      </c>
      <c r="O2493" s="53" t="str">
        <f t="shared" si="540"/>
        <v/>
      </c>
      <c r="P2493" s="53" t="str">
        <f t="shared" si="541"/>
        <v/>
      </c>
      <c r="Q2493" s="53" t="str">
        <f t="shared" si="542"/>
        <v/>
      </c>
      <c r="R2493" s="53" t="str">
        <f t="shared" si="543"/>
        <v/>
      </c>
      <c r="S2493" s="53" t="str">
        <f t="shared" si="544"/>
        <v/>
      </c>
      <c r="T2493" s="53" t="str">
        <f t="shared" si="545"/>
        <v/>
      </c>
    </row>
    <row r="2494" spans="1:20">
      <c r="A2494" s="47" t="str">
        <f>IF(archive!E2494="","",archive!E2494)</f>
        <v/>
      </c>
      <c r="B2494" s="48" t="str">
        <f t="shared" si="532"/>
        <v/>
      </c>
      <c r="C2494" s="49" t="str">
        <f>IF(archive!F2494="","",archive!F2494)</f>
        <v/>
      </c>
      <c r="D2494" s="50" t="str">
        <f t="shared" si="533"/>
        <v/>
      </c>
      <c r="E2494" s="50" t="str">
        <f t="shared" si="534"/>
        <v/>
      </c>
      <c r="F2494" s="47" t="str">
        <f>IF(COUNTA(archive!H2494:CI2494)=0,"",COUNTA(archive!H2494:CI2494))</f>
        <v/>
      </c>
      <c r="G2494" s="47" t="str">
        <f>IF(archive!G2494="","",archive!G2494)</f>
        <v/>
      </c>
      <c r="H2494" s="51" t="str">
        <f>IF(archive!CJ2494="","",archive!CJ2494)</f>
        <v/>
      </c>
      <c r="I2494" s="51" t="str">
        <f>IF(archive!CK2494="","",archive!CK2494)</f>
        <v/>
      </c>
      <c r="J2494" s="47" t="str">
        <f t="shared" si="535"/>
        <v/>
      </c>
      <c r="K2494" s="51" t="str">
        <f t="shared" si="536"/>
        <v/>
      </c>
      <c r="L2494" s="52" t="str">
        <f t="shared" si="537"/>
        <v/>
      </c>
      <c r="M2494" s="53" t="str">
        <f t="shared" si="538"/>
        <v/>
      </c>
      <c r="N2494" s="53" t="str">
        <f t="shared" si="539"/>
        <v/>
      </c>
      <c r="O2494" s="53" t="str">
        <f t="shared" si="540"/>
        <v/>
      </c>
      <c r="P2494" s="53" t="str">
        <f t="shared" si="541"/>
        <v/>
      </c>
      <c r="Q2494" s="53" t="str">
        <f t="shared" si="542"/>
        <v/>
      </c>
      <c r="R2494" s="53" t="str">
        <f t="shared" si="543"/>
        <v/>
      </c>
      <c r="S2494" s="53" t="str">
        <f t="shared" si="544"/>
        <v/>
      </c>
      <c r="T2494" s="53" t="str">
        <f t="shared" si="545"/>
        <v/>
      </c>
    </row>
    <row r="2495" spans="1:20">
      <c r="A2495" s="47" t="str">
        <f>IF(archive!E2495="","",archive!E2495)</f>
        <v/>
      </c>
      <c r="B2495" s="48" t="str">
        <f t="shared" si="532"/>
        <v/>
      </c>
      <c r="C2495" s="49" t="str">
        <f>IF(archive!F2495="","",archive!F2495)</f>
        <v/>
      </c>
      <c r="D2495" s="50" t="str">
        <f t="shared" si="533"/>
        <v/>
      </c>
      <c r="E2495" s="50" t="str">
        <f t="shared" si="534"/>
        <v/>
      </c>
      <c r="F2495" s="47" t="str">
        <f>IF(COUNTA(archive!H2495:CI2495)=0,"",COUNTA(archive!H2495:CI2495))</f>
        <v/>
      </c>
      <c r="G2495" s="47" t="str">
        <f>IF(archive!G2495="","",archive!G2495)</f>
        <v/>
      </c>
      <c r="H2495" s="51" t="str">
        <f>IF(archive!CJ2495="","",archive!CJ2495)</f>
        <v/>
      </c>
      <c r="I2495" s="51" t="str">
        <f>IF(archive!CK2495="","",archive!CK2495)</f>
        <v/>
      </c>
      <c r="J2495" s="47" t="str">
        <f t="shared" si="535"/>
        <v/>
      </c>
      <c r="K2495" s="51" t="str">
        <f t="shared" si="536"/>
        <v/>
      </c>
      <c r="L2495" s="52" t="str">
        <f t="shared" si="537"/>
        <v/>
      </c>
      <c r="M2495" s="53" t="str">
        <f t="shared" si="538"/>
        <v/>
      </c>
      <c r="N2495" s="53" t="str">
        <f t="shared" si="539"/>
        <v/>
      </c>
      <c r="O2495" s="53" t="str">
        <f t="shared" si="540"/>
        <v/>
      </c>
      <c r="P2495" s="53" t="str">
        <f t="shared" si="541"/>
        <v/>
      </c>
      <c r="Q2495" s="53" t="str">
        <f t="shared" si="542"/>
        <v/>
      </c>
      <c r="R2495" s="53" t="str">
        <f t="shared" si="543"/>
        <v/>
      </c>
      <c r="S2495" s="53" t="str">
        <f t="shared" si="544"/>
        <v/>
      </c>
      <c r="T2495" s="53" t="str">
        <f t="shared" si="545"/>
        <v/>
      </c>
    </row>
    <row r="2496" spans="1:20">
      <c r="A2496" s="47" t="str">
        <f>IF(archive!E2496="","",archive!E2496)</f>
        <v/>
      </c>
      <c r="B2496" s="48" t="str">
        <f t="shared" si="532"/>
        <v/>
      </c>
      <c r="C2496" s="49" t="str">
        <f>IF(archive!F2496="","",archive!F2496)</f>
        <v/>
      </c>
      <c r="D2496" s="50" t="str">
        <f t="shared" si="533"/>
        <v/>
      </c>
      <c r="E2496" s="50" t="str">
        <f t="shared" si="534"/>
        <v/>
      </c>
      <c r="F2496" s="47" t="str">
        <f>IF(COUNTA(archive!H2496:CI2496)=0,"",COUNTA(archive!H2496:CI2496))</f>
        <v/>
      </c>
      <c r="G2496" s="47" t="str">
        <f>IF(archive!G2496="","",archive!G2496)</f>
        <v/>
      </c>
      <c r="H2496" s="51" t="str">
        <f>IF(archive!CJ2496="","",archive!CJ2496)</f>
        <v/>
      </c>
      <c r="I2496" s="51" t="str">
        <f>IF(archive!CK2496="","",archive!CK2496)</f>
        <v/>
      </c>
      <c r="J2496" s="47" t="str">
        <f t="shared" si="535"/>
        <v/>
      </c>
      <c r="K2496" s="51" t="str">
        <f t="shared" si="536"/>
        <v/>
      </c>
      <c r="L2496" s="52" t="str">
        <f t="shared" si="537"/>
        <v/>
      </c>
      <c r="M2496" s="53" t="str">
        <f t="shared" si="538"/>
        <v/>
      </c>
      <c r="N2496" s="53" t="str">
        <f t="shared" si="539"/>
        <v/>
      </c>
      <c r="O2496" s="53" t="str">
        <f t="shared" si="540"/>
        <v/>
      </c>
      <c r="P2496" s="53" t="str">
        <f t="shared" si="541"/>
        <v/>
      </c>
      <c r="Q2496" s="53" t="str">
        <f t="shared" si="542"/>
        <v/>
      </c>
      <c r="R2496" s="53" t="str">
        <f t="shared" si="543"/>
        <v/>
      </c>
      <c r="S2496" s="53" t="str">
        <f t="shared" si="544"/>
        <v/>
      </c>
      <c r="T2496" s="53" t="str">
        <f t="shared" si="545"/>
        <v/>
      </c>
    </row>
    <row r="2497" spans="1:20">
      <c r="A2497" s="47" t="str">
        <f>IF(archive!E2497="","",archive!E2497)</f>
        <v/>
      </c>
      <c r="B2497" s="48" t="str">
        <f t="shared" si="532"/>
        <v/>
      </c>
      <c r="C2497" s="49" t="str">
        <f>IF(archive!F2497="","",archive!F2497)</f>
        <v/>
      </c>
      <c r="D2497" s="50" t="str">
        <f t="shared" si="533"/>
        <v/>
      </c>
      <c r="E2497" s="50" t="str">
        <f t="shared" si="534"/>
        <v/>
      </c>
      <c r="F2497" s="47" t="str">
        <f>IF(COUNTA(archive!H2497:CI2497)=0,"",COUNTA(archive!H2497:CI2497))</f>
        <v/>
      </c>
      <c r="G2497" s="47" t="str">
        <f>IF(archive!G2497="","",archive!G2497)</f>
        <v/>
      </c>
      <c r="H2497" s="51" t="str">
        <f>IF(archive!CJ2497="","",archive!CJ2497)</f>
        <v/>
      </c>
      <c r="I2497" s="51" t="str">
        <f>IF(archive!CK2497="","",archive!CK2497)</f>
        <v/>
      </c>
      <c r="J2497" s="47" t="str">
        <f t="shared" si="535"/>
        <v/>
      </c>
      <c r="K2497" s="51" t="str">
        <f t="shared" si="536"/>
        <v/>
      </c>
      <c r="L2497" s="52" t="str">
        <f t="shared" si="537"/>
        <v/>
      </c>
      <c r="M2497" s="53" t="str">
        <f t="shared" si="538"/>
        <v/>
      </c>
      <c r="N2497" s="53" t="str">
        <f t="shared" si="539"/>
        <v/>
      </c>
      <c r="O2497" s="53" t="str">
        <f t="shared" si="540"/>
        <v/>
      </c>
      <c r="P2497" s="53" t="str">
        <f t="shared" si="541"/>
        <v/>
      </c>
      <c r="Q2497" s="53" t="str">
        <f t="shared" si="542"/>
        <v/>
      </c>
      <c r="R2497" s="53" t="str">
        <f t="shared" si="543"/>
        <v/>
      </c>
      <c r="S2497" s="53" t="str">
        <f t="shared" si="544"/>
        <v/>
      </c>
      <c r="T2497" s="53" t="str">
        <f t="shared" si="545"/>
        <v/>
      </c>
    </row>
    <row r="2498" spans="1:20">
      <c r="A2498" s="47" t="str">
        <f>IF(archive!E2498="","",archive!E2498)</f>
        <v/>
      </c>
      <c r="B2498" s="48" t="str">
        <f t="shared" si="532"/>
        <v/>
      </c>
      <c r="C2498" s="49" t="str">
        <f>IF(archive!F2498="","",archive!F2498)</f>
        <v/>
      </c>
      <c r="D2498" s="50" t="str">
        <f t="shared" si="533"/>
        <v/>
      </c>
      <c r="E2498" s="50" t="str">
        <f t="shared" si="534"/>
        <v/>
      </c>
      <c r="F2498" s="47" t="str">
        <f>IF(COUNTA(archive!H2498:CI2498)=0,"",COUNTA(archive!H2498:CI2498))</f>
        <v/>
      </c>
      <c r="G2498" s="47" t="str">
        <f>IF(archive!G2498="","",archive!G2498)</f>
        <v/>
      </c>
      <c r="H2498" s="51" t="str">
        <f>IF(archive!CJ2498="","",archive!CJ2498)</f>
        <v/>
      </c>
      <c r="I2498" s="51" t="str">
        <f>IF(archive!CK2498="","",archive!CK2498)</f>
        <v/>
      </c>
      <c r="J2498" s="47" t="str">
        <f t="shared" si="535"/>
        <v/>
      </c>
      <c r="K2498" s="51" t="str">
        <f t="shared" si="536"/>
        <v/>
      </c>
      <c r="L2498" s="52" t="str">
        <f t="shared" si="537"/>
        <v/>
      </c>
      <c r="M2498" s="53" t="str">
        <f t="shared" si="538"/>
        <v/>
      </c>
      <c r="N2498" s="53" t="str">
        <f t="shared" si="539"/>
        <v/>
      </c>
      <c r="O2498" s="53" t="str">
        <f t="shared" si="540"/>
        <v/>
      </c>
      <c r="P2498" s="53" t="str">
        <f t="shared" si="541"/>
        <v/>
      </c>
      <c r="Q2498" s="53" t="str">
        <f t="shared" si="542"/>
        <v/>
      </c>
      <c r="R2498" s="53" t="str">
        <f t="shared" si="543"/>
        <v/>
      </c>
      <c r="S2498" s="53" t="str">
        <f t="shared" si="544"/>
        <v/>
      </c>
      <c r="T2498" s="53" t="str">
        <f t="shared" si="545"/>
        <v/>
      </c>
    </row>
    <row r="2499" spans="1:20">
      <c r="A2499" s="47" t="str">
        <f>IF(archive!E2499="","",archive!E2499)</f>
        <v/>
      </c>
      <c r="B2499" s="48" t="str">
        <f t="shared" si="532"/>
        <v/>
      </c>
      <c r="C2499" s="49" t="str">
        <f>IF(archive!F2499="","",archive!F2499)</f>
        <v/>
      </c>
      <c r="D2499" s="50" t="str">
        <f t="shared" si="533"/>
        <v/>
      </c>
      <c r="E2499" s="50" t="str">
        <f t="shared" si="534"/>
        <v/>
      </c>
      <c r="F2499" s="47" t="str">
        <f>IF(COUNTA(archive!H2499:CI2499)=0,"",COUNTA(archive!H2499:CI2499))</f>
        <v/>
      </c>
      <c r="G2499" s="47" t="str">
        <f>IF(archive!G2499="","",archive!G2499)</f>
        <v/>
      </c>
      <c r="H2499" s="51" t="str">
        <f>IF(archive!CJ2499="","",archive!CJ2499)</f>
        <v/>
      </c>
      <c r="I2499" s="51" t="str">
        <f>IF(archive!CK2499="","",archive!CK2499)</f>
        <v/>
      </c>
      <c r="J2499" s="47" t="str">
        <f t="shared" si="535"/>
        <v/>
      </c>
      <c r="K2499" s="51" t="str">
        <f t="shared" si="536"/>
        <v/>
      </c>
      <c r="L2499" s="52" t="str">
        <f t="shared" si="537"/>
        <v/>
      </c>
      <c r="M2499" s="53" t="str">
        <f t="shared" si="538"/>
        <v/>
      </c>
      <c r="N2499" s="53" t="str">
        <f t="shared" si="539"/>
        <v/>
      </c>
      <c r="O2499" s="53" t="str">
        <f t="shared" si="540"/>
        <v/>
      </c>
      <c r="P2499" s="53" t="str">
        <f t="shared" si="541"/>
        <v/>
      </c>
      <c r="Q2499" s="53" t="str">
        <f t="shared" si="542"/>
        <v/>
      </c>
      <c r="R2499" s="53" t="str">
        <f t="shared" si="543"/>
        <v/>
      </c>
      <c r="S2499" s="53" t="str">
        <f t="shared" si="544"/>
        <v/>
      </c>
      <c r="T2499" s="53" t="str">
        <f t="shared" si="545"/>
        <v/>
      </c>
    </row>
    <row r="2500" spans="1:20">
      <c r="A2500" s="47" t="str">
        <f>IF(archive!E2500="","",archive!E2500)</f>
        <v/>
      </c>
      <c r="B2500" s="48" t="str">
        <f t="shared" ref="B2500:B2563" si="546">IF(C2500="","",VLOOKUP($C2500,Tare,2,0))</f>
        <v/>
      </c>
      <c r="C2500" s="49" t="str">
        <f>IF(archive!F2500="","",archive!F2500)</f>
        <v/>
      </c>
      <c r="D2500" s="50" t="str">
        <f t="shared" ref="D2500:D2563" si="547">IF(C2500="","",C2500+B2500)</f>
        <v/>
      </c>
      <c r="E2500" s="50" t="str">
        <f t="shared" ref="E2500:E2563" si="548">IF(C2500="","",(C2500*0.025)+D2500)</f>
        <v/>
      </c>
      <c r="F2500" s="47" t="str">
        <f>IF(COUNTA(archive!H2500:CI2500)=0,"",COUNTA(archive!H2500:CI2500))</f>
        <v/>
      </c>
      <c r="G2500" s="47" t="str">
        <f>IF(archive!G2500="","",archive!G2500)</f>
        <v/>
      </c>
      <c r="H2500" s="51" t="str">
        <f>IF(archive!CJ2500="","",archive!CJ2500)</f>
        <v/>
      </c>
      <c r="I2500" s="51" t="str">
        <f>IF(archive!CK2500="","",archive!CK2500)</f>
        <v/>
      </c>
      <c r="J2500" s="47" t="str">
        <f t="shared" ref="J2500:J2563" si="549">IF(F2500="","",VLOOKUP(F2500,Valeur_g,2,0))</f>
        <v/>
      </c>
      <c r="K2500" s="51" t="str">
        <f t="shared" ref="K2500:K2563" si="550">IF(C2500="","",D2500+(J2500*I2500))</f>
        <v/>
      </c>
      <c r="L2500" s="52" t="str">
        <f t="shared" ref="L2500:L2563" si="551">IF(C2500="","",IF(K2500&lt;H2500,"Conforme","Non conforme"))</f>
        <v/>
      </c>
      <c r="M2500" s="53" t="str">
        <f t="shared" ref="M2500:M2563" si="552">IF(C2500="","",1)</f>
        <v/>
      </c>
      <c r="N2500" s="53" t="str">
        <f t="shared" ref="N2500:N2563" si="553">IF(L2500="","",COUNTIF(L2500,"Non conforme"))</f>
        <v/>
      </c>
      <c r="O2500" s="53" t="str">
        <f t="shared" ref="O2500:O2563" si="554">IF($C2500="","",IF($C2500=0.25,$G2500,"-"))</f>
        <v/>
      </c>
      <c r="P2500" s="53" t="str">
        <f t="shared" ref="P2500:P2563" si="555">IF($C2500="","",IF($C2500=0.4,$G2500,"-"))</f>
        <v/>
      </c>
      <c r="Q2500" s="53" t="str">
        <f t="shared" ref="Q2500:Q2563" si="556">IF($C2500="","",IF($C2500=0.5,$G2500,"-"))</f>
        <v/>
      </c>
      <c r="R2500" s="53" t="str">
        <f t="shared" ref="R2500:R2563" si="557">IF($C2500="","",IF($C2500=0.6,$G2500,"-"))</f>
        <v/>
      </c>
      <c r="S2500" s="53" t="str">
        <f t="shared" ref="S2500:S2563" si="558">IF($C2500="","",IF($C2500=0.8,$G2500,"-"))</f>
        <v/>
      </c>
      <c r="T2500" s="53" t="str">
        <f t="shared" ref="T2500:T2563" si="559">IF($C2500="","",IF($C2500=1,$G2500,"-"))</f>
        <v/>
      </c>
    </row>
    <row r="2501" spans="1:20">
      <c r="A2501" s="47" t="str">
        <f>IF(archive!E2501="","",archive!E2501)</f>
        <v/>
      </c>
      <c r="B2501" s="48" t="str">
        <f t="shared" si="546"/>
        <v/>
      </c>
      <c r="C2501" s="49" t="str">
        <f>IF(archive!F2501="","",archive!F2501)</f>
        <v/>
      </c>
      <c r="D2501" s="50" t="str">
        <f t="shared" si="547"/>
        <v/>
      </c>
      <c r="E2501" s="50" t="str">
        <f t="shared" si="548"/>
        <v/>
      </c>
      <c r="F2501" s="47" t="str">
        <f>IF(COUNTA(archive!H2501:CI2501)=0,"",COUNTA(archive!H2501:CI2501))</f>
        <v/>
      </c>
      <c r="G2501" s="47" t="str">
        <f>IF(archive!G2501="","",archive!G2501)</f>
        <v/>
      </c>
      <c r="H2501" s="51" t="str">
        <f>IF(archive!CJ2501="","",archive!CJ2501)</f>
        <v/>
      </c>
      <c r="I2501" s="51" t="str">
        <f>IF(archive!CK2501="","",archive!CK2501)</f>
        <v/>
      </c>
      <c r="J2501" s="47" t="str">
        <f t="shared" si="549"/>
        <v/>
      </c>
      <c r="K2501" s="51" t="str">
        <f t="shared" si="550"/>
        <v/>
      </c>
      <c r="L2501" s="52" t="str">
        <f t="shared" si="551"/>
        <v/>
      </c>
      <c r="M2501" s="53" t="str">
        <f t="shared" si="552"/>
        <v/>
      </c>
      <c r="N2501" s="53" t="str">
        <f t="shared" si="553"/>
        <v/>
      </c>
      <c r="O2501" s="53" t="str">
        <f t="shared" si="554"/>
        <v/>
      </c>
      <c r="P2501" s="53" t="str">
        <f t="shared" si="555"/>
        <v/>
      </c>
      <c r="Q2501" s="53" t="str">
        <f t="shared" si="556"/>
        <v/>
      </c>
      <c r="R2501" s="53" t="str">
        <f t="shared" si="557"/>
        <v/>
      </c>
      <c r="S2501" s="53" t="str">
        <f t="shared" si="558"/>
        <v/>
      </c>
      <c r="T2501" s="53" t="str">
        <f t="shared" si="559"/>
        <v/>
      </c>
    </row>
    <row r="2502" spans="1:20">
      <c r="A2502" s="47" t="str">
        <f>IF(archive!E2502="","",archive!E2502)</f>
        <v/>
      </c>
      <c r="B2502" s="48" t="str">
        <f t="shared" si="546"/>
        <v/>
      </c>
      <c r="C2502" s="49" t="str">
        <f>IF(archive!F2502="","",archive!F2502)</f>
        <v/>
      </c>
      <c r="D2502" s="50" t="str">
        <f t="shared" si="547"/>
        <v/>
      </c>
      <c r="E2502" s="50" t="str">
        <f t="shared" si="548"/>
        <v/>
      </c>
      <c r="F2502" s="47" t="str">
        <f>IF(COUNTA(archive!H2502:CI2502)=0,"",COUNTA(archive!H2502:CI2502))</f>
        <v/>
      </c>
      <c r="G2502" s="47" t="str">
        <f>IF(archive!G2502="","",archive!G2502)</f>
        <v/>
      </c>
      <c r="H2502" s="51" t="str">
        <f>IF(archive!CJ2502="","",archive!CJ2502)</f>
        <v/>
      </c>
      <c r="I2502" s="51" t="str">
        <f>IF(archive!CK2502="","",archive!CK2502)</f>
        <v/>
      </c>
      <c r="J2502" s="47" t="str">
        <f t="shared" si="549"/>
        <v/>
      </c>
      <c r="K2502" s="51" t="str">
        <f t="shared" si="550"/>
        <v/>
      </c>
      <c r="L2502" s="52" t="str">
        <f t="shared" si="551"/>
        <v/>
      </c>
      <c r="M2502" s="53" t="str">
        <f t="shared" si="552"/>
        <v/>
      </c>
      <c r="N2502" s="53" t="str">
        <f t="shared" si="553"/>
        <v/>
      </c>
      <c r="O2502" s="53" t="str">
        <f t="shared" si="554"/>
        <v/>
      </c>
      <c r="P2502" s="53" t="str">
        <f t="shared" si="555"/>
        <v/>
      </c>
      <c r="Q2502" s="53" t="str">
        <f t="shared" si="556"/>
        <v/>
      </c>
      <c r="R2502" s="53" t="str">
        <f t="shared" si="557"/>
        <v/>
      </c>
      <c r="S2502" s="53" t="str">
        <f t="shared" si="558"/>
        <v/>
      </c>
      <c r="T2502" s="53" t="str">
        <f t="shared" si="559"/>
        <v/>
      </c>
    </row>
    <row r="2503" spans="1:20">
      <c r="A2503" s="47" t="str">
        <f>IF(archive!E2503="","",archive!E2503)</f>
        <v/>
      </c>
      <c r="B2503" s="48" t="str">
        <f t="shared" si="546"/>
        <v/>
      </c>
      <c r="C2503" s="49" t="str">
        <f>IF(archive!F2503="","",archive!F2503)</f>
        <v/>
      </c>
      <c r="D2503" s="50" t="str">
        <f t="shared" si="547"/>
        <v/>
      </c>
      <c r="E2503" s="50" t="str">
        <f t="shared" si="548"/>
        <v/>
      </c>
      <c r="F2503" s="47" t="str">
        <f>IF(COUNTA(archive!H2503:CI2503)=0,"",COUNTA(archive!H2503:CI2503))</f>
        <v/>
      </c>
      <c r="G2503" s="47" t="str">
        <f>IF(archive!G2503="","",archive!G2503)</f>
        <v/>
      </c>
      <c r="H2503" s="51" t="str">
        <f>IF(archive!CJ2503="","",archive!CJ2503)</f>
        <v/>
      </c>
      <c r="I2503" s="51" t="str">
        <f>IF(archive!CK2503="","",archive!CK2503)</f>
        <v/>
      </c>
      <c r="J2503" s="47" t="str">
        <f t="shared" si="549"/>
        <v/>
      </c>
      <c r="K2503" s="51" t="str">
        <f t="shared" si="550"/>
        <v/>
      </c>
      <c r="L2503" s="52" t="str">
        <f t="shared" si="551"/>
        <v/>
      </c>
      <c r="M2503" s="53" t="str">
        <f t="shared" si="552"/>
        <v/>
      </c>
      <c r="N2503" s="53" t="str">
        <f t="shared" si="553"/>
        <v/>
      </c>
      <c r="O2503" s="53" t="str">
        <f t="shared" si="554"/>
        <v/>
      </c>
      <c r="P2503" s="53" t="str">
        <f t="shared" si="555"/>
        <v/>
      </c>
      <c r="Q2503" s="53" t="str">
        <f t="shared" si="556"/>
        <v/>
      </c>
      <c r="R2503" s="53" t="str">
        <f t="shared" si="557"/>
        <v/>
      </c>
      <c r="S2503" s="53" t="str">
        <f t="shared" si="558"/>
        <v/>
      </c>
      <c r="T2503" s="53" t="str">
        <f t="shared" si="559"/>
        <v/>
      </c>
    </row>
    <row r="2504" spans="1:20">
      <c r="A2504" s="47" t="str">
        <f>IF(archive!E2504="","",archive!E2504)</f>
        <v/>
      </c>
      <c r="B2504" s="48" t="str">
        <f t="shared" si="546"/>
        <v/>
      </c>
      <c r="C2504" s="49" t="str">
        <f>IF(archive!F2504="","",archive!F2504)</f>
        <v/>
      </c>
      <c r="D2504" s="50" t="str">
        <f t="shared" si="547"/>
        <v/>
      </c>
      <c r="E2504" s="50" t="str">
        <f t="shared" si="548"/>
        <v/>
      </c>
      <c r="F2504" s="47" t="str">
        <f>IF(COUNTA(archive!H2504:CI2504)=0,"",COUNTA(archive!H2504:CI2504))</f>
        <v/>
      </c>
      <c r="G2504" s="47" t="str">
        <f>IF(archive!G2504="","",archive!G2504)</f>
        <v/>
      </c>
      <c r="H2504" s="51" t="str">
        <f>IF(archive!CJ2504="","",archive!CJ2504)</f>
        <v/>
      </c>
      <c r="I2504" s="51" t="str">
        <f>IF(archive!CK2504="","",archive!CK2504)</f>
        <v/>
      </c>
      <c r="J2504" s="47" t="str">
        <f t="shared" si="549"/>
        <v/>
      </c>
      <c r="K2504" s="51" t="str">
        <f t="shared" si="550"/>
        <v/>
      </c>
      <c r="L2504" s="52" t="str">
        <f t="shared" si="551"/>
        <v/>
      </c>
      <c r="M2504" s="53" t="str">
        <f t="shared" si="552"/>
        <v/>
      </c>
      <c r="N2504" s="53" t="str">
        <f t="shared" si="553"/>
        <v/>
      </c>
      <c r="O2504" s="53" t="str">
        <f t="shared" si="554"/>
        <v/>
      </c>
      <c r="P2504" s="53" t="str">
        <f t="shared" si="555"/>
        <v/>
      </c>
      <c r="Q2504" s="53" t="str">
        <f t="shared" si="556"/>
        <v/>
      </c>
      <c r="R2504" s="53" t="str">
        <f t="shared" si="557"/>
        <v/>
      </c>
      <c r="S2504" s="53" t="str">
        <f t="shared" si="558"/>
        <v/>
      </c>
      <c r="T2504" s="53" t="str">
        <f t="shared" si="559"/>
        <v/>
      </c>
    </row>
    <row r="2505" spans="1:20">
      <c r="A2505" s="47" t="str">
        <f>IF(archive!E2505="","",archive!E2505)</f>
        <v/>
      </c>
      <c r="B2505" s="48" t="str">
        <f t="shared" si="546"/>
        <v/>
      </c>
      <c r="C2505" s="49" t="str">
        <f>IF(archive!F2505="","",archive!F2505)</f>
        <v/>
      </c>
      <c r="D2505" s="50" t="str">
        <f t="shared" si="547"/>
        <v/>
      </c>
      <c r="E2505" s="50" t="str">
        <f t="shared" si="548"/>
        <v/>
      </c>
      <c r="F2505" s="47" t="str">
        <f>IF(COUNTA(archive!H2505:CI2505)=0,"",COUNTA(archive!H2505:CI2505))</f>
        <v/>
      </c>
      <c r="G2505" s="47" t="str">
        <f>IF(archive!G2505="","",archive!G2505)</f>
        <v/>
      </c>
      <c r="H2505" s="51" t="str">
        <f>IF(archive!CJ2505="","",archive!CJ2505)</f>
        <v/>
      </c>
      <c r="I2505" s="51" t="str">
        <f>IF(archive!CK2505="","",archive!CK2505)</f>
        <v/>
      </c>
      <c r="J2505" s="47" t="str">
        <f t="shared" si="549"/>
        <v/>
      </c>
      <c r="K2505" s="51" t="str">
        <f t="shared" si="550"/>
        <v/>
      </c>
      <c r="L2505" s="52" t="str">
        <f t="shared" si="551"/>
        <v/>
      </c>
      <c r="M2505" s="53" t="str">
        <f t="shared" si="552"/>
        <v/>
      </c>
      <c r="N2505" s="53" t="str">
        <f t="shared" si="553"/>
        <v/>
      </c>
      <c r="O2505" s="53" t="str">
        <f t="shared" si="554"/>
        <v/>
      </c>
      <c r="P2505" s="53" t="str">
        <f t="shared" si="555"/>
        <v/>
      </c>
      <c r="Q2505" s="53" t="str">
        <f t="shared" si="556"/>
        <v/>
      </c>
      <c r="R2505" s="53" t="str">
        <f t="shared" si="557"/>
        <v/>
      </c>
      <c r="S2505" s="53" t="str">
        <f t="shared" si="558"/>
        <v/>
      </c>
      <c r="T2505" s="53" t="str">
        <f t="shared" si="559"/>
        <v/>
      </c>
    </row>
    <row r="2506" spans="1:20">
      <c r="A2506" s="47" t="str">
        <f>IF(archive!E2506="","",archive!E2506)</f>
        <v/>
      </c>
      <c r="B2506" s="48" t="str">
        <f t="shared" si="546"/>
        <v/>
      </c>
      <c r="C2506" s="49" t="str">
        <f>IF(archive!F2506="","",archive!F2506)</f>
        <v/>
      </c>
      <c r="D2506" s="50" t="str">
        <f t="shared" si="547"/>
        <v/>
      </c>
      <c r="E2506" s="50" t="str">
        <f t="shared" si="548"/>
        <v/>
      </c>
      <c r="F2506" s="47" t="str">
        <f>IF(COUNTA(archive!H2506:CI2506)=0,"",COUNTA(archive!H2506:CI2506))</f>
        <v/>
      </c>
      <c r="G2506" s="47" t="str">
        <f>IF(archive!G2506="","",archive!G2506)</f>
        <v/>
      </c>
      <c r="H2506" s="51" t="str">
        <f>IF(archive!CJ2506="","",archive!CJ2506)</f>
        <v/>
      </c>
      <c r="I2506" s="51" t="str">
        <f>IF(archive!CK2506="","",archive!CK2506)</f>
        <v/>
      </c>
      <c r="J2506" s="47" t="str">
        <f t="shared" si="549"/>
        <v/>
      </c>
      <c r="K2506" s="51" t="str">
        <f t="shared" si="550"/>
        <v/>
      </c>
      <c r="L2506" s="52" t="str">
        <f t="shared" si="551"/>
        <v/>
      </c>
      <c r="M2506" s="53" t="str">
        <f t="shared" si="552"/>
        <v/>
      </c>
      <c r="N2506" s="53" t="str">
        <f t="shared" si="553"/>
        <v/>
      </c>
      <c r="O2506" s="53" t="str">
        <f t="shared" si="554"/>
        <v/>
      </c>
      <c r="P2506" s="53" t="str">
        <f t="shared" si="555"/>
        <v/>
      </c>
      <c r="Q2506" s="53" t="str">
        <f t="shared" si="556"/>
        <v/>
      </c>
      <c r="R2506" s="53" t="str">
        <f t="shared" si="557"/>
        <v/>
      </c>
      <c r="S2506" s="53" t="str">
        <f t="shared" si="558"/>
        <v/>
      </c>
      <c r="T2506" s="53" t="str">
        <f t="shared" si="559"/>
        <v/>
      </c>
    </row>
    <row r="2507" spans="1:20">
      <c r="A2507" s="47" t="str">
        <f>IF(archive!E2507="","",archive!E2507)</f>
        <v/>
      </c>
      <c r="B2507" s="48" t="str">
        <f t="shared" si="546"/>
        <v/>
      </c>
      <c r="C2507" s="49" t="str">
        <f>IF(archive!F2507="","",archive!F2507)</f>
        <v/>
      </c>
      <c r="D2507" s="50" t="str">
        <f t="shared" si="547"/>
        <v/>
      </c>
      <c r="E2507" s="50" t="str">
        <f t="shared" si="548"/>
        <v/>
      </c>
      <c r="F2507" s="47" t="str">
        <f>IF(COUNTA(archive!H2507:CI2507)=0,"",COUNTA(archive!H2507:CI2507))</f>
        <v/>
      </c>
      <c r="G2507" s="47" t="str">
        <f>IF(archive!G2507="","",archive!G2507)</f>
        <v/>
      </c>
      <c r="H2507" s="51" t="str">
        <f>IF(archive!CJ2507="","",archive!CJ2507)</f>
        <v/>
      </c>
      <c r="I2507" s="51" t="str">
        <f>IF(archive!CK2507="","",archive!CK2507)</f>
        <v/>
      </c>
      <c r="J2507" s="47" t="str">
        <f t="shared" si="549"/>
        <v/>
      </c>
      <c r="K2507" s="51" t="str">
        <f t="shared" si="550"/>
        <v/>
      </c>
      <c r="L2507" s="52" t="str">
        <f t="shared" si="551"/>
        <v/>
      </c>
      <c r="M2507" s="53" t="str">
        <f t="shared" si="552"/>
        <v/>
      </c>
      <c r="N2507" s="53" t="str">
        <f t="shared" si="553"/>
        <v/>
      </c>
      <c r="O2507" s="53" t="str">
        <f t="shared" si="554"/>
        <v/>
      </c>
      <c r="P2507" s="53" t="str">
        <f t="shared" si="555"/>
        <v/>
      </c>
      <c r="Q2507" s="53" t="str">
        <f t="shared" si="556"/>
        <v/>
      </c>
      <c r="R2507" s="53" t="str">
        <f t="shared" si="557"/>
        <v/>
      </c>
      <c r="S2507" s="53" t="str">
        <f t="shared" si="558"/>
        <v/>
      </c>
      <c r="T2507" s="53" t="str">
        <f t="shared" si="559"/>
        <v/>
      </c>
    </row>
    <row r="2508" spans="1:20">
      <c r="A2508" s="47" t="str">
        <f>IF(archive!E2508="","",archive!E2508)</f>
        <v/>
      </c>
      <c r="B2508" s="48" t="str">
        <f t="shared" si="546"/>
        <v/>
      </c>
      <c r="C2508" s="49" t="str">
        <f>IF(archive!F2508="","",archive!F2508)</f>
        <v/>
      </c>
      <c r="D2508" s="50" t="str">
        <f t="shared" si="547"/>
        <v/>
      </c>
      <c r="E2508" s="50" t="str">
        <f t="shared" si="548"/>
        <v/>
      </c>
      <c r="F2508" s="47" t="str">
        <f>IF(COUNTA(archive!H2508:CI2508)=0,"",COUNTA(archive!H2508:CI2508))</f>
        <v/>
      </c>
      <c r="G2508" s="47" t="str">
        <f>IF(archive!G2508="","",archive!G2508)</f>
        <v/>
      </c>
      <c r="H2508" s="51" t="str">
        <f>IF(archive!CJ2508="","",archive!CJ2508)</f>
        <v/>
      </c>
      <c r="I2508" s="51" t="str">
        <f>IF(archive!CK2508="","",archive!CK2508)</f>
        <v/>
      </c>
      <c r="J2508" s="47" t="str">
        <f t="shared" si="549"/>
        <v/>
      </c>
      <c r="K2508" s="51" t="str">
        <f t="shared" si="550"/>
        <v/>
      </c>
      <c r="L2508" s="52" t="str">
        <f t="shared" si="551"/>
        <v/>
      </c>
      <c r="M2508" s="53" t="str">
        <f t="shared" si="552"/>
        <v/>
      </c>
      <c r="N2508" s="53" t="str">
        <f t="shared" si="553"/>
        <v/>
      </c>
      <c r="O2508" s="53" t="str">
        <f t="shared" si="554"/>
        <v/>
      </c>
      <c r="P2508" s="53" t="str">
        <f t="shared" si="555"/>
        <v/>
      </c>
      <c r="Q2508" s="53" t="str">
        <f t="shared" si="556"/>
        <v/>
      </c>
      <c r="R2508" s="53" t="str">
        <f t="shared" si="557"/>
        <v/>
      </c>
      <c r="S2508" s="53" t="str">
        <f t="shared" si="558"/>
        <v/>
      </c>
      <c r="T2508" s="53" t="str">
        <f t="shared" si="559"/>
        <v/>
      </c>
    </row>
    <row r="2509" spans="1:20">
      <c r="A2509" s="47" t="str">
        <f>IF(archive!E2509="","",archive!E2509)</f>
        <v/>
      </c>
      <c r="B2509" s="48" t="str">
        <f t="shared" si="546"/>
        <v/>
      </c>
      <c r="C2509" s="49" t="str">
        <f>IF(archive!F2509="","",archive!F2509)</f>
        <v/>
      </c>
      <c r="D2509" s="50" t="str">
        <f t="shared" si="547"/>
        <v/>
      </c>
      <c r="E2509" s="50" t="str">
        <f t="shared" si="548"/>
        <v/>
      </c>
      <c r="F2509" s="47" t="str">
        <f>IF(COUNTA(archive!H2509:CI2509)=0,"",COUNTA(archive!H2509:CI2509))</f>
        <v/>
      </c>
      <c r="G2509" s="47" t="str">
        <f>IF(archive!G2509="","",archive!G2509)</f>
        <v/>
      </c>
      <c r="H2509" s="51" t="str">
        <f>IF(archive!CJ2509="","",archive!CJ2509)</f>
        <v/>
      </c>
      <c r="I2509" s="51" t="str">
        <f>IF(archive!CK2509="","",archive!CK2509)</f>
        <v/>
      </c>
      <c r="J2509" s="47" t="str">
        <f t="shared" si="549"/>
        <v/>
      </c>
      <c r="K2509" s="51" t="str">
        <f t="shared" si="550"/>
        <v/>
      </c>
      <c r="L2509" s="52" t="str">
        <f t="shared" si="551"/>
        <v/>
      </c>
      <c r="M2509" s="53" t="str">
        <f t="shared" si="552"/>
        <v/>
      </c>
      <c r="N2509" s="53" t="str">
        <f t="shared" si="553"/>
        <v/>
      </c>
      <c r="O2509" s="53" t="str">
        <f t="shared" si="554"/>
        <v/>
      </c>
      <c r="P2509" s="53" t="str">
        <f t="shared" si="555"/>
        <v/>
      </c>
      <c r="Q2509" s="53" t="str">
        <f t="shared" si="556"/>
        <v/>
      </c>
      <c r="R2509" s="53" t="str">
        <f t="shared" si="557"/>
        <v/>
      </c>
      <c r="S2509" s="53" t="str">
        <f t="shared" si="558"/>
        <v/>
      </c>
      <c r="T2509" s="53" t="str">
        <f t="shared" si="559"/>
        <v/>
      </c>
    </row>
    <row r="2510" spans="1:20">
      <c r="A2510" s="47" t="str">
        <f>IF(archive!E2510="","",archive!E2510)</f>
        <v/>
      </c>
      <c r="B2510" s="48" t="str">
        <f t="shared" si="546"/>
        <v/>
      </c>
      <c r="C2510" s="49" t="str">
        <f>IF(archive!F2510="","",archive!F2510)</f>
        <v/>
      </c>
      <c r="D2510" s="50" t="str">
        <f t="shared" si="547"/>
        <v/>
      </c>
      <c r="E2510" s="50" t="str">
        <f t="shared" si="548"/>
        <v/>
      </c>
      <c r="F2510" s="47" t="str">
        <f>IF(COUNTA(archive!H2510:CI2510)=0,"",COUNTA(archive!H2510:CI2510))</f>
        <v/>
      </c>
      <c r="G2510" s="47" t="str">
        <f>IF(archive!G2510="","",archive!G2510)</f>
        <v/>
      </c>
      <c r="H2510" s="51" t="str">
        <f>IF(archive!CJ2510="","",archive!CJ2510)</f>
        <v/>
      </c>
      <c r="I2510" s="51" t="str">
        <f>IF(archive!CK2510="","",archive!CK2510)</f>
        <v/>
      </c>
      <c r="J2510" s="47" t="str">
        <f t="shared" si="549"/>
        <v/>
      </c>
      <c r="K2510" s="51" t="str">
        <f t="shared" si="550"/>
        <v/>
      </c>
      <c r="L2510" s="52" t="str">
        <f t="shared" si="551"/>
        <v/>
      </c>
      <c r="M2510" s="53" t="str">
        <f t="shared" si="552"/>
        <v/>
      </c>
      <c r="N2510" s="53" t="str">
        <f t="shared" si="553"/>
        <v/>
      </c>
      <c r="O2510" s="53" t="str">
        <f t="shared" si="554"/>
        <v/>
      </c>
      <c r="P2510" s="53" t="str">
        <f t="shared" si="555"/>
        <v/>
      </c>
      <c r="Q2510" s="53" t="str">
        <f t="shared" si="556"/>
        <v/>
      </c>
      <c r="R2510" s="53" t="str">
        <f t="shared" si="557"/>
        <v/>
      </c>
      <c r="S2510" s="53" t="str">
        <f t="shared" si="558"/>
        <v/>
      </c>
      <c r="T2510" s="53" t="str">
        <f t="shared" si="559"/>
        <v/>
      </c>
    </row>
    <row r="2511" spans="1:20">
      <c r="A2511" s="47" t="str">
        <f>IF(archive!E2511="","",archive!E2511)</f>
        <v/>
      </c>
      <c r="B2511" s="48" t="str">
        <f t="shared" si="546"/>
        <v/>
      </c>
      <c r="C2511" s="49" t="str">
        <f>IF(archive!F2511="","",archive!F2511)</f>
        <v/>
      </c>
      <c r="D2511" s="50" t="str">
        <f t="shared" si="547"/>
        <v/>
      </c>
      <c r="E2511" s="50" t="str">
        <f t="shared" si="548"/>
        <v/>
      </c>
      <c r="F2511" s="47" t="str">
        <f>IF(COUNTA(archive!H2511:CI2511)=0,"",COUNTA(archive!H2511:CI2511))</f>
        <v/>
      </c>
      <c r="G2511" s="47" t="str">
        <f>IF(archive!G2511="","",archive!G2511)</f>
        <v/>
      </c>
      <c r="H2511" s="51" t="str">
        <f>IF(archive!CJ2511="","",archive!CJ2511)</f>
        <v/>
      </c>
      <c r="I2511" s="51" t="str">
        <f>IF(archive!CK2511="","",archive!CK2511)</f>
        <v/>
      </c>
      <c r="J2511" s="47" t="str">
        <f t="shared" si="549"/>
        <v/>
      </c>
      <c r="K2511" s="51" t="str">
        <f t="shared" si="550"/>
        <v/>
      </c>
      <c r="L2511" s="52" t="str">
        <f t="shared" si="551"/>
        <v/>
      </c>
      <c r="M2511" s="53" t="str">
        <f t="shared" si="552"/>
        <v/>
      </c>
      <c r="N2511" s="53" t="str">
        <f t="shared" si="553"/>
        <v/>
      </c>
      <c r="O2511" s="53" t="str">
        <f t="shared" si="554"/>
        <v/>
      </c>
      <c r="P2511" s="53" t="str">
        <f t="shared" si="555"/>
        <v/>
      </c>
      <c r="Q2511" s="53" t="str">
        <f t="shared" si="556"/>
        <v/>
      </c>
      <c r="R2511" s="53" t="str">
        <f t="shared" si="557"/>
        <v/>
      </c>
      <c r="S2511" s="53" t="str">
        <f t="shared" si="558"/>
        <v/>
      </c>
      <c r="T2511" s="53" t="str">
        <f t="shared" si="559"/>
        <v/>
      </c>
    </row>
    <row r="2512" spans="1:20">
      <c r="A2512" s="47" t="str">
        <f>IF(archive!E2512="","",archive!E2512)</f>
        <v/>
      </c>
      <c r="B2512" s="48" t="str">
        <f t="shared" si="546"/>
        <v/>
      </c>
      <c r="C2512" s="49" t="str">
        <f>IF(archive!F2512="","",archive!F2512)</f>
        <v/>
      </c>
      <c r="D2512" s="50" t="str">
        <f t="shared" si="547"/>
        <v/>
      </c>
      <c r="E2512" s="50" t="str">
        <f t="shared" si="548"/>
        <v/>
      </c>
      <c r="F2512" s="47" t="str">
        <f>IF(COUNTA(archive!H2512:CI2512)=0,"",COUNTA(archive!H2512:CI2512))</f>
        <v/>
      </c>
      <c r="G2512" s="47" t="str">
        <f>IF(archive!G2512="","",archive!G2512)</f>
        <v/>
      </c>
      <c r="H2512" s="51" t="str">
        <f>IF(archive!CJ2512="","",archive!CJ2512)</f>
        <v/>
      </c>
      <c r="I2512" s="51" t="str">
        <f>IF(archive!CK2512="","",archive!CK2512)</f>
        <v/>
      </c>
      <c r="J2512" s="47" t="str">
        <f t="shared" si="549"/>
        <v/>
      </c>
      <c r="K2512" s="51" t="str">
        <f t="shared" si="550"/>
        <v/>
      </c>
      <c r="L2512" s="52" t="str">
        <f t="shared" si="551"/>
        <v/>
      </c>
      <c r="M2512" s="53" t="str">
        <f t="shared" si="552"/>
        <v/>
      </c>
      <c r="N2512" s="53" t="str">
        <f t="shared" si="553"/>
        <v/>
      </c>
      <c r="O2512" s="53" t="str">
        <f t="shared" si="554"/>
        <v/>
      </c>
      <c r="P2512" s="53" t="str">
        <f t="shared" si="555"/>
        <v/>
      </c>
      <c r="Q2512" s="53" t="str">
        <f t="shared" si="556"/>
        <v/>
      </c>
      <c r="R2512" s="53" t="str">
        <f t="shared" si="557"/>
        <v/>
      </c>
      <c r="S2512" s="53" t="str">
        <f t="shared" si="558"/>
        <v/>
      </c>
      <c r="T2512" s="53" t="str">
        <f t="shared" si="559"/>
        <v/>
      </c>
    </row>
    <row r="2513" spans="1:20">
      <c r="A2513" s="47" t="str">
        <f>IF(archive!E2513="","",archive!E2513)</f>
        <v/>
      </c>
      <c r="B2513" s="48" t="str">
        <f t="shared" si="546"/>
        <v/>
      </c>
      <c r="C2513" s="49" t="str">
        <f>IF(archive!F2513="","",archive!F2513)</f>
        <v/>
      </c>
      <c r="D2513" s="50" t="str">
        <f t="shared" si="547"/>
        <v/>
      </c>
      <c r="E2513" s="50" t="str">
        <f t="shared" si="548"/>
        <v/>
      </c>
      <c r="F2513" s="47" t="str">
        <f>IF(COUNTA(archive!H2513:CI2513)=0,"",COUNTA(archive!H2513:CI2513))</f>
        <v/>
      </c>
      <c r="G2513" s="47" t="str">
        <f>IF(archive!G2513="","",archive!G2513)</f>
        <v/>
      </c>
      <c r="H2513" s="51" t="str">
        <f>IF(archive!CJ2513="","",archive!CJ2513)</f>
        <v/>
      </c>
      <c r="I2513" s="51" t="str">
        <f>IF(archive!CK2513="","",archive!CK2513)</f>
        <v/>
      </c>
      <c r="J2513" s="47" t="str">
        <f t="shared" si="549"/>
        <v/>
      </c>
      <c r="K2513" s="51" t="str">
        <f t="shared" si="550"/>
        <v/>
      </c>
      <c r="L2513" s="52" t="str">
        <f t="shared" si="551"/>
        <v/>
      </c>
      <c r="M2513" s="53" t="str">
        <f t="shared" si="552"/>
        <v/>
      </c>
      <c r="N2513" s="53" t="str">
        <f t="shared" si="553"/>
        <v/>
      </c>
      <c r="O2513" s="53" t="str">
        <f t="shared" si="554"/>
        <v/>
      </c>
      <c r="P2513" s="53" t="str">
        <f t="shared" si="555"/>
        <v/>
      </c>
      <c r="Q2513" s="53" t="str">
        <f t="shared" si="556"/>
        <v/>
      </c>
      <c r="R2513" s="53" t="str">
        <f t="shared" si="557"/>
        <v/>
      </c>
      <c r="S2513" s="53" t="str">
        <f t="shared" si="558"/>
        <v/>
      </c>
      <c r="T2513" s="53" t="str">
        <f t="shared" si="559"/>
        <v/>
      </c>
    </row>
    <row r="2514" spans="1:20">
      <c r="A2514" s="47" t="str">
        <f>IF(archive!E2514="","",archive!E2514)</f>
        <v/>
      </c>
      <c r="B2514" s="48" t="str">
        <f t="shared" si="546"/>
        <v/>
      </c>
      <c r="C2514" s="49" t="str">
        <f>IF(archive!F2514="","",archive!F2514)</f>
        <v/>
      </c>
      <c r="D2514" s="50" t="str">
        <f t="shared" si="547"/>
        <v/>
      </c>
      <c r="E2514" s="50" t="str">
        <f t="shared" si="548"/>
        <v/>
      </c>
      <c r="F2514" s="47" t="str">
        <f>IF(COUNTA(archive!H2514:CI2514)=0,"",COUNTA(archive!H2514:CI2514))</f>
        <v/>
      </c>
      <c r="G2514" s="47" t="str">
        <f>IF(archive!G2514="","",archive!G2514)</f>
        <v/>
      </c>
      <c r="H2514" s="51" t="str">
        <f>IF(archive!CJ2514="","",archive!CJ2514)</f>
        <v/>
      </c>
      <c r="I2514" s="51" t="str">
        <f>IF(archive!CK2514="","",archive!CK2514)</f>
        <v/>
      </c>
      <c r="J2514" s="47" t="str">
        <f t="shared" si="549"/>
        <v/>
      </c>
      <c r="K2514" s="51" t="str">
        <f t="shared" si="550"/>
        <v/>
      </c>
      <c r="L2514" s="52" t="str">
        <f t="shared" si="551"/>
        <v/>
      </c>
      <c r="M2514" s="53" t="str">
        <f t="shared" si="552"/>
        <v/>
      </c>
      <c r="N2514" s="53" t="str">
        <f t="shared" si="553"/>
        <v/>
      </c>
      <c r="O2514" s="53" t="str">
        <f t="shared" si="554"/>
        <v/>
      </c>
      <c r="P2514" s="53" t="str">
        <f t="shared" si="555"/>
        <v/>
      </c>
      <c r="Q2514" s="53" t="str">
        <f t="shared" si="556"/>
        <v/>
      </c>
      <c r="R2514" s="53" t="str">
        <f t="shared" si="557"/>
        <v/>
      </c>
      <c r="S2514" s="53" t="str">
        <f t="shared" si="558"/>
        <v/>
      </c>
      <c r="T2514" s="53" t="str">
        <f t="shared" si="559"/>
        <v/>
      </c>
    </row>
    <row r="2515" spans="1:20">
      <c r="A2515" s="47" t="str">
        <f>IF(archive!E2515="","",archive!E2515)</f>
        <v/>
      </c>
      <c r="B2515" s="48" t="str">
        <f t="shared" si="546"/>
        <v/>
      </c>
      <c r="C2515" s="49" t="str">
        <f>IF(archive!F2515="","",archive!F2515)</f>
        <v/>
      </c>
      <c r="D2515" s="50" t="str">
        <f t="shared" si="547"/>
        <v/>
      </c>
      <c r="E2515" s="50" t="str">
        <f t="shared" si="548"/>
        <v/>
      </c>
      <c r="F2515" s="47" t="str">
        <f>IF(COUNTA(archive!H2515:CI2515)=0,"",COUNTA(archive!H2515:CI2515))</f>
        <v/>
      </c>
      <c r="G2515" s="47" t="str">
        <f>IF(archive!G2515="","",archive!G2515)</f>
        <v/>
      </c>
      <c r="H2515" s="51" t="str">
        <f>IF(archive!CJ2515="","",archive!CJ2515)</f>
        <v/>
      </c>
      <c r="I2515" s="51" t="str">
        <f>IF(archive!CK2515="","",archive!CK2515)</f>
        <v/>
      </c>
      <c r="J2515" s="47" t="str">
        <f t="shared" si="549"/>
        <v/>
      </c>
      <c r="K2515" s="51" t="str">
        <f t="shared" si="550"/>
        <v/>
      </c>
      <c r="L2515" s="52" t="str">
        <f t="shared" si="551"/>
        <v/>
      </c>
      <c r="M2515" s="53" t="str">
        <f t="shared" si="552"/>
        <v/>
      </c>
      <c r="N2515" s="53" t="str">
        <f t="shared" si="553"/>
        <v/>
      </c>
      <c r="O2515" s="53" t="str">
        <f t="shared" si="554"/>
        <v/>
      </c>
      <c r="P2515" s="53" t="str">
        <f t="shared" si="555"/>
        <v/>
      </c>
      <c r="Q2515" s="53" t="str">
        <f t="shared" si="556"/>
        <v/>
      </c>
      <c r="R2515" s="53" t="str">
        <f t="shared" si="557"/>
        <v/>
      </c>
      <c r="S2515" s="53" t="str">
        <f t="shared" si="558"/>
        <v/>
      </c>
      <c r="T2515" s="53" t="str">
        <f t="shared" si="559"/>
        <v/>
      </c>
    </row>
    <row r="2516" spans="1:20">
      <c r="A2516" s="47" t="str">
        <f>IF(archive!E2516="","",archive!E2516)</f>
        <v/>
      </c>
      <c r="B2516" s="48" t="str">
        <f t="shared" si="546"/>
        <v/>
      </c>
      <c r="C2516" s="49" t="str">
        <f>IF(archive!F2516="","",archive!F2516)</f>
        <v/>
      </c>
      <c r="D2516" s="50" t="str">
        <f t="shared" si="547"/>
        <v/>
      </c>
      <c r="E2516" s="50" t="str">
        <f t="shared" si="548"/>
        <v/>
      </c>
      <c r="F2516" s="47" t="str">
        <f>IF(COUNTA(archive!H2516:CI2516)=0,"",COUNTA(archive!H2516:CI2516))</f>
        <v/>
      </c>
      <c r="G2516" s="47" t="str">
        <f>IF(archive!G2516="","",archive!G2516)</f>
        <v/>
      </c>
      <c r="H2516" s="51" t="str">
        <f>IF(archive!CJ2516="","",archive!CJ2516)</f>
        <v/>
      </c>
      <c r="I2516" s="51" t="str">
        <f>IF(archive!CK2516="","",archive!CK2516)</f>
        <v/>
      </c>
      <c r="J2516" s="47" t="str">
        <f t="shared" si="549"/>
        <v/>
      </c>
      <c r="K2516" s="51" t="str">
        <f t="shared" si="550"/>
        <v/>
      </c>
      <c r="L2516" s="52" t="str">
        <f t="shared" si="551"/>
        <v/>
      </c>
      <c r="M2516" s="53" t="str">
        <f t="shared" si="552"/>
        <v/>
      </c>
      <c r="N2516" s="53" t="str">
        <f t="shared" si="553"/>
        <v/>
      </c>
      <c r="O2516" s="53" t="str">
        <f t="shared" si="554"/>
        <v/>
      </c>
      <c r="P2516" s="53" t="str">
        <f t="shared" si="555"/>
        <v/>
      </c>
      <c r="Q2516" s="53" t="str">
        <f t="shared" si="556"/>
        <v/>
      </c>
      <c r="R2516" s="53" t="str">
        <f t="shared" si="557"/>
        <v/>
      </c>
      <c r="S2516" s="53" t="str">
        <f t="shared" si="558"/>
        <v/>
      </c>
      <c r="T2516" s="53" t="str">
        <f t="shared" si="559"/>
        <v/>
      </c>
    </row>
    <row r="2517" spans="1:20">
      <c r="A2517" s="47" t="str">
        <f>IF(archive!E2517="","",archive!E2517)</f>
        <v/>
      </c>
      <c r="B2517" s="48" t="str">
        <f t="shared" si="546"/>
        <v/>
      </c>
      <c r="C2517" s="49" t="str">
        <f>IF(archive!F2517="","",archive!F2517)</f>
        <v/>
      </c>
      <c r="D2517" s="50" t="str">
        <f t="shared" si="547"/>
        <v/>
      </c>
      <c r="E2517" s="50" t="str">
        <f t="shared" si="548"/>
        <v/>
      </c>
      <c r="F2517" s="47" t="str">
        <f>IF(COUNTA(archive!H2517:CI2517)=0,"",COUNTA(archive!H2517:CI2517))</f>
        <v/>
      </c>
      <c r="G2517" s="47" t="str">
        <f>IF(archive!G2517="","",archive!G2517)</f>
        <v/>
      </c>
      <c r="H2517" s="51" t="str">
        <f>IF(archive!CJ2517="","",archive!CJ2517)</f>
        <v/>
      </c>
      <c r="I2517" s="51" t="str">
        <f>IF(archive!CK2517="","",archive!CK2517)</f>
        <v/>
      </c>
      <c r="J2517" s="47" t="str">
        <f t="shared" si="549"/>
        <v/>
      </c>
      <c r="K2517" s="51" t="str">
        <f t="shared" si="550"/>
        <v/>
      </c>
      <c r="L2517" s="52" t="str">
        <f t="shared" si="551"/>
        <v/>
      </c>
      <c r="M2517" s="53" t="str">
        <f t="shared" si="552"/>
        <v/>
      </c>
      <c r="N2517" s="53" t="str">
        <f t="shared" si="553"/>
        <v/>
      </c>
      <c r="O2517" s="53" t="str">
        <f t="shared" si="554"/>
        <v/>
      </c>
      <c r="P2517" s="53" t="str">
        <f t="shared" si="555"/>
        <v/>
      </c>
      <c r="Q2517" s="53" t="str">
        <f t="shared" si="556"/>
        <v/>
      </c>
      <c r="R2517" s="53" t="str">
        <f t="shared" si="557"/>
        <v/>
      </c>
      <c r="S2517" s="53" t="str">
        <f t="shared" si="558"/>
        <v/>
      </c>
      <c r="T2517" s="53" t="str">
        <f t="shared" si="559"/>
        <v/>
      </c>
    </row>
    <row r="2518" spans="1:20">
      <c r="A2518" s="47" t="str">
        <f>IF(archive!E2518="","",archive!E2518)</f>
        <v/>
      </c>
      <c r="B2518" s="48" t="str">
        <f t="shared" si="546"/>
        <v/>
      </c>
      <c r="C2518" s="49" t="str">
        <f>IF(archive!F2518="","",archive!F2518)</f>
        <v/>
      </c>
      <c r="D2518" s="50" t="str">
        <f t="shared" si="547"/>
        <v/>
      </c>
      <c r="E2518" s="50" t="str">
        <f t="shared" si="548"/>
        <v/>
      </c>
      <c r="F2518" s="47" t="str">
        <f>IF(COUNTA(archive!H2518:CI2518)=0,"",COUNTA(archive!H2518:CI2518))</f>
        <v/>
      </c>
      <c r="G2518" s="47" t="str">
        <f>IF(archive!G2518="","",archive!G2518)</f>
        <v/>
      </c>
      <c r="H2518" s="51" t="str">
        <f>IF(archive!CJ2518="","",archive!CJ2518)</f>
        <v/>
      </c>
      <c r="I2518" s="51" t="str">
        <f>IF(archive!CK2518="","",archive!CK2518)</f>
        <v/>
      </c>
      <c r="J2518" s="47" t="str">
        <f t="shared" si="549"/>
        <v/>
      </c>
      <c r="K2518" s="51" t="str">
        <f t="shared" si="550"/>
        <v/>
      </c>
      <c r="L2518" s="52" t="str">
        <f t="shared" si="551"/>
        <v/>
      </c>
      <c r="M2518" s="53" t="str">
        <f t="shared" si="552"/>
        <v/>
      </c>
      <c r="N2518" s="53" t="str">
        <f t="shared" si="553"/>
        <v/>
      </c>
      <c r="O2518" s="53" t="str">
        <f t="shared" si="554"/>
        <v/>
      </c>
      <c r="P2518" s="53" t="str">
        <f t="shared" si="555"/>
        <v/>
      </c>
      <c r="Q2518" s="53" t="str">
        <f t="shared" si="556"/>
        <v/>
      </c>
      <c r="R2518" s="53" t="str">
        <f t="shared" si="557"/>
        <v/>
      </c>
      <c r="S2518" s="53" t="str">
        <f t="shared" si="558"/>
        <v/>
      </c>
      <c r="T2518" s="53" t="str">
        <f t="shared" si="559"/>
        <v/>
      </c>
    </row>
    <row r="2519" spans="1:20">
      <c r="A2519" s="47" t="str">
        <f>IF(archive!E2519="","",archive!E2519)</f>
        <v/>
      </c>
      <c r="B2519" s="48" t="str">
        <f t="shared" si="546"/>
        <v/>
      </c>
      <c r="C2519" s="49" t="str">
        <f>IF(archive!F2519="","",archive!F2519)</f>
        <v/>
      </c>
      <c r="D2519" s="50" t="str">
        <f t="shared" si="547"/>
        <v/>
      </c>
      <c r="E2519" s="50" t="str">
        <f t="shared" si="548"/>
        <v/>
      </c>
      <c r="F2519" s="47" t="str">
        <f>IF(COUNTA(archive!H2519:CI2519)=0,"",COUNTA(archive!H2519:CI2519))</f>
        <v/>
      </c>
      <c r="G2519" s="47" t="str">
        <f>IF(archive!G2519="","",archive!G2519)</f>
        <v/>
      </c>
      <c r="H2519" s="51" t="str">
        <f>IF(archive!CJ2519="","",archive!CJ2519)</f>
        <v/>
      </c>
      <c r="I2519" s="51" t="str">
        <f>IF(archive!CK2519="","",archive!CK2519)</f>
        <v/>
      </c>
      <c r="J2519" s="47" t="str">
        <f t="shared" si="549"/>
        <v/>
      </c>
      <c r="K2519" s="51" t="str">
        <f t="shared" si="550"/>
        <v/>
      </c>
      <c r="L2519" s="52" t="str">
        <f t="shared" si="551"/>
        <v/>
      </c>
      <c r="M2519" s="53" t="str">
        <f t="shared" si="552"/>
        <v/>
      </c>
      <c r="N2519" s="53" t="str">
        <f t="shared" si="553"/>
        <v/>
      </c>
      <c r="O2519" s="53" t="str">
        <f t="shared" si="554"/>
        <v/>
      </c>
      <c r="P2519" s="53" t="str">
        <f t="shared" si="555"/>
        <v/>
      </c>
      <c r="Q2519" s="53" t="str">
        <f t="shared" si="556"/>
        <v/>
      </c>
      <c r="R2519" s="53" t="str">
        <f t="shared" si="557"/>
        <v/>
      </c>
      <c r="S2519" s="53" t="str">
        <f t="shared" si="558"/>
        <v/>
      </c>
      <c r="T2519" s="53" t="str">
        <f t="shared" si="559"/>
        <v/>
      </c>
    </row>
    <row r="2520" spans="1:20">
      <c r="A2520" s="47" t="str">
        <f>IF(archive!E2520="","",archive!E2520)</f>
        <v/>
      </c>
      <c r="B2520" s="48" t="str">
        <f t="shared" si="546"/>
        <v/>
      </c>
      <c r="C2520" s="49" t="str">
        <f>IF(archive!F2520="","",archive!F2520)</f>
        <v/>
      </c>
      <c r="D2520" s="50" t="str">
        <f t="shared" si="547"/>
        <v/>
      </c>
      <c r="E2520" s="50" t="str">
        <f t="shared" si="548"/>
        <v/>
      </c>
      <c r="F2520" s="47" t="str">
        <f>IF(COUNTA(archive!H2520:CI2520)=0,"",COUNTA(archive!H2520:CI2520))</f>
        <v/>
      </c>
      <c r="G2520" s="47" t="str">
        <f>IF(archive!G2520="","",archive!G2520)</f>
        <v/>
      </c>
      <c r="H2520" s="51" t="str">
        <f>IF(archive!CJ2520="","",archive!CJ2520)</f>
        <v/>
      </c>
      <c r="I2520" s="51" t="str">
        <f>IF(archive!CK2520="","",archive!CK2520)</f>
        <v/>
      </c>
      <c r="J2520" s="47" t="str">
        <f t="shared" si="549"/>
        <v/>
      </c>
      <c r="K2520" s="51" t="str">
        <f t="shared" si="550"/>
        <v/>
      </c>
      <c r="L2520" s="52" t="str">
        <f t="shared" si="551"/>
        <v/>
      </c>
      <c r="M2520" s="53" t="str">
        <f t="shared" si="552"/>
        <v/>
      </c>
      <c r="N2520" s="53" t="str">
        <f t="shared" si="553"/>
        <v/>
      </c>
      <c r="O2520" s="53" t="str">
        <f t="shared" si="554"/>
        <v/>
      </c>
      <c r="P2520" s="53" t="str">
        <f t="shared" si="555"/>
        <v/>
      </c>
      <c r="Q2520" s="53" t="str">
        <f t="shared" si="556"/>
        <v/>
      </c>
      <c r="R2520" s="53" t="str">
        <f t="shared" si="557"/>
        <v/>
      </c>
      <c r="S2520" s="53" t="str">
        <f t="shared" si="558"/>
        <v/>
      </c>
      <c r="T2520" s="53" t="str">
        <f t="shared" si="559"/>
        <v/>
      </c>
    </row>
    <row r="2521" spans="1:20">
      <c r="A2521" s="47" t="str">
        <f>IF(archive!E2521="","",archive!E2521)</f>
        <v/>
      </c>
      <c r="B2521" s="48" t="str">
        <f t="shared" si="546"/>
        <v/>
      </c>
      <c r="C2521" s="49" t="str">
        <f>IF(archive!F2521="","",archive!F2521)</f>
        <v/>
      </c>
      <c r="D2521" s="50" t="str">
        <f t="shared" si="547"/>
        <v/>
      </c>
      <c r="E2521" s="50" t="str">
        <f t="shared" si="548"/>
        <v/>
      </c>
      <c r="F2521" s="47" t="str">
        <f>IF(COUNTA(archive!H2521:CI2521)=0,"",COUNTA(archive!H2521:CI2521))</f>
        <v/>
      </c>
      <c r="G2521" s="47" t="str">
        <f>IF(archive!G2521="","",archive!G2521)</f>
        <v/>
      </c>
      <c r="H2521" s="51" t="str">
        <f>IF(archive!CJ2521="","",archive!CJ2521)</f>
        <v/>
      </c>
      <c r="I2521" s="51" t="str">
        <f>IF(archive!CK2521="","",archive!CK2521)</f>
        <v/>
      </c>
      <c r="J2521" s="47" t="str">
        <f t="shared" si="549"/>
        <v/>
      </c>
      <c r="K2521" s="51" t="str">
        <f t="shared" si="550"/>
        <v/>
      </c>
      <c r="L2521" s="52" t="str">
        <f t="shared" si="551"/>
        <v/>
      </c>
      <c r="M2521" s="53" t="str">
        <f t="shared" si="552"/>
        <v/>
      </c>
      <c r="N2521" s="53" t="str">
        <f t="shared" si="553"/>
        <v/>
      </c>
      <c r="O2521" s="53" t="str">
        <f t="shared" si="554"/>
        <v/>
      </c>
      <c r="P2521" s="53" t="str">
        <f t="shared" si="555"/>
        <v/>
      </c>
      <c r="Q2521" s="53" t="str">
        <f t="shared" si="556"/>
        <v/>
      </c>
      <c r="R2521" s="53" t="str">
        <f t="shared" si="557"/>
        <v/>
      </c>
      <c r="S2521" s="53" t="str">
        <f t="shared" si="558"/>
        <v/>
      </c>
      <c r="T2521" s="53" t="str">
        <f t="shared" si="559"/>
        <v/>
      </c>
    </row>
    <row r="2522" spans="1:20">
      <c r="A2522" s="47" t="str">
        <f>IF(archive!E2522="","",archive!E2522)</f>
        <v/>
      </c>
      <c r="B2522" s="48" t="str">
        <f t="shared" si="546"/>
        <v/>
      </c>
      <c r="C2522" s="49" t="str">
        <f>IF(archive!F2522="","",archive!F2522)</f>
        <v/>
      </c>
      <c r="D2522" s="50" t="str">
        <f t="shared" si="547"/>
        <v/>
      </c>
      <c r="E2522" s="50" t="str">
        <f t="shared" si="548"/>
        <v/>
      </c>
      <c r="F2522" s="47" t="str">
        <f>IF(COUNTA(archive!H2522:CI2522)=0,"",COUNTA(archive!H2522:CI2522))</f>
        <v/>
      </c>
      <c r="G2522" s="47" t="str">
        <f>IF(archive!G2522="","",archive!G2522)</f>
        <v/>
      </c>
      <c r="H2522" s="51" t="str">
        <f>IF(archive!CJ2522="","",archive!CJ2522)</f>
        <v/>
      </c>
      <c r="I2522" s="51" t="str">
        <f>IF(archive!CK2522="","",archive!CK2522)</f>
        <v/>
      </c>
      <c r="J2522" s="47" t="str">
        <f t="shared" si="549"/>
        <v/>
      </c>
      <c r="K2522" s="51" t="str">
        <f t="shared" si="550"/>
        <v/>
      </c>
      <c r="L2522" s="52" t="str">
        <f t="shared" si="551"/>
        <v/>
      </c>
      <c r="M2522" s="53" t="str">
        <f t="shared" si="552"/>
        <v/>
      </c>
      <c r="N2522" s="53" t="str">
        <f t="shared" si="553"/>
        <v/>
      </c>
      <c r="O2522" s="53" t="str">
        <f t="shared" si="554"/>
        <v/>
      </c>
      <c r="P2522" s="53" t="str">
        <f t="shared" si="555"/>
        <v/>
      </c>
      <c r="Q2522" s="53" t="str">
        <f t="shared" si="556"/>
        <v/>
      </c>
      <c r="R2522" s="53" t="str">
        <f t="shared" si="557"/>
        <v/>
      </c>
      <c r="S2522" s="53" t="str">
        <f t="shared" si="558"/>
        <v/>
      </c>
      <c r="T2522" s="53" t="str">
        <f t="shared" si="559"/>
        <v/>
      </c>
    </row>
    <row r="2523" spans="1:20">
      <c r="A2523" s="47" t="str">
        <f>IF(archive!E2523="","",archive!E2523)</f>
        <v/>
      </c>
      <c r="B2523" s="48" t="str">
        <f t="shared" si="546"/>
        <v/>
      </c>
      <c r="C2523" s="49" t="str">
        <f>IF(archive!F2523="","",archive!F2523)</f>
        <v/>
      </c>
      <c r="D2523" s="50" t="str">
        <f t="shared" si="547"/>
        <v/>
      </c>
      <c r="E2523" s="50" t="str">
        <f t="shared" si="548"/>
        <v/>
      </c>
      <c r="F2523" s="47" t="str">
        <f>IF(COUNTA(archive!H2523:CI2523)=0,"",COUNTA(archive!H2523:CI2523))</f>
        <v/>
      </c>
      <c r="G2523" s="47" t="str">
        <f>IF(archive!G2523="","",archive!G2523)</f>
        <v/>
      </c>
      <c r="H2523" s="51" t="str">
        <f>IF(archive!CJ2523="","",archive!CJ2523)</f>
        <v/>
      </c>
      <c r="I2523" s="51" t="str">
        <f>IF(archive!CK2523="","",archive!CK2523)</f>
        <v/>
      </c>
      <c r="J2523" s="47" t="str">
        <f t="shared" si="549"/>
        <v/>
      </c>
      <c r="K2523" s="51" t="str">
        <f t="shared" si="550"/>
        <v/>
      </c>
      <c r="L2523" s="52" t="str">
        <f t="shared" si="551"/>
        <v/>
      </c>
      <c r="M2523" s="53" t="str">
        <f t="shared" si="552"/>
        <v/>
      </c>
      <c r="N2523" s="53" t="str">
        <f t="shared" si="553"/>
        <v/>
      </c>
      <c r="O2523" s="53" t="str">
        <f t="shared" si="554"/>
        <v/>
      </c>
      <c r="P2523" s="53" t="str">
        <f t="shared" si="555"/>
        <v/>
      </c>
      <c r="Q2523" s="53" t="str">
        <f t="shared" si="556"/>
        <v/>
      </c>
      <c r="R2523" s="53" t="str">
        <f t="shared" si="557"/>
        <v/>
      </c>
      <c r="S2523" s="53" t="str">
        <f t="shared" si="558"/>
        <v/>
      </c>
      <c r="T2523" s="53" t="str">
        <f t="shared" si="559"/>
        <v/>
      </c>
    </row>
    <row r="2524" spans="1:20">
      <c r="A2524" s="47" t="str">
        <f>IF(archive!E2524="","",archive!E2524)</f>
        <v/>
      </c>
      <c r="B2524" s="48" t="str">
        <f t="shared" si="546"/>
        <v/>
      </c>
      <c r="C2524" s="49" t="str">
        <f>IF(archive!F2524="","",archive!F2524)</f>
        <v/>
      </c>
      <c r="D2524" s="50" t="str">
        <f t="shared" si="547"/>
        <v/>
      </c>
      <c r="E2524" s="50" t="str">
        <f t="shared" si="548"/>
        <v/>
      </c>
      <c r="F2524" s="47" t="str">
        <f>IF(COUNTA(archive!H2524:CI2524)=0,"",COUNTA(archive!H2524:CI2524))</f>
        <v/>
      </c>
      <c r="G2524" s="47" t="str">
        <f>IF(archive!G2524="","",archive!G2524)</f>
        <v/>
      </c>
      <c r="H2524" s="51" t="str">
        <f>IF(archive!CJ2524="","",archive!CJ2524)</f>
        <v/>
      </c>
      <c r="I2524" s="51" t="str">
        <f>IF(archive!CK2524="","",archive!CK2524)</f>
        <v/>
      </c>
      <c r="J2524" s="47" t="str">
        <f t="shared" si="549"/>
        <v/>
      </c>
      <c r="K2524" s="51" t="str">
        <f t="shared" si="550"/>
        <v/>
      </c>
      <c r="L2524" s="52" t="str">
        <f t="shared" si="551"/>
        <v/>
      </c>
      <c r="M2524" s="53" t="str">
        <f t="shared" si="552"/>
        <v/>
      </c>
      <c r="N2524" s="53" t="str">
        <f t="shared" si="553"/>
        <v/>
      </c>
      <c r="O2524" s="53" t="str">
        <f t="shared" si="554"/>
        <v/>
      </c>
      <c r="P2524" s="53" t="str">
        <f t="shared" si="555"/>
        <v/>
      </c>
      <c r="Q2524" s="53" t="str">
        <f t="shared" si="556"/>
        <v/>
      </c>
      <c r="R2524" s="53" t="str">
        <f t="shared" si="557"/>
        <v/>
      </c>
      <c r="S2524" s="53" t="str">
        <f t="shared" si="558"/>
        <v/>
      </c>
      <c r="T2524" s="53" t="str">
        <f t="shared" si="559"/>
        <v/>
      </c>
    </row>
    <row r="2525" spans="1:20">
      <c r="A2525" s="47" t="str">
        <f>IF(archive!E2525="","",archive!E2525)</f>
        <v/>
      </c>
      <c r="B2525" s="48" t="str">
        <f t="shared" si="546"/>
        <v/>
      </c>
      <c r="C2525" s="49" t="str">
        <f>IF(archive!F2525="","",archive!F2525)</f>
        <v/>
      </c>
      <c r="D2525" s="50" t="str">
        <f t="shared" si="547"/>
        <v/>
      </c>
      <c r="E2525" s="50" t="str">
        <f t="shared" si="548"/>
        <v/>
      </c>
      <c r="F2525" s="47" t="str">
        <f>IF(COUNTA(archive!H2525:CI2525)=0,"",COUNTA(archive!H2525:CI2525))</f>
        <v/>
      </c>
      <c r="G2525" s="47" t="str">
        <f>IF(archive!G2525="","",archive!G2525)</f>
        <v/>
      </c>
      <c r="H2525" s="51" t="str">
        <f>IF(archive!CJ2525="","",archive!CJ2525)</f>
        <v/>
      </c>
      <c r="I2525" s="51" t="str">
        <f>IF(archive!CK2525="","",archive!CK2525)</f>
        <v/>
      </c>
      <c r="J2525" s="47" t="str">
        <f t="shared" si="549"/>
        <v/>
      </c>
      <c r="K2525" s="51" t="str">
        <f t="shared" si="550"/>
        <v/>
      </c>
      <c r="L2525" s="52" t="str">
        <f t="shared" si="551"/>
        <v/>
      </c>
      <c r="M2525" s="53" t="str">
        <f t="shared" si="552"/>
        <v/>
      </c>
      <c r="N2525" s="53" t="str">
        <f t="shared" si="553"/>
        <v/>
      </c>
      <c r="O2525" s="53" t="str">
        <f t="shared" si="554"/>
        <v/>
      </c>
      <c r="P2525" s="53" t="str">
        <f t="shared" si="555"/>
        <v/>
      </c>
      <c r="Q2525" s="53" t="str">
        <f t="shared" si="556"/>
        <v/>
      </c>
      <c r="R2525" s="53" t="str">
        <f t="shared" si="557"/>
        <v/>
      </c>
      <c r="S2525" s="53" t="str">
        <f t="shared" si="558"/>
        <v/>
      </c>
      <c r="T2525" s="53" t="str">
        <f t="shared" si="559"/>
        <v/>
      </c>
    </row>
    <row r="2526" spans="1:20">
      <c r="A2526" s="47" t="str">
        <f>IF(archive!E2526="","",archive!E2526)</f>
        <v/>
      </c>
      <c r="B2526" s="48" t="str">
        <f t="shared" si="546"/>
        <v/>
      </c>
      <c r="C2526" s="49" t="str">
        <f>IF(archive!F2526="","",archive!F2526)</f>
        <v/>
      </c>
      <c r="D2526" s="50" t="str">
        <f t="shared" si="547"/>
        <v/>
      </c>
      <c r="E2526" s="50" t="str">
        <f t="shared" si="548"/>
        <v/>
      </c>
      <c r="F2526" s="47" t="str">
        <f>IF(COUNTA(archive!H2526:CI2526)=0,"",COUNTA(archive!H2526:CI2526))</f>
        <v/>
      </c>
      <c r="G2526" s="47" t="str">
        <f>IF(archive!G2526="","",archive!G2526)</f>
        <v/>
      </c>
      <c r="H2526" s="51" t="str">
        <f>IF(archive!CJ2526="","",archive!CJ2526)</f>
        <v/>
      </c>
      <c r="I2526" s="51" t="str">
        <f>IF(archive!CK2526="","",archive!CK2526)</f>
        <v/>
      </c>
      <c r="J2526" s="47" t="str">
        <f t="shared" si="549"/>
        <v/>
      </c>
      <c r="K2526" s="51" t="str">
        <f t="shared" si="550"/>
        <v/>
      </c>
      <c r="L2526" s="52" t="str">
        <f t="shared" si="551"/>
        <v/>
      </c>
      <c r="M2526" s="53" t="str">
        <f t="shared" si="552"/>
        <v/>
      </c>
      <c r="N2526" s="53" t="str">
        <f t="shared" si="553"/>
        <v/>
      </c>
      <c r="O2526" s="53" t="str">
        <f t="shared" si="554"/>
        <v/>
      </c>
      <c r="P2526" s="53" t="str">
        <f t="shared" si="555"/>
        <v/>
      </c>
      <c r="Q2526" s="53" t="str">
        <f t="shared" si="556"/>
        <v/>
      </c>
      <c r="R2526" s="53" t="str">
        <f t="shared" si="557"/>
        <v/>
      </c>
      <c r="S2526" s="53" t="str">
        <f t="shared" si="558"/>
        <v/>
      </c>
      <c r="T2526" s="53" t="str">
        <f t="shared" si="559"/>
        <v/>
      </c>
    </row>
    <row r="2527" spans="1:20">
      <c r="A2527" s="47" t="str">
        <f>IF(archive!E2527="","",archive!E2527)</f>
        <v/>
      </c>
      <c r="B2527" s="48" t="str">
        <f t="shared" si="546"/>
        <v/>
      </c>
      <c r="C2527" s="49" t="str">
        <f>IF(archive!F2527="","",archive!F2527)</f>
        <v/>
      </c>
      <c r="D2527" s="50" t="str">
        <f t="shared" si="547"/>
        <v/>
      </c>
      <c r="E2527" s="50" t="str">
        <f t="shared" si="548"/>
        <v/>
      </c>
      <c r="F2527" s="47" t="str">
        <f>IF(COUNTA(archive!H2527:CI2527)=0,"",COUNTA(archive!H2527:CI2527))</f>
        <v/>
      </c>
      <c r="G2527" s="47" t="str">
        <f>IF(archive!G2527="","",archive!G2527)</f>
        <v/>
      </c>
      <c r="H2527" s="51" t="str">
        <f>IF(archive!CJ2527="","",archive!CJ2527)</f>
        <v/>
      </c>
      <c r="I2527" s="51" t="str">
        <f>IF(archive!CK2527="","",archive!CK2527)</f>
        <v/>
      </c>
      <c r="J2527" s="47" t="str">
        <f t="shared" si="549"/>
        <v/>
      </c>
      <c r="K2527" s="51" t="str">
        <f t="shared" si="550"/>
        <v/>
      </c>
      <c r="L2527" s="52" t="str">
        <f t="shared" si="551"/>
        <v/>
      </c>
      <c r="M2527" s="53" t="str">
        <f t="shared" si="552"/>
        <v/>
      </c>
      <c r="N2527" s="53" t="str">
        <f t="shared" si="553"/>
        <v/>
      </c>
      <c r="O2527" s="53" t="str">
        <f t="shared" si="554"/>
        <v/>
      </c>
      <c r="P2527" s="53" t="str">
        <f t="shared" si="555"/>
        <v/>
      </c>
      <c r="Q2527" s="53" t="str">
        <f t="shared" si="556"/>
        <v/>
      </c>
      <c r="R2527" s="53" t="str">
        <f t="shared" si="557"/>
        <v/>
      </c>
      <c r="S2527" s="53" t="str">
        <f t="shared" si="558"/>
        <v/>
      </c>
      <c r="T2527" s="53" t="str">
        <f t="shared" si="559"/>
        <v/>
      </c>
    </row>
    <row r="2528" spans="1:20">
      <c r="A2528" s="47" t="str">
        <f>IF(archive!E2528="","",archive!E2528)</f>
        <v/>
      </c>
      <c r="B2528" s="48" t="str">
        <f t="shared" si="546"/>
        <v/>
      </c>
      <c r="C2528" s="49" t="str">
        <f>IF(archive!F2528="","",archive!F2528)</f>
        <v/>
      </c>
      <c r="D2528" s="50" t="str">
        <f t="shared" si="547"/>
        <v/>
      </c>
      <c r="E2528" s="50" t="str">
        <f t="shared" si="548"/>
        <v/>
      </c>
      <c r="F2528" s="47" t="str">
        <f>IF(COUNTA(archive!H2528:CI2528)=0,"",COUNTA(archive!H2528:CI2528))</f>
        <v/>
      </c>
      <c r="G2528" s="47" t="str">
        <f>IF(archive!G2528="","",archive!G2528)</f>
        <v/>
      </c>
      <c r="H2528" s="51" t="str">
        <f>IF(archive!CJ2528="","",archive!CJ2528)</f>
        <v/>
      </c>
      <c r="I2528" s="51" t="str">
        <f>IF(archive!CK2528="","",archive!CK2528)</f>
        <v/>
      </c>
      <c r="J2528" s="47" t="str">
        <f t="shared" si="549"/>
        <v/>
      </c>
      <c r="K2528" s="51" t="str">
        <f t="shared" si="550"/>
        <v/>
      </c>
      <c r="L2528" s="52" t="str">
        <f t="shared" si="551"/>
        <v/>
      </c>
      <c r="M2528" s="53" t="str">
        <f t="shared" si="552"/>
        <v/>
      </c>
      <c r="N2528" s="53" t="str">
        <f t="shared" si="553"/>
        <v/>
      </c>
      <c r="O2528" s="53" t="str">
        <f t="shared" si="554"/>
        <v/>
      </c>
      <c r="P2528" s="53" t="str">
        <f t="shared" si="555"/>
        <v/>
      </c>
      <c r="Q2528" s="53" t="str">
        <f t="shared" si="556"/>
        <v/>
      </c>
      <c r="R2528" s="53" t="str">
        <f t="shared" si="557"/>
        <v/>
      </c>
      <c r="S2528" s="53" t="str">
        <f t="shared" si="558"/>
        <v/>
      </c>
      <c r="T2528" s="53" t="str">
        <f t="shared" si="559"/>
        <v/>
      </c>
    </row>
    <row r="2529" spans="1:20">
      <c r="A2529" s="47" t="str">
        <f>IF(archive!E2529="","",archive!E2529)</f>
        <v/>
      </c>
      <c r="B2529" s="48" t="str">
        <f t="shared" si="546"/>
        <v/>
      </c>
      <c r="C2529" s="49" t="str">
        <f>IF(archive!F2529="","",archive!F2529)</f>
        <v/>
      </c>
      <c r="D2529" s="50" t="str">
        <f t="shared" si="547"/>
        <v/>
      </c>
      <c r="E2529" s="50" t="str">
        <f t="shared" si="548"/>
        <v/>
      </c>
      <c r="F2529" s="47" t="str">
        <f>IF(COUNTA(archive!H2529:CI2529)=0,"",COUNTA(archive!H2529:CI2529))</f>
        <v/>
      </c>
      <c r="G2529" s="47" t="str">
        <f>IF(archive!G2529="","",archive!G2529)</f>
        <v/>
      </c>
      <c r="H2529" s="51" t="str">
        <f>IF(archive!CJ2529="","",archive!CJ2529)</f>
        <v/>
      </c>
      <c r="I2529" s="51" t="str">
        <f>IF(archive!CK2529="","",archive!CK2529)</f>
        <v/>
      </c>
      <c r="J2529" s="47" t="str">
        <f t="shared" si="549"/>
        <v/>
      </c>
      <c r="K2529" s="51" t="str">
        <f t="shared" si="550"/>
        <v/>
      </c>
      <c r="L2529" s="52" t="str">
        <f t="shared" si="551"/>
        <v/>
      </c>
      <c r="M2529" s="53" t="str">
        <f t="shared" si="552"/>
        <v/>
      </c>
      <c r="N2529" s="53" t="str">
        <f t="shared" si="553"/>
        <v/>
      </c>
      <c r="O2529" s="53" t="str">
        <f t="shared" si="554"/>
        <v/>
      </c>
      <c r="P2529" s="53" t="str">
        <f t="shared" si="555"/>
        <v/>
      </c>
      <c r="Q2529" s="53" t="str">
        <f t="shared" si="556"/>
        <v/>
      </c>
      <c r="R2529" s="53" t="str">
        <f t="shared" si="557"/>
        <v/>
      </c>
      <c r="S2529" s="53" t="str">
        <f t="shared" si="558"/>
        <v/>
      </c>
      <c r="T2529" s="53" t="str">
        <f t="shared" si="559"/>
        <v/>
      </c>
    </row>
    <row r="2530" spans="1:20">
      <c r="A2530" s="47" t="str">
        <f>IF(archive!E2530="","",archive!E2530)</f>
        <v/>
      </c>
      <c r="B2530" s="48" t="str">
        <f t="shared" si="546"/>
        <v/>
      </c>
      <c r="C2530" s="49" t="str">
        <f>IF(archive!F2530="","",archive!F2530)</f>
        <v/>
      </c>
      <c r="D2530" s="50" t="str">
        <f t="shared" si="547"/>
        <v/>
      </c>
      <c r="E2530" s="50" t="str">
        <f t="shared" si="548"/>
        <v/>
      </c>
      <c r="F2530" s="47" t="str">
        <f>IF(COUNTA(archive!H2530:CI2530)=0,"",COUNTA(archive!H2530:CI2530))</f>
        <v/>
      </c>
      <c r="G2530" s="47" t="str">
        <f>IF(archive!G2530="","",archive!G2530)</f>
        <v/>
      </c>
      <c r="H2530" s="51" t="str">
        <f>IF(archive!CJ2530="","",archive!CJ2530)</f>
        <v/>
      </c>
      <c r="I2530" s="51" t="str">
        <f>IF(archive!CK2530="","",archive!CK2530)</f>
        <v/>
      </c>
      <c r="J2530" s="47" t="str">
        <f t="shared" si="549"/>
        <v/>
      </c>
      <c r="K2530" s="51" t="str">
        <f t="shared" si="550"/>
        <v/>
      </c>
      <c r="L2530" s="52" t="str">
        <f t="shared" si="551"/>
        <v/>
      </c>
      <c r="M2530" s="53" t="str">
        <f t="shared" si="552"/>
        <v/>
      </c>
      <c r="N2530" s="53" t="str">
        <f t="shared" si="553"/>
        <v/>
      </c>
      <c r="O2530" s="53" t="str">
        <f t="shared" si="554"/>
        <v/>
      </c>
      <c r="P2530" s="53" t="str">
        <f t="shared" si="555"/>
        <v/>
      </c>
      <c r="Q2530" s="53" t="str">
        <f t="shared" si="556"/>
        <v/>
      </c>
      <c r="R2530" s="53" t="str">
        <f t="shared" si="557"/>
        <v/>
      </c>
      <c r="S2530" s="53" t="str">
        <f t="shared" si="558"/>
        <v/>
      </c>
      <c r="T2530" s="53" t="str">
        <f t="shared" si="559"/>
        <v/>
      </c>
    </row>
    <row r="2531" spans="1:20">
      <c r="A2531" s="47" t="str">
        <f>IF(archive!E2531="","",archive!E2531)</f>
        <v/>
      </c>
      <c r="B2531" s="48" t="str">
        <f t="shared" si="546"/>
        <v/>
      </c>
      <c r="C2531" s="49" t="str">
        <f>IF(archive!F2531="","",archive!F2531)</f>
        <v/>
      </c>
      <c r="D2531" s="50" t="str">
        <f t="shared" si="547"/>
        <v/>
      </c>
      <c r="E2531" s="50" t="str">
        <f t="shared" si="548"/>
        <v/>
      </c>
      <c r="F2531" s="47" t="str">
        <f>IF(COUNTA(archive!H2531:CI2531)=0,"",COUNTA(archive!H2531:CI2531))</f>
        <v/>
      </c>
      <c r="G2531" s="47" t="str">
        <f>IF(archive!G2531="","",archive!G2531)</f>
        <v/>
      </c>
      <c r="H2531" s="51" t="str">
        <f>IF(archive!CJ2531="","",archive!CJ2531)</f>
        <v/>
      </c>
      <c r="I2531" s="51" t="str">
        <f>IF(archive!CK2531="","",archive!CK2531)</f>
        <v/>
      </c>
      <c r="J2531" s="47" t="str">
        <f t="shared" si="549"/>
        <v/>
      </c>
      <c r="K2531" s="51" t="str">
        <f t="shared" si="550"/>
        <v/>
      </c>
      <c r="L2531" s="52" t="str">
        <f t="shared" si="551"/>
        <v/>
      </c>
      <c r="M2531" s="53" t="str">
        <f t="shared" si="552"/>
        <v/>
      </c>
      <c r="N2531" s="53" t="str">
        <f t="shared" si="553"/>
        <v/>
      </c>
      <c r="O2531" s="53" t="str">
        <f t="shared" si="554"/>
        <v/>
      </c>
      <c r="P2531" s="53" t="str">
        <f t="shared" si="555"/>
        <v/>
      </c>
      <c r="Q2531" s="53" t="str">
        <f t="shared" si="556"/>
        <v/>
      </c>
      <c r="R2531" s="53" t="str">
        <f t="shared" si="557"/>
        <v/>
      </c>
      <c r="S2531" s="53" t="str">
        <f t="shared" si="558"/>
        <v/>
      </c>
      <c r="T2531" s="53" t="str">
        <f t="shared" si="559"/>
        <v/>
      </c>
    </row>
    <row r="2532" spans="1:20">
      <c r="A2532" s="47" t="str">
        <f>IF(archive!E2532="","",archive!E2532)</f>
        <v/>
      </c>
      <c r="B2532" s="48" t="str">
        <f t="shared" si="546"/>
        <v/>
      </c>
      <c r="C2532" s="49" t="str">
        <f>IF(archive!F2532="","",archive!F2532)</f>
        <v/>
      </c>
      <c r="D2532" s="50" t="str">
        <f t="shared" si="547"/>
        <v/>
      </c>
      <c r="E2532" s="50" t="str">
        <f t="shared" si="548"/>
        <v/>
      </c>
      <c r="F2532" s="47" t="str">
        <f>IF(COUNTA(archive!H2532:CI2532)=0,"",COUNTA(archive!H2532:CI2532))</f>
        <v/>
      </c>
      <c r="G2532" s="47" t="str">
        <f>IF(archive!G2532="","",archive!G2532)</f>
        <v/>
      </c>
      <c r="H2532" s="51" t="str">
        <f>IF(archive!CJ2532="","",archive!CJ2532)</f>
        <v/>
      </c>
      <c r="I2532" s="51" t="str">
        <f>IF(archive!CK2532="","",archive!CK2532)</f>
        <v/>
      </c>
      <c r="J2532" s="47" t="str">
        <f t="shared" si="549"/>
        <v/>
      </c>
      <c r="K2532" s="51" t="str">
        <f t="shared" si="550"/>
        <v/>
      </c>
      <c r="L2532" s="52" t="str">
        <f t="shared" si="551"/>
        <v/>
      </c>
      <c r="M2532" s="53" t="str">
        <f t="shared" si="552"/>
        <v/>
      </c>
      <c r="N2532" s="53" t="str">
        <f t="shared" si="553"/>
        <v/>
      </c>
      <c r="O2532" s="53" t="str">
        <f t="shared" si="554"/>
        <v/>
      </c>
      <c r="P2532" s="53" t="str">
        <f t="shared" si="555"/>
        <v/>
      </c>
      <c r="Q2532" s="53" t="str">
        <f t="shared" si="556"/>
        <v/>
      </c>
      <c r="R2532" s="53" t="str">
        <f t="shared" si="557"/>
        <v/>
      </c>
      <c r="S2532" s="53" t="str">
        <f t="shared" si="558"/>
        <v/>
      </c>
      <c r="T2532" s="53" t="str">
        <f t="shared" si="559"/>
        <v/>
      </c>
    </row>
    <row r="2533" spans="1:20">
      <c r="A2533" s="47" t="str">
        <f>IF(archive!E2533="","",archive!E2533)</f>
        <v/>
      </c>
      <c r="B2533" s="48" t="str">
        <f t="shared" si="546"/>
        <v/>
      </c>
      <c r="C2533" s="49" t="str">
        <f>IF(archive!F2533="","",archive!F2533)</f>
        <v/>
      </c>
      <c r="D2533" s="50" t="str">
        <f t="shared" si="547"/>
        <v/>
      </c>
      <c r="E2533" s="50" t="str">
        <f t="shared" si="548"/>
        <v/>
      </c>
      <c r="F2533" s="47" t="str">
        <f>IF(COUNTA(archive!H2533:CI2533)=0,"",COUNTA(archive!H2533:CI2533))</f>
        <v/>
      </c>
      <c r="G2533" s="47" t="str">
        <f>IF(archive!G2533="","",archive!G2533)</f>
        <v/>
      </c>
      <c r="H2533" s="51" t="str">
        <f>IF(archive!CJ2533="","",archive!CJ2533)</f>
        <v/>
      </c>
      <c r="I2533" s="51" t="str">
        <f>IF(archive!CK2533="","",archive!CK2533)</f>
        <v/>
      </c>
      <c r="J2533" s="47" t="str">
        <f t="shared" si="549"/>
        <v/>
      </c>
      <c r="K2533" s="51" t="str">
        <f t="shared" si="550"/>
        <v/>
      </c>
      <c r="L2533" s="52" t="str">
        <f t="shared" si="551"/>
        <v/>
      </c>
      <c r="M2533" s="53" t="str">
        <f t="shared" si="552"/>
        <v/>
      </c>
      <c r="N2533" s="53" t="str">
        <f t="shared" si="553"/>
        <v/>
      </c>
      <c r="O2533" s="53" t="str">
        <f t="shared" si="554"/>
        <v/>
      </c>
      <c r="P2533" s="53" t="str">
        <f t="shared" si="555"/>
        <v/>
      </c>
      <c r="Q2533" s="53" t="str">
        <f t="shared" si="556"/>
        <v/>
      </c>
      <c r="R2533" s="53" t="str">
        <f t="shared" si="557"/>
        <v/>
      </c>
      <c r="S2533" s="53" t="str">
        <f t="shared" si="558"/>
        <v/>
      </c>
      <c r="T2533" s="53" t="str">
        <f t="shared" si="559"/>
        <v/>
      </c>
    </row>
    <row r="2534" spans="1:20">
      <c r="A2534" s="47" t="str">
        <f>IF(archive!E2534="","",archive!E2534)</f>
        <v/>
      </c>
      <c r="B2534" s="48" t="str">
        <f t="shared" si="546"/>
        <v/>
      </c>
      <c r="C2534" s="49" t="str">
        <f>IF(archive!F2534="","",archive!F2534)</f>
        <v/>
      </c>
      <c r="D2534" s="50" t="str">
        <f t="shared" si="547"/>
        <v/>
      </c>
      <c r="E2534" s="50" t="str">
        <f t="shared" si="548"/>
        <v/>
      </c>
      <c r="F2534" s="47" t="str">
        <f>IF(COUNTA(archive!H2534:CI2534)=0,"",COUNTA(archive!H2534:CI2534))</f>
        <v/>
      </c>
      <c r="G2534" s="47" t="str">
        <f>IF(archive!G2534="","",archive!G2534)</f>
        <v/>
      </c>
      <c r="H2534" s="51" t="str">
        <f>IF(archive!CJ2534="","",archive!CJ2534)</f>
        <v/>
      </c>
      <c r="I2534" s="51" t="str">
        <f>IF(archive!CK2534="","",archive!CK2534)</f>
        <v/>
      </c>
      <c r="J2534" s="47" t="str">
        <f t="shared" si="549"/>
        <v/>
      </c>
      <c r="K2534" s="51" t="str">
        <f t="shared" si="550"/>
        <v/>
      </c>
      <c r="L2534" s="52" t="str">
        <f t="shared" si="551"/>
        <v/>
      </c>
      <c r="M2534" s="53" t="str">
        <f t="shared" si="552"/>
        <v/>
      </c>
      <c r="N2534" s="53" t="str">
        <f t="shared" si="553"/>
        <v/>
      </c>
      <c r="O2534" s="53" t="str">
        <f t="shared" si="554"/>
        <v/>
      </c>
      <c r="P2534" s="53" t="str">
        <f t="shared" si="555"/>
        <v/>
      </c>
      <c r="Q2534" s="53" t="str">
        <f t="shared" si="556"/>
        <v/>
      </c>
      <c r="R2534" s="53" t="str">
        <f t="shared" si="557"/>
        <v/>
      </c>
      <c r="S2534" s="53" t="str">
        <f t="shared" si="558"/>
        <v/>
      </c>
      <c r="T2534" s="53" t="str">
        <f t="shared" si="559"/>
        <v/>
      </c>
    </row>
    <row r="2535" spans="1:20">
      <c r="A2535" s="47" t="str">
        <f>IF(archive!E2535="","",archive!E2535)</f>
        <v/>
      </c>
      <c r="B2535" s="48" t="str">
        <f t="shared" si="546"/>
        <v/>
      </c>
      <c r="C2535" s="49" t="str">
        <f>IF(archive!F2535="","",archive!F2535)</f>
        <v/>
      </c>
      <c r="D2535" s="50" t="str">
        <f t="shared" si="547"/>
        <v/>
      </c>
      <c r="E2535" s="50" t="str">
        <f t="shared" si="548"/>
        <v/>
      </c>
      <c r="F2535" s="47" t="str">
        <f>IF(COUNTA(archive!H2535:CI2535)=0,"",COUNTA(archive!H2535:CI2535))</f>
        <v/>
      </c>
      <c r="G2535" s="47" t="str">
        <f>IF(archive!G2535="","",archive!G2535)</f>
        <v/>
      </c>
      <c r="H2535" s="51" t="str">
        <f>IF(archive!CJ2535="","",archive!CJ2535)</f>
        <v/>
      </c>
      <c r="I2535" s="51" t="str">
        <f>IF(archive!CK2535="","",archive!CK2535)</f>
        <v/>
      </c>
      <c r="J2535" s="47" t="str">
        <f t="shared" si="549"/>
        <v/>
      </c>
      <c r="K2535" s="51" t="str">
        <f t="shared" si="550"/>
        <v/>
      </c>
      <c r="L2535" s="52" t="str">
        <f t="shared" si="551"/>
        <v/>
      </c>
      <c r="M2535" s="53" t="str">
        <f t="shared" si="552"/>
        <v/>
      </c>
      <c r="N2535" s="53" t="str">
        <f t="shared" si="553"/>
        <v/>
      </c>
      <c r="O2535" s="53" t="str">
        <f t="shared" si="554"/>
        <v/>
      </c>
      <c r="P2535" s="53" t="str">
        <f t="shared" si="555"/>
        <v/>
      </c>
      <c r="Q2535" s="53" t="str">
        <f t="shared" si="556"/>
        <v/>
      </c>
      <c r="R2535" s="53" t="str">
        <f t="shared" si="557"/>
        <v/>
      </c>
      <c r="S2535" s="53" t="str">
        <f t="shared" si="558"/>
        <v/>
      </c>
      <c r="T2535" s="53" t="str">
        <f t="shared" si="559"/>
        <v/>
      </c>
    </row>
    <row r="2536" spans="1:20">
      <c r="A2536" s="47" t="str">
        <f>IF(archive!E2536="","",archive!E2536)</f>
        <v/>
      </c>
      <c r="B2536" s="48" t="str">
        <f t="shared" si="546"/>
        <v/>
      </c>
      <c r="C2536" s="49" t="str">
        <f>IF(archive!F2536="","",archive!F2536)</f>
        <v/>
      </c>
      <c r="D2536" s="50" t="str">
        <f t="shared" si="547"/>
        <v/>
      </c>
      <c r="E2536" s="50" t="str">
        <f t="shared" si="548"/>
        <v/>
      </c>
      <c r="F2536" s="47" t="str">
        <f>IF(COUNTA(archive!H2536:CI2536)=0,"",COUNTA(archive!H2536:CI2536))</f>
        <v/>
      </c>
      <c r="G2536" s="47" t="str">
        <f>IF(archive!G2536="","",archive!G2536)</f>
        <v/>
      </c>
      <c r="H2536" s="51" t="str">
        <f>IF(archive!CJ2536="","",archive!CJ2536)</f>
        <v/>
      </c>
      <c r="I2536" s="51" t="str">
        <f>IF(archive!CK2536="","",archive!CK2536)</f>
        <v/>
      </c>
      <c r="J2536" s="47" t="str">
        <f t="shared" si="549"/>
        <v/>
      </c>
      <c r="K2536" s="51" t="str">
        <f t="shared" si="550"/>
        <v/>
      </c>
      <c r="L2536" s="52" t="str">
        <f t="shared" si="551"/>
        <v/>
      </c>
      <c r="M2536" s="53" t="str">
        <f t="shared" si="552"/>
        <v/>
      </c>
      <c r="N2536" s="53" t="str">
        <f t="shared" si="553"/>
        <v/>
      </c>
      <c r="O2536" s="53" t="str">
        <f t="shared" si="554"/>
        <v/>
      </c>
      <c r="P2536" s="53" t="str">
        <f t="shared" si="555"/>
        <v/>
      </c>
      <c r="Q2536" s="53" t="str">
        <f t="shared" si="556"/>
        <v/>
      </c>
      <c r="R2536" s="53" t="str">
        <f t="shared" si="557"/>
        <v/>
      </c>
      <c r="S2536" s="53" t="str">
        <f t="shared" si="558"/>
        <v/>
      </c>
      <c r="T2536" s="53" t="str">
        <f t="shared" si="559"/>
        <v/>
      </c>
    </row>
    <row r="2537" spans="1:20">
      <c r="A2537" s="47" t="str">
        <f>IF(archive!E2537="","",archive!E2537)</f>
        <v/>
      </c>
      <c r="B2537" s="48" t="str">
        <f t="shared" si="546"/>
        <v/>
      </c>
      <c r="C2537" s="49" t="str">
        <f>IF(archive!F2537="","",archive!F2537)</f>
        <v/>
      </c>
      <c r="D2537" s="50" t="str">
        <f t="shared" si="547"/>
        <v/>
      </c>
      <c r="E2537" s="50" t="str">
        <f t="shared" si="548"/>
        <v/>
      </c>
      <c r="F2537" s="47" t="str">
        <f>IF(COUNTA(archive!H2537:CI2537)=0,"",COUNTA(archive!H2537:CI2537))</f>
        <v/>
      </c>
      <c r="G2537" s="47" t="str">
        <f>IF(archive!G2537="","",archive!G2537)</f>
        <v/>
      </c>
      <c r="H2537" s="51" t="str">
        <f>IF(archive!CJ2537="","",archive!CJ2537)</f>
        <v/>
      </c>
      <c r="I2537" s="51" t="str">
        <f>IF(archive!CK2537="","",archive!CK2537)</f>
        <v/>
      </c>
      <c r="J2537" s="47" t="str">
        <f t="shared" si="549"/>
        <v/>
      </c>
      <c r="K2537" s="51" t="str">
        <f t="shared" si="550"/>
        <v/>
      </c>
      <c r="L2537" s="52" t="str">
        <f t="shared" si="551"/>
        <v/>
      </c>
      <c r="M2537" s="53" t="str">
        <f t="shared" si="552"/>
        <v/>
      </c>
      <c r="N2537" s="53" t="str">
        <f t="shared" si="553"/>
        <v/>
      </c>
      <c r="O2537" s="53" t="str">
        <f t="shared" si="554"/>
        <v/>
      </c>
      <c r="P2537" s="53" t="str">
        <f t="shared" si="555"/>
        <v/>
      </c>
      <c r="Q2537" s="53" t="str">
        <f t="shared" si="556"/>
        <v/>
      </c>
      <c r="R2537" s="53" t="str">
        <f t="shared" si="557"/>
        <v/>
      </c>
      <c r="S2537" s="53" t="str">
        <f t="shared" si="558"/>
        <v/>
      </c>
      <c r="T2537" s="53" t="str">
        <f t="shared" si="559"/>
        <v/>
      </c>
    </row>
    <row r="2538" spans="1:20">
      <c r="A2538" s="47" t="str">
        <f>IF(archive!E2538="","",archive!E2538)</f>
        <v/>
      </c>
      <c r="B2538" s="48" t="str">
        <f t="shared" si="546"/>
        <v/>
      </c>
      <c r="C2538" s="49" t="str">
        <f>IF(archive!F2538="","",archive!F2538)</f>
        <v/>
      </c>
      <c r="D2538" s="50" t="str">
        <f t="shared" si="547"/>
        <v/>
      </c>
      <c r="E2538" s="50" t="str">
        <f t="shared" si="548"/>
        <v/>
      </c>
      <c r="F2538" s="47" t="str">
        <f>IF(COUNTA(archive!H2538:CI2538)=0,"",COUNTA(archive!H2538:CI2538))</f>
        <v/>
      </c>
      <c r="G2538" s="47" t="str">
        <f>IF(archive!G2538="","",archive!G2538)</f>
        <v/>
      </c>
      <c r="H2538" s="51" t="str">
        <f>IF(archive!CJ2538="","",archive!CJ2538)</f>
        <v/>
      </c>
      <c r="I2538" s="51" t="str">
        <f>IF(archive!CK2538="","",archive!CK2538)</f>
        <v/>
      </c>
      <c r="J2538" s="47" t="str">
        <f t="shared" si="549"/>
        <v/>
      </c>
      <c r="K2538" s="51" t="str">
        <f t="shared" si="550"/>
        <v/>
      </c>
      <c r="L2538" s="52" t="str">
        <f t="shared" si="551"/>
        <v/>
      </c>
      <c r="M2538" s="53" t="str">
        <f t="shared" si="552"/>
        <v/>
      </c>
      <c r="N2538" s="53" t="str">
        <f t="shared" si="553"/>
        <v/>
      </c>
      <c r="O2538" s="53" t="str">
        <f t="shared" si="554"/>
        <v/>
      </c>
      <c r="P2538" s="53" t="str">
        <f t="shared" si="555"/>
        <v/>
      </c>
      <c r="Q2538" s="53" t="str">
        <f t="shared" si="556"/>
        <v/>
      </c>
      <c r="R2538" s="53" t="str">
        <f t="shared" si="557"/>
        <v/>
      </c>
      <c r="S2538" s="53" t="str">
        <f t="shared" si="558"/>
        <v/>
      </c>
      <c r="T2538" s="53" t="str">
        <f t="shared" si="559"/>
        <v/>
      </c>
    </row>
    <row r="2539" spans="1:20">
      <c r="A2539" s="47" t="str">
        <f>IF(archive!E2539="","",archive!E2539)</f>
        <v/>
      </c>
      <c r="B2539" s="48" t="str">
        <f t="shared" si="546"/>
        <v/>
      </c>
      <c r="C2539" s="49" t="str">
        <f>IF(archive!F2539="","",archive!F2539)</f>
        <v/>
      </c>
      <c r="D2539" s="50" t="str">
        <f t="shared" si="547"/>
        <v/>
      </c>
      <c r="E2539" s="50" t="str">
        <f t="shared" si="548"/>
        <v/>
      </c>
      <c r="F2539" s="47" t="str">
        <f>IF(COUNTA(archive!H2539:CI2539)=0,"",COUNTA(archive!H2539:CI2539))</f>
        <v/>
      </c>
      <c r="G2539" s="47" t="str">
        <f>IF(archive!G2539="","",archive!G2539)</f>
        <v/>
      </c>
      <c r="H2539" s="51" t="str">
        <f>IF(archive!CJ2539="","",archive!CJ2539)</f>
        <v/>
      </c>
      <c r="I2539" s="51" t="str">
        <f>IF(archive!CK2539="","",archive!CK2539)</f>
        <v/>
      </c>
      <c r="J2539" s="47" t="str">
        <f t="shared" si="549"/>
        <v/>
      </c>
      <c r="K2539" s="51" t="str">
        <f t="shared" si="550"/>
        <v/>
      </c>
      <c r="L2539" s="52" t="str">
        <f t="shared" si="551"/>
        <v/>
      </c>
      <c r="M2539" s="53" t="str">
        <f t="shared" si="552"/>
        <v/>
      </c>
      <c r="N2539" s="53" t="str">
        <f t="shared" si="553"/>
        <v/>
      </c>
      <c r="O2539" s="53" t="str">
        <f t="shared" si="554"/>
        <v/>
      </c>
      <c r="P2539" s="53" t="str">
        <f t="shared" si="555"/>
        <v/>
      </c>
      <c r="Q2539" s="53" t="str">
        <f t="shared" si="556"/>
        <v/>
      </c>
      <c r="R2539" s="53" t="str">
        <f t="shared" si="557"/>
        <v/>
      </c>
      <c r="S2539" s="53" t="str">
        <f t="shared" si="558"/>
        <v/>
      </c>
      <c r="T2539" s="53" t="str">
        <f t="shared" si="559"/>
        <v/>
      </c>
    </row>
    <row r="2540" spans="1:20">
      <c r="A2540" s="47" t="str">
        <f>IF(archive!E2540="","",archive!E2540)</f>
        <v/>
      </c>
      <c r="B2540" s="48" t="str">
        <f t="shared" si="546"/>
        <v/>
      </c>
      <c r="C2540" s="49" t="str">
        <f>IF(archive!F2540="","",archive!F2540)</f>
        <v/>
      </c>
      <c r="D2540" s="50" t="str">
        <f t="shared" si="547"/>
        <v/>
      </c>
      <c r="E2540" s="50" t="str">
        <f t="shared" si="548"/>
        <v/>
      </c>
      <c r="F2540" s="47" t="str">
        <f>IF(COUNTA(archive!H2540:CI2540)=0,"",COUNTA(archive!H2540:CI2540))</f>
        <v/>
      </c>
      <c r="G2540" s="47" t="str">
        <f>IF(archive!G2540="","",archive!G2540)</f>
        <v/>
      </c>
      <c r="H2540" s="51" t="str">
        <f>IF(archive!CJ2540="","",archive!CJ2540)</f>
        <v/>
      </c>
      <c r="I2540" s="51" t="str">
        <f>IF(archive!CK2540="","",archive!CK2540)</f>
        <v/>
      </c>
      <c r="J2540" s="47" t="str">
        <f t="shared" si="549"/>
        <v/>
      </c>
      <c r="K2540" s="51" t="str">
        <f t="shared" si="550"/>
        <v/>
      </c>
      <c r="L2540" s="52" t="str">
        <f t="shared" si="551"/>
        <v/>
      </c>
      <c r="M2540" s="53" t="str">
        <f t="shared" si="552"/>
        <v/>
      </c>
      <c r="N2540" s="53" t="str">
        <f t="shared" si="553"/>
        <v/>
      </c>
      <c r="O2540" s="53" t="str">
        <f t="shared" si="554"/>
        <v/>
      </c>
      <c r="P2540" s="53" t="str">
        <f t="shared" si="555"/>
        <v/>
      </c>
      <c r="Q2540" s="53" t="str">
        <f t="shared" si="556"/>
        <v/>
      </c>
      <c r="R2540" s="53" t="str">
        <f t="shared" si="557"/>
        <v/>
      </c>
      <c r="S2540" s="53" t="str">
        <f t="shared" si="558"/>
        <v/>
      </c>
      <c r="T2540" s="53" t="str">
        <f t="shared" si="559"/>
        <v/>
      </c>
    </row>
    <row r="2541" spans="1:20">
      <c r="A2541" s="47" t="str">
        <f>IF(archive!E2541="","",archive!E2541)</f>
        <v/>
      </c>
      <c r="B2541" s="48" t="str">
        <f t="shared" si="546"/>
        <v/>
      </c>
      <c r="C2541" s="49" t="str">
        <f>IF(archive!F2541="","",archive!F2541)</f>
        <v/>
      </c>
      <c r="D2541" s="50" t="str">
        <f t="shared" si="547"/>
        <v/>
      </c>
      <c r="E2541" s="50" t="str">
        <f t="shared" si="548"/>
        <v/>
      </c>
      <c r="F2541" s="47" t="str">
        <f>IF(COUNTA(archive!H2541:CI2541)=0,"",COUNTA(archive!H2541:CI2541))</f>
        <v/>
      </c>
      <c r="G2541" s="47" t="str">
        <f>IF(archive!G2541="","",archive!G2541)</f>
        <v/>
      </c>
      <c r="H2541" s="51" t="str">
        <f>IF(archive!CJ2541="","",archive!CJ2541)</f>
        <v/>
      </c>
      <c r="I2541" s="51" t="str">
        <f>IF(archive!CK2541="","",archive!CK2541)</f>
        <v/>
      </c>
      <c r="J2541" s="47" t="str">
        <f t="shared" si="549"/>
        <v/>
      </c>
      <c r="K2541" s="51" t="str">
        <f t="shared" si="550"/>
        <v/>
      </c>
      <c r="L2541" s="52" t="str">
        <f t="shared" si="551"/>
        <v/>
      </c>
      <c r="M2541" s="53" t="str">
        <f t="shared" si="552"/>
        <v/>
      </c>
      <c r="N2541" s="53" t="str">
        <f t="shared" si="553"/>
        <v/>
      </c>
      <c r="O2541" s="53" t="str">
        <f t="shared" si="554"/>
        <v/>
      </c>
      <c r="P2541" s="53" t="str">
        <f t="shared" si="555"/>
        <v/>
      </c>
      <c r="Q2541" s="53" t="str">
        <f t="shared" si="556"/>
        <v/>
      </c>
      <c r="R2541" s="53" t="str">
        <f t="shared" si="557"/>
        <v/>
      </c>
      <c r="S2541" s="53" t="str">
        <f t="shared" si="558"/>
        <v/>
      </c>
      <c r="T2541" s="53" t="str">
        <f t="shared" si="559"/>
        <v/>
      </c>
    </row>
    <row r="2542" spans="1:20">
      <c r="A2542" s="47" t="str">
        <f>IF(archive!E2542="","",archive!E2542)</f>
        <v/>
      </c>
      <c r="B2542" s="48" t="str">
        <f t="shared" si="546"/>
        <v/>
      </c>
      <c r="C2542" s="49" t="str">
        <f>IF(archive!F2542="","",archive!F2542)</f>
        <v/>
      </c>
      <c r="D2542" s="50" t="str">
        <f t="shared" si="547"/>
        <v/>
      </c>
      <c r="E2542" s="50" t="str">
        <f t="shared" si="548"/>
        <v/>
      </c>
      <c r="F2542" s="47" t="str">
        <f>IF(COUNTA(archive!H2542:CI2542)=0,"",COUNTA(archive!H2542:CI2542))</f>
        <v/>
      </c>
      <c r="G2542" s="47" t="str">
        <f>IF(archive!G2542="","",archive!G2542)</f>
        <v/>
      </c>
      <c r="H2542" s="51" t="str">
        <f>IF(archive!CJ2542="","",archive!CJ2542)</f>
        <v/>
      </c>
      <c r="I2542" s="51" t="str">
        <f>IF(archive!CK2542="","",archive!CK2542)</f>
        <v/>
      </c>
      <c r="J2542" s="47" t="str">
        <f t="shared" si="549"/>
        <v/>
      </c>
      <c r="K2542" s="51" t="str">
        <f t="shared" si="550"/>
        <v/>
      </c>
      <c r="L2542" s="52" t="str">
        <f t="shared" si="551"/>
        <v/>
      </c>
      <c r="M2542" s="53" t="str">
        <f t="shared" si="552"/>
        <v/>
      </c>
      <c r="N2542" s="53" t="str">
        <f t="shared" si="553"/>
        <v/>
      </c>
      <c r="O2542" s="53" t="str">
        <f t="shared" si="554"/>
        <v/>
      </c>
      <c r="P2542" s="53" t="str">
        <f t="shared" si="555"/>
        <v/>
      </c>
      <c r="Q2542" s="53" t="str">
        <f t="shared" si="556"/>
        <v/>
      </c>
      <c r="R2542" s="53" t="str">
        <f t="shared" si="557"/>
        <v/>
      </c>
      <c r="S2542" s="53" t="str">
        <f t="shared" si="558"/>
        <v/>
      </c>
      <c r="T2542" s="53" t="str">
        <f t="shared" si="559"/>
        <v/>
      </c>
    </row>
    <row r="2543" spans="1:20">
      <c r="A2543" s="47" t="str">
        <f>IF(archive!E2543="","",archive!E2543)</f>
        <v/>
      </c>
      <c r="B2543" s="48" t="str">
        <f t="shared" si="546"/>
        <v/>
      </c>
      <c r="C2543" s="49" t="str">
        <f>IF(archive!F2543="","",archive!F2543)</f>
        <v/>
      </c>
      <c r="D2543" s="50" t="str">
        <f t="shared" si="547"/>
        <v/>
      </c>
      <c r="E2543" s="50" t="str">
        <f t="shared" si="548"/>
        <v/>
      </c>
      <c r="F2543" s="47" t="str">
        <f>IF(COUNTA(archive!H2543:CI2543)=0,"",COUNTA(archive!H2543:CI2543))</f>
        <v/>
      </c>
      <c r="G2543" s="47" t="str">
        <f>IF(archive!G2543="","",archive!G2543)</f>
        <v/>
      </c>
      <c r="H2543" s="51" t="str">
        <f>IF(archive!CJ2543="","",archive!CJ2543)</f>
        <v/>
      </c>
      <c r="I2543" s="51" t="str">
        <f>IF(archive!CK2543="","",archive!CK2543)</f>
        <v/>
      </c>
      <c r="J2543" s="47" t="str">
        <f t="shared" si="549"/>
        <v/>
      </c>
      <c r="K2543" s="51" t="str">
        <f t="shared" si="550"/>
        <v/>
      </c>
      <c r="L2543" s="52" t="str">
        <f t="shared" si="551"/>
        <v/>
      </c>
      <c r="M2543" s="53" t="str">
        <f t="shared" si="552"/>
        <v/>
      </c>
      <c r="N2543" s="53" t="str">
        <f t="shared" si="553"/>
        <v/>
      </c>
      <c r="O2543" s="53" t="str">
        <f t="shared" si="554"/>
        <v/>
      </c>
      <c r="P2543" s="53" t="str">
        <f t="shared" si="555"/>
        <v/>
      </c>
      <c r="Q2543" s="53" t="str">
        <f t="shared" si="556"/>
        <v/>
      </c>
      <c r="R2543" s="53" t="str">
        <f t="shared" si="557"/>
        <v/>
      </c>
      <c r="S2543" s="53" t="str">
        <f t="shared" si="558"/>
        <v/>
      </c>
      <c r="T2543" s="53" t="str">
        <f t="shared" si="559"/>
        <v/>
      </c>
    </row>
    <row r="2544" spans="1:20">
      <c r="A2544" s="47" t="str">
        <f>IF(archive!E2544="","",archive!E2544)</f>
        <v/>
      </c>
      <c r="B2544" s="48" t="str">
        <f t="shared" si="546"/>
        <v/>
      </c>
      <c r="C2544" s="49" t="str">
        <f>IF(archive!F2544="","",archive!F2544)</f>
        <v/>
      </c>
      <c r="D2544" s="50" t="str">
        <f t="shared" si="547"/>
        <v/>
      </c>
      <c r="E2544" s="50" t="str">
        <f t="shared" si="548"/>
        <v/>
      </c>
      <c r="F2544" s="47" t="str">
        <f>IF(COUNTA(archive!H2544:CI2544)=0,"",COUNTA(archive!H2544:CI2544))</f>
        <v/>
      </c>
      <c r="G2544" s="47" t="str">
        <f>IF(archive!G2544="","",archive!G2544)</f>
        <v/>
      </c>
      <c r="H2544" s="51" t="str">
        <f>IF(archive!CJ2544="","",archive!CJ2544)</f>
        <v/>
      </c>
      <c r="I2544" s="51" t="str">
        <f>IF(archive!CK2544="","",archive!CK2544)</f>
        <v/>
      </c>
      <c r="J2544" s="47" t="str">
        <f t="shared" si="549"/>
        <v/>
      </c>
      <c r="K2544" s="51" t="str">
        <f t="shared" si="550"/>
        <v/>
      </c>
      <c r="L2544" s="52" t="str">
        <f t="shared" si="551"/>
        <v/>
      </c>
      <c r="M2544" s="53" t="str">
        <f t="shared" si="552"/>
        <v/>
      </c>
      <c r="N2544" s="53" t="str">
        <f t="shared" si="553"/>
        <v/>
      </c>
      <c r="O2544" s="53" t="str">
        <f t="shared" si="554"/>
        <v/>
      </c>
      <c r="P2544" s="53" t="str">
        <f t="shared" si="555"/>
        <v/>
      </c>
      <c r="Q2544" s="53" t="str">
        <f t="shared" si="556"/>
        <v/>
      </c>
      <c r="R2544" s="53" t="str">
        <f t="shared" si="557"/>
        <v/>
      </c>
      <c r="S2544" s="53" t="str">
        <f t="shared" si="558"/>
        <v/>
      </c>
      <c r="T2544" s="53" t="str">
        <f t="shared" si="559"/>
        <v/>
      </c>
    </row>
    <row r="2545" spans="1:20">
      <c r="A2545" s="47" t="str">
        <f>IF(archive!E2545="","",archive!E2545)</f>
        <v/>
      </c>
      <c r="B2545" s="48" t="str">
        <f t="shared" si="546"/>
        <v/>
      </c>
      <c r="C2545" s="49" t="str">
        <f>IF(archive!F2545="","",archive!F2545)</f>
        <v/>
      </c>
      <c r="D2545" s="50" t="str">
        <f t="shared" si="547"/>
        <v/>
      </c>
      <c r="E2545" s="50" t="str">
        <f t="shared" si="548"/>
        <v/>
      </c>
      <c r="F2545" s="47" t="str">
        <f>IF(COUNTA(archive!H2545:CI2545)=0,"",COUNTA(archive!H2545:CI2545))</f>
        <v/>
      </c>
      <c r="G2545" s="47" t="str">
        <f>IF(archive!G2545="","",archive!G2545)</f>
        <v/>
      </c>
      <c r="H2545" s="51" t="str">
        <f>IF(archive!CJ2545="","",archive!CJ2545)</f>
        <v/>
      </c>
      <c r="I2545" s="51" t="str">
        <f>IF(archive!CK2545="","",archive!CK2545)</f>
        <v/>
      </c>
      <c r="J2545" s="47" t="str">
        <f t="shared" si="549"/>
        <v/>
      </c>
      <c r="K2545" s="51" t="str">
        <f t="shared" si="550"/>
        <v/>
      </c>
      <c r="L2545" s="52" t="str">
        <f t="shared" si="551"/>
        <v/>
      </c>
      <c r="M2545" s="53" t="str">
        <f t="shared" si="552"/>
        <v/>
      </c>
      <c r="N2545" s="53" t="str">
        <f t="shared" si="553"/>
        <v/>
      </c>
      <c r="O2545" s="53" t="str">
        <f t="shared" si="554"/>
        <v/>
      </c>
      <c r="P2545" s="53" t="str">
        <f t="shared" si="555"/>
        <v/>
      </c>
      <c r="Q2545" s="53" t="str">
        <f t="shared" si="556"/>
        <v/>
      </c>
      <c r="R2545" s="53" t="str">
        <f t="shared" si="557"/>
        <v/>
      </c>
      <c r="S2545" s="53" t="str">
        <f t="shared" si="558"/>
        <v/>
      </c>
      <c r="T2545" s="53" t="str">
        <f t="shared" si="559"/>
        <v/>
      </c>
    </row>
    <row r="2546" spans="1:20">
      <c r="A2546" s="47" t="str">
        <f>IF(archive!E2546="","",archive!E2546)</f>
        <v/>
      </c>
      <c r="B2546" s="48" t="str">
        <f t="shared" si="546"/>
        <v/>
      </c>
      <c r="C2546" s="49" t="str">
        <f>IF(archive!F2546="","",archive!F2546)</f>
        <v/>
      </c>
      <c r="D2546" s="50" t="str">
        <f t="shared" si="547"/>
        <v/>
      </c>
      <c r="E2546" s="50" t="str">
        <f t="shared" si="548"/>
        <v/>
      </c>
      <c r="F2546" s="47" t="str">
        <f>IF(COUNTA(archive!H2546:CI2546)=0,"",COUNTA(archive!H2546:CI2546))</f>
        <v/>
      </c>
      <c r="G2546" s="47" t="str">
        <f>IF(archive!G2546="","",archive!G2546)</f>
        <v/>
      </c>
      <c r="H2546" s="51" t="str">
        <f>IF(archive!CJ2546="","",archive!CJ2546)</f>
        <v/>
      </c>
      <c r="I2546" s="51" t="str">
        <f>IF(archive!CK2546="","",archive!CK2546)</f>
        <v/>
      </c>
      <c r="J2546" s="47" t="str">
        <f t="shared" si="549"/>
        <v/>
      </c>
      <c r="K2546" s="51" t="str">
        <f t="shared" si="550"/>
        <v/>
      </c>
      <c r="L2546" s="52" t="str">
        <f t="shared" si="551"/>
        <v/>
      </c>
      <c r="M2546" s="53" t="str">
        <f t="shared" si="552"/>
        <v/>
      </c>
      <c r="N2546" s="53" t="str">
        <f t="shared" si="553"/>
        <v/>
      </c>
      <c r="O2546" s="53" t="str">
        <f t="shared" si="554"/>
        <v/>
      </c>
      <c r="P2546" s="53" t="str">
        <f t="shared" si="555"/>
        <v/>
      </c>
      <c r="Q2546" s="53" t="str">
        <f t="shared" si="556"/>
        <v/>
      </c>
      <c r="R2546" s="53" t="str">
        <f t="shared" si="557"/>
        <v/>
      </c>
      <c r="S2546" s="53" t="str">
        <f t="shared" si="558"/>
        <v/>
      </c>
      <c r="T2546" s="53" t="str">
        <f t="shared" si="559"/>
        <v/>
      </c>
    </row>
    <row r="2547" spans="1:20">
      <c r="A2547" s="47" t="str">
        <f>IF(archive!E2547="","",archive!E2547)</f>
        <v/>
      </c>
      <c r="B2547" s="48" t="str">
        <f t="shared" si="546"/>
        <v/>
      </c>
      <c r="C2547" s="49" t="str">
        <f>IF(archive!F2547="","",archive!F2547)</f>
        <v/>
      </c>
      <c r="D2547" s="50" t="str">
        <f t="shared" si="547"/>
        <v/>
      </c>
      <c r="E2547" s="50" t="str">
        <f t="shared" si="548"/>
        <v/>
      </c>
      <c r="F2547" s="47" t="str">
        <f>IF(COUNTA(archive!H2547:CI2547)=0,"",COUNTA(archive!H2547:CI2547))</f>
        <v/>
      </c>
      <c r="G2547" s="47" t="str">
        <f>IF(archive!G2547="","",archive!G2547)</f>
        <v/>
      </c>
      <c r="H2547" s="51" t="str">
        <f>IF(archive!CJ2547="","",archive!CJ2547)</f>
        <v/>
      </c>
      <c r="I2547" s="51" t="str">
        <f>IF(archive!CK2547="","",archive!CK2547)</f>
        <v/>
      </c>
      <c r="J2547" s="47" t="str">
        <f t="shared" si="549"/>
        <v/>
      </c>
      <c r="K2547" s="51" t="str">
        <f t="shared" si="550"/>
        <v/>
      </c>
      <c r="L2547" s="52" t="str">
        <f t="shared" si="551"/>
        <v/>
      </c>
      <c r="M2547" s="53" t="str">
        <f t="shared" si="552"/>
        <v/>
      </c>
      <c r="N2547" s="53" t="str">
        <f t="shared" si="553"/>
        <v/>
      </c>
      <c r="O2547" s="53" t="str">
        <f t="shared" si="554"/>
        <v/>
      </c>
      <c r="P2547" s="53" t="str">
        <f t="shared" si="555"/>
        <v/>
      </c>
      <c r="Q2547" s="53" t="str">
        <f t="shared" si="556"/>
        <v/>
      </c>
      <c r="R2547" s="53" t="str">
        <f t="shared" si="557"/>
        <v/>
      </c>
      <c r="S2547" s="53" t="str">
        <f t="shared" si="558"/>
        <v/>
      </c>
      <c r="T2547" s="53" t="str">
        <f t="shared" si="559"/>
        <v/>
      </c>
    </row>
    <row r="2548" spans="1:20">
      <c r="A2548" s="47" t="str">
        <f>IF(archive!E2548="","",archive!E2548)</f>
        <v/>
      </c>
      <c r="B2548" s="48" t="str">
        <f t="shared" si="546"/>
        <v/>
      </c>
      <c r="C2548" s="49" t="str">
        <f>IF(archive!F2548="","",archive!F2548)</f>
        <v/>
      </c>
      <c r="D2548" s="50" t="str">
        <f t="shared" si="547"/>
        <v/>
      </c>
      <c r="E2548" s="50" t="str">
        <f t="shared" si="548"/>
        <v/>
      </c>
      <c r="F2548" s="47" t="str">
        <f>IF(COUNTA(archive!H2548:CI2548)=0,"",COUNTA(archive!H2548:CI2548))</f>
        <v/>
      </c>
      <c r="G2548" s="47" t="str">
        <f>IF(archive!G2548="","",archive!G2548)</f>
        <v/>
      </c>
      <c r="H2548" s="51" t="str">
        <f>IF(archive!CJ2548="","",archive!CJ2548)</f>
        <v/>
      </c>
      <c r="I2548" s="51" t="str">
        <f>IF(archive!CK2548="","",archive!CK2548)</f>
        <v/>
      </c>
      <c r="J2548" s="47" t="str">
        <f t="shared" si="549"/>
        <v/>
      </c>
      <c r="K2548" s="51" t="str">
        <f t="shared" si="550"/>
        <v/>
      </c>
      <c r="L2548" s="52" t="str">
        <f t="shared" si="551"/>
        <v/>
      </c>
      <c r="M2548" s="53" t="str">
        <f t="shared" si="552"/>
        <v/>
      </c>
      <c r="N2548" s="53" t="str">
        <f t="shared" si="553"/>
        <v/>
      </c>
      <c r="O2548" s="53" t="str">
        <f t="shared" si="554"/>
        <v/>
      </c>
      <c r="P2548" s="53" t="str">
        <f t="shared" si="555"/>
        <v/>
      </c>
      <c r="Q2548" s="53" t="str">
        <f t="shared" si="556"/>
        <v/>
      </c>
      <c r="R2548" s="53" t="str">
        <f t="shared" si="557"/>
        <v/>
      </c>
      <c r="S2548" s="53" t="str">
        <f t="shared" si="558"/>
        <v/>
      </c>
      <c r="T2548" s="53" t="str">
        <f t="shared" si="559"/>
        <v/>
      </c>
    </row>
    <row r="2549" spans="1:20">
      <c r="A2549" s="47" t="str">
        <f>IF(archive!E2549="","",archive!E2549)</f>
        <v/>
      </c>
      <c r="B2549" s="48" t="str">
        <f t="shared" si="546"/>
        <v/>
      </c>
      <c r="C2549" s="49" t="str">
        <f>IF(archive!F2549="","",archive!F2549)</f>
        <v/>
      </c>
      <c r="D2549" s="50" t="str">
        <f t="shared" si="547"/>
        <v/>
      </c>
      <c r="E2549" s="50" t="str">
        <f t="shared" si="548"/>
        <v/>
      </c>
      <c r="F2549" s="47" t="str">
        <f>IF(COUNTA(archive!H2549:CI2549)=0,"",COUNTA(archive!H2549:CI2549))</f>
        <v/>
      </c>
      <c r="G2549" s="47" t="str">
        <f>IF(archive!G2549="","",archive!G2549)</f>
        <v/>
      </c>
      <c r="H2549" s="51" t="str">
        <f>IF(archive!CJ2549="","",archive!CJ2549)</f>
        <v/>
      </c>
      <c r="I2549" s="51" t="str">
        <f>IF(archive!CK2549="","",archive!CK2549)</f>
        <v/>
      </c>
      <c r="J2549" s="47" t="str">
        <f t="shared" si="549"/>
        <v/>
      </c>
      <c r="K2549" s="51" t="str">
        <f t="shared" si="550"/>
        <v/>
      </c>
      <c r="L2549" s="52" t="str">
        <f t="shared" si="551"/>
        <v/>
      </c>
      <c r="M2549" s="53" t="str">
        <f t="shared" si="552"/>
        <v/>
      </c>
      <c r="N2549" s="53" t="str">
        <f t="shared" si="553"/>
        <v/>
      </c>
      <c r="O2549" s="53" t="str">
        <f t="shared" si="554"/>
        <v/>
      </c>
      <c r="P2549" s="53" t="str">
        <f t="shared" si="555"/>
        <v/>
      </c>
      <c r="Q2549" s="53" t="str">
        <f t="shared" si="556"/>
        <v/>
      </c>
      <c r="R2549" s="53" t="str">
        <f t="shared" si="557"/>
        <v/>
      </c>
      <c r="S2549" s="53" t="str">
        <f t="shared" si="558"/>
        <v/>
      </c>
      <c r="T2549" s="53" t="str">
        <f t="shared" si="559"/>
        <v/>
      </c>
    </row>
    <row r="2550" spans="1:20">
      <c r="A2550" s="47" t="str">
        <f>IF(archive!E2550="","",archive!E2550)</f>
        <v/>
      </c>
      <c r="B2550" s="48" t="str">
        <f t="shared" si="546"/>
        <v/>
      </c>
      <c r="C2550" s="49" t="str">
        <f>IF(archive!F2550="","",archive!F2550)</f>
        <v/>
      </c>
      <c r="D2550" s="50" t="str">
        <f t="shared" si="547"/>
        <v/>
      </c>
      <c r="E2550" s="50" t="str">
        <f t="shared" si="548"/>
        <v/>
      </c>
      <c r="F2550" s="47" t="str">
        <f>IF(COUNTA(archive!H2550:CI2550)=0,"",COUNTA(archive!H2550:CI2550))</f>
        <v/>
      </c>
      <c r="G2550" s="47" t="str">
        <f>IF(archive!G2550="","",archive!G2550)</f>
        <v/>
      </c>
      <c r="H2550" s="51" t="str">
        <f>IF(archive!CJ2550="","",archive!CJ2550)</f>
        <v/>
      </c>
      <c r="I2550" s="51" t="str">
        <f>IF(archive!CK2550="","",archive!CK2550)</f>
        <v/>
      </c>
      <c r="J2550" s="47" t="str">
        <f t="shared" si="549"/>
        <v/>
      </c>
      <c r="K2550" s="51" t="str">
        <f t="shared" si="550"/>
        <v/>
      </c>
      <c r="L2550" s="52" t="str">
        <f t="shared" si="551"/>
        <v/>
      </c>
      <c r="M2550" s="53" t="str">
        <f t="shared" si="552"/>
        <v/>
      </c>
      <c r="N2550" s="53" t="str">
        <f t="shared" si="553"/>
        <v/>
      </c>
      <c r="O2550" s="53" t="str">
        <f t="shared" si="554"/>
        <v/>
      </c>
      <c r="P2550" s="53" t="str">
        <f t="shared" si="555"/>
        <v/>
      </c>
      <c r="Q2550" s="53" t="str">
        <f t="shared" si="556"/>
        <v/>
      </c>
      <c r="R2550" s="53" t="str">
        <f t="shared" si="557"/>
        <v/>
      </c>
      <c r="S2550" s="53" t="str">
        <f t="shared" si="558"/>
        <v/>
      </c>
      <c r="T2550" s="53" t="str">
        <f t="shared" si="559"/>
        <v/>
      </c>
    </row>
    <row r="2551" spans="1:20">
      <c r="A2551" s="47" t="str">
        <f>IF(archive!E2551="","",archive!E2551)</f>
        <v/>
      </c>
      <c r="B2551" s="48" t="str">
        <f t="shared" si="546"/>
        <v/>
      </c>
      <c r="C2551" s="49" t="str">
        <f>IF(archive!F2551="","",archive!F2551)</f>
        <v/>
      </c>
      <c r="D2551" s="50" t="str">
        <f t="shared" si="547"/>
        <v/>
      </c>
      <c r="E2551" s="50" t="str">
        <f t="shared" si="548"/>
        <v/>
      </c>
      <c r="F2551" s="47" t="str">
        <f>IF(COUNTA(archive!H2551:CI2551)=0,"",COUNTA(archive!H2551:CI2551))</f>
        <v/>
      </c>
      <c r="G2551" s="47" t="str">
        <f>IF(archive!G2551="","",archive!G2551)</f>
        <v/>
      </c>
      <c r="H2551" s="51" t="str">
        <f>IF(archive!CJ2551="","",archive!CJ2551)</f>
        <v/>
      </c>
      <c r="I2551" s="51" t="str">
        <f>IF(archive!CK2551="","",archive!CK2551)</f>
        <v/>
      </c>
      <c r="J2551" s="47" t="str">
        <f t="shared" si="549"/>
        <v/>
      </c>
      <c r="K2551" s="51" t="str">
        <f t="shared" si="550"/>
        <v/>
      </c>
      <c r="L2551" s="52" t="str">
        <f t="shared" si="551"/>
        <v/>
      </c>
      <c r="M2551" s="53" t="str">
        <f t="shared" si="552"/>
        <v/>
      </c>
      <c r="N2551" s="53" t="str">
        <f t="shared" si="553"/>
        <v/>
      </c>
      <c r="O2551" s="53" t="str">
        <f t="shared" si="554"/>
        <v/>
      </c>
      <c r="P2551" s="53" t="str">
        <f t="shared" si="555"/>
        <v/>
      </c>
      <c r="Q2551" s="53" t="str">
        <f t="shared" si="556"/>
        <v/>
      </c>
      <c r="R2551" s="53" t="str">
        <f t="shared" si="557"/>
        <v/>
      </c>
      <c r="S2551" s="53" t="str">
        <f t="shared" si="558"/>
        <v/>
      </c>
      <c r="T2551" s="53" t="str">
        <f t="shared" si="559"/>
        <v/>
      </c>
    </row>
    <row r="2552" spans="1:20">
      <c r="A2552" s="47" t="str">
        <f>IF(archive!E2552="","",archive!E2552)</f>
        <v/>
      </c>
      <c r="B2552" s="48" t="str">
        <f t="shared" si="546"/>
        <v/>
      </c>
      <c r="C2552" s="49" t="str">
        <f>IF(archive!F2552="","",archive!F2552)</f>
        <v/>
      </c>
      <c r="D2552" s="50" t="str">
        <f t="shared" si="547"/>
        <v/>
      </c>
      <c r="E2552" s="50" t="str">
        <f t="shared" si="548"/>
        <v/>
      </c>
      <c r="F2552" s="47" t="str">
        <f>IF(COUNTA(archive!H2552:CI2552)=0,"",COUNTA(archive!H2552:CI2552))</f>
        <v/>
      </c>
      <c r="G2552" s="47" t="str">
        <f>IF(archive!G2552="","",archive!G2552)</f>
        <v/>
      </c>
      <c r="H2552" s="51" t="str">
        <f>IF(archive!CJ2552="","",archive!CJ2552)</f>
        <v/>
      </c>
      <c r="I2552" s="51" t="str">
        <f>IF(archive!CK2552="","",archive!CK2552)</f>
        <v/>
      </c>
      <c r="J2552" s="47" t="str">
        <f t="shared" si="549"/>
        <v/>
      </c>
      <c r="K2552" s="51" t="str">
        <f t="shared" si="550"/>
        <v/>
      </c>
      <c r="L2552" s="52" t="str">
        <f t="shared" si="551"/>
        <v/>
      </c>
      <c r="M2552" s="53" t="str">
        <f t="shared" si="552"/>
        <v/>
      </c>
      <c r="N2552" s="53" t="str">
        <f t="shared" si="553"/>
        <v/>
      </c>
      <c r="O2552" s="53" t="str">
        <f t="shared" si="554"/>
        <v/>
      </c>
      <c r="P2552" s="53" t="str">
        <f t="shared" si="555"/>
        <v/>
      </c>
      <c r="Q2552" s="53" t="str">
        <f t="shared" si="556"/>
        <v/>
      </c>
      <c r="R2552" s="53" t="str">
        <f t="shared" si="557"/>
        <v/>
      </c>
      <c r="S2552" s="53" t="str">
        <f t="shared" si="558"/>
        <v/>
      </c>
      <c r="T2552" s="53" t="str">
        <f t="shared" si="559"/>
        <v/>
      </c>
    </row>
    <row r="2553" spans="1:20">
      <c r="A2553" s="47" t="str">
        <f>IF(archive!E2553="","",archive!E2553)</f>
        <v/>
      </c>
      <c r="B2553" s="48" t="str">
        <f t="shared" si="546"/>
        <v/>
      </c>
      <c r="C2553" s="49" t="str">
        <f>IF(archive!F2553="","",archive!F2553)</f>
        <v/>
      </c>
      <c r="D2553" s="50" t="str">
        <f t="shared" si="547"/>
        <v/>
      </c>
      <c r="E2553" s="50" t="str">
        <f t="shared" si="548"/>
        <v/>
      </c>
      <c r="F2553" s="47" t="str">
        <f>IF(COUNTA(archive!H2553:CI2553)=0,"",COUNTA(archive!H2553:CI2553))</f>
        <v/>
      </c>
      <c r="G2553" s="47" t="str">
        <f>IF(archive!G2553="","",archive!G2553)</f>
        <v/>
      </c>
      <c r="H2553" s="51" t="str">
        <f>IF(archive!CJ2553="","",archive!CJ2553)</f>
        <v/>
      </c>
      <c r="I2553" s="51" t="str">
        <f>IF(archive!CK2553="","",archive!CK2553)</f>
        <v/>
      </c>
      <c r="J2553" s="47" t="str">
        <f t="shared" si="549"/>
        <v/>
      </c>
      <c r="K2553" s="51" t="str">
        <f t="shared" si="550"/>
        <v/>
      </c>
      <c r="L2553" s="52" t="str">
        <f t="shared" si="551"/>
        <v/>
      </c>
      <c r="M2553" s="53" t="str">
        <f t="shared" si="552"/>
        <v/>
      </c>
      <c r="N2553" s="53" t="str">
        <f t="shared" si="553"/>
        <v/>
      </c>
      <c r="O2553" s="53" t="str">
        <f t="shared" si="554"/>
        <v/>
      </c>
      <c r="P2553" s="53" t="str">
        <f t="shared" si="555"/>
        <v/>
      </c>
      <c r="Q2553" s="53" t="str">
        <f t="shared" si="556"/>
        <v/>
      </c>
      <c r="R2553" s="53" t="str">
        <f t="shared" si="557"/>
        <v/>
      </c>
      <c r="S2553" s="53" t="str">
        <f t="shared" si="558"/>
        <v/>
      </c>
      <c r="T2553" s="53" t="str">
        <f t="shared" si="559"/>
        <v/>
      </c>
    </row>
    <row r="2554" spans="1:20">
      <c r="A2554" s="47" t="str">
        <f>IF(archive!E2554="","",archive!E2554)</f>
        <v/>
      </c>
      <c r="B2554" s="48" t="str">
        <f t="shared" si="546"/>
        <v/>
      </c>
      <c r="C2554" s="49" t="str">
        <f>IF(archive!F2554="","",archive!F2554)</f>
        <v/>
      </c>
      <c r="D2554" s="50" t="str">
        <f t="shared" si="547"/>
        <v/>
      </c>
      <c r="E2554" s="50" t="str">
        <f t="shared" si="548"/>
        <v/>
      </c>
      <c r="F2554" s="47" t="str">
        <f>IF(COUNTA(archive!H2554:CI2554)=0,"",COUNTA(archive!H2554:CI2554))</f>
        <v/>
      </c>
      <c r="G2554" s="47" t="str">
        <f>IF(archive!G2554="","",archive!G2554)</f>
        <v/>
      </c>
      <c r="H2554" s="51" t="str">
        <f>IF(archive!CJ2554="","",archive!CJ2554)</f>
        <v/>
      </c>
      <c r="I2554" s="51" t="str">
        <f>IF(archive!CK2554="","",archive!CK2554)</f>
        <v/>
      </c>
      <c r="J2554" s="47" t="str">
        <f t="shared" si="549"/>
        <v/>
      </c>
      <c r="K2554" s="51" t="str">
        <f t="shared" si="550"/>
        <v/>
      </c>
      <c r="L2554" s="52" t="str">
        <f t="shared" si="551"/>
        <v/>
      </c>
      <c r="M2554" s="53" t="str">
        <f t="shared" si="552"/>
        <v/>
      </c>
      <c r="N2554" s="53" t="str">
        <f t="shared" si="553"/>
        <v/>
      </c>
      <c r="O2554" s="53" t="str">
        <f t="shared" si="554"/>
        <v/>
      </c>
      <c r="P2554" s="53" t="str">
        <f t="shared" si="555"/>
        <v/>
      </c>
      <c r="Q2554" s="53" t="str">
        <f t="shared" si="556"/>
        <v/>
      </c>
      <c r="R2554" s="53" t="str">
        <f t="shared" si="557"/>
        <v/>
      </c>
      <c r="S2554" s="53" t="str">
        <f t="shared" si="558"/>
        <v/>
      </c>
      <c r="T2554" s="53" t="str">
        <f t="shared" si="559"/>
        <v/>
      </c>
    </row>
    <row r="2555" spans="1:20">
      <c r="A2555" s="47" t="str">
        <f>IF(archive!E2555="","",archive!E2555)</f>
        <v/>
      </c>
      <c r="B2555" s="48" t="str">
        <f t="shared" si="546"/>
        <v/>
      </c>
      <c r="C2555" s="49" t="str">
        <f>IF(archive!F2555="","",archive!F2555)</f>
        <v/>
      </c>
      <c r="D2555" s="50" t="str">
        <f t="shared" si="547"/>
        <v/>
      </c>
      <c r="E2555" s="50" t="str">
        <f t="shared" si="548"/>
        <v/>
      </c>
      <c r="F2555" s="47" t="str">
        <f>IF(COUNTA(archive!H2555:CI2555)=0,"",COUNTA(archive!H2555:CI2555))</f>
        <v/>
      </c>
      <c r="G2555" s="47" t="str">
        <f>IF(archive!G2555="","",archive!G2555)</f>
        <v/>
      </c>
      <c r="H2555" s="51" t="str">
        <f>IF(archive!CJ2555="","",archive!CJ2555)</f>
        <v/>
      </c>
      <c r="I2555" s="51" t="str">
        <f>IF(archive!CK2555="","",archive!CK2555)</f>
        <v/>
      </c>
      <c r="J2555" s="47" t="str">
        <f t="shared" si="549"/>
        <v/>
      </c>
      <c r="K2555" s="51" t="str">
        <f t="shared" si="550"/>
        <v/>
      </c>
      <c r="L2555" s="52" t="str">
        <f t="shared" si="551"/>
        <v/>
      </c>
      <c r="M2555" s="53" t="str">
        <f t="shared" si="552"/>
        <v/>
      </c>
      <c r="N2555" s="53" t="str">
        <f t="shared" si="553"/>
        <v/>
      </c>
      <c r="O2555" s="53" t="str">
        <f t="shared" si="554"/>
        <v/>
      </c>
      <c r="P2555" s="53" t="str">
        <f t="shared" si="555"/>
        <v/>
      </c>
      <c r="Q2555" s="53" t="str">
        <f t="shared" si="556"/>
        <v/>
      </c>
      <c r="R2555" s="53" t="str">
        <f t="shared" si="557"/>
        <v/>
      </c>
      <c r="S2555" s="53" t="str">
        <f t="shared" si="558"/>
        <v/>
      </c>
      <c r="T2555" s="53" t="str">
        <f t="shared" si="559"/>
        <v/>
      </c>
    </row>
    <row r="2556" spans="1:20">
      <c r="A2556" s="47" t="str">
        <f>IF(archive!E2556="","",archive!E2556)</f>
        <v/>
      </c>
      <c r="B2556" s="48" t="str">
        <f t="shared" si="546"/>
        <v/>
      </c>
      <c r="C2556" s="49" t="str">
        <f>IF(archive!F2556="","",archive!F2556)</f>
        <v/>
      </c>
      <c r="D2556" s="50" t="str">
        <f t="shared" si="547"/>
        <v/>
      </c>
      <c r="E2556" s="50" t="str">
        <f t="shared" si="548"/>
        <v/>
      </c>
      <c r="F2556" s="47" t="str">
        <f>IF(COUNTA(archive!H2556:CI2556)=0,"",COUNTA(archive!H2556:CI2556))</f>
        <v/>
      </c>
      <c r="G2556" s="47" t="str">
        <f>IF(archive!G2556="","",archive!G2556)</f>
        <v/>
      </c>
      <c r="H2556" s="51" t="str">
        <f>IF(archive!CJ2556="","",archive!CJ2556)</f>
        <v/>
      </c>
      <c r="I2556" s="51" t="str">
        <f>IF(archive!CK2556="","",archive!CK2556)</f>
        <v/>
      </c>
      <c r="J2556" s="47" t="str">
        <f t="shared" si="549"/>
        <v/>
      </c>
      <c r="K2556" s="51" t="str">
        <f t="shared" si="550"/>
        <v/>
      </c>
      <c r="L2556" s="52" t="str">
        <f t="shared" si="551"/>
        <v/>
      </c>
      <c r="M2556" s="53" t="str">
        <f t="shared" si="552"/>
        <v/>
      </c>
      <c r="N2556" s="53" t="str">
        <f t="shared" si="553"/>
        <v/>
      </c>
      <c r="O2556" s="53" t="str">
        <f t="shared" si="554"/>
        <v/>
      </c>
      <c r="P2556" s="53" t="str">
        <f t="shared" si="555"/>
        <v/>
      </c>
      <c r="Q2556" s="53" t="str">
        <f t="shared" si="556"/>
        <v/>
      </c>
      <c r="R2556" s="53" t="str">
        <f t="shared" si="557"/>
        <v/>
      </c>
      <c r="S2556" s="53" t="str">
        <f t="shared" si="558"/>
        <v/>
      </c>
      <c r="T2556" s="53" t="str">
        <f t="shared" si="559"/>
        <v/>
      </c>
    </row>
    <row r="2557" spans="1:20">
      <c r="A2557" s="47" t="str">
        <f>IF(archive!E2557="","",archive!E2557)</f>
        <v/>
      </c>
      <c r="B2557" s="48" t="str">
        <f t="shared" si="546"/>
        <v/>
      </c>
      <c r="C2557" s="49" t="str">
        <f>IF(archive!F2557="","",archive!F2557)</f>
        <v/>
      </c>
      <c r="D2557" s="50" t="str">
        <f t="shared" si="547"/>
        <v/>
      </c>
      <c r="E2557" s="50" t="str">
        <f t="shared" si="548"/>
        <v/>
      </c>
      <c r="F2557" s="47" t="str">
        <f>IF(COUNTA(archive!H2557:CI2557)=0,"",COUNTA(archive!H2557:CI2557))</f>
        <v/>
      </c>
      <c r="G2557" s="47" t="str">
        <f>IF(archive!G2557="","",archive!G2557)</f>
        <v/>
      </c>
      <c r="H2557" s="51" t="str">
        <f>IF(archive!CJ2557="","",archive!CJ2557)</f>
        <v/>
      </c>
      <c r="I2557" s="51" t="str">
        <f>IF(archive!CK2557="","",archive!CK2557)</f>
        <v/>
      </c>
      <c r="J2557" s="47" t="str">
        <f t="shared" si="549"/>
        <v/>
      </c>
      <c r="K2557" s="51" t="str">
        <f t="shared" si="550"/>
        <v/>
      </c>
      <c r="L2557" s="52" t="str">
        <f t="shared" si="551"/>
        <v/>
      </c>
      <c r="M2557" s="53" t="str">
        <f t="shared" si="552"/>
        <v/>
      </c>
      <c r="N2557" s="53" t="str">
        <f t="shared" si="553"/>
        <v/>
      </c>
      <c r="O2557" s="53" t="str">
        <f t="shared" si="554"/>
        <v/>
      </c>
      <c r="P2557" s="53" t="str">
        <f t="shared" si="555"/>
        <v/>
      </c>
      <c r="Q2557" s="53" t="str">
        <f t="shared" si="556"/>
        <v/>
      </c>
      <c r="R2557" s="53" t="str">
        <f t="shared" si="557"/>
        <v/>
      </c>
      <c r="S2557" s="53" t="str">
        <f t="shared" si="558"/>
        <v/>
      </c>
      <c r="T2557" s="53" t="str">
        <f t="shared" si="559"/>
        <v/>
      </c>
    </row>
    <row r="2558" spans="1:20">
      <c r="A2558" s="47" t="str">
        <f>IF(archive!E2558="","",archive!E2558)</f>
        <v/>
      </c>
      <c r="B2558" s="48" t="str">
        <f t="shared" si="546"/>
        <v/>
      </c>
      <c r="C2558" s="49" t="str">
        <f>IF(archive!F2558="","",archive!F2558)</f>
        <v/>
      </c>
      <c r="D2558" s="50" t="str">
        <f t="shared" si="547"/>
        <v/>
      </c>
      <c r="E2558" s="50" t="str">
        <f t="shared" si="548"/>
        <v/>
      </c>
      <c r="F2558" s="47" t="str">
        <f>IF(COUNTA(archive!H2558:CI2558)=0,"",COUNTA(archive!H2558:CI2558))</f>
        <v/>
      </c>
      <c r="G2558" s="47" t="str">
        <f>IF(archive!G2558="","",archive!G2558)</f>
        <v/>
      </c>
      <c r="H2558" s="51" t="str">
        <f>IF(archive!CJ2558="","",archive!CJ2558)</f>
        <v/>
      </c>
      <c r="I2558" s="51" t="str">
        <f>IF(archive!CK2558="","",archive!CK2558)</f>
        <v/>
      </c>
      <c r="J2558" s="47" t="str">
        <f t="shared" si="549"/>
        <v/>
      </c>
      <c r="K2558" s="51" t="str">
        <f t="shared" si="550"/>
        <v/>
      </c>
      <c r="L2558" s="52" t="str">
        <f t="shared" si="551"/>
        <v/>
      </c>
      <c r="M2558" s="53" t="str">
        <f t="shared" si="552"/>
        <v/>
      </c>
      <c r="N2558" s="53" t="str">
        <f t="shared" si="553"/>
        <v/>
      </c>
      <c r="O2558" s="53" t="str">
        <f t="shared" si="554"/>
        <v/>
      </c>
      <c r="P2558" s="53" t="str">
        <f t="shared" si="555"/>
        <v/>
      </c>
      <c r="Q2558" s="53" t="str">
        <f t="shared" si="556"/>
        <v/>
      </c>
      <c r="R2558" s="53" t="str">
        <f t="shared" si="557"/>
        <v/>
      </c>
      <c r="S2558" s="53" t="str">
        <f t="shared" si="558"/>
        <v/>
      </c>
      <c r="T2558" s="53" t="str">
        <f t="shared" si="559"/>
        <v/>
      </c>
    </row>
    <row r="2559" spans="1:20">
      <c r="A2559" s="47" t="str">
        <f>IF(archive!E2559="","",archive!E2559)</f>
        <v/>
      </c>
      <c r="B2559" s="48" t="str">
        <f t="shared" si="546"/>
        <v/>
      </c>
      <c r="C2559" s="49" t="str">
        <f>IF(archive!F2559="","",archive!F2559)</f>
        <v/>
      </c>
      <c r="D2559" s="50" t="str">
        <f t="shared" si="547"/>
        <v/>
      </c>
      <c r="E2559" s="50" t="str">
        <f t="shared" si="548"/>
        <v/>
      </c>
      <c r="F2559" s="47" t="str">
        <f>IF(COUNTA(archive!H2559:CI2559)=0,"",COUNTA(archive!H2559:CI2559))</f>
        <v/>
      </c>
      <c r="G2559" s="47" t="str">
        <f>IF(archive!G2559="","",archive!G2559)</f>
        <v/>
      </c>
      <c r="H2559" s="51" t="str">
        <f>IF(archive!CJ2559="","",archive!CJ2559)</f>
        <v/>
      </c>
      <c r="I2559" s="51" t="str">
        <f>IF(archive!CK2559="","",archive!CK2559)</f>
        <v/>
      </c>
      <c r="J2559" s="47" t="str">
        <f t="shared" si="549"/>
        <v/>
      </c>
      <c r="K2559" s="51" t="str">
        <f t="shared" si="550"/>
        <v/>
      </c>
      <c r="L2559" s="52" t="str">
        <f t="shared" si="551"/>
        <v/>
      </c>
      <c r="M2559" s="53" t="str">
        <f t="shared" si="552"/>
        <v/>
      </c>
      <c r="N2559" s="53" t="str">
        <f t="shared" si="553"/>
        <v/>
      </c>
      <c r="O2559" s="53" t="str">
        <f t="shared" si="554"/>
        <v/>
      </c>
      <c r="P2559" s="53" t="str">
        <f t="shared" si="555"/>
        <v/>
      </c>
      <c r="Q2559" s="53" t="str">
        <f t="shared" si="556"/>
        <v/>
      </c>
      <c r="R2559" s="53" t="str">
        <f t="shared" si="557"/>
        <v/>
      </c>
      <c r="S2559" s="53" t="str">
        <f t="shared" si="558"/>
        <v/>
      </c>
      <c r="T2559" s="53" t="str">
        <f t="shared" si="559"/>
        <v/>
      </c>
    </row>
    <row r="2560" spans="1:20">
      <c r="A2560" s="47" t="str">
        <f>IF(archive!E2560="","",archive!E2560)</f>
        <v/>
      </c>
      <c r="B2560" s="48" t="str">
        <f t="shared" si="546"/>
        <v/>
      </c>
      <c r="C2560" s="49" t="str">
        <f>IF(archive!F2560="","",archive!F2560)</f>
        <v/>
      </c>
      <c r="D2560" s="50" t="str">
        <f t="shared" si="547"/>
        <v/>
      </c>
      <c r="E2560" s="50" t="str">
        <f t="shared" si="548"/>
        <v/>
      </c>
      <c r="F2560" s="47" t="str">
        <f>IF(COUNTA(archive!H2560:CI2560)=0,"",COUNTA(archive!H2560:CI2560))</f>
        <v/>
      </c>
      <c r="G2560" s="47" t="str">
        <f>IF(archive!G2560="","",archive!G2560)</f>
        <v/>
      </c>
      <c r="H2560" s="51" t="str">
        <f>IF(archive!CJ2560="","",archive!CJ2560)</f>
        <v/>
      </c>
      <c r="I2560" s="51" t="str">
        <f>IF(archive!CK2560="","",archive!CK2560)</f>
        <v/>
      </c>
      <c r="J2560" s="47" t="str">
        <f t="shared" si="549"/>
        <v/>
      </c>
      <c r="K2560" s="51" t="str">
        <f t="shared" si="550"/>
        <v/>
      </c>
      <c r="L2560" s="52" t="str">
        <f t="shared" si="551"/>
        <v/>
      </c>
      <c r="M2560" s="53" t="str">
        <f t="shared" si="552"/>
        <v/>
      </c>
      <c r="N2560" s="53" t="str">
        <f t="shared" si="553"/>
        <v/>
      </c>
      <c r="O2560" s="53" t="str">
        <f t="shared" si="554"/>
        <v/>
      </c>
      <c r="P2560" s="53" t="str">
        <f t="shared" si="555"/>
        <v/>
      </c>
      <c r="Q2560" s="53" t="str">
        <f t="shared" si="556"/>
        <v/>
      </c>
      <c r="R2560" s="53" t="str">
        <f t="shared" si="557"/>
        <v/>
      </c>
      <c r="S2560" s="53" t="str">
        <f t="shared" si="558"/>
        <v/>
      </c>
      <c r="T2560" s="53" t="str">
        <f t="shared" si="559"/>
        <v/>
      </c>
    </row>
    <row r="2561" spans="1:20">
      <c r="A2561" s="47" t="str">
        <f>IF(archive!E2561="","",archive!E2561)</f>
        <v/>
      </c>
      <c r="B2561" s="48" t="str">
        <f t="shared" si="546"/>
        <v/>
      </c>
      <c r="C2561" s="49" t="str">
        <f>IF(archive!F2561="","",archive!F2561)</f>
        <v/>
      </c>
      <c r="D2561" s="50" t="str">
        <f t="shared" si="547"/>
        <v/>
      </c>
      <c r="E2561" s="50" t="str">
        <f t="shared" si="548"/>
        <v/>
      </c>
      <c r="F2561" s="47" t="str">
        <f>IF(COUNTA(archive!H2561:CI2561)=0,"",COUNTA(archive!H2561:CI2561))</f>
        <v/>
      </c>
      <c r="G2561" s="47" t="str">
        <f>IF(archive!G2561="","",archive!G2561)</f>
        <v/>
      </c>
      <c r="H2561" s="51" t="str">
        <f>IF(archive!CJ2561="","",archive!CJ2561)</f>
        <v/>
      </c>
      <c r="I2561" s="51" t="str">
        <f>IF(archive!CK2561="","",archive!CK2561)</f>
        <v/>
      </c>
      <c r="J2561" s="47" t="str">
        <f t="shared" si="549"/>
        <v/>
      </c>
      <c r="K2561" s="51" t="str">
        <f t="shared" si="550"/>
        <v/>
      </c>
      <c r="L2561" s="52" t="str">
        <f t="shared" si="551"/>
        <v/>
      </c>
      <c r="M2561" s="53" t="str">
        <f t="shared" si="552"/>
        <v/>
      </c>
      <c r="N2561" s="53" t="str">
        <f t="shared" si="553"/>
        <v/>
      </c>
      <c r="O2561" s="53" t="str">
        <f t="shared" si="554"/>
        <v/>
      </c>
      <c r="P2561" s="53" t="str">
        <f t="shared" si="555"/>
        <v/>
      </c>
      <c r="Q2561" s="53" t="str">
        <f t="shared" si="556"/>
        <v/>
      </c>
      <c r="R2561" s="53" t="str">
        <f t="shared" si="557"/>
        <v/>
      </c>
      <c r="S2561" s="53" t="str">
        <f t="shared" si="558"/>
        <v/>
      </c>
      <c r="T2561" s="53" t="str">
        <f t="shared" si="559"/>
        <v/>
      </c>
    </row>
    <row r="2562" spans="1:20">
      <c r="A2562" s="47" t="str">
        <f>IF(archive!E2562="","",archive!E2562)</f>
        <v/>
      </c>
      <c r="B2562" s="48" t="str">
        <f t="shared" si="546"/>
        <v/>
      </c>
      <c r="C2562" s="49" t="str">
        <f>IF(archive!F2562="","",archive!F2562)</f>
        <v/>
      </c>
      <c r="D2562" s="50" t="str">
        <f t="shared" si="547"/>
        <v/>
      </c>
      <c r="E2562" s="50" t="str">
        <f t="shared" si="548"/>
        <v/>
      </c>
      <c r="F2562" s="47" t="str">
        <f>IF(COUNTA(archive!H2562:CI2562)=0,"",COUNTA(archive!H2562:CI2562))</f>
        <v/>
      </c>
      <c r="G2562" s="47" t="str">
        <f>IF(archive!G2562="","",archive!G2562)</f>
        <v/>
      </c>
      <c r="H2562" s="51" t="str">
        <f>IF(archive!CJ2562="","",archive!CJ2562)</f>
        <v/>
      </c>
      <c r="I2562" s="51" t="str">
        <f>IF(archive!CK2562="","",archive!CK2562)</f>
        <v/>
      </c>
      <c r="J2562" s="47" t="str">
        <f t="shared" si="549"/>
        <v/>
      </c>
      <c r="K2562" s="51" t="str">
        <f t="shared" si="550"/>
        <v/>
      </c>
      <c r="L2562" s="52" t="str">
        <f t="shared" si="551"/>
        <v/>
      </c>
      <c r="M2562" s="53" t="str">
        <f t="shared" si="552"/>
        <v/>
      </c>
      <c r="N2562" s="53" t="str">
        <f t="shared" si="553"/>
        <v/>
      </c>
      <c r="O2562" s="53" t="str">
        <f t="shared" si="554"/>
        <v/>
      </c>
      <c r="P2562" s="53" t="str">
        <f t="shared" si="555"/>
        <v/>
      </c>
      <c r="Q2562" s="53" t="str">
        <f t="shared" si="556"/>
        <v/>
      </c>
      <c r="R2562" s="53" t="str">
        <f t="shared" si="557"/>
        <v/>
      </c>
      <c r="S2562" s="53" t="str">
        <f t="shared" si="558"/>
        <v/>
      </c>
      <c r="T2562" s="53" t="str">
        <f t="shared" si="559"/>
        <v/>
      </c>
    </row>
    <row r="2563" spans="1:20">
      <c r="A2563" s="47" t="str">
        <f>IF(archive!E2563="","",archive!E2563)</f>
        <v/>
      </c>
      <c r="B2563" s="48" t="str">
        <f t="shared" si="546"/>
        <v/>
      </c>
      <c r="C2563" s="49" t="str">
        <f>IF(archive!F2563="","",archive!F2563)</f>
        <v/>
      </c>
      <c r="D2563" s="50" t="str">
        <f t="shared" si="547"/>
        <v/>
      </c>
      <c r="E2563" s="50" t="str">
        <f t="shared" si="548"/>
        <v/>
      </c>
      <c r="F2563" s="47" t="str">
        <f>IF(COUNTA(archive!H2563:CI2563)=0,"",COUNTA(archive!H2563:CI2563))</f>
        <v/>
      </c>
      <c r="G2563" s="47" t="str">
        <f>IF(archive!G2563="","",archive!G2563)</f>
        <v/>
      </c>
      <c r="H2563" s="51" t="str">
        <f>IF(archive!CJ2563="","",archive!CJ2563)</f>
        <v/>
      </c>
      <c r="I2563" s="51" t="str">
        <f>IF(archive!CK2563="","",archive!CK2563)</f>
        <v/>
      </c>
      <c r="J2563" s="47" t="str">
        <f t="shared" si="549"/>
        <v/>
      </c>
      <c r="K2563" s="51" t="str">
        <f t="shared" si="550"/>
        <v/>
      </c>
      <c r="L2563" s="52" t="str">
        <f t="shared" si="551"/>
        <v/>
      </c>
      <c r="M2563" s="53" t="str">
        <f t="shared" si="552"/>
        <v/>
      </c>
      <c r="N2563" s="53" t="str">
        <f t="shared" si="553"/>
        <v/>
      </c>
      <c r="O2563" s="53" t="str">
        <f t="shared" si="554"/>
        <v/>
      </c>
      <c r="P2563" s="53" t="str">
        <f t="shared" si="555"/>
        <v/>
      </c>
      <c r="Q2563" s="53" t="str">
        <f t="shared" si="556"/>
        <v/>
      </c>
      <c r="R2563" s="53" t="str">
        <f t="shared" si="557"/>
        <v/>
      </c>
      <c r="S2563" s="53" t="str">
        <f t="shared" si="558"/>
        <v/>
      </c>
      <c r="T2563" s="53" t="str">
        <f t="shared" si="559"/>
        <v/>
      </c>
    </row>
    <row r="2564" spans="1:20">
      <c r="A2564" s="47" t="str">
        <f>IF(archive!E2564="","",archive!E2564)</f>
        <v/>
      </c>
      <c r="B2564" s="48" t="str">
        <f t="shared" ref="B2564:B2627" si="560">IF(C2564="","",VLOOKUP($C2564,Tare,2,0))</f>
        <v/>
      </c>
      <c r="C2564" s="49" t="str">
        <f>IF(archive!F2564="","",archive!F2564)</f>
        <v/>
      </c>
      <c r="D2564" s="50" t="str">
        <f t="shared" ref="D2564:D2627" si="561">IF(C2564="","",C2564+B2564)</f>
        <v/>
      </c>
      <c r="E2564" s="50" t="str">
        <f t="shared" ref="E2564:E2627" si="562">IF(C2564="","",(C2564*0.025)+D2564)</f>
        <v/>
      </c>
      <c r="F2564" s="47" t="str">
        <f>IF(COUNTA(archive!H2564:CI2564)=0,"",COUNTA(archive!H2564:CI2564))</f>
        <v/>
      </c>
      <c r="G2564" s="47" t="str">
        <f>IF(archive!G2564="","",archive!G2564)</f>
        <v/>
      </c>
      <c r="H2564" s="51" t="str">
        <f>IF(archive!CJ2564="","",archive!CJ2564)</f>
        <v/>
      </c>
      <c r="I2564" s="51" t="str">
        <f>IF(archive!CK2564="","",archive!CK2564)</f>
        <v/>
      </c>
      <c r="J2564" s="47" t="str">
        <f t="shared" ref="J2564:J2627" si="563">IF(F2564="","",VLOOKUP(F2564,Valeur_g,2,0))</f>
        <v/>
      </c>
      <c r="K2564" s="51" t="str">
        <f t="shared" ref="K2564:K2627" si="564">IF(C2564="","",D2564+(J2564*I2564))</f>
        <v/>
      </c>
      <c r="L2564" s="52" t="str">
        <f t="shared" ref="L2564:L2627" si="565">IF(C2564="","",IF(K2564&lt;H2564,"Conforme","Non conforme"))</f>
        <v/>
      </c>
      <c r="M2564" s="53" t="str">
        <f t="shared" ref="M2564:M2627" si="566">IF(C2564="","",1)</f>
        <v/>
      </c>
      <c r="N2564" s="53" t="str">
        <f t="shared" ref="N2564:N2627" si="567">IF(L2564="","",COUNTIF(L2564,"Non conforme"))</f>
        <v/>
      </c>
      <c r="O2564" s="53" t="str">
        <f t="shared" ref="O2564:O2627" si="568">IF($C2564="","",IF($C2564=0.25,$G2564,"-"))</f>
        <v/>
      </c>
      <c r="P2564" s="53" t="str">
        <f t="shared" ref="P2564:P2627" si="569">IF($C2564="","",IF($C2564=0.4,$G2564,"-"))</f>
        <v/>
      </c>
      <c r="Q2564" s="53" t="str">
        <f t="shared" ref="Q2564:Q2627" si="570">IF($C2564="","",IF($C2564=0.5,$G2564,"-"))</f>
        <v/>
      </c>
      <c r="R2564" s="53" t="str">
        <f t="shared" ref="R2564:R2627" si="571">IF($C2564="","",IF($C2564=0.6,$G2564,"-"))</f>
        <v/>
      </c>
      <c r="S2564" s="53" t="str">
        <f t="shared" ref="S2564:S2627" si="572">IF($C2564="","",IF($C2564=0.8,$G2564,"-"))</f>
        <v/>
      </c>
      <c r="T2564" s="53" t="str">
        <f t="shared" ref="T2564:T2627" si="573">IF($C2564="","",IF($C2564=1,$G2564,"-"))</f>
        <v/>
      </c>
    </row>
    <row r="2565" spans="1:20">
      <c r="A2565" s="47" t="str">
        <f>IF(archive!E2565="","",archive!E2565)</f>
        <v/>
      </c>
      <c r="B2565" s="48" t="str">
        <f t="shared" si="560"/>
        <v/>
      </c>
      <c r="C2565" s="49" t="str">
        <f>IF(archive!F2565="","",archive!F2565)</f>
        <v/>
      </c>
      <c r="D2565" s="50" t="str">
        <f t="shared" si="561"/>
        <v/>
      </c>
      <c r="E2565" s="50" t="str">
        <f t="shared" si="562"/>
        <v/>
      </c>
      <c r="F2565" s="47" t="str">
        <f>IF(COUNTA(archive!H2565:CI2565)=0,"",COUNTA(archive!H2565:CI2565))</f>
        <v/>
      </c>
      <c r="G2565" s="47" t="str">
        <f>IF(archive!G2565="","",archive!G2565)</f>
        <v/>
      </c>
      <c r="H2565" s="51" t="str">
        <f>IF(archive!CJ2565="","",archive!CJ2565)</f>
        <v/>
      </c>
      <c r="I2565" s="51" t="str">
        <f>IF(archive!CK2565="","",archive!CK2565)</f>
        <v/>
      </c>
      <c r="J2565" s="47" t="str">
        <f t="shared" si="563"/>
        <v/>
      </c>
      <c r="K2565" s="51" t="str">
        <f t="shared" si="564"/>
        <v/>
      </c>
      <c r="L2565" s="52" t="str">
        <f t="shared" si="565"/>
        <v/>
      </c>
      <c r="M2565" s="53" t="str">
        <f t="shared" si="566"/>
        <v/>
      </c>
      <c r="N2565" s="53" t="str">
        <f t="shared" si="567"/>
        <v/>
      </c>
      <c r="O2565" s="53" t="str">
        <f t="shared" si="568"/>
        <v/>
      </c>
      <c r="P2565" s="53" t="str">
        <f t="shared" si="569"/>
        <v/>
      </c>
      <c r="Q2565" s="53" t="str">
        <f t="shared" si="570"/>
        <v/>
      </c>
      <c r="R2565" s="53" t="str">
        <f t="shared" si="571"/>
        <v/>
      </c>
      <c r="S2565" s="53" t="str">
        <f t="shared" si="572"/>
        <v/>
      </c>
      <c r="T2565" s="53" t="str">
        <f t="shared" si="573"/>
        <v/>
      </c>
    </row>
    <row r="2566" spans="1:20">
      <c r="A2566" s="47" t="str">
        <f>IF(archive!E2566="","",archive!E2566)</f>
        <v/>
      </c>
      <c r="B2566" s="48" t="str">
        <f t="shared" si="560"/>
        <v/>
      </c>
      <c r="C2566" s="49" t="str">
        <f>IF(archive!F2566="","",archive!F2566)</f>
        <v/>
      </c>
      <c r="D2566" s="50" t="str">
        <f t="shared" si="561"/>
        <v/>
      </c>
      <c r="E2566" s="50" t="str">
        <f t="shared" si="562"/>
        <v/>
      </c>
      <c r="F2566" s="47" t="str">
        <f>IF(COUNTA(archive!H2566:CI2566)=0,"",COUNTA(archive!H2566:CI2566))</f>
        <v/>
      </c>
      <c r="G2566" s="47" t="str">
        <f>IF(archive!G2566="","",archive!G2566)</f>
        <v/>
      </c>
      <c r="H2566" s="51" t="str">
        <f>IF(archive!CJ2566="","",archive!CJ2566)</f>
        <v/>
      </c>
      <c r="I2566" s="51" t="str">
        <f>IF(archive!CK2566="","",archive!CK2566)</f>
        <v/>
      </c>
      <c r="J2566" s="47" t="str">
        <f t="shared" si="563"/>
        <v/>
      </c>
      <c r="K2566" s="51" t="str">
        <f t="shared" si="564"/>
        <v/>
      </c>
      <c r="L2566" s="52" t="str">
        <f t="shared" si="565"/>
        <v/>
      </c>
      <c r="M2566" s="53" t="str">
        <f t="shared" si="566"/>
        <v/>
      </c>
      <c r="N2566" s="53" t="str">
        <f t="shared" si="567"/>
        <v/>
      </c>
      <c r="O2566" s="53" t="str">
        <f t="shared" si="568"/>
        <v/>
      </c>
      <c r="P2566" s="53" t="str">
        <f t="shared" si="569"/>
        <v/>
      </c>
      <c r="Q2566" s="53" t="str">
        <f t="shared" si="570"/>
        <v/>
      </c>
      <c r="R2566" s="53" t="str">
        <f t="shared" si="571"/>
        <v/>
      </c>
      <c r="S2566" s="53" t="str">
        <f t="shared" si="572"/>
        <v/>
      </c>
      <c r="T2566" s="53" t="str">
        <f t="shared" si="573"/>
        <v/>
      </c>
    </row>
    <row r="2567" spans="1:20">
      <c r="A2567" s="47" t="str">
        <f>IF(archive!E2567="","",archive!E2567)</f>
        <v/>
      </c>
      <c r="B2567" s="48" t="str">
        <f t="shared" si="560"/>
        <v/>
      </c>
      <c r="C2567" s="49" t="str">
        <f>IF(archive!F2567="","",archive!F2567)</f>
        <v/>
      </c>
      <c r="D2567" s="50" t="str">
        <f t="shared" si="561"/>
        <v/>
      </c>
      <c r="E2567" s="50" t="str">
        <f t="shared" si="562"/>
        <v/>
      </c>
      <c r="F2567" s="47" t="str">
        <f>IF(COUNTA(archive!H2567:CI2567)=0,"",COUNTA(archive!H2567:CI2567))</f>
        <v/>
      </c>
      <c r="G2567" s="47" t="str">
        <f>IF(archive!G2567="","",archive!G2567)</f>
        <v/>
      </c>
      <c r="H2567" s="51" t="str">
        <f>IF(archive!CJ2567="","",archive!CJ2567)</f>
        <v/>
      </c>
      <c r="I2567" s="51" t="str">
        <f>IF(archive!CK2567="","",archive!CK2567)</f>
        <v/>
      </c>
      <c r="J2567" s="47" t="str">
        <f t="shared" si="563"/>
        <v/>
      </c>
      <c r="K2567" s="51" t="str">
        <f t="shared" si="564"/>
        <v/>
      </c>
      <c r="L2567" s="52" t="str">
        <f t="shared" si="565"/>
        <v/>
      </c>
      <c r="M2567" s="53" t="str">
        <f t="shared" si="566"/>
        <v/>
      </c>
      <c r="N2567" s="53" t="str">
        <f t="shared" si="567"/>
        <v/>
      </c>
      <c r="O2567" s="53" t="str">
        <f t="shared" si="568"/>
        <v/>
      </c>
      <c r="P2567" s="53" t="str">
        <f t="shared" si="569"/>
        <v/>
      </c>
      <c r="Q2567" s="53" t="str">
        <f t="shared" si="570"/>
        <v/>
      </c>
      <c r="R2567" s="53" t="str">
        <f t="shared" si="571"/>
        <v/>
      </c>
      <c r="S2567" s="53" t="str">
        <f t="shared" si="572"/>
        <v/>
      </c>
      <c r="T2567" s="53" t="str">
        <f t="shared" si="573"/>
        <v/>
      </c>
    </row>
    <row r="2568" spans="1:20">
      <c r="A2568" s="47" t="str">
        <f>IF(archive!E2568="","",archive!E2568)</f>
        <v/>
      </c>
      <c r="B2568" s="48" t="str">
        <f t="shared" si="560"/>
        <v/>
      </c>
      <c r="C2568" s="49" t="str">
        <f>IF(archive!F2568="","",archive!F2568)</f>
        <v/>
      </c>
      <c r="D2568" s="50" t="str">
        <f t="shared" si="561"/>
        <v/>
      </c>
      <c r="E2568" s="50" t="str">
        <f t="shared" si="562"/>
        <v/>
      </c>
      <c r="F2568" s="47" t="str">
        <f>IF(COUNTA(archive!H2568:CI2568)=0,"",COUNTA(archive!H2568:CI2568))</f>
        <v/>
      </c>
      <c r="G2568" s="47" t="str">
        <f>IF(archive!G2568="","",archive!G2568)</f>
        <v/>
      </c>
      <c r="H2568" s="51" t="str">
        <f>IF(archive!CJ2568="","",archive!CJ2568)</f>
        <v/>
      </c>
      <c r="I2568" s="51" t="str">
        <f>IF(archive!CK2568="","",archive!CK2568)</f>
        <v/>
      </c>
      <c r="J2568" s="47" t="str">
        <f t="shared" si="563"/>
        <v/>
      </c>
      <c r="K2568" s="51" t="str">
        <f t="shared" si="564"/>
        <v/>
      </c>
      <c r="L2568" s="52" t="str">
        <f t="shared" si="565"/>
        <v/>
      </c>
      <c r="M2568" s="53" t="str">
        <f t="shared" si="566"/>
        <v/>
      </c>
      <c r="N2568" s="53" t="str">
        <f t="shared" si="567"/>
        <v/>
      </c>
      <c r="O2568" s="53" t="str">
        <f t="shared" si="568"/>
        <v/>
      </c>
      <c r="P2568" s="53" t="str">
        <f t="shared" si="569"/>
        <v/>
      </c>
      <c r="Q2568" s="53" t="str">
        <f t="shared" si="570"/>
        <v/>
      </c>
      <c r="R2568" s="53" t="str">
        <f t="shared" si="571"/>
        <v/>
      </c>
      <c r="S2568" s="53" t="str">
        <f t="shared" si="572"/>
        <v/>
      </c>
      <c r="T2568" s="53" t="str">
        <f t="shared" si="573"/>
        <v/>
      </c>
    </row>
    <row r="2569" spans="1:20">
      <c r="A2569" s="47" t="str">
        <f>IF(archive!E2569="","",archive!E2569)</f>
        <v/>
      </c>
      <c r="B2569" s="48" t="str">
        <f t="shared" si="560"/>
        <v/>
      </c>
      <c r="C2569" s="49" t="str">
        <f>IF(archive!F2569="","",archive!F2569)</f>
        <v/>
      </c>
      <c r="D2569" s="50" t="str">
        <f t="shared" si="561"/>
        <v/>
      </c>
      <c r="E2569" s="50" t="str">
        <f t="shared" si="562"/>
        <v/>
      </c>
      <c r="F2569" s="47" t="str">
        <f>IF(COUNTA(archive!H2569:CI2569)=0,"",COUNTA(archive!H2569:CI2569))</f>
        <v/>
      </c>
      <c r="G2569" s="47" t="str">
        <f>IF(archive!G2569="","",archive!G2569)</f>
        <v/>
      </c>
      <c r="H2569" s="51" t="str">
        <f>IF(archive!CJ2569="","",archive!CJ2569)</f>
        <v/>
      </c>
      <c r="I2569" s="51" t="str">
        <f>IF(archive!CK2569="","",archive!CK2569)</f>
        <v/>
      </c>
      <c r="J2569" s="47" t="str">
        <f t="shared" si="563"/>
        <v/>
      </c>
      <c r="K2569" s="51" t="str">
        <f t="shared" si="564"/>
        <v/>
      </c>
      <c r="L2569" s="52" t="str">
        <f t="shared" si="565"/>
        <v/>
      </c>
      <c r="M2569" s="53" t="str">
        <f t="shared" si="566"/>
        <v/>
      </c>
      <c r="N2569" s="53" t="str">
        <f t="shared" si="567"/>
        <v/>
      </c>
      <c r="O2569" s="53" t="str">
        <f t="shared" si="568"/>
        <v/>
      </c>
      <c r="P2569" s="53" t="str">
        <f t="shared" si="569"/>
        <v/>
      </c>
      <c r="Q2569" s="53" t="str">
        <f t="shared" si="570"/>
        <v/>
      </c>
      <c r="R2569" s="53" t="str">
        <f t="shared" si="571"/>
        <v/>
      </c>
      <c r="S2569" s="53" t="str">
        <f t="shared" si="572"/>
        <v/>
      </c>
      <c r="T2569" s="53" t="str">
        <f t="shared" si="573"/>
        <v/>
      </c>
    </row>
    <row r="2570" spans="1:20">
      <c r="A2570" s="47" t="str">
        <f>IF(archive!E2570="","",archive!E2570)</f>
        <v/>
      </c>
      <c r="B2570" s="48" t="str">
        <f t="shared" si="560"/>
        <v/>
      </c>
      <c r="C2570" s="49" t="str">
        <f>IF(archive!F2570="","",archive!F2570)</f>
        <v/>
      </c>
      <c r="D2570" s="50" t="str">
        <f t="shared" si="561"/>
        <v/>
      </c>
      <c r="E2570" s="50" t="str">
        <f t="shared" si="562"/>
        <v/>
      </c>
      <c r="F2570" s="47" t="str">
        <f>IF(COUNTA(archive!H2570:CI2570)=0,"",COUNTA(archive!H2570:CI2570))</f>
        <v/>
      </c>
      <c r="G2570" s="47" t="str">
        <f>IF(archive!G2570="","",archive!G2570)</f>
        <v/>
      </c>
      <c r="H2570" s="51" t="str">
        <f>IF(archive!CJ2570="","",archive!CJ2570)</f>
        <v/>
      </c>
      <c r="I2570" s="51" t="str">
        <f>IF(archive!CK2570="","",archive!CK2570)</f>
        <v/>
      </c>
      <c r="J2570" s="47" t="str">
        <f t="shared" si="563"/>
        <v/>
      </c>
      <c r="K2570" s="51" t="str">
        <f t="shared" si="564"/>
        <v/>
      </c>
      <c r="L2570" s="52" t="str">
        <f t="shared" si="565"/>
        <v/>
      </c>
      <c r="M2570" s="53" t="str">
        <f t="shared" si="566"/>
        <v/>
      </c>
      <c r="N2570" s="53" t="str">
        <f t="shared" si="567"/>
        <v/>
      </c>
      <c r="O2570" s="53" t="str">
        <f t="shared" si="568"/>
        <v/>
      </c>
      <c r="P2570" s="53" t="str">
        <f t="shared" si="569"/>
        <v/>
      </c>
      <c r="Q2570" s="53" t="str">
        <f t="shared" si="570"/>
        <v/>
      </c>
      <c r="R2570" s="53" t="str">
        <f t="shared" si="571"/>
        <v/>
      </c>
      <c r="S2570" s="53" t="str">
        <f t="shared" si="572"/>
        <v/>
      </c>
      <c r="T2570" s="53" t="str">
        <f t="shared" si="573"/>
        <v/>
      </c>
    </row>
    <row r="2571" spans="1:20">
      <c r="A2571" s="47" t="str">
        <f>IF(archive!E2571="","",archive!E2571)</f>
        <v/>
      </c>
      <c r="B2571" s="48" t="str">
        <f t="shared" si="560"/>
        <v/>
      </c>
      <c r="C2571" s="49" t="str">
        <f>IF(archive!F2571="","",archive!F2571)</f>
        <v/>
      </c>
      <c r="D2571" s="50" t="str">
        <f t="shared" si="561"/>
        <v/>
      </c>
      <c r="E2571" s="50" t="str">
        <f t="shared" si="562"/>
        <v/>
      </c>
      <c r="F2571" s="47" t="str">
        <f>IF(COUNTA(archive!H2571:CI2571)=0,"",COUNTA(archive!H2571:CI2571))</f>
        <v/>
      </c>
      <c r="G2571" s="47" t="str">
        <f>IF(archive!G2571="","",archive!G2571)</f>
        <v/>
      </c>
      <c r="H2571" s="51" t="str">
        <f>IF(archive!CJ2571="","",archive!CJ2571)</f>
        <v/>
      </c>
      <c r="I2571" s="51" t="str">
        <f>IF(archive!CK2571="","",archive!CK2571)</f>
        <v/>
      </c>
      <c r="J2571" s="47" t="str">
        <f t="shared" si="563"/>
        <v/>
      </c>
      <c r="K2571" s="51" t="str">
        <f t="shared" si="564"/>
        <v/>
      </c>
      <c r="L2571" s="52" t="str">
        <f t="shared" si="565"/>
        <v/>
      </c>
      <c r="M2571" s="53" t="str">
        <f t="shared" si="566"/>
        <v/>
      </c>
      <c r="N2571" s="53" t="str">
        <f t="shared" si="567"/>
        <v/>
      </c>
      <c r="O2571" s="53" t="str">
        <f t="shared" si="568"/>
        <v/>
      </c>
      <c r="P2571" s="53" t="str">
        <f t="shared" si="569"/>
        <v/>
      </c>
      <c r="Q2571" s="53" t="str">
        <f t="shared" si="570"/>
        <v/>
      </c>
      <c r="R2571" s="53" t="str">
        <f t="shared" si="571"/>
        <v/>
      </c>
      <c r="S2571" s="53" t="str">
        <f t="shared" si="572"/>
        <v/>
      </c>
      <c r="T2571" s="53" t="str">
        <f t="shared" si="573"/>
        <v/>
      </c>
    </row>
    <row r="2572" spans="1:20">
      <c r="A2572" s="47" t="str">
        <f>IF(archive!E2572="","",archive!E2572)</f>
        <v/>
      </c>
      <c r="B2572" s="48" t="str">
        <f t="shared" si="560"/>
        <v/>
      </c>
      <c r="C2572" s="49" t="str">
        <f>IF(archive!F2572="","",archive!F2572)</f>
        <v/>
      </c>
      <c r="D2572" s="50" t="str">
        <f t="shared" si="561"/>
        <v/>
      </c>
      <c r="E2572" s="50" t="str">
        <f t="shared" si="562"/>
        <v/>
      </c>
      <c r="F2572" s="47" t="str">
        <f>IF(COUNTA(archive!H2572:CI2572)=0,"",COUNTA(archive!H2572:CI2572))</f>
        <v/>
      </c>
      <c r="G2572" s="47" t="str">
        <f>IF(archive!G2572="","",archive!G2572)</f>
        <v/>
      </c>
      <c r="H2572" s="51" t="str">
        <f>IF(archive!CJ2572="","",archive!CJ2572)</f>
        <v/>
      </c>
      <c r="I2572" s="51" t="str">
        <f>IF(archive!CK2572="","",archive!CK2572)</f>
        <v/>
      </c>
      <c r="J2572" s="47" t="str">
        <f t="shared" si="563"/>
        <v/>
      </c>
      <c r="K2572" s="51" t="str">
        <f t="shared" si="564"/>
        <v/>
      </c>
      <c r="L2572" s="52" t="str">
        <f t="shared" si="565"/>
        <v/>
      </c>
      <c r="M2572" s="53" t="str">
        <f t="shared" si="566"/>
        <v/>
      </c>
      <c r="N2572" s="53" t="str">
        <f t="shared" si="567"/>
        <v/>
      </c>
      <c r="O2572" s="53" t="str">
        <f t="shared" si="568"/>
        <v/>
      </c>
      <c r="P2572" s="53" t="str">
        <f t="shared" si="569"/>
        <v/>
      </c>
      <c r="Q2572" s="53" t="str">
        <f t="shared" si="570"/>
        <v/>
      </c>
      <c r="R2572" s="53" t="str">
        <f t="shared" si="571"/>
        <v/>
      </c>
      <c r="S2572" s="53" t="str">
        <f t="shared" si="572"/>
        <v/>
      </c>
      <c r="T2572" s="53" t="str">
        <f t="shared" si="573"/>
        <v/>
      </c>
    </row>
    <row r="2573" spans="1:20">
      <c r="A2573" s="47" t="str">
        <f>IF(archive!E2573="","",archive!E2573)</f>
        <v/>
      </c>
      <c r="B2573" s="48" t="str">
        <f t="shared" si="560"/>
        <v/>
      </c>
      <c r="C2573" s="49" t="str">
        <f>IF(archive!F2573="","",archive!F2573)</f>
        <v/>
      </c>
      <c r="D2573" s="50" t="str">
        <f t="shared" si="561"/>
        <v/>
      </c>
      <c r="E2573" s="50" t="str">
        <f t="shared" si="562"/>
        <v/>
      </c>
      <c r="F2573" s="47" t="str">
        <f>IF(COUNTA(archive!H2573:CI2573)=0,"",COUNTA(archive!H2573:CI2573))</f>
        <v/>
      </c>
      <c r="G2573" s="47" t="str">
        <f>IF(archive!G2573="","",archive!G2573)</f>
        <v/>
      </c>
      <c r="H2573" s="51" t="str">
        <f>IF(archive!CJ2573="","",archive!CJ2573)</f>
        <v/>
      </c>
      <c r="I2573" s="51" t="str">
        <f>IF(archive!CK2573="","",archive!CK2573)</f>
        <v/>
      </c>
      <c r="J2573" s="47" t="str">
        <f t="shared" si="563"/>
        <v/>
      </c>
      <c r="K2573" s="51" t="str">
        <f t="shared" si="564"/>
        <v/>
      </c>
      <c r="L2573" s="52" t="str">
        <f t="shared" si="565"/>
        <v/>
      </c>
      <c r="M2573" s="53" t="str">
        <f t="shared" si="566"/>
        <v/>
      </c>
      <c r="N2573" s="53" t="str">
        <f t="shared" si="567"/>
        <v/>
      </c>
      <c r="O2573" s="53" t="str">
        <f t="shared" si="568"/>
        <v/>
      </c>
      <c r="P2573" s="53" t="str">
        <f t="shared" si="569"/>
        <v/>
      </c>
      <c r="Q2573" s="53" t="str">
        <f t="shared" si="570"/>
        <v/>
      </c>
      <c r="R2573" s="53" t="str">
        <f t="shared" si="571"/>
        <v/>
      </c>
      <c r="S2573" s="53" t="str">
        <f t="shared" si="572"/>
        <v/>
      </c>
      <c r="T2573" s="53" t="str">
        <f t="shared" si="573"/>
        <v/>
      </c>
    </row>
    <row r="2574" spans="1:20">
      <c r="A2574" s="47" t="str">
        <f>IF(archive!E2574="","",archive!E2574)</f>
        <v/>
      </c>
      <c r="B2574" s="48" t="str">
        <f t="shared" si="560"/>
        <v/>
      </c>
      <c r="C2574" s="49" t="str">
        <f>IF(archive!F2574="","",archive!F2574)</f>
        <v/>
      </c>
      <c r="D2574" s="50" t="str">
        <f t="shared" si="561"/>
        <v/>
      </c>
      <c r="E2574" s="50" t="str">
        <f t="shared" si="562"/>
        <v/>
      </c>
      <c r="F2574" s="47" t="str">
        <f>IF(COUNTA(archive!H2574:CI2574)=0,"",COUNTA(archive!H2574:CI2574))</f>
        <v/>
      </c>
      <c r="G2574" s="47" t="str">
        <f>IF(archive!G2574="","",archive!G2574)</f>
        <v/>
      </c>
      <c r="H2574" s="51" t="str">
        <f>IF(archive!CJ2574="","",archive!CJ2574)</f>
        <v/>
      </c>
      <c r="I2574" s="51" t="str">
        <f>IF(archive!CK2574="","",archive!CK2574)</f>
        <v/>
      </c>
      <c r="J2574" s="47" t="str">
        <f t="shared" si="563"/>
        <v/>
      </c>
      <c r="K2574" s="51" t="str">
        <f t="shared" si="564"/>
        <v/>
      </c>
      <c r="L2574" s="52" t="str">
        <f t="shared" si="565"/>
        <v/>
      </c>
      <c r="M2574" s="53" t="str">
        <f t="shared" si="566"/>
        <v/>
      </c>
      <c r="N2574" s="53" t="str">
        <f t="shared" si="567"/>
        <v/>
      </c>
      <c r="O2574" s="53" t="str">
        <f t="shared" si="568"/>
        <v/>
      </c>
      <c r="P2574" s="53" t="str">
        <f t="shared" si="569"/>
        <v/>
      </c>
      <c r="Q2574" s="53" t="str">
        <f t="shared" si="570"/>
        <v/>
      </c>
      <c r="R2574" s="53" t="str">
        <f t="shared" si="571"/>
        <v/>
      </c>
      <c r="S2574" s="53" t="str">
        <f t="shared" si="572"/>
        <v/>
      </c>
      <c r="T2574" s="53" t="str">
        <f t="shared" si="573"/>
        <v/>
      </c>
    </row>
    <row r="2575" spans="1:20">
      <c r="A2575" s="47" t="str">
        <f>IF(archive!E2575="","",archive!E2575)</f>
        <v/>
      </c>
      <c r="B2575" s="48" t="str">
        <f t="shared" si="560"/>
        <v/>
      </c>
      <c r="C2575" s="49" t="str">
        <f>IF(archive!F2575="","",archive!F2575)</f>
        <v/>
      </c>
      <c r="D2575" s="50" t="str">
        <f t="shared" si="561"/>
        <v/>
      </c>
      <c r="E2575" s="50" t="str">
        <f t="shared" si="562"/>
        <v/>
      </c>
      <c r="F2575" s="47" t="str">
        <f>IF(COUNTA(archive!H2575:CI2575)=0,"",COUNTA(archive!H2575:CI2575))</f>
        <v/>
      </c>
      <c r="G2575" s="47" t="str">
        <f>IF(archive!G2575="","",archive!G2575)</f>
        <v/>
      </c>
      <c r="H2575" s="51" t="str">
        <f>IF(archive!CJ2575="","",archive!CJ2575)</f>
        <v/>
      </c>
      <c r="I2575" s="51" t="str">
        <f>IF(archive!CK2575="","",archive!CK2575)</f>
        <v/>
      </c>
      <c r="J2575" s="47" t="str">
        <f t="shared" si="563"/>
        <v/>
      </c>
      <c r="K2575" s="51" t="str">
        <f t="shared" si="564"/>
        <v/>
      </c>
      <c r="L2575" s="52" t="str">
        <f t="shared" si="565"/>
        <v/>
      </c>
      <c r="M2575" s="53" t="str">
        <f t="shared" si="566"/>
        <v/>
      </c>
      <c r="N2575" s="53" t="str">
        <f t="shared" si="567"/>
        <v/>
      </c>
      <c r="O2575" s="53" t="str">
        <f t="shared" si="568"/>
        <v/>
      </c>
      <c r="P2575" s="53" t="str">
        <f t="shared" si="569"/>
        <v/>
      </c>
      <c r="Q2575" s="53" t="str">
        <f t="shared" si="570"/>
        <v/>
      </c>
      <c r="R2575" s="53" t="str">
        <f t="shared" si="571"/>
        <v/>
      </c>
      <c r="S2575" s="53" t="str">
        <f t="shared" si="572"/>
        <v/>
      </c>
      <c r="T2575" s="53" t="str">
        <f t="shared" si="573"/>
        <v/>
      </c>
    </row>
    <row r="2576" spans="1:20">
      <c r="A2576" s="47" t="str">
        <f>IF(archive!E2576="","",archive!E2576)</f>
        <v/>
      </c>
      <c r="B2576" s="48" t="str">
        <f t="shared" si="560"/>
        <v/>
      </c>
      <c r="C2576" s="49" t="str">
        <f>IF(archive!F2576="","",archive!F2576)</f>
        <v/>
      </c>
      <c r="D2576" s="50" t="str">
        <f t="shared" si="561"/>
        <v/>
      </c>
      <c r="E2576" s="50" t="str">
        <f t="shared" si="562"/>
        <v/>
      </c>
      <c r="F2576" s="47" t="str">
        <f>IF(COUNTA(archive!H2576:CI2576)=0,"",COUNTA(archive!H2576:CI2576))</f>
        <v/>
      </c>
      <c r="G2576" s="47" t="str">
        <f>IF(archive!G2576="","",archive!G2576)</f>
        <v/>
      </c>
      <c r="H2576" s="51" t="str">
        <f>IF(archive!CJ2576="","",archive!CJ2576)</f>
        <v/>
      </c>
      <c r="I2576" s="51" t="str">
        <f>IF(archive!CK2576="","",archive!CK2576)</f>
        <v/>
      </c>
      <c r="J2576" s="47" t="str">
        <f t="shared" si="563"/>
        <v/>
      </c>
      <c r="K2576" s="51" t="str">
        <f t="shared" si="564"/>
        <v/>
      </c>
      <c r="L2576" s="52" t="str">
        <f t="shared" si="565"/>
        <v/>
      </c>
      <c r="M2576" s="53" t="str">
        <f t="shared" si="566"/>
        <v/>
      </c>
      <c r="N2576" s="53" t="str">
        <f t="shared" si="567"/>
        <v/>
      </c>
      <c r="O2576" s="53" t="str">
        <f t="shared" si="568"/>
        <v/>
      </c>
      <c r="P2576" s="53" t="str">
        <f t="shared" si="569"/>
        <v/>
      </c>
      <c r="Q2576" s="53" t="str">
        <f t="shared" si="570"/>
        <v/>
      </c>
      <c r="R2576" s="53" t="str">
        <f t="shared" si="571"/>
        <v/>
      </c>
      <c r="S2576" s="53" t="str">
        <f t="shared" si="572"/>
        <v/>
      </c>
      <c r="T2576" s="53" t="str">
        <f t="shared" si="573"/>
        <v/>
      </c>
    </row>
    <row r="2577" spans="1:20">
      <c r="A2577" s="47" t="str">
        <f>IF(archive!E2577="","",archive!E2577)</f>
        <v/>
      </c>
      <c r="B2577" s="48" t="str">
        <f t="shared" si="560"/>
        <v/>
      </c>
      <c r="C2577" s="49" t="str">
        <f>IF(archive!F2577="","",archive!F2577)</f>
        <v/>
      </c>
      <c r="D2577" s="50" t="str">
        <f t="shared" si="561"/>
        <v/>
      </c>
      <c r="E2577" s="50" t="str">
        <f t="shared" si="562"/>
        <v/>
      </c>
      <c r="F2577" s="47" t="str">
        <f>IF(COUNTA(archive!H2577:CI2577)=0,"",COUNTA(archive!H2577:CI2577))</f>
        <v/>
      </c>
      <c r="G2577" s="47" t="str">
        <f>IF(archive!G2577="","",archive!G2577)</f>
        <v/>
      </c>
      <c r="H2577" s="51" t="str">
        <f>IF(archive!CJ2577="","",archive!CJ2577)</f>
        <v/>
      </c>
      <c r="I2577" s="51" t="str">
        <f>IF(archive!CK2577="","",archive!CK2577)</f>
        <v/>
      </c>
      <c r="J2577" s="47" t="str">
        <f t="shared" si="563"/>
        <v/>
      </c>
      <c r="K2577" s="51" t="str">
        <f t="shared" si="564"/>
        <v/>
      </c>
      <c r="L2577" s="52" t="str">
        <f t="shared" si="565"/>
        <v/>
      </c>
      <c r="M2577" s="53" t="str">
        <f t="shared" si="566"/>
        <v/>
      </c>
      <c r="N2577" s="53" t="str">
        <f t="shared" si="567"/>
        <v/>
      </c>
      <c r="O2577" s="53" t="str">
        <f t="shared" si="568"/>
        <v/>
      </c>
      <c r="P2577" s="53" t="str">
        <f t="shared" si="569"/>
        <v/>
      </c>
      <c r="Q2577" s="53" t="str">
        <f t="shared" si="570"/>
        <v/>
      </c>
      <c r="R2577" s="53" t="str">
        <f t="shared" si="571"/>
        <v/>
      </c>
      <c r="S2577" s="53" t="str">
        <f t="shared" si="572"/>
        <v/>
      </c>
      <c r="T2577" s="53" t="str">
        <f t="shared" si="573"/>
        <v/>
      </c>
    </row>
    <row r="2578" spans="1:20">
      <c r="A2578" s="47" t="str">
        <f>IF(archive!E2578="","",archive!E2578)</f>
        <v/>
      </c>
      <c r="B2578" s="48" t="str">
        <f t="shared" si="560"/>
        <v/>
      </c>
      <c r="C2578" s="49" t="str">
        <f>IF(archive!F2578="","",archive!F2578)</f>
        <v/>
      </c>
      <c r="D2578" s="50" t="str">
        <f t="shared" si="561"/>
        <v/>
      </c>
      <c r="E2578" s="50" t="str">
        <f t="shared" si="562"/>
        <v/>
      </c>
      <c r="F2578" s="47" t="str">
        <f>IF(COUNTA(archive!H2578:CI2578)=0,"",COUNTA(archive!H2578:CI2578))</f>
        <v/>
      </c>
      <c r="G2578" s="47" t="str">
        <f>IF(archive!G2578="","",archive!G2578)</f>
        <v/>
      </c>
      <c r="H2578" s="51" t="str">
        <f>IF(archive!CJ2578="","",archive!CJ2578)</f>
        <v/>
      </c>
      <c r="I2578" s="51" t="str">
        <f>IF(archive!CK2578="","",archive!CK2578)</f>
        <v/>
      </c>
      <c r="J2578" s="47" t="str">
        <f t="shared" si="563"/>
        <v/>
      </c>
      <c r="K2578" s="51" t="str">
        <f t="shared" si="564"/>
        <v/>
      </c>
      <c r="L2578" s="52" t="str">
        <f t="shared" si="565"/>
        <v/>
      </c>
      <c r="M2578" s="53" t="str">
        <f t="shared" si="566"/>
        <v/>
      </c>
      <c r="N2578" s="53" t="str">
        <f t="shared" si="567"/>
        <v/>
      </c>
      <c r="O2578" s="53" t="str">
        <f t="shared" si="568"/>
        <v/>
      </c>
      <c r="P2578" s="53" t="str">
        <f t="shared" si="569"/>
        <v/>
      </c>
      <c r="Q2578" s="53" t="str">
        <f t="shared" si="570"/>
        <v/>
      </c>
      <c r="R2578" s="53" t="str">
        <f t="shared" si="571"/>
        <v/>
      </c>
      <c r="S2578" s="53" t="str">
        <f t="shared" si="572"/>
        <v/>
      </c>
      <c r="T2578" s="53" t="str">
        <f t="shared" si="573"/>
        <v/>
      </c>
    </row>
    <row r="2579" spans="1:20">
      <c r="A2579" s="47" t="str">
        <f>IF(archive!E2579="","",archive!E2579)</f>
        <v/>
      </c>
      <c r="B2579" s="48" t="str">
        <f t="shared" si="560"/>
        <v/>
      </c>
      <c r="C2579" s="49" t="str">
        <f>IF(archive!F2579="","",archive!F2579)</f>
        <v/>
      </c>
      <c r="D2579" s="50" t="str">
        <f t="shared" si="561"/>
        <v/>
      </c>
      <c r="E2579" s="50" t="str">
        <f t="shared" si="562"/>
        <v/>
      </c>
      <c r="F2579" s="47" t="str">
        <f>IF(COUNTA(archive!H2579:CI2579)=0,"",COUNTA(archive!H2579:CI2579))</f>
        <v/>
      </c>
      <c r="G2579" s="47" t="str">
        <f>IF(archive!G2579="","",archive!G2579)</f>
        <v/>
      </c>
      <c r="H2579" s="51" t="str">
        <f>IF(archive!CJ2579="","",archive!CJ2579)</f>
        <v/>
      </c>
      <c r="I2579" s="51" t="str">
        <f>IF(archive!CK2579="","",archive!CK2579)</f>
        <v/>
      </c>
      <c r="J2579" s="47" t="str">
        <f t="shared" si="563"/>
        <v/>
      </c>
      <c r="K2579" s="51" t="str">
        <f t="shared" si="564"/>
        <v/>
      </c>
      <c r="L2579" s="52" t="str">
        <f t="shared" si="565"/>
        <v/>
      </c>
      <c r="M2579" s="53" t="str">
        <f t="shared" si="566"/>
        <v/>
      </c>
      <c r="N2579" s="53" t="str">
        <f t="shared" si="567"/>
        <v/>
      </c>
      <c r="O2579" s="53" t="str">
        <f t="shared" si="568"/>
        <v/>
      </c>
      <c r="P2579" s="53" t="str">
        <f t="shared" si="569"/>
        <v/>
      </c>
      <c r="Q2579" s="53" t="str">
        <f t="shared" si="570"/>
        <v/>
      </c>
      <c r="R2579" s="53" t="str">
        <f t="shared" si="571"/>
        <v/>
      </c>
      <c r="S2579" s="53" t="str">
        <f t="shared" si="572"/>
        <v/>
      </c>
      <c r="T2579" s="53" t="str">
        <f t="shared" si="573"/>
        <v/>
      </c>
    </row>
    <row r="2580" spans="1:20">
      <c r="A2580" s="47" t="str">
        <f>IF(archive!E2580="","",archive!E2580)</f>
        <v/>
      </c>
      <c r="B2580" s="48" t="str">
        <f t="shared" si="560"/>
        <v/>
      </c>
      <c r="C2580" s="49" t="str">
        <f>IF(archive!F2580="","",archive!F2580)</f>
        <v/>
      </c>
      <c r="D2580" s="50" t="str">
        <f t="shared" si="561"/>
        <v/>
      </c>
      <c r="E2580" s="50" t="str">
        <f t="shared" si="562"/>
        <v/>
      </c>
      <c r="F2580" s="47" t="str">
        <f>IF(COUNTA(archive!H2580:CI2580)=0,"",COUNTA(archive!H2580:CI2580))</f>
        <v/>
      </c>
      <c r="G2580" s="47" t="str">
        <f>IF(archive!G2580="","",archive!G2580)</f>
        <v/>
      </c>
      <c r="H2580" s="51" t="str">
        <f>IF(archive!CJ2580="","",archive!CJ2580)</f>
        <v/>
      </c>
      <c r="I2580" s="51" t="str">
        <f>IF(archive!CK2580="","",archive!CK2580)</f>
        <v/>
      </c>
      <c r="J2580" s="47" t="str">
        <f t="shared" si="563"/>
        <v/>
      </c>
      <c r="K2580" s="51" t="str">
        <f t="shared" si="564"/>
        <v/>
      </c>
      <c r="L2580" s="52" t="str">
        <f t="shared" si="565"/>
        <v/>
      </c>
      <c r="M2580" s="53" t="str">
        <f t="shared" si="566"/>
        <v/>
      </c>
      <c r="N2580" s="53" t="str">
        <f t="shared" si="567"/>
        <v/>
      </c>
      <c r="O2580" s="53" t="str">
        <f t="shared" si="568"/>
        <v/>
      </c>
      <c r="P2580" s="53" t="str">
        <f t="shared" si="569"/>
        <v/>
      </c>
      <c r="Q2580" s="53" t="str">
        <f t="shared" si="570"/>
        <v/>
      </c>
      <c r="R2580" s="53" t="str">
        <f t="shared" si="571"/>
        <v/>
      </c>
      <c r="S2580" s="53" t="str">
        <f t="shared" si="572"/>
        <v/>
      </c>
      <c r="T2580" s="53" t="str">
        <f t="shared" si="573"/>
        <v/>
      </c>
    </row>
    <row r="2581" spans="1:20">
      <c r="A2581" s="47" t="str">
        <f>IF(archive!E2581="","",archive!E2581)</f>
        <v/>
      </c>
      <c r="B2581" s="48" t="str">
        <f t="shared" si="560"/>
        <v/>
      </c>
      <c r="C2581" s="49" t="str">
        <f>IF(archive!F2581="","",archive!F2581)</f>
        <v/>
      </c>
      <c r="D2581" s="50" t="str">
        <f t="shared" si="561"/>
        <v/>
      </c>
      <c r="E2581" s="50" t="str">
        <f t="shared" si="562"/>
        <v/>
      </c>
      <c r="F2581" s="47" t="str">
        <f>IF(COUNTA(archive!H2581:CI2581)=0,"",COUNTA(archive!H2581:CI2581))</f>
        <v/>
      </c>
      <c r="G2581" s="47" t="str">
        <f>IF(archive!G2581="","",archive!G2581)</f>
        <v/>
      </c>
      <c r="H2581" s="51" t="str">
        <f>IF(archive!CJ2581="","",archive!CJ2581)</f>
        <v/>
      </c>
      <c r="I2581" s="51" t="str">
        <f>IF(archive!CK2581="","",archive!CK2581)</f>
        <v/>
      </c>
      <c r="J2581" s="47" t="str">
        <f t="shared" si="563"/>
        <v/>
      </c>
      <c r="K2581" s="51" t="str">
        <f t="shared" si="564"/>
        <v/>
      </c>
      <c r="L2581" s="52" t="str">
        <f t="shared" si="565"/>
        <v/>
      </c>
      <c r="M2581" s="53" t="str">
        <f t="shared" si="566"/>
        <v/>
      </c>
      <c r="N2581" s="53" t="str">
        <f t="shared" si="567"/>
        <v/>
      </c>
      <c r="O2581" s="53" t="str">
        <f t="shared" si="568"/>
        <v/>
      </c>
      <c r="P2581" s="53" t="str">
        <f t="shared" si="569"/>
        <v/>
      </c>
      <c r="Q2581" s="53" t="str">
        <f t="shared" si="570"/>
        <v/>
      </c>
      <c r="R2581" s="53" t="str">
        <f t="shared" si="571"/>
        <v/>
      </c>
      <c r="S2581" s="53" t="str">
        <f t="shared" si="572"/>
        <v/>
      </c>
      <c r="T2581" s="53" t="str">
        <f t="shared" si="573"/>
        <v/>
      </c>
    </row>
    <row r="2582" spans="1:20">
      <c r="A2582" s="47" t="str">
        <f>IF(archive!E2582="","",archive!E2582)</f>
        <v/>
      </c>
      <c r="B2582" s="48" t="str">
        <f t="shared" si="560"/>
        <v/>
      </c>
      <c r="C2582" s="49" t="str">
        <f>IF(archive!F2582="","",archive!F2582)</f>
        <v/>
      </c>
      <c r="D2582" s="50" t="str">
        <f t="shared" si="561"/>
        <v/>
      </c>
      <c r="E2582" s="50" t="str">
        <f t="shared" si="562"/>
        <v/>
      </c>
      <c r="F2582" s="47" t="str">
        <f>IF(COUNTA(archive!H2582:CI2582)=0,"",COUNTA(archive!H2582:CI2582))</f>
        <v/>
      </c>
      <c r="G2582" s="47" t="str">
        <f>IF(archive!G2582="","",archive!G2582)</f>
        <v/>
      </c>
      <c r="H2582" s="51" t="str">
        <f>IF(archive!CJ2582="","",archive!CJ2582)</f>
        <v/>
      </c>
      <c r="I2582" s="51" t="str">
        <f>IF(archive!CK2582="","",archive!CK2582)</f>
        <v/>
      </c>
      <c r="J2582" s="47" t="str">
        <f t="shared" si="563"/>
        <v/>
      </c>
      <c r="K2582" s="51" t="str">
        <f t="shared" si="564"/>
        <v/>
      </c>
      <c r="L2582" s="52" t="str">
        <f t="shared" si="565"/>
        <v/>
      </c>
      <c r="M2582" s="53" t="str">
        <f t="shared" si="566"/>
        <v/>
      </c>
      <c r="N2582" s="53" t="str">
        <f t="shared" si="567"/>
        <v/>
      </c>
      <c r="O2582" s="53" t="str">
        <f t="shared" si="568"/>
        <v/>
      </c>
      <c r="P2582" s="53" t="str">
        <f t="shared" si="569"/>
        <v/>
      </c>
      <c r="Q2582" s="53" t="str">
        <f t="shared" si="570"/>
        <v/>
      </c>
      <c r="R2582" s="53" t="str">
        <f t="shared" si="571"/>
        <v/>
      </c>
      <c r="S2582" s="53" t="str">
        <f t="shared" si="572"/>
        <v/>
      </c>
      <c r="T2582" s="53" t="str">
        <f t="shared" si="573"/>
        <v/>
      </c>
    </row>
    <row r="2583" spans="1:20">
      <c r="A2583" s="47" t="str">
        <f>IF(archive!E2583="","",archive!E2583)</f>
        <v/>
      </c>
      <c r="B2583" s="48" t="str">
        <f t="shared" si="560"/>
        <v/>
      </c>
      <c r="C2583" s="49" t="str">
        <f>IF(archive!F2583="","",archive!F2583)</f>
        <v/>
      </c>
      <c r="D2583" s="50" t="str">
        <f t="shared" si="561"/>
        <v/>
      </c>
      <c r="E2583" s="50" t="str">
        <f t="shared" si="562"/>
        <v/>
      </c>
      <c r="F2583" s="47" t="str">
        <f>IF(COUNTA(archive!H2583:CI2583)=0,"",COUNTA(archive!H2583:CI2583))</f>
        <v/>
      </c>
      <c r="G2583" s="47" t="str">
        <f>IF(archive!G2583="","",archive!G2583)</f>
        <v/>
      </c>
      <c r="H2583" s="51" t="str">
        <f>IF(archive!CJ2583="","",archive!CJ2583)</f>
        <v/>
      </c>
      <c r="I2583" s="51" t="str">
        <f>IF(archive!CK2583="","",archive!CK2583)</f>
        <v/>
      </c>
      <c r="J2583" s="47" t="str">
        <f t="shared" si="563"/>
        <v/>
      </c>
      <c r="K2583" s="51" t="str">
        <f t="shared" si="564"/>
        <v/>
      </c>
      <c r="L2583" s="52" t="str">
        <f t="shared" si="565"/>
        <v/>
      </c>
      <c r="M2583" s="53" t="str">
        <f t="shared" si="566"/>
        <v/>
      </c>
      <c r="N2583" s="53" t="str">
        <f t="shared" si="567"/>
        <v/>
      </c>
      <c r="O2583" s="53" t="str">
        <f t="shared" si="568"/>
        <v/>
      </c>
      <c r="P2583" s="53" t="str">
        <f t="shared" si="569"/>
        <v/>
      </c>
      <c r="Q2583" s="53" t="str">
        <f t="shared" si="570"/>
        <v/>
      </c>
      <c r="R2583" s="53" t="str">
        <f t="shared" si="571"/>
        <v/>
      </c>
      <c r="S2583" s="53" t="str">
        <f t="shared" si="572"/>
        <v/>
      </c>
      <c r="T2583" s="53" t="str">
        <f t="shared" si="573"/>
        <v/>
      </c>
    </row>
    <row r="2584" spans="1:20">
      <c r="A2584" s="47" t="str">
        <f>IF(archive!E2584="","",archive!E2584)</f>
        <v/>
      </c>
      <c r="B2584" s="48" t="str">
        <f t="shared" si="560"/>
        <v/>
      </c>
      <c r="C2584" s="49" t="str">
        <f>IF(archive!F2584="","",archive!F2584)</f>
        <v/>
      </c>
      <c r="D2584" s="50" t="str">
        <f t="shared" si="561"/>
        <v/>
      </c>
      <c r="E2584" s="50" t="str">
        <f t="shared" si="562"/>
        <v/>
      </c>
      <c r="F2584" s="47" t="str">
        <f>IF(COUNTA(archive!H2584:CI2584)=0,"",COUNTA(archive!H2584:CI2584))</f>
        <v/>
      </c>
      <c r="G2584" s="47" t="str">
        <f>IF(archive!G2584="","",archive!G2584)</f>
        <v/>
      </c>
      <c r="H2584" s="51" t="str">
        <f>IF(archive!CJ2584="","",archive!CJ2584)</f>
        <v/>
      </c>
      <c r="I2584" s="51" t="str">
        <f>IF(archive!CK2584="","",archive!CK2584)</f>
        <v/>
      </c>
      <c r="J2584" s="47" t="str">
        <f t="shared" si="563"/>
        <v/>
      </c>
      <c r="K2584" s="51" t="str">
        <f t="shared" si="564"/>
        <v/>
      </c>
      <c r="L2584" s="52" t="str">
        <f t="shared" si="565"/>
        <v/>
      </c>
      <c r="M2584" s="53" t="str">
        <f t="shared" si="566"/>
        <v/>
      </c>
      <c r="N2584" s="53" t="str">
        <f t="shared" si="567"/>
        <v/>
      </c>
      <c r="O2584" s="53" t="str">
        <f t="shared" si="568"/>
        <v/>
      </c>
      <c r="P2584" s="53" t="str">
        <f t="shared" si="569"/>
        <v/>
      </c>
      <c r="Q2584" s="53" t="str">
        <f t="shared" si="570"/>
        <v/>
      </c>
      <c r="R2584" s="53" t="str">
        <f t="shared" si="571"/>
        <v/>
      </c>
      <c r="S2584" s="53" t="str">
        <f t="shared" si="572"/>
        <v/>
      </c>
      <c r="T2584" s="53" t="str">
        <f t="shared" si="573"/>
        <v/>
      </c>
    </row>
    <row r="2585" spans="1:20">
      <c r="A2585" s="47" t="str">
        <f>IF(archive!E2585="","",archive!E2585)</f>
        <v/>
      </c>
      <c r="B2585" s="48" t="str">
        <f t="shared" si="560"/>
        <v/>
      </c>
      <c r="C2585" s="49" t="str">
        <f>IF(archive!F2585="","",archive!F2585)</f>
        <v/>
      </c>
      <c r="D2585" s="50" t="str">
        <f t="shared" si="561"/>
        <v/>
      </c>
      <c r="E2585" s="50" t="str">
        <f t="shared" si="562"/>
        <v/>
      </c>
      <c r="F2585" s="47" t="str">
        <f>IF(COUNTA(archive!H2585:CI2585)=0,"",COUNTA(archive!H2585:CI2585))</f>
        <v/>
      </c>
      <c r="G2585" s="47" t="str">
        <f>IF(archive!G2585="","",archive!G2585)</f>
        <v/>
      </c>
      <c r="H2585" s="51" t="str">
        <f>IF(archive!CJ2585="","",archive!CJ2585)</f>
        <v/>
      </c>
      <c r="I2585" s="51" t="str">
        <f>IF(archive!CK2585="","",archive!CK2585)</f>
        <v/>
      </c>
      <c r="J2585" s="47" t="str">
        <f t="shared" si="563"/>
        <v/>
      </c>
      <c r="K2585" s="51" t="str">
        <f t="shared" si="564"/>
        <v/>
      </c>
      <c r="L2585" s="52" t="str">
        <f t="shared" si="565"/>
        <v/>
      </c>
      <c r="M2585" s="53" t="str">
        <f t="shared" si="566"/>
        <v/>
      </c>
      <c r="N2585" s="53" t="str">
        <f t="shared" si="567"/>
        <v/>
      </c>
      <c r="O2585" s="53" t="str">
        <f t="shared" si="568"/>
        <v/>
      </c>
      <c r="P2585" s="53" t="str">
        <f t="shared" si="569"/>
        <v/>
      </c>
      <c r="Q2585" s="53" t="str">
        <f t="shared" si="570"/>
        <v/>
      </c>
      <c r="R2585" s="53" t="str">
        <f t="shared" si="571"/>
        <v/>
      </c>
      <c r="S2585" s="53" t="str">
        <f t="shared" si="572"/>
        <v/>
      </c>
      <c r="T2585" s="53" t="str">
        <f t="shared" si="573"/>
        <v/>
      </c>
    </row>
    <row r="2586" spans="1:20">
      <c r="A2586" s="47" t="str">
        <f>IF(archive!E2586="","",archive!E2586)</f>
        <v/>
      </c>
      <c r="B2586" s="48" t="str">
        <f t="shared" si="560"/>
        <v/>
      </c>
      <c r="C2586" s="49" t="str">
        <f>IF(archive!F2586="","",archive!F2586)</f>
        <v/>
      </c>
      <c r="D2586" s="50" t="str">
        <f t="shared" si="561"/>
        <v/>
      </c>
      <c r="E2586" s="50" t="str">
        <f t="shared" si="562"/>
        <v/>
      </c>
      <c r="F2586" s="47" t="str">
        <f>IF(COUNTA(archive!H2586:CI2586)=0,"",COUNTA(archive!H2586:CI2586))</f>
        <v/>
      </c>
      <c r="G2586" s="47" t="str">
        <f>IF(archive!G2586="","",archive!G2586)</f>
        <v/>
      </c>
      <c r="H2586" s="51" t="str">
        <f>IF(archive!CJ2586="","",archive!CJ2586)</f>
        <v/>
      </c>
      <c r="I2586" s="51" t="str">
        <f>IF(archive!CK2586="","",archive!CK2586)</f>
        <v/>
      </c>
      <c r="J2586" s="47" t="str">
        <f t="shared" si="563"/>
        <v/>
      </c>
      <c r="K2586" s="51" t="str">
        <f t="shared" si="564"/>
        <v/>
      </c>
      <c r="L2586" s="52" t="str">
        <f t="shared" si="565"/>
        <v/>
      </c>
      <c r="M2586" s="53" t="str">
        <f t="shared" si="566"/>
        <v/>
      </c>
      <c r="N2586" s="53" t="str">
        <f t="shared" si="567"/>
        <v/>
      </c>
      <c r="O2586" s="53" t="str">
        <f t="shared" si="568"/>
        <v/>
      </c>
      <c r="P2586" s="53" t="str">
        <f t="shared" si="569"/>
        <v/>
      </c>
      <c r="Q2586" s="53" t="str">
        <f t="shared" si="570"/>
        <v/>
      </c>
      <c r="R2586" s="53" t="str">
        <f t="shared" si="571"/>
        <v/>
      </c>
      <c r="S2586" s="53" t="str">
        <f t="shared" si="572"/>
        <v/>
      </c>
      <c r="T2586" s="53" t="str">
        <f t="shared" si="573"/>
        <v/>
      </c>
    </row>
    <row r="2587" spans="1:20">
      <c r="A2587" s="47" t="str">
        <f>IF(archive!E2587="","",archive!E2587)</f>
        <v/>
      </c>
      <c r="B2587" s="48" t="str">
        <f t="shared" si="560"/>
        <v/>
      </c>
      <c r="C2587" s="49" t="str">
        <f>IF(archive!F2587="","",archive!F2587)</f>
        <v/>
      </c>
      <c r="D2587" s="50" t="str">
        <f t="shared" si="561"/>
        <v/>
      </c>
      <c r="E2587" s="50" t="str">
        <f t="shared" si="562"/>
        <v/>
      </c>
      <c r="F2587" s="47" t="str">
        <f>IF(COUNTA(archive!H2587:CI2587)=0,"",COUNTA(archive!H2587:CI2587))</f>
        <v/>
      </c>
      <c r="G2587" s="47" t="str">
        <f>IF(archive!G2587="","",archive!G2587)</f>
        <v/>
      </c>
      <c r="H2587" s="51" t="str">
        <f>IF(archive!CJ2587="","",archive!CJ2587)</f>
        <v/>
      </c>
      <c r="I2587" s="51" t="str">
        <f>IF(archive!CK2587="","",archive!CK2587)</f>
        <v/>
      </c>
      <c r="J2587" s="47" t="str">
        <f t="shared" si="563"/>
        <v/>
      </c>
      <c r="K2587" s="51" t="str">
        <f t="shared" si="564"/>
        <v/>
      </c>
      <c r="L2587" s="52" t="str">
        <f t="shared" si="565"/>
        <v/>
      </c>
      <c r="M2587" s="53" t="str">
        <f t="shared" si="566"/>
        <v/>
      </c>
      <c r="N2587" s="53" t="str">
        <f t="shared" si="567"/>
        <v/>
      </c>
      <c r="O2587" s="53" t="str">
        <f t="shared" si="568"/>
        <v/>
      </c>
      <c r="P2587" s="53" t="str">
        <f t="shared" si="569"/>
        <v/>
      </c>
      <c r="Q2587" s="53" t="str">
        <f t="shared" si="570"/>
        <v/>
      </c>
      <c r="R2587" s="53" t="str">
        <f t="shared" si="571"/>
        <v/>
      </c>
      <c r="S2587" s="53" t="str">
        <f t="shared" si="572"/>
        <v/>
      </c>
      <c r="T2587" s="53" t="str">
        <f t="shared" si="573"/>
        <v/>
      </c>
    </row>
    <row r="2588" spans="1:20">
      <c r="A2588" s="47" t="str">
        <f>IF(archive!E2588="","",archive!E2588)</f>
        <v/>
      </c>
      <c r="B2588" s="48" t="str">
        <f t="shared" si="560"/>
        <v/>
      </c>
      <c r="C2588" s="49" t="str">
        <f>IF(archive!F2588="","",archive!F2588)</f>
        <v/>
      </c>
      <c r="D2588" s="50" t="str">
        <f t="shared" si="561"/>
        <v/>
      </c>
      <c r="E2588" s="50" t="str">
        <f t="shared" si="562"/>
        <v/>
      </c>
      <c r="F2588" s="47" t="str">
        <f>IF(COUNTA(archive!H2588:CI2588)=0,"",COUNTA(archive!H2588:CI2588))</f>
        <v/>
      </c>
      <c r="G2588" s="47" t="str">
        <f>IF(archive!G2588="","",archive!G2588)</f>
        <v/>
      </c>
      <c r="H2588" s="51" t="str">
        <f>IF(archive!CJ2588="","",archive!CJ2588)</f>
        <v/>
      </c>
      <c r="I2588" s="51" t="str">
        <f>IF(archive!CK2588="","",archive!CK2588)</f>
        <v/>
      </c>
      <c r="J2588" s="47" t="str">
        <f t="shared" si="563"/>
        <v/>
      </c>
      <c r="K2588" s="51" t="str">
        <f t="shared" si="564"/>
        <v/>
      </c>
      <c r="L2588" s="52" t="str">
        <f t="shared" si="565"/>
        <v/>
      </c>
      <c r="M2588" s="53" t="str">
        <f t="shared" si="566"/>
        <v/>
      </c>
      <c r="N2588" s="53" t="str">
        <f t="shared" si="567"/>
        <v/>
      </c>
      <c r="O2588" s="53" t="str">
        <f t="shared" si="568"/>
        <v/>
      </c>
      <c r="P2588" s="53" t="str">
        <f t="shared" si="569"/>
        <v/>
      </c>
      <c r="Q2588" s="53" t="str">
        <f t="shared" si="570"/>
        <v/>
      </c>
      <c r="R2588" s="53" t="str">
        <f t="shared" si="571"/>
        <v/>
      </c>
      <c r="S2588" s="53" t="str">
        <f t="shared" si="572"/>
        <v/>
      </c>
      <c r="T2588" s="53" t="str">
        <f t="shared" si="573"/>
        <v/>
      </c>
    </row>
    <row r="2589" spans="1:20">
      <c r="A2589" s="47" t="str">
        <f>IF(archive!E2589="","",archive!E2589)</f>
        <v/>
      </c>
      <c r="B2589" s="48" t="str">
        <f t="shared" si="560"/>
        <v/>
      </c>
      <c r="C2589" s="49" t="str">
        <f>IF(archive!F2589="","",archive!F2589)</f>
        <v/>
      </c>
      <c r="D2589" s="50" t="str">
        <f t="shared" si="561"/>
        <v/>
      </c>
      <c r="E2589" s="50" t="str">
        <f t="shared" si="562"/>
        <v/>
      </c>
      <c r="F2589" s="47" t="str">
        <f>IF(COUNTA(archive!H2589:CI2589)=0,"",COUNTA(archive!H2589:CI2589))</f>
        <v/>
      </c>
      <c r="G2589" s="47" t="str">
        <f>IF(archive!G2589="","",archive!G2589)</f>
        <v/>
      </c>
      <c r="H2589" s="51" t="str">
        <f>IF(archive!CJ2589="","",archive!CJ2589)</f>
        <v/>
      </c>
      <c r="I2589" s="51" t="str">
        <f>IF(archive!CK2589="","",archive!CK2589)</f>
        <v/>
      </c>
      <c r="J2589" s="47" t="str">
        <f t="shared" si="563"/>
        <v/>
      </c>
      <c r="K2589" s="51" t="str">
        <f t="shared" si="564"/>
        <v/>
      </c>
      <c r="L2589" s="52" t="str">
        <f t="shared" si="565"/>
        <v/>
      </c>
      <c r="M2589" s="53" t="str">
        <f t="shared" si="566"/>
        <v/>
      </c>
      <c r="N2589" s="53" t="str">
        <f t="shared" si="567"/>
        <v/>
      </c>
      <c r="O2589" s="53" t="str">
        <f t="shared" si="568"/>
        <v/>
      </c>
      <c r="P2589" s="53" t="str">
        <f t="shared" si="569"/>
        <v/>
      </c>
      <c r="Q2589" s="53" t="str">
        <f t="shared" si="570"/>
        <v/>
      </c>
      <c r="R2589" s="53" t="str">
        <f t="shared" si="571"/>
        <v/>
      </c>
      <c r="S2589" s="53" t="str">
        <f t="shared" si="572"/>
        <v/>
      </c>
      <c r="T2589" s="53" t="str">
        <f t="shared" si="573"/>
        <v/>
      </c>
    </row>
    <row r="2590" spans="1:20">
      <c r="A2590" s="47" t="str">
        <f>IF(archive!E2590="","",archive!E2590)</f>
        <v/>
      </c>
      <c r="B2590" s="48" t="str">
        <f t="shared" si="560"/>
        <v/>
      </c>
      <c r="C2590" s="49" t="str">
        <f>IF(archive!F2590="","",archive!F2590)</f>
        <v/>
      </c>
      <c r="D2590" s="50" t="str">
        <f t="shared" si="561"/>
        <v/>
      </c>
      <c r="E2590" s="50" t="str">
        <f t="shared" si="562"/>
        <v/>
      </c>
      <c r="F2590" s="47" t="str">
        <f>IF(COUNTA(archive!H2590:CI2590)=0,"",COUNTA(archive!H2590:CI2590))</f>
        <v/>
      </c>
      <c r="G2590" s="47" t="str">
        <f>IF(archive!G2590="","",archive!G2590)</f>
        <v/>
      </c>
      <c r="H2590" s="51" t="str">
        <f>IF(archive!CJ2590="","",archive!CJ2590)</f>
        <v/>
      </c>
      <c r="I2590" s="51" t="str">
        <f>IF(archive!CK2590="","",archive!CK2590)</f>
        <v/>
      </c>
      <c r="J2590" s="47" t="str">
        <f t="shared" si="563"/>
        <v/>
      </c>
      <c r="K2590" s="51" t="str">
        <f t="shared" si="564"/>
        <v/>
      </c>
      <c r="L2590" s="52" t="str">
        <f t="shared" si="565"/>
        <v/>
      </c>
      <c r="M2590" s="53" t="str">
        <f t="shared" si="566"/>
        <v/>
      </c>
      <c r="N2590" s="53" t="str">
        <f t="shared" si="567"/>
        <v/>
      </c>
      <c r="O2590" s="53" t="str">
        <f t="shared" si="568"/>
        <v/>
      </c>
      <c r="P2590" s="53" t="str">
        <f t="shared" si="569"/>
        <v/>
      </c>
      <c r="Q2590" s="53" t="str">
        <f t="shared" si="570"/>
        <v/>
      </c>
      <c r="R2590" s="53" t="str">
        <f t="shared" si="571"/>
        <v/>
      </c>
      <c r="S2590" s="53" t="str">
        <f t="shared" si="572"/>
        <v/>
      </c>
      <c r="T2590" s="53" t="str">
        <f t="shared" si="573"/>
        <v/>
      </c>
    </row>
    <row r="2591" spans="1:20">
      <c r="A2591" s="47" t="str">
        <f>IF(archive!E2591="","",archive!E2591)</f>
        <v/>
      </c>
      <c r="B2591" s="48" t="str">
        <f t="shared" si="560"/>
        <v/>
      </c>
      <c r="C2591" s="49" t="str">
        <f>IF(archive!F2591="","",archive!F2591)</f>
        <v/>
      </c>
      <c r="D2591" s="50" t="str">
        <f t="shared" si="561"/>
        <v/>
      </c>
      <c r="E2591" s="50" t="str">
        <f t="shared" si="562"/>
        <v/>
      </c>
      <c r="F2591" s="47" t="str">
        <f>IF(COUNTA(archive!H2591:CI2591)=0,"",COUNTA(archive!H2591:CI2591))</f>
        <v/>
      </c>
      <c r="G2591" s="47" t="str">
        <f>IF(archive!G2591="","",archive!G2591)</f>
        <v/>
      </c>
      <c r="H2591" s="51" t="str">
        <f>IF(archive!CJ2591="","",archive!CJ2591)</f>
        <v/>
      </c>
      <c r="I2591" s="51" t="str">
        <f>IF(archive!CK2591="","",archive!CK2591)</f>
        <v/>
      </c>
      <c r="J2591" s="47" t="str">
        <f t="shared" si="563"/>
        <v/>
      </c>
      <c r="K2591" s="51" t="str">
        <f t="shared" si="564"/>
        <v/>
      </c>
      <c r="L2591" s="52" t="str">
        <f t="shared" si="565"/>
        <v/>
      </c>
      <c r="M2591" s="53" t="str">
        <f t="shared" si="566"/>
        <v/>
      </c>
      <c r="N2591" s="53" t="str">
        <f t="shared" si="567"/>
        <v/>
      </c>
      <c r="O2591" s="53" t="str">
        <f t="shared" si="568"/>
        <v/>
      </c>
      <c r="P2591" s="53" t="str">
        <f t="shared" si="569"/>
        <v/>
      </c>
      <c r="Q2591" s="53" t="str">
        <f t="shared" si="570"/>
        <v/>
      </c>
      <c r="R2591" s="53" t="str">
        <f t="shared" si="571"/>
        <v/>
      </c>
      <c r="S2591" s="53" t="str">
        <f t="shared" si="572"/>
        <v/>
      </c>
      <c r="T2591" s="53" t="str">
        <f t="shared" si="573"/>
        <v/>
      </c>
    </row>
    <row r="2592" spans="1:20">
      <c r="A2592" s="47" t="str">
        <f>IF(archive!E2592="","",archive!E2592)</f>
        <v/>
      </c>
      <c r="B2592" s="48" t="str">
        <f t="shared" si="560"/>
        <v/>
      </c>
      <c r="C2592" s="49" t="str">
        <f>IF(archive!F2592="","",archive!F2592)</f>
        <v/>
      </c>
      <c r="D2592" s="50" t="str">
        <f t="shared" si="561"/>
        <v/>
      </c>
      <c r="E2592" s="50" t="str">
        <f t="shared" si="562"/>
        <v/>
      </c>
      <c r="F2592" s="47" t="str">
        <f>IF(COUNTA(archive!H2592:CI2592)=0,"",COUNTA(archive!H2592:CI2592))</f>
        <v/>
      </c>
      <c r="G2592" s="47" t="str">
        <f>IF(archive!G2592="","",archive!G2592)</f>
        <v/>
      </c>
      <c r="H2592" s="51" t="str">
        <f>IF(archive!CJ2592="","",archive!CJ2592)</f>
        <v/>
      </c>
      <c r="I2592" s="51" t="str">
        <f>IF(archive!CK2592="","",archive!CK2592)</f>
        <v/>
      </c>
      <c r="J2592" s="47" t="str">
        <f t="shared" si="563"/>
        <v/>
      </c>
      <c r="K2592" s="51" t="str">
        <f t="shared" si="564"/>
        <v/>
      </c>
      <c r="L2592" s="52" t="str">
        <f t="shared" si="565"/>
        <v/>
      </c>
      <c r="M2592" s="53" t="str">
        <f t="shared" si="566"/>
        <v/>
      </c>
      <c r="N2592" s="53" t="str">
        <f t="shared" si="567"/>
        <v/>
      </c>
      <c r="O2592" s="53" t="str">
        <f t="shared" si="568"/>
        <v/>
      </c>
      <c r="P2592" s="53" t="str">
        <f t="shared" si="569"/>
        <v/>
      </c>
      <c r="Q2592" s="53" t="str">
        <f t="shared" si="570"/>
        <v/>
      </c>
      <c r="R2592" s="53" t="str">
        <f t="shared" si="571"/>
        <v/>
      </c>
      <c r="S2592" s="53" t="str">
        <f t="shared" si="572"/>
        <v/>
      </c>
      <c r="T2592" s="53" t="str">
        <f t="shared" si="573"/>
        <v/>
      </c>
    </row>
    <row r="2593" spans="1:20">
      <c r="A2593" s="47" t="str">
        <f>IF(archive!E2593="","",archive!E2593)</f>
        <v/>
      </c>
      <c r="B2593" s="48" t="str">
        <f t="shared" si="560"/>
        <v/>
      </c>
      <c r="C2593" s="49" t="str">
        <f>IF(archive!F2593="","",archive!F2593)</f>
        <v/>
      </c>
      <c r="D2593" s="50" t="str">
        <f t="shared" si="561"/>
        <v/>
      </c>
      <c r="E2593" s="50" t="str">
        <f t="shared" si="562"/>
        <v/>
      </c>
      <c r="F2593" s="47" t="str">
        <f>IF(COUNTA(archive!H2593:CI2593)=0,"",COUNTA(archive!H2593:CI2593))</f>
        <v/>
      </c>
      <c r="G2593" s="47" t="str">
        <f>IF(archive!G2593="","",archive!G2593)</f>
        <v/>
      </c>
      <c r="H2593" s="51" t="str">
        <f>IF(archive!CJ2593="","",archive!CJ2593)</f>
        <v/>
      </c>
      <c r="I2593" s="51" t="str">
        <f>IF(archive!CK2593="","",archive!CK2593)</f>
        <v/>
      </c>
      <c r="J2593" s="47" t="str">
        <f t="shared" si="563"/>
        <v/>
      </c>
      <c r="K2593" s="51" t="str">
        <f t="shared" si="564"/>
        <v/>
      </c>
      <c r="L2593" s="52" t="str">
        <f t="shared" si="565"/>
        <v/>
      </c>
      <c r="M2593" s="53" t="str">
        <f t="shared" si="566"/>
        <v/>
      </c>
      <c r="N2593" s="53" t="str">
        <f t="shared" si="567"/>
        <v/>
      </c>
      <c r="O2593" s="53" t="str">
        <f t="shared" si="568"/>
        <v/>
      </c>
      <c r="P2593" s="53" t="str">
        <f t="shared" si="569"/>
        <v/>
      </c>
      <c r="Q2593" s="53" t="str">
        <f t="shared" si="570"/>
        <v/>
      </c>
      <c r="R2593" s="53" t="str">
        <f t="shared" si="571"/>
        <v/>
      </c>
      <c r="S2593" s="53" t="str">
        <f t="shared" si="572"/>
        <v/>
      </c>
      <c r="T2593" s="53" t="str">
        <f t="shared" si="573"/>
        <v/>
      </c>
    </row>
    <row r="2594" spans="1:20">
      <c r="A2594" s="47" t="str">
        <f>IF(archive!E2594="","",archive!E2594)</f>
        <v/>
      </c>
      <c r="B2594" s="48" t="str">
        <f t="shared" si="560"/>
        <v/>
      </c>
      <c r="C2594" s="49" t="str">
        <f>IF(archive!F2594="","",archive!F2594)</f>
        <v/>
      </c>
      <c r="D2594" s="50" t="str">
        <f t="shared" si="561"/>
        <v/>
      </c>
      <c r="E2594" s="50" t="str">
        <f t="shared" si="562"/>
        <v/>
      </c>
      <c r="F2594" s="47" t="str">
        <f>IF(COUNTA(archive!H2594:CI2594)=0,"",COUNTA(archive!H2594:CI2594))</f>
        <v/>
      </c>
      <c r="G2594" s="47" t="str">
        <f>IF(archive!G2594="","",archive!G2594)</f>
        <v/>
      </c>
      <c r="H2594" s="51" t="str">
        <f>IF(archive!CJ2594="","",archive!CJ2594)</f>
        <v/>
      </c>
      <c r="I2594" s="51" t="str">
        <f>IF(archive!CK2594="","",archive!CK2594)</f>
        <v/>
      </c>
      <c r="J2594" s="47" t="str">
        <f t="shared" si="563"/>
        <v/>
      </c>
      <c r="K2594" s="51" t="str">
        <f t="shared" si="564"/>
        <v/>
      </c>
      <c r="L2594" s="52" t="str">
        <f t="shared" si="565"/>
        <v/>
      </c>
      <c r="M2594" s="53" t="str">
        <f t="shared" si="566"/>
        <v/>
      </c>
      <c r="N2594" s="53" t="str">
        <f t="shared" si="567"/>
        <v/>
      </c>
      <c r="O2594" s="53" t="str">
        <f t="shared" si="568"/>
        <v/>
      </c>
      <c r="P2594" s="53" t="str">
        <f t="shared" si="569"/>
        <v/>
      </c>
      <c r="Q2594" s="53" t="str">
        <f t="shared" si="570"/>
        <v/>
      </c>
      <c r="R2594" s="53" t="str">
        <f t="shared" si="571"/>
        <v/>
      </c>
      <c r="S2594" s="53" t="str">
        <f t="shared" si="572"/>
        <v/>
      </c>
      <c r="T2594" s="53" t="str">
        <f t="shared" si="573"/>
        <v/>
      </c>
    </row>
    <row r="2595" spans="1:20">
      <c r="A2595" s="47" t="str">
        <f>IF(archive!E2595="","",archive!E2595)</f>
        <v/>
      </c>
      <c r="B2595" s="48" t="str">
        <f t="shared" si="560"/>
        <v/>
      </c>
      <c r="C2595" s="49" t="str">
        <f>IF(archive!F2595="","",archive!F2595)</f>
        <v/>
      </c>
      <c r="D2595" s="50" t="str">
        <f t="shared" si="561"/>
        <v/>
      </c>
      <c r="E2595" s="50" t="str">
        <f t="shared" si="562"/>
        <v/>
      </c>
      <c r="F2595" s="47" t="str">
        <f>IF(COUNTA(archive!H2595:CI2595)=0,"",COUNTA(archive!H2595:CI2595))</f>
        <v/>
      </c>
      <c r="G2595" s="47" t="str">
        <f>IF(archive!G2595="","",archive!G2595)</f>
        <v/>
      </c>
      <c r="H2595" s="51" t="str">
        <f>IF(archive!CJ2595="","",archive!CJ2595)</f>
        <v/>
      </c>
      <c r="I2595" s="51" t="str">
        <f>IF(archive!CK2595="","",archive!CK2595)</f>
        <v/>
      </c>
      <c r="J2595" s="47" t="str">
        <f t="shared" si="563"/>
        <v/>
      </c>
      <c r="K2595" s="51" t="str">
        <f t="shared" si="564"/>
        <v/>
      </c>
      <c r="L2595" s="52" t="str">
        <f t="shared" si="565"/>
        <v/>
      </c>
      <c r="M2595" s="53" t="str">
        <f t="shared" si="566"/>
        <v/>
      </c>
      <c r="N2595" s="53" t="str">
        <f t="shared" si="567"/>
        <v/>
      </c>
      <c r="O2595" s="53" t="str">
        <f t="shared" si="568"/>
        <v/>
      </c>
      <c r="P2595" s="53" t="str">
        <f t="shared" si="569"/>
        <v/>
      </c>
      <c r="Q2595" s="53" t="str">
        <f t="shared" si="570"/>
        <v/>
      </c>
      <c r="R2595" s="53" t="str">
        <f t="shared" si="571"/>
        <v/>
      </c>
      <c r="S2595" s="53" t="str">
        <f t="shared" si="572"/>
        <v/>
      </c>
      <c r="T2595" s="53" t="str">
        <f t="shared" si="573"/>
        <v/>
      </c>
    </row>
    <row r="2596" spans="1:20">
      <c r="A2596" s="47" t="str">
        <f>IF(archive!E2596="","",archive!E2596)</f>
        <v/>
      </c>
      <c r="B2596" s="48" t="str">
        <f t="shared" si="560"/>
        <v/>
      </c>
      <c r="C2596" s="49" t="str">
        <f>IF(archive!F2596="","",archive!F2596)</f>
        <v/>
      </c>
      <c r="D2596" s="50" t="str">
        <f t="shared" si="561"/>
        <v/>
      </c>
      <c r="E2596" s="50" t="str">
        <f t="shared" si="562"/>
        <v/>
      </c>
      <c r="F2596" s="47" t="str">
        <f>IF(COUNTA(archive!H2596:CI2596)=0,"",COUNTA(archive!H2596:CI2596))</f>
        <v/>
      </c>
      <c r="G2596" s="47" t="str">
        <f>IF(archive!G2596="","",archive!G2596)</f>
        <v/>
      </c>
      <c r="H2596" s="51" t="str">
        <f>IF(archive!CJ2596="","",archive!CJ2596)</f>
        <v/>
      </c>
      <c r="I2596" s="51" t="str">
        <f>IF(archive!CK2596="","",archive!CK2596)</f>
        <v/>
      </c>
      <c r="J2596" s="47" t="str">
        <f t="shared" si="563"/>
        <v/>
      </c>
      <c r="K2596" s="51" t="str">
        <f t="shared" si="564"/>
        <v/>
      </c>
      <c r="L2596" s="52" t="str">
        <f t="shared" si="565"/>
        <v/>
      </c>
      <c r="M2596" s="53" t="str">
        <f t="shared" si="566"/>
        <v/>
      </c>
      <c r="N2596" s="53" t="str">
        <f t="shared" si="567"/>
        <v/>
      </c>
      <c r="O2596" s="53" t="str">
        <f t="shared" si="568"/>
        <v/>
      </c>
      <c r="P2596" s="53" t="str">
        <f t="shared" si="569"/>
        <v/>
      </c>
      <c r="Q2596" s="53" t="str">
        <f t="shared" si="570"/>
        <v/>
      </c>
      <c r="R2596" s="53" t="str">
        <f t="shared" si="571"/>
        <v/>
      </c>
      <c r="S2596" s="53" t="str">
        <f t="shared" si="572"/>
        <v/>
      </c>
      <c r="T2596" s="53" t="str">
        <f t="shared" si="573"/>
        <v/>
      </c>
    </row>
    <row r="2597" spans="1:20">
      <c r="A2597" s="47" t="str">
        <f>IF(archive!E2597="","",archive!E2597)</f>
        <v/>
      </c>
      <c r="B2597" s="48" t="str">
        <f t="shared" si="560"/>
        <v/>
      </c>
      <c r="C2597" s="49" t="str">
        <f>IF(archive!F2597="","",archive!F2597)</f>
        <v/>
      </c>
      <c r="D2597" s="50" t="str">
        <f t="shared" si="561"/>
        <v/>
      </c>
      <c r="E2597" s="50" t="str">
        <f t="shared" si="562"/>
        <v/>
      </c>
      <c r="F2597" s="47" t="str">
        <f>IF(COUNTA(archive!H2597:CI2597)=0,"",COUNTA(archive!H2597:CI2597))</f>
        <v/>
      </c>
      <c r="G2597" s="47" t="str">
        <f>IF(archive!G2597="","",archive!G2597)</f>
        <v/>
      </c>
      <c r="H2597" s="51" t="str">
        <f>IF(archive!CJ2597="","",archive!CJ2597)</f>
        <v/>
      </c>
      <c r="I2597" s="51" t="str">
        <f>IF(archive!CK2597="","",archive!CK2597)</f>
        <v/>
      </c>
      <c r="J2597" s="47" t="str">
        <f t="shared" si="563"/>
        <v/>
      </c>
      <c r="K2597" s="51" t="str">
        <f t="shared" si="564"/>
        <v/>
      </c>
      <c r="L2597" s="52" t="str">
        <f t="shared" si="565"/>
        <v/>
      </c>
      <c r="M2597" s="53" t="str">
        <f t="shared" si="566"/>
        <v/>
      </c>
      <c r="N2597" s="53" t="str">
        <f t="shared" si="567"/>
        <v/>
      </c>
      <c r="O2597" s="53" t="str">
        <f t="shared" si="568"/>
        <v/>
      </c>
      <c r="P2597" s="53" t="str">
        <f t="shared" si="569"/>
        <v/>
      </c>
      <c r="Q2597" s="53" t="str">
        <f t="shared" si="570"/>
        <v/>
      </c>
      <c r="R2597" s="53" t="str">
        <f t="shared" si="571"/>
        <v/>
      </c>
      <c r="S2597" s="53" t="str">
        <f t="shared" si="572"/>
        <v/>
      </c>
      <c r="T2597" s="53" t="str">
        <f t="shared" si="573"/>
        <v/>
      </c>
    </row>
    <row r="2598" spans="1:20">
      <c r="A2598" s="47" t="str">
        <f>IF(archive!E2598="","",archive!E2598)</f>
        <v/>
      </c>
      <c r="B2598" s="48" t="str">
        <f t="shared" si="560"/>
        <v/>
      </c>
      <c r="C2598" s="49" t="str">
        <f>IF(archive!F2598="","",archive!F2598)</f>
        <v/>
      </c>
      <c r="D2598" s="50" t="str">
        <f t="shared" si="561"/>
        <v/>
      </c>
      <c r="E2598" s="50" t="str">
        <f t="shared" si="562"/>
        <v/>
      </c>
      <c r="F2598" s="47" t="str">
        <f>IF(COUNTA(archive!H2598:CI2598)=0,"",COUNTA(archive!H2598:CI2598))</f>
        <v/>
      </c>
      <c r="G2598" s="47" t="str">
        <f>IF(archive!G2598="","",archive!G2598)</f>
        <v/>
      </c>
      <c r="H2598" s="51" t="str">
        <f>IF(archive!CJ2598="","",archive!CJ2598)</f>
        <v/>
      </c>
      <c r="I2598" s="51" t="str">
        <f>IF(archive!CK2598="","",archive!CK2598)</f>
        <v/>
      </c>
      <c r="J2598" s="47" t="str">
        <f t="shared" si="563"/>
        <v/>
      </c>
      <c r="K2598" s="51" t="str">
        <f t="shared" si="564"/>
        <v/>
      </c>
      <c r="L2598" s="52" t="str">
        <f t="shared" si="565"/>
        <v/>
      </c>
      <c r="M2598" s="53" t="str">
        <f t="shared" si="566"/>
        <v/>
      </c>
      <c r="N2598" s="53" t="str">
        <f t="shared" si="567"/>
        <v/>
      </c>
      <c r="O2598" s="53" t="str">
        <f t="shared" si="568"/>
        <v/>
      </c>
      <c r="P2598" s="53" t="str">
        <f t="shared" si="569"/>
        <v/>
      </c>
      <c r="Q2598" s="53" t="str">
        <f t="shared" si="570"/>
        <v/>
      </c>
      <c r="R2598" s="53" t="str">
        <f t="shared" si="571"/>
        <v/>
      </c>
      <c r="S2598" s="53" t="str">
        <f t="shared" si="572"/>
        <v/>
      </c>
      <c r="T2598" s="53" t="str">
        <f t="shared" si="573"/>
        <v/>
      </c>
    </row>
    <row r="2599" spans="1:20">
      <c r="A2599" s="47" t="str">
        <f>IF(archive!E2599="","",archive!E2599)</f>
        <v/>
      </c>
      <c r="B2599" s="48" t="str">
        <f t="shared" si="560"/>
        <v/>
      </c>
      <c r="C2599" s="49" t="str">
        <f>IF(archive!F2599="","",archive!F2599)</f>
        <v/>
      </c>
      <c r="D2599" s="50" t="str">
        <f t="shared" si="561"/>
        <v/>
      </c>
      <c r="E2599" s="50" t="str">
        <f t="shared" si="562"/>
        <v/>
      </c>
      <c r="F2599" s="47" t="str">
        <f>IF(COUNTA(archive!H2599:CI2599)=0,"",COUNTA(archive!H2599:CI2599))</f>
        <v/>
      </c>
      <c r="G2599" s="47" t="str">
        <f>IF(archive!G2599="","",archive!G2599)</f>
        <v/>
      </c>
      <c r="H2599" s="51" t="str">
        <f>IF(archive!CJ2599="","",archive!CJ2599)</f>
        <v/>
      </c>
      <c r="I2599" s="51" t="str">
        <f>IF(archive!CK2599="","",archive!CK2599)</f>
        <v/>
      </c>
      <c r="J2599" s="47" t="str">
        <f t="shared" si="563"/>
        <v/>
      </c>
      <c r="K2599" s="51" t="str">
        <f t="shared" si="564"/>
        <v/>
      </c>
      <c r="L2599" s="52" t="str">
        <f t="shared" si="565"/>
        <v/>
      </c>
      <c r="M2599" s="53" t="str">
        <f t="shared" si="566"/>
        <v/>
      </c>
      <c r="N2599" s="53" t="str">
        <f t="shared" si="567"/>
        <v/>
      </c>
      <c r="O2599" s="53" t="str">
        <f t="shared" si="568"/>
        <v/>
      </c>
      <c r="P2599" s="53" t="str">
        <f t="shared" si="569"/>
        <v/>
      </c>
      <c r="Q2599" s="53" t="str">
        <f t="shared" si="570"/>
        <v/>
      </c>
      <c r="R2599" s="53" t="str">
        <f t="shared" si="571"/>
        <v/>
      </c>
      <c r="S2599" s="53" t="str">
        <f t="shared" si="572"/>
        <v/>
      </c>
      <c r="T2599" s="53" t="str">
        <f t="shared" si="573"/>
        <v/>
      </c>
    </row>
    <row r="2600" spans="1:20">
      <c r="A2600" s="47" t="str">
        <f>IF(archive!E2600="","",archive!E2600)</f>
        <v/>
      </c>
      <c r="B2600" s="48" t="str">
        <f t="shared" si="560"/>
        <v/>
      </c>
      <c r="C2600" s="49" t="str">
        <f>IF(archive!F2600="","",archive!F2600)</f>
        <v/>
      </c>
      <c r="D2600" s="50" t="str">
        <f t="shared" si="561"/>
        <v/>
      </c>
      <c r="E2600" s="50" t="str">
        <f t="shared" si="562"/>
        <v/>
      </c>
      <c r="F2600" s="47" t="str">
        <f>IF(COUNTA(archive!H2600:CI2600)=0,"",COUNTA(archive!H2600:CI2600))</f>
        <v/>
      </c>
      <c r="G2600" s="47" t="str">
        <f>IF(archive!G2600="","",archive!G2600)</f>
        <v/>
      </c>
      <c r="H2600" s="51" t="str">
        <f>IF(archive!CJ2600="","",archive!CJ2600)</f>
        <v/>
      </c>
      <c r="I2600" s="51" t="str">
        <f>IF(archive!CK2600="","",archive!CK2600)</f>
        <v/>
      </c>
      <c r="J2600" s="47" t="str">
        <f t="shared" si="563"/>
        <v/>
      </c>
      <c r="K2600" s="51" t="str">
        <f t="shared" si="564"/>
        <v/>
      </c>
      <c r="L2600" s="52" t="str">
        <f t="shared" si="565"/>
        <v/>
      </c>
      <c r="M2600" s="53" t="str">
        <f t="shared" si="566"/>
        <v/>
      </c>
      <c r="N2600" s="53" t="str">
        <f t="shared" si="567"/>
        <v/>
      </c>
      <c r="O2600" s="53" t="str">
        <f t="shared" si="568"/>
        <v/>
      </c>
      <c r="P2600" s="53" t="str">
        <f t="shared" si="569"/>
        <v/>
      </c>
      <c r="Q2600" s="53" t="str">
        <f t="shared" si="570"/>
        <v/>
      </c>
      <c r="R2600" s="53" t="str">
        <f t="shared" si="571"/>
        <v/>
      </c>
      <c r="S2600" s="53" t="str">
        <f t="shared" si="572"/>
        <v/>
      </c>
      <c r="T2600" s="53" t="str">
        <f t="shared" si="573"/>
        <v/>
      </c>
    </row>
    <row r="2601" spans="1:20">
      <c r="A2601" s="47" t="str">
        <f>IF(archive!E2601="","",archive!E2601)</f>
        <v/>
      </c>
      <c r="B2601" s="48" t="str">
        <f t="shared" si="560"/>
        <v/>
      </c>
      <c r="C2601" s="49" t="str">
        <f>IF(archive!F2601="","",archive!F2601)</f>
        <v/>
      </c>
      <c r="D2601" s="50" t="str">
        <f t="shared" si="561"/>
        <v/>
      </c>
      <c r="E2601" s="50" t="str">
        <f t="shared" si="562"/>
        <v/>
      </c>
      <c r="F2601" s="47" t="str">
        <f>IF(COUNTA(archive!H2601:CI2601)=0,"",COUNTA(archive!H2601:CI2601))</f>
        <v/>
      </c>
      <c r="G2601" s="47" t="str">
        <f>IF(archive!G2601="","",archive!G2601)</f>
        <v/>
      </c>
      <c r="H2601" s="51" t="str">
        <f>IF(archive!CJ2601="","",archive!CJ2601)</f>
        <v/>
      </c>
      <c r="I2601" s="51" t="str">
        <f>IF(archive!CK2601="","",archive!CK2601)</f>
        <v/>
      </c>
      <c r="J2601" s="47" t="str">
        <f t="shared" si="563"/>
        <v/>
      </c>
      <c r="K2601" s="51" t="str">
        <f t="shared" si="564"/>
        <v/>
      </c>
      <c r="L2601" s="52" t="str">
        <f t="shared" si="565"/>
        <v/>
      </c>
      <c r="M2601" s="53" t="str">
        <f t="shared" si="566"/>
        <v/>
      </c>
      <c r="N2601" s="53" t="str">
        <f t="shared" si="567"/>
        <v/>
      </c>
      <c r="O2601" s="53" t="str">
        <f t="shared" si="568"/>
        <v/>
      </c>
      <c r="P2601" s="53" t="str">
        <f t="shared" si="569"/>
        <v/>
      </c>
      <c r="Q2601" s="53" t="str">
        <f t="shared" si="570"/>
        <v/>
      </c>
      <c r="R2601" s="53" t="str">
        <f t="shared" si="571"/>
        <v/>
      </c>
      <c r="S2601" s="53" t="str">
        <f t="shared" si="572"/>
        <v/>
      </c>
      <c r="T2601" s="53" t="str">
        <f t="shared" si="573"/>
        <v/>
      </c>
    </row>
    <row r="2602" spans="1:20">
      <c r="A2602" s="47" t="str">
        <f>IF(archive!E2602="","",archive!E2602)</f>
        <v/>
      </c>
      <c r="B2602" s="48" t="str">
        <f t="shared" si="560"/>
        <v/>
      </c>
      <c r="C2602" s="49" t="str">
        <f>IF(archive!F2602="","",archive!F2602)</f>
        <v/>
      </c>
      <c r="D2602" s="50" t="str">
        <f t="shared" si="561"/>
        <v/>
      </c>
      <c r="E2602" s="50" t="str">
        <f t="shared" si="562"/>
        <v/>
      </c>
      <c r="F2602" s="47" t="str">
        <f>IF(COUNTA(archive!H2602:CI2602)=0,"",COUNTA(archive!H2602:CI2602))</f>
        <v/>
      </c>
      <c r="G2602" s="47" t="str">
        <f>IF(archive!G2602="","",archive!G2602)</f>
        <v/>
      </c>
      <c r="H2602" s="51" t="str">
        <f>IF(archive!CJ2602="","",archive!CJ2602)</f>
        <v/>
      </c>
      <c r="I2602" s="51" t="str">
        <f>IF(archive!CK2602="","",archive!CK2602)</f>
        <v/>
      </c>
      <c r="J2602" s="47" t="str">
        <f t="shared" si="563"/>
        <v/>
      </c>
      <c r="K2602" s="51" t="str">
        <f t="shared" si="564"/>
        <v/>
      </c>
      <c r="L2602" s="52" t="str">
        <f t="shared" si="565"/>
        <v/>
      </c>
      <c r="M2602" s="53" t="str">
        <f t="shared" si="566"/>
        <v/>
      </c>
      <c r="N2602" s="53" t="str">
        <f t="shared" si="567"/>
        <v/>
      </c>
      <c r="O2602" s="53" t="str">
        <f t="shared" si="568"/>
        <v/>
      </c>
      <c r="P2602" s="53" t="str">
        <f t="shared" si="569"/>
        <v/>
      </c>
      <c r="Q2602" s="53" t="str">
        <f t="shared" si="570"/>
        <v/>
      </c>
      <c r="R2602" s="53" t="str">
        <f t="shared" si="571"/>
        <v/>
      </c>
      <c r="S2602" s="53" t="str">
        <f t="shared" si="572"/>
        <v/>
      </c>
      <c r="T2602" s="53" t="str">
        <f t="shared" si="573"/>
        <v/>
      </c>
    </row>
    <row r="2603" spans="1:20">
      <c r="A2603" s="47" t="str">
        <f>IF(archive!E2603="","",archive!E2603)</f>
        <v/>
      </c>
      <c r="B2603" s="48" t="str">
        <f t="shared" si="560"/>
        <v/>
      </c>
      <c r="C2603" s="49" t="str">
        <f>IF(archive!F2603="","",archive!F2603)</f>
        <v/>
      </c>
      <c r="D2603" s="50" t="str">
        <f t="shared" si="561"/>
        <v/>
      </c>
      <c r="E2603" s="50" t="str">
        <f t="shared" si="562"/>
        <v/>
      </c>
      <c r="F2603" s="47" t="str">
        <f>IF(COUNTA(archive!H2603:CI2603)=0,"",COUNTA(archive!H2603:CI2603))</f>
        <v/>
      </c>
      <c r="G2603" s="47" t="str">
        <f>IF(archive!G2603="","",archive!G2603)</f>
        <v/>
      </c>
      <c r="H2603" s="51" t="str">
        <f>IF(archive!CJ2603="","",archive!CJ2603)</f>
        <v/>
      </c>
      <c r="I2603" s="51" t="str">
        <f>IF(archive!CK2603="","",archive!CK2603)</f>
        <v/>
      </c>
      <c r="J2603" s="47" t="str">
        <f t="shared" si="563"/>
        <v/>
      </c>
      <c r="K2603" s="51" t="str">
        <f t="shared" si="564"/>
        <v/>
      </c>
      <c r="L2603" s="52" t="str">
        <f t="shared" si="565"/>
        <v/>
      </c>
      <c r="M2603" s="53" t="str">
        <f t="shared" si="566"/>
        <v/>
      </c>
      <c r="N2603" s="53" t="str">
        <f t="shared" si="567"/>
        <v/>
      </c>
      <c r="O2603" s="53" t="str">
        <f t="shared" si="568"/>
        <v/>
      </c>
      <c r="P2603" s="53" t="str">
        <f t="shared" si="569"/>
        <v/>
      </c>
      <c r="Q2603" s="53" t="str">
        <f t="shared" si="570"/>
        <v/>
      </c>
      <c r="R2603" s="53" t="str">
        <f t="shared" si="571"/>
        <v/>
      </c>
      <c r="S2603" s="53" t="str">
        <f t="shared" si="572"/>
        <v/>
      </c>
      <c r="T2603" s="53" t="str">
        <f t="shared" si="573"/>
        <v/>
      </c>
    </row>
    <row r="2604" spans="1:20">
      <c r="A2604" s="47" t="str">
        <f>IF(archive!E2604="","",archive!E2604)</f>
        <v/>
      </c>
      <c r="B2604" s="48" t="str">
        <f t="shared" si="560"/>
        <v/>
      </c>
      <c r="C2604" s="49" t="str">
        <f>IF(archive!F2604="","",archive!F2604)</f>
        <v/>
      </c>
      <c r="D2604" s="50" t="str">
        <f t="shared" si="561"/>
        <v/>
      </c>
      <c r="E2604" s="50" t="str">
        <f t="shared" si="562"/>
        <v/>
      </c>
      <c r="F2604" s="47" t="str">
        <f>IF(COUNTA(archive!H2604:CI2604)=0,"",COUNTA(archive!H2604:CI2604))</f>
        <v/>
      </c>
      <c r="G2604" s="47" t="str">
        <f>IF(archive!G2604="","",archive!G2604)</f>
        <v/>
      </c>
      <c r="H2604" s="51" t="str">
        <f>IF(archive!CJ2604="","",archive!CJ2604)</f>
        <v/>
      </c>
      <c r="I2604" s="51" t="str">
        <f>IF(archive!CK2604="","",archive!CK2604)</f>
        <v/>
      </c>
      <c r="J2604" s="47" t="str">
        <f t="shared" si="563"/>
        <v/>
      </c>
      <c r="K2604" s="51" t="str">
        <f t="shared" si="564"/>
        <v/>
      </c>
      <c r="L2604" s="52" t="str">
        <f t="shared" si="565"/>
        <v/>
      </c>
      <c r="M2604" s="53" t="str">
        <f t="shared" si="566"/>
        <v/>
      </c>
      <c r="N2604" s="53" t="str">
        <f t="shared" si="567"/>
        <v/>
      </c>
      <c r="O2604" s="53" t="str">
        <f t="shared" si="568"/>
        <v/>
      </c>
      <c r="P2604" s="53" t="str">
        <f t="shared" si="569"/>
        <v/>
      </c>
      <c r="Q2604" s="53" t="str">
        <f t="shared" si="570"/>
        <v/>
      </c>
      <c r="R2604" s="53" t="str">
        <f t="shared" si="571"/>
        <v/>
      </c>
      <c r="S2604" s="53" t="str">
        <f t="shared" si="572"/>
        <v/>
      </c>
      <c r="T2604" s="53" t="str">
        <f t="shared" si="573"/>
        <v/>
      </c>
    </row>
    <row r="2605" spans="1:20">
      <c r="A2605" s="47" t="str">
        <f>IF(archive!E2605="","",archive!E2605)</f>
        <v/>
      </c>
      <c r="B2605" s="48" t="str">
        <f t="shared" si="560"/>
        <v/>
      </c>
      <c r="C2605" s="49" t="str">
        <f>IF(archive!F2605="","",archive!F2605)</f>
        <v/>
      </c>
      <c r="D2605" s="50" t="str">
        <f t="shared" si="561"/>
        <v/>
      </c>
      <c r="E2605" s="50" t="str">
        <f t="shared" si="562"/>
        <v/>
      </c>
      <c r="F2605" s="47" t="str">
        <f>IF(COUNTA(archive!H2605:CI2605)=0,"",COUNTA(archive!H2605:CI2605))</f>
        <v/>
      </c>
      <c r="G2605" s="47" t="str">
        <f>IF(archive!G2605="","",archive!G2605)</f>
        <v/>
      </c>
      <c r="H2605" s="51" t="str">
        <f>IF(archive!CJ2605="","",archive!CJ2605)</f>
        <v/>
      </c>
      <c r="I2605" s="51" t="str">
        <f>IF(archive!CK2605="","",archive!CK2605)</f>
        <v/>
      </c>
      <c r="J2605" s="47" t="str">
        <f t="shared" si="563"/>
        <v/>
      </c>
      <c r="K2605" s="51" t="str">
        <f t="shared" si="564"/>
        <v/>
      </c>
      <c r="L2605" s="52" t="str">
        <f t="shared" si="565"/>
        <v/>
      </c>
      <c r="M2605" s="53" t="str">
        <f t="shared" si="566"/>
        <v/>
      </c>
      <c r="N2605" s="53" t="str">
        <f t="shared" si="567"/>
        <v/>
      </c>
      <c r="O2605" s="53" t="str">
        <f t="shared" si="568"/>
        <v/>
      </c>
      <c r="P2605" s="53" t="str">
        <f t="shared" si="569"/>
        <v/>
      </c>
      <c r="Q2605" s="53" t="str">
        <f t="shared" si="570"/>
        <v/>
      </c>
      <c r="R2605" s="53" t="str">
        <f t="shared" si="571"/>
        <v/>
      </c>
      <c r="S2605" s="53" t="str">
        <f t="shared" si="572"/>
        <v/>
      </c>
      <c r="T2605" s="53" t="str">
        <f t="shared" si="573"/>
        <v/>
      </c>
    </row>
    <row r="2606" spans="1:20">
      <c r="A2606" s="47" t="str">
        <f>IF(archive!E2606="","",archive!E2606)</f>
        <v/>
      </c>
      <c r="B2606" s="48" t="str">
        <f t="shared" si="560"/>
        <v/>
      </c>
      <c r="C2606" s="49" t="str">
        <f>IF(archive!F2606="","",archive!F2606)</f>
        <v/>
      </c>
      <c r="D2606" s="50" t="str">
        <f t="shared" si="561"/>
        <v/>
      </c>
      <c r="E2606" s="50" t="str">
        <f t="shared" si="562"/>
        <v/>
      </c>
      <c r="F2606" s="47" t="str">
        <f>IF(COUNTA(archive!H2606:CI2606)=0,"",COUNTA(archive!H2606:CI2606))</f>
        <v/>
      </c>
      <c r="G2606" s="47" t="str">
        <f>IF(archive!G2606="","",archive!G2606)</f>
        <v/>
      </c>
      <c r="H2606" s="51" t="str">
        <f>IF(archive!CJ2606="","",archive!CJ2606)</f>
        <v/>
      </c>
      <c r="I2606" s="51" t="str">
        <f>IF(archive!CK2606="","",archive!CK2606)</f>
        <v/>
      </c>
      <c r="J2606" s="47" t="str">
        <f t="shared" si="563"/>
        <v/>
      </c>
      <c r="K2606" s="51" t="str">
        <f t="shared" si="564"/>
        <v/>
      </c>
      <c r="L2606" s="52" t="str">
        <f t="shared" si="565"/>
        <v/>
      </c>
      <c r="M2606" s="53" t="str">
        <f t="shared" si="566"/>
        <v/>
      </c>
      <c r="N2606" s="53" t="str">
        <f t="shared" si="567"/>
        <v/>
      </c>
      <c r="O2606" s="53" t="str">
        <f t="shared" si="568"/>
        <v/>
      </c>
      <c r="P2606" s="53" t="str">
        <f t="shared" si="569"/>
        <v/>
      </c>
      <c r="Q2606" s="53" t="str">
        <f t="shared" si="570"/>
        <v/>
      </c>
      <c r="R2606" s="53" t="str">
        <f t="shared" si="571"/>
        <v/>
      </c>
      <c r="S2606" s="53" t="str">
        <f t="shared" si="572"/>
        <v/>
      </c>
      <c r="T2606" s="53" t="str">
        <f t="shared" si="573"/>
        <v/>
      </c>
    </row>
    <row r="2607" spans="1:20">
      <c r="A2607" s="47" t="str">
        <f>IF(archive!E2607="","",archive!E2607)</f>
        <v/>
      </c>
      <c r="B2607" s="48" t="str">
        <f t="shared" si="560"/>
        <v/>
      </c>
      <c r="C2607" s="49" t="str">
        <f>IF(archive!F2607="","",archive!F2607)</f>
        <v/>
      </c>
      <c r="D2607" s="50" t="str">
        <f t="shared" si="561"/>
        <v/>
      </c>
      <c r="E2607" s="50" t="str">
        <f t="shared" si="562"/>
        <v/>
      </c>
      <c r="F2607" s="47" t="str">
        <f>IF(COUNTA(archive!H2607:CI2607)=0,"",COUNTA(archive!H2607:CI2607))</f>
        <v/>
      </c>
      <c r="G2607" s="47" t="str">
        <f>IF(archive!G2607="","",archive!G2607)</f>
        <v/>
      </c>
      <c r="H2607" s="51" t="str">
        <f>IF(archive!CJ2607="","",archive!CJ2607)</f>
        <v/>
      </c>
      <c r="I2607" s="51" t="str">
        <f>IF(archive!CK2607="","",archive!CK2607)</f>
        <v/>
      </c>
      <c r="J2607" s="47" t="str">
        <f t="shared" si="563"/>
        <v/>
      </c>
      <c r="K2607" s="51" t="str">
        <f t="shared" si="564"/>
        <v/>
      </c>
      <c r="L2607" s="52" t="str">
        <f t="shared" si="565"/>
        <v/>
      </c>
      <c r="M2607" s="53" t="str">
        <f t="shared" si="566"/>
        <v/>
      </c>
      <c r="N2607" s="53" t="str">
        <f t="shared" si="567"/>
        <v/>
      </c>
      <c r="O2607" s="53" t="str">
        <f t="shared" si="568"/>
        <v/>
      </c>
      <c r="P2607" s="53" t="str">
        <f t="shared" si="569"/>
        <v/>
      </c>
      <c r="Q2607" s="53" t="str">
        <f t="shared" si="570"/>
        <v/>
      </c>
      <c r="R2607" s="53" t="str">
        <f t="shared" si="571"/>
        <v/>
      </c>
      <c r="S2607" s="53" t="str">
        <f t="shared" si="572"/>
        <v/>
      </c>
      <c r="T2607" s="53" t="str">
        <f t="shared" si="573"/>
        <v/>
      </c>
    </row>
    <row r="2608" spans="1:20">
      <c r="A2608" s="47" t="str">
        <f>IF(archive!E2608="","",archive!E2608)</f>
        <v/>
      </c>
      <c r="B2608" s="48" t="str">
        <f t="shared" si="560"/>
        <v/>
      </c>
      <c r="C2608" s="49" t="str">
        <f>IF(archive!F2608="","",archive!F2608)</f>
        <v/>
      </c>
      <c r="D2608" s="50" t="str">
        <f t="shared" si="561"/>
        <v/>
      </c>
      <c r="E2608" s="50" t="str">
        <f t="shared" si="562"/>
        <v/>
      </c>
      <c r="F2608" s="47" t="str">
        <f>IF(COUNTA(archive!H2608:CI2608)=0,"",COUNTA(archive!H2608:CI2608))</f>
        <v/>
      </c>
      <c r="G2608" s="47" t="str">
        <f>IF(archive!G2608="","",archive!G2608)</f>
        <v/>
      </c>
      <c r="H2608" s="51" t="str">
        <f>IF(archive!CJ2608="","",archive!CJ2608)</f>
        <v/>
      </c>
      <c r="I2608" s="51" t="str">
        <f>IF(archive!CK2608="","",archive!CK2608)</f>
        <v/>
      </c>
      <c r="J2608" s="47" t="str">
        <f t="shared" si="563"/>
        <v/>
      </c>
      <c r="K2608" s="51" t="str">
        <f t="shared" si="564"/>
        <v/>
      </c>
      <c r="L2608" s="52" t="str">
        <f t="shared" si="565"/>
        <v/>
      </c>
      <c r="M2608" s="53" t="str">
        <f t="shared" si="566"/>
        <v/>
      </c>
      <c r="N2608" s="53" t="str">
        <f t="shared" si="567"/>
        <v/>
      </c>
      <c r="O2608" s="53" t="str">
        <f t="shared" si="568"/>
        <v/>
      </c>
      <c r="P2608" s="53" t="str">
        <f t="shared" si="569"/>
        <v/>
      </c>
      <c r="Q2608" s="53" t="str">
        <f t="shared" si="570"/>
        <v/>
      </c>
      <c r="R2608" s="53" t="str">
        <f t="shared" si="571"/>
        <v/>
      </c>
      <c r="S2608" s="53" t="str">
        <f t="shared" si="572"/>
        <v/>
      </c>
      <c r="T2608" s="53" t="str">
        <f t="shared" si="573"/>
        <v/>
      </c>
    </row>
    <row r="2609" spans="1:20">
      <c r="A2609" s="47" t="str">
        <f>IF(archive!E2609="","",archive!E2609)</f>
        <v/>
      </c>
      <c r="B2609" s="48" t="str">
        <f t="shared" si="560"/>
        <v/>
      </c>
      <c r="C2609" s="49" t="str">
        <f>IF(archive!F2609="","",archive!F2609)</f>
        <v/>
      </c>
      <c r="D2609" s="50" t="str">
        <f t="shared" si="561"/>
        <v/>
      </c>
      <c r="E2609" s="50" t="str">
        <f t="shared" si="562"/>
        <v/>
      </c>
      <c r="F2609" s="47" t="str">
        <f>IF(COUNTA(archive!H2609:CI2609)=0,"",COUNTA(archive!H2609:CI2609))</f>
        <v/>
      </c>
      <c r="G2609" s="47" t="str">
        <f>IF(archive!G2609="","",archive!G2609)</f>
        <v/>
      </c>
      <c r="H2609" s="51" t="str">
        <f>IF(archive!CJ2609="","",archive!CJ2609)</f>
        <v/>
      </c>
      <c r="I2609" s="51" t="str">
        <f>IF(archive!CK2609="","",archive!CK2609)</f>
        <v/>
      </c>
      <c r="J2609" s="47" t="str">
        <f t="shared" si="563"/>
        <v/>
      </c>
      <c r="K2609" s="51" t="str">
        <f t="shared" si="564"/>
        <v/>
      </c>
      <c r="L2609" s="52" t="str">
        <f t="shared" si="565"/>
        <v/>
      </c>
      <c r="M2609" s="53" t="str">
        <f t="shared" si="566"/>
        <v/>
      </c>
      <c r="N2609" s="53" t="str">
        <f t="shared" si="567"/>
        <v/>
      </c>
      <c r="O2609" s="53" t="str">
        <f t="shared" si="568"/>
        <v/>
      </c>
      <c r="P2609" s="53" t="str">
        <f t="shared" si="569"/>
        <v/>
      </c>
      <c r="Q2609" s="53" t="str">
        <f t="shared" si="570"/>
        <v/>
      </c>
      <c r="R2609" s="53" t="str">
        <f t="shared" si="571"/>
        <v/>
      </c>
      <c r="S2609" s="53" t="str">
        <f t="shared" si="572"/>
        <v/>
      </c>
      <c r="T2609" s="53" t="str">
        <f t="shared" si="573"/>
        <v/>
      </c>
    </row>
    <row r="2610" spans="1:20">
      <c r="A2610" s="47" t="str">
        <f>IF(archive!E2610="","",archive!E2610)</f>
        <v/>
      </c>
      <c r="B2610" s="48" t="str">
        <f t="shared" si="560"/>
        <v/>
      </c>
      <c r="C2610" s="49" t="str">
        <f>IF(archive!F2610="","",archive!F2610)</f>
        <v/>
      </c>
      <c r="D2610" s="50" t="str">
        <f t="shared" si="561"/>
        <v/>
      </c>
      <c r="E2610" s="50" t="str">
        <f t="shared" si="562"/>
        <v/>
      </c>
      <c r="F2610" s="47" t="str">
        <f>IF(COUNTA(archive!H2610:CI2610)=0,"",COUNTA(archive!H2610:CI2610))</f>
        <v/>
      </c>
      <c r="G2610" s="47" t="str">
        <f>IF(archive!G2610="","",archive!G2610)</f>
        <v/>
      </c>
      <c r="H2610" s="51" t="str">
        <f>IF(archive!CJ2610="","",archive!CJ2610)</f>
        <v/>
      </c>
      <c r="I2610" s="51" t="str">
        <f>IF(archive!CK2610="","",archive!CK2610)</f>
        <v/>
      </c>
      <c r="J2610" s="47" t="str">
        <f t="shared" si="563"/>
        <v/>
      </c>
      <c r="K2610" s="51" t="str">
        <f t="shared" si="564"/>
        <v/>
      </c>
      <c r="L2610" s="52" t="str">
        <f t="shared" si="565"/>
        <v/>
      </c>
      <c r="M2610" s="53" t="str">
        <f t="shared" si="566"/>
        <v/>
      </c>
      <c r="N2610" s="53" t="str">
        <f t="shared" si="567"/>
        <v/>
      </c>
      <c r="O2610" s="53" t="str">
        <f t="shared" si="568"/>
        <v/>
      </c>
      <c r="P2610" s="53" t="str">
        <f t="shared" si="569"/>
        <v/>
      </c>
      <c r="Q2610" s="53" t="str">
        <f t="shared" si="570"/>
        <v/>
      </c>
      <c r="R2610" s="53" t="str">
        <f t="shared" si="571"/>
        <v/>
      </c>
      <c r="S2610" s="53" t="str">
        <f t="shared" si="572"/>
        <v/>
      </c>
      <c r="T2610" s="53" t="str">
        <f t="shared" si="573"/>
        <v/>
      </c>
    </row>
    <row r="2611" spans="1:20">
      <c r="A2611" s="47" t="str">
        <f>IF(archive!E2611="","",archive!E2611)</f>
        <v/>
      </c>
      <c r="B2611" s="48" t="str">
        <f t="shared" si="560"/>
        <v/>
      </c>
      <c r="C2611" s="49" t="str">
        <f>IF(archive!F2611="","",archive!F2611)</f>
        <v/>
      </c>
      <c r="D2611" s="50" t="str">
        <f t="shared" si="561"/>
        <v/>
      </c>
      <c r="E2611" s="50" t="str">
        <f t="shared" si="562"/>
        <v/>
      </c>
      <c r="F2611" s="47" t="str">
        <f>IF(COUNTA(archive!H2611:CI2611)=0,"",COUNTA(archive!H2611:CI2611))</f>
        <v/>
      </c>
      <c r="G2611" s="47" t="str">
        <f>IF(archive!G2611="","",archive!G2611)</f>
        <v/>
      </c>
      <c r="H2611" s="51" t="str">
        <f>IF(archive!CJ2611="","",archive!CJ2611)</f>
        <v/>
      </c>
      <c r="I2611" s="51" t="str">
        <f>IF(archive!CK2611="","",archive!CK2611)</f>
        <v/>
      </c>
      <c r="J2611" s="47" t="str">
        <f t="shared" si="563"/>
        <v/>
      </c>
      <c r="K2611" s="51" t="str">
        <f t="shared" si="564"/>
        <v/>
      </c>
      <c r="L2611" s="52" t="str">
        <f t="shared" si="565"/>
        <v/>
      </c>
      <c r="M2611" s="53" t="str">
        <f t="shared" si="566"/>
        <v/>
      </c>
      <c r="N2611" s="53" t="str">
        <f t="shared" si="567"/>
        <v/>
      </c>
      <c r="O2611" s="53" t="str">
        <f t="shared" si="568"/>
        <v/>
      </c>
      <c r="P2611" s="53" t="str">
        <f t="shared" si="569"/>
        <v/>
      </c>
      <c r="Q2611" s="53" t="str">
        <f t="shared" si="570"/>
        <v/>
      </c>
      <c r="R2611" s="53" t="str">
        <f t="shared" si="571"/>
        <v/>
      </c>
      <c r="S2611" s="53" t="str">
        <f t="shared" si="572"/>
        <v/>
      </c>
      <c r="T2611" s="53" t="str">
        <f t="shared" si="573"/>
        <v/>
      </c>
    </row>
    <row r="2612" spans="1:20">
      <c r="A2612" s="47" t="str">
        <f>IF(archive!E2612="","",archive!E2612)</f>
        <v/>
      </c>
      <c r="B2612" s="48" t="str">
        <f t="shared" si="560"/>
        <v/>
      </c>
      <c r="C2612" s="49" t="str">
        <f>IF(archive!F2612="","",archive!F2612)</f>
        <v/>
      </c>
      <c r="D2612" s="50" t="str">
        <f t="shared" si="561"/>
        <v/>
      </c>
      <c r="E2612" s="50" t="str">
        <f t="shared" si="562"/>
        <v/>
      </c>
      <c r="F2612" s="47" t="str">
        <f>IF(COUNTA(archive!H2612:CI2612)=0,"",COUNTA(archive!H2612:CI2612))</f>
        <v/>
      </c>
      <c r="G2612" s="47" t="str">
        <f>IF(archive!G2612="","",archive!G2612)</f>
        <v/>
      </c>
      <c r="H2612" s="51" t="str">
        <f>IF(archive!CJ2612="","",archive!CJ2612)</f>
        <v/>
      </c>
      <c r="I2612" s="51" t="str">
        <f>IF(archive!CK2612="","",archive!CK2612)</f>
        <v/>
      </c>
      <c r="J2612" s="47" t="str">
        <f t="shared" si="563"/>
        <v/>
      </c>
      <c r="K2612" s="51" t="str">
        <f t="shared" si="564"/>
        <v/>
      </c>
      <c r="L2612" s="52" t="str">
        <f t="shared" si="565"/>
        <v/>
      </c>
      <c r="M2612" s="53" t="str">
        <f t="shared" si="566"/>
        <v/>
      </c>
      <c r="N2612" s="53" t="str">
        <f t="shared" si="567"/>
        <v/>
      </c>
      <c r="O2612" s="53" t="str">
        <f t="shared" si="568"/>
        <v/>
      </c>
      <c r="P2612" s="53" t="str">
        <f t="shared" si="569"/>
        <v/>
      </c>
      <c r="Q2612" s="53" t="str">
        <f t="shared" si="570"/>
        <v/>
      </c>
      <c r="R2612" s="53" t="str">
        <f t="shared" si="571"/>
        <v/>
      </c>
      <c r="S2612" s="53" t="str">
        <f t="shared" si="572"/>
        <v/>
      </c>
      <c r="T2612" s="53" t="str">
        <f t="shared" si="573"/>
        <v/>
      </c>
    </row>
    <row r="2613" spans="1:20">
      <c r="A2613" s="47" t="str">
        <f>IF(archive!E2613="","",archive!E2613)</f>
        <v/>
      </c>
      <c r="B2613" s="48" t="str">
        <f t="shared" si="560"/>
        <v/>
      </c>
      <c r="C2613" s="49" t="str">
        <f>IF(archive!F2613="","",archive!F2613)</f>
        <v/>
      </c>
      <c r="D2613" s="50" t="str">
        <f t="shared" si="561"/>
        <v/>
      </c>
      <c r="E2613" s="50" t="str">
        <f t="shared" si="562"/>
        <v/>
      </c>
      <c r="F2613" s="47" t="str">
        <f>IF(COUNTA(archive!H2613:CI2613)=0,"",COUNTA(archive!H2613:CI2613))</f>
        <v/>
      </c>
      <c r="G2613" s="47" t="str">
        <f>IF(archive!G2613="","",archive!G2613)</f>
        <v/>
      </c>
      <c r="H2613" s="51" t="str">
        <f>IF(archive!CJ2613="","",archive!CJ2613)</f>
        <v/>
      </c>
      <c r="I2613" s="51" t="str">
        <f>IF(archive!CK2613="","",archive!CK2613)</f>
        <v/>
      </c>
      <c r="J2613" s="47" t="str">
        <f t="shared" si="563"/>
        <v/>
      </c>
      <c r="K2613" s="51" t="str">
        <f t="shared" si="564"/>
        <v/>
      </c>
      <c r="L2613" s="52" t="str">
        <f t="shared" si="565"/>
        <v/>
      </c>
      <c r="M2613" s="53" t="str">
        <f t="shared" si="566"/>
        <v/>
      </c>
      <c r="N2613" s="53" t="str">
        <f t="shared" si="567"/>
        <v/>
      </c>
      <c r="O2613" s="53" t="str">
        <f t="shared" si="568"/>
        <v/>
      </c>
      <c r="P2613" s="53" t="str">
        <f t="shared" si="569"/>
        <v/>
      </c>
      <c r="Q2613" s="53" t="str">
        <f t="shared" si="570"/>
        <v/>
      </c>
      <c r="R2613" s="53" t="str">
        <f t="shared" si="571"/>
        <v/>
      </c>
      <c r="S2613" s="53" t="str">
        <f t="shared" si="572"/>
        <v/>
      </c>
      <c r="T2613" s="53" t="str">
        <f t="shared" si="573"/>
        <v/>
      </c>
    </row>
    <row r="2614" spans="1:20">
      <c r="A2614" s="47" t="str">
        <f>IF(archive!E2614="","",archive!E2614)</f>
        <v/>
      </c>
      <c r="B2614" s="48" t="str">
        <f t="shared" si="560"/>
        <v/>
      </c>
      <c r="C2614" s="49" t="str">
        <f>IF(archive!F2614="","",archive!F2614)</f>
        <v/>
      </c>
      <c r="D2614" s="50" t="str">
        <f t="shared" si="561"/>
        <v/>
      </c>
      <c r="E2614" s="50" t="str">
        <f t="shared" si="562"/>
        <v/>
      </c>
      <c r="F2614" s="47" t="str">
        <f>IF(COUNTA(archive!H2614:CI2614)=0,"",COUNTA(archive!H2614:CI2614))</f>
        <v/>
      </c>
      <c r="G2614" s="47" t="str">
        <f>IF(archive!G2614="","",archive!G2614)</f>
        <v/>
      </c>
      <c r="H2614" s="51" t="str">
        <f>IF(archive!CJ2614="","",archive!CJ2614)</f>
        <v/>
      </c>
      <c r="I2614" s="51" t="str">
        <f>IF(archive!CK2614="","",archive!CK2614)</f>
        <v/>
      </c>
      <c r="J2614" s="47" t="str">
        <f t="shared" si="563"/>
        <v/>
      </c>
      <c r="K2614" s="51" t="str">
        <f t="shared" si="564"/>
        <v/>
      </c>
      <c r="L2614" s="52" t="str">
        <f t="shared" si="565"/>
        <v/>
      </c>
      <c r="M2614" s="53" t="str">
        <f t="shared" si="566"/>
        <v/>
      </c>
      <c r="N2614" s="53" t="str">
        <f t="shared" si="567"/>
        <v/>
      </c>
      <c r="O2614" s="53" t="str">
        <f t="shared" si="568"/>
        <v/>
      </c>
      <c r="P2614" s="53" t="str">
        <f t="shared" si="569"/>
        <v/>
      </c>
      <c r="Q2614" s="53" t="str">
        <f t="shared" si="570"/>
        <v/>
      </c>
      <c r="R2614" s="53" t="str">
        <f t="shared" si="571"/>
        <v/>
      </c>
      <c r="S2614" s="53" t="str">
        <f t="shared" si="572"/>
        <v/>
      </c>
      <c r="T2614" s="53" t="str">
        <f t="shared" si="573"/>
        <v/>
      </c>
    </row>
    <row r="2615" spans="1:20">
      <c r="A2615" s="47" t="str">
        <f>IF(archive!E2615="","",archive!E2615)</f>
        <v/>
      </c>
      <c r="B2615" s="48" t="str">
        <f t="shared" si="560"/>
        <v/>
      </c>
      <c r="C2615" s="49" t="str">
        <f>IF(archive!F2615="","",archive!F2615)</f>
        <v/>
      </c>
      <c r="D2615" s="50" t="str">
        <f t="shared" si="561"/>
        <v/>
      </c>
      <c r="E2615" s="50" t="str">
        <f t="shared" si="562"/>
        <v/>
      </c>
      <c r="F2615" s="47" t="str">
        <f>IF(COUNTA(archive!H2615:CI2615)=0,"",COUNTA(archive!H2615:CI2615))</f>
        <v/>
      </c>
      <c r="G2615" s="47" t="str">
        <f>IF(archive!G2615="","",archive!G2615)</f>
        <v/>
      </c>
      <c r="H2615" s="51" t="str">
        <f>IF(archive!CJ2615="","",archive!CJ2615)</f>
        <v/>
      </c>
      <c r="I2615" s="51" t="str">
        <f>IF(archive!CK2615="","",archive!CK2615)</f>
        <v/>
      </c>
      <c r="J2615" s="47" t="str">
        <f t="shared" si="563"/>
        <v/>
      </c>
      <c r="K2615" s="51" t="str">
        <f t="shared" si="564"/>
        <v/>
      </c>
      <c r="L2615" s="52" t="str">
        <f t="shared" si="565"/>
        <v/>
      </c>
      <c r="M2615" s="53" t="str">
        <f t="shared" si="566"/>
        <v/>
      </c>
      <c r="N2615" s="53" t="str">
        <f t="shared" si="567"/>
        <v/>
      </c>
      <c r="O2615" s="53" t="str">
        <f t="shared" si="568"/>
        <v/>
      </c>
      <c r="P2615" s="53" t="str">
        <f t="shared" si="569"/>
        <v/>
      </c>
      <c r="Q2615" s="53" t="str">
        <f t="shared" si="570"/>
        <v/>
      </c>
      <c r="R2615" s="53" t="str">
        <f t="shared" si="571"/>
        <v/>
      </c>
      <c r="S2615" s="53" t="str">
        <f t="shared" si="572"/>
        <v/>
      </c>
      <c r="T2615" s="53" t="str">
        <f t="shared" si="573"/>
        <v/>
      </c>
    </row>
    <row r="2616" spans="1:20">
      <c r="A2616" s="47" t="str">
        <f>IF(archive!E2616="","",archive!E2616)</f>
        <v/>
      </c>
      <c r="B2616" s="48" t="str">
        <f t="shared" si="560"/>
        <v/>
      </c>
      <c r="C2616" s="49" t="str">
        <f>IF(archive!F2616="","",archive!F2616)</f>
        <v/>
      </c>
      <c r="D2616" s="50" t="str">
        <f t="shared" si="561"/>
        <v/>
      </c>
      <c r="E2616" s="50" t="str">
        <f t="shared" si="562"/>
        <v/>
      </c>
      <c r="F2616" s="47" t="str">
        <f>IF(COUNTA(archive!H2616:CI2616)=0,"",COUNTA(archive!H2616:CI2616))</f>
        <v/>
      </c>
      <c r="G2616" s="47" t="str">
        <f>IF(archive!G2616="","",archive!G2616)</f>
        <v/>
      </c>
      <c r="H2616" s="51" t="str">
        <f>IF(archive!CJ2616="","",archive!CJ2616)</f>
        <v/>
      </c>
      <c r="I2616" s="51" t="str">
        <f>IF(archive!CK2616="","",archive!CK2616)</f>
        <v/>
      </c>
      <c r="J2616" s="47" t="str">
        <f t="shared" si="563"/>
        <v/>
      </c>
      <c r="K2616" s="51" t="str">
        <f t="shared" si="564"/>
        <v/>
      </c>
      <c r="L2616" s="52" t="str">
        <f t="shared" si="565"/>
        <v/>
      </c>
      <c r="M2616" s="53" t="str">
        <f t="shared" si="566"/>
        <v/>
      </c>
      <c r="N2616" s="53" t="str">
        <f t="shared" si="567"/>
        <v/>
      </c>
      <c r="O2616" s="53" t="str">
        <f t="shared" si="568"/>
        <v/>
      </c>
      <c r="P2616" s="53" t="str">
        <f t="shared" si="569"/>
        <v/>
      </c>
      <c r="Q2616" s="53" t="str">
        <f t="shared" si="570"/>
        <v/>
      </c>
      <c r="R2616" s="53" t="str">
        <f t="shared" si="571"/>
        <v/>
      </c>
      <c r="S2616" s="53" t="str">
        <f t="shared" si="572"/>
        <v/>
      </c>
      <c r="T2616" s="53" t="str">
        <f t="shared" si="573"/>
        <v/>
      </c>
    </row>
    <row r="2617" spans="1:20">
      <c r="A2617" s="47" t="str">
        <f>IF(archive!E2617="","",archive!E2617)</f>
        <v/>
      </c>
      <c r="B2617" s="48" t="str">
        <f t="shared" si="560"/>
        <v/>
      </c>
      <c r="C2617" s="49" t="str">
        <f>IF(archive!F2617="","",archive!F2617)</f>
        <v/>
      </c>
      <c r="D2617" s="50" t="str">
        <f t="shared" si="561"/>
        <v/>
      </c>
      <c r="E2617" s="50" t="str">
        <f t="shared" si="562"/>
        <v/>
      </c>
      <c r="F2617" s="47" t="str">
        <f>IF(COUNTA(archive!H2617:CI2617)=0,"",COUNTA(archive!H2617:CI2617))</f>
        <v/>
      </c>
      <c r="G2617" s="47" t="str">
        <f>IF(archive!G2617="","",archive!G2617)</f>
        <v/>
      </c>
      <c r="H2617" s="51" t="str">
        <f>IF(archive!CJ2617="","",archive!CJ2617)</f>
        <v/>
      </c>
      <c r="I2617" s="51" t="str">
        <f>IF(archive!CK2617="","",archive!CK2617)</f>
        <v/>
      </c>
      <c r="J2617" s="47" t="str">
        <f t="shared" si="563"/>
        <v/>
      </c>
      <c r="K2617" s="51" t="str">
        <f t="shared" si="564"/>
        <v/>
      </c>
      <c r="L2617" s="52" t="str">
        <f t="shared" si="565"/>
        <v/>
      </c>
      <c r="M2617" s="53" t="str">
        <f t="shared" si="566"/>
        <v/>
      </c>
      <c r="N2617" s="53" t="str">
        <f t="shared" si="567"/>
        <v/>
      </c>
      <c r="O2617" s="53" t="str">
        <f t="shared" si="568"/>
        <v/>
      </c>
      <c r="P2617" s="53" t="str">
        <f t="shared" si="569"/>
        <v/>
      </c>
      <c r="Q2617" s="53" t="str">
        <f t="shared" si="570"/>
        <v/>
      </c>
      <c r="R2617" s="53" t="str">
        <f t="shared" si="571"/>
        <v/>
      </c>
      <c r="S2617" s="53" t="str">
        <f t="shared" si="572"/>
        <v/>
      </c>
      <c r="T2617" s="53" t="str">
        <f t="shared" si="573"/>
        <v/>
      </c>
    </row>
    <row r="2618" spans="1:20">
      <c r="A2618" s="47" t="str">
        <f>IF(archive!E2618="","",archive!E2618)</f>
        <v/>
      </c>
      <c r="B2618" s="48" t="str">
        <f t="shared" si="560"/>
        <v/>
      </c>
      <c r="C2618" s="49" t="str">
        <f>IF(archive!F2618="","",archive!F2618)</f>
        <v/>
      </c>
      <c r="D2618" s="50" t="str">
        <f t="shared" si="561"/>
        <v/>
      </c>
      <c r="E2618" s="50" t="str">
        <f t="shared" si="562"/>
        <v/>
      </c>
      <c r="F2618" s="47" t="str">
        <f>IF(COUNTA(archive!H2618:CI2618)=0,"",COUNTA(archive!H2618:CI2618))</f>
        <v/>
      </c>
      <c r="G2618" s="47" t="str">
        <f>IF(archive!G2618="","",archive!G2618)</f>
        <v/>
      </c>
      <c r="H2618" s="51" t="str">
        <f>IF(archive!CJ2618="","",archive!CJ2618)</f>
        <v/>
      </c>
      <c r="I2618" s="51" t="str">
        <f>IF(archive!CK2618="","",archive!CK2618)</f>
        <v/>
      </c>
      <c r="J2618" s="47" t="str">
        <f t="shared" si="563"/>
        <v/>
      </c>
      <c r="K2618" s="51" t="str">
        <f t="shared" si="564"/>
        <v/>
      </c>
      <c r="L2618" s="52" t="str">
        <f t="shared" si="565"/>
        <v/>
      </c>
      <c r="M2618" s="53" t="str">
        <f t="shared" si="566"/>
        <v/>
      </c>
      <c r="N2618" s="53" t="str">
        <f t="shared" si="567"/>
        <v/>
      </c>
      <c r="O2618" s="53" t="str">
        <f t="shared" si="568"/>
        <v/>
      </c>
      <c r="P2618" s="53" t="str">
        <f t="shared" si="569"/>
        <v/>
      </c>
      <c r="Q2618" s="53" t="str">
        <f t="shared" si="570"/>
        <v/>
      </c>
      <c r="R2618" s="53" t="str">
        <f t="shared" si="571"/>
        <v/>
      </c>
      <c r="S2618" s="53" t="str">
        <f t="shared" si="572"/>
        <v/>
      </c>
      <c r="T2618" s="53" t="str">
        <f t="shared" si="573"/>
        <v/>
      </c>
    </row>
    <row r="2619" spans="1:20">
      <c r="A2619" s="47" t="str">
        <f>IF(archive!E2619="","",archive!E2619)</f>
        <v/>
      </c>
      <c r="B2619" s="48" t="str">
        <f t="shared" si="560"/>
        <v/>
      </c>
      <c r="C2619" s="49" t="str">
        <f>IF(archive!F2619="","",archive!F2619)</f>
        <v/>
      </c>
      <c r="D2619" s="50" t="str">
        <f t="shared" si="561"/>
        <v/>
      </c>
      <c r="E2619" s="50" t="str">
        <f t="shared" si="562"/>
        <v/>
      </c>
      <c r="F2619" s="47" t="str">
        <f>IF(COUNTA(archive!H2619:CI2619)=0,"",COUNTA(archive!H2619:CI2619))</f>
        <v/>
      </c>
      <c r="G2619" s="47" t="str">
        <f>IF(archive!G2619="","",archive!G2619)</f>
        <v/>
      </c>
      <c r="H2619" s="51" t="str">
        <f>IF(archive!CJ2619="","",archive!CJ2619)</f>
        <v/>
      </c>
      <c r="I2619" s="51" t="str">
        <f>IF(archive!CK2619="","",archive!CK2619)</f>
        <v/>
      </c>
      <c r="J2619" s="47" t="str">
        <f t="shared" si="563"/>
        <v/>
      </c>
      <c r="K2619" s="51" t="str">
        <f t="shared" si="564"/>
        <v/>
      </c>
      <c r="L2619" s="52" t="str">
        <f t="shared" si="565"/>
        <v/>
      </c>
      <c r="M2619" s="53" t="str">
        <f t="shared" si="566"/>
        <v/>
      </c>
      <c r="N2619" s="53" t="str">
        <f t="shared" si="567"/>
        <v/>
      </c>
      <c r="O2619" s="53" t="str">
        <f t="shared" si="568"/>
        <v/>
      </c>
      <c r="P2619" s="53" t="str">
        <f t="shared" si="569"/>
        <v/>
      </c>
      <c r="Q2619" s="53" t="str">
        <f t="shared" si="570"/>
        <v/>
      </c>
      <c r="R2619" s="53" t="str">
        <f t="shared" si="571"/>
        <v/>
      </c>
      <c r="S2619" s="53" t="str">
        <f t="shared" si="572"/>
        <v/>
      </c>
      <c r="T2619" s="53" t="str">
        <f t="shared" si="573"/>
        <v/>
      </c>
    </row>
    <row r="2620" spans="1:20">
      <c r="A2620" s="47" t="str">
        <f>IF(archive!E2620="","",archive!E2620)</f>
        <v/>
      </c>
      <c r="B2620" s="48" t="str">
        <f t="shared" si="560"/>
        <v/>
      </c>
      <c r="C2620" s="49" t="str">
        <f>IF(archive!F2620="","",archive!F2620)</f>
        <v/>
      </c>
      <c r="D2620" s="50" t="str">
        <f t="shared" si="561"/>
        <v/>
      </c>
      <c r="E2620" s="50" t="str">
        <f t="shared" si="562"/>
        <v/>
      </c>
      <c r="F2620" s="47" t="str">
        <f>IF(COUNTA(archive!H2620:CI2620)=0,"",COUNTA(archive!H2620:CI2620))</f>
        <v/>
      </c>
      <c r="G2620" s="47" t="str">
        <f>IF(archive!G2620="","",archive!G2620)</f>
        <v/>
      </c>
      <c r="H2620" s="51" t="str">
        <f>IF(archive!CJ2620="","",archive!CJ2620)</f>
        <v/>
      </c>
      <c r="I2620" s="51" t="str">
        <f>IF(archive!CK2620="","",archive!CK2620)</f>
        <v/>
      </c>
      <c r="J2620" s="47" t="str">
        <f t="shared" si="563"/>
        <v/>
      </c>
      <c r="K2620" s="51" t="str">
        <f t="shared" si="564"/>
        <v/>
      </c>
      <c r="L2620" s="52" t="str">
        <f t="shared" si="565"/>
        <v/>
      </c>
      <c r="M2620" s="53" t="str">
        <f t="shared" si="566"/>
        <v/>
      </c>
      <c r="N2620" s="53" t="str">
        <f t="shared" si="567"/>
        <v/>
      </c>
      <c r="O2620" s="53" t="str">
        <f t="shared" si="568"/>
        <v/>
      </c>
      <c r="P2620" s="53" t="str">
        <f t="shared" si="569"/>
        <v/>
      </c>
      <c r="Q2620" s="53" t="str">
        <f t="shared" si="570"/>
        <v/>
      </c>
      <c r="R2620" s="53" t="str">
        <f t="shared" si="571"/>
        <v/>
      </c>
      <c r="S2620" s="53" t="str">
        <f t="shared" si="572"/>
        <v/>
      </c>
      <c r="T2620" s="53" t="str">
        <f t="shared" si="573"/>
        <v/>
      </c>
    </row>
    <row r="2621" spans="1:20">
      <c r="A2621" s="47" t="str">
        <f>IF(archive!E2621="","",archive!E2621)</f>
        <v/>
      </c>
      <c r="B2621" s="48" t="str">
        <f t="shared" si="560"/>
        <v/>
      </c>
      <c r="C2621" s="49" t="str">
        <f>IF(archive!F2621="","",archive!F2621)</f>
        <v/>
      </c>
      <c r="D2621" s="50" t="str">
        <f t="shared" si="561"/>
        <v/>
      </c>
      <c r="E2621" s="50" t="str">
        <f t="shared" si="562"/>
        <v/>
      </c>
      <c r="F2621" s="47" t="str">
        <f>IF(COUNTA(archive!H2621:CI2621)=0,"",COUNTA(archive!H2621:CI2621))</f>
        <v/>
      </c>
      <c r="G2621" s="47" t="str">
        <f>IF(archive!G2621="","",archive!G2621)</f>
        <v/>
      </c>
      <c r="H2621" s="51" t="str">
        <f>IF(archive!CJ2621="","",archive!CJ2621)</f>
        <v/>
      </c>
      <c r="I2621" s="51" t="str">
        <f>IF(archive!CK2621="","",archive!CK2621)</f>
        <v/>
      </c>
      <c r="J2621" s="47" t="str">
        <f t="shared" si="563"/>
        <v/>
      </c>
      <c r="K2621" s="51" t="str">
        <f t="shared" si="564"/>
        <v/>
      </c>
      <c r="L2621" s="52" t="str">
        <f t="shared" si="565"/>
        <v/>
      </c>
      <c r="M2621" s="53" t="str">
        <f t="shared" si="566"/>
        <v/>
      </c>
      <c r="N2621" s="53" t="str">
        <f t="shared" si="567"/>
        <v/>
      </c>
      <c r="O2621" s="53" t="str">
        <f t="shared" si="568"/>
        <v/>
      </c>
      <c r="P2621" s="53" t="str">
        <f t="shared" si="569"/>
        <v/>
      </c>
      <c r="Q2621" s="53" t="str">
        <f t="shared" si="570"/>
        <v/>
      </c>
      <c r="R2621" s="53" t="str">
        <f t="shared" si="571"/>
        <v/>
      </c>
      <c r="S2621" s="53" t="str">
        <f t="shared" si="572"/>
        <v/>
      </c>
      <c r="T2621" s="53" t="str">
        <f t="shared" si="573"/>
        <v/>
      </c>
    </row>
    <row r="2622" spans="1:20">
      <c r="A2622" s="47" t="str">
        <f>IF(archive!E2622="","",archive!E2622)</f>
        <v/>
      </c>
      <c r="B2622" s="48" t="str">
        <f t="shared" si="560"/>
        <v/>
      </c>
      <c r="C2622" s="49" t="str">
        <f>IF(archive!F2622="","",archive!F2622)</f>
        <v/>
      </c>
      <c r="D2622" s="50" t="str">
        <f t="shared" si="561"/>
        <v/>
      </c>
      <c r="E2622" s="50" t="str">
        <f t="shared" si="562"/>
        <v/>
      </c>
      <c r="F2622" s="47" t="str">
        <f>IF(COUNTA(archive!H2622:CI2622)=0,"",COUNTA(archive!H2622:CI2622))</f>
        <v/>
      </c>
      <c r="G2622" s="47" t="str">
        <f>IF(archive!G2622="","",archive!G2622)</f>
        <v/>
      </c>
      <c r="H2622" s="51" t="str">
        <f>IF(archive!CJ2622="","",archive!CJ2622)</f>
        <v/>
      </c>
      <c r="I2622" s="51" t="str">
        <f>IF(archive!CK2622="","",archive!CK2622)</f>
        <v/>
      </c>
      <c r="J2622" s="47" t="str">
        <f t="shared" si="563"/>
        <v/>
      </c>
      <c r="K2622" s="51" t="str">
        <f t="shared" si="564"/>
        <v/>
      </c>
      <c r="L2622" s="52" t="str">
        <f t="shared" si="565"/>
        <v/>
      </c>
      <c r="M2622" s="53" t="str">
        <f t="shared" si="566"/>
        <v/>
      </c>
      <c r="N2622" s="53" t="str">
        <f t="shared" si="567"/>
        <v/>
      </c>
      <c r="O2622" s="53" t="str">
        <f t="shared" si="568"/>
        <v/>
      </c>
      <c r="P2622" s="53" t="str">
        <f t="shared" si="569"/>
        <v/>
      </c>
      <c r="Q2622" s="53" t="str">
        <f t="shared" si="570"/>
        <v/>
      </c>
      <c r="R2622" s="53" t="str">
        <f t="shared" si="571"/>
        <v/>
      </c>
      <c r="S2622" s="53" t="str">
        <f t="shared" si="572"/>
        <v/>
      </c>
      <c r="T2622" s="53" t="str">
        <f t="shared" si="573"/>
        <v/>
      </c>
    </row>
    <row r="2623" spans="1:20">
      <c r="A2623" s="47" t="str">
        <f>IF(archive!E2623="","",archive!E2623)</f>
        <v/>
      </c>
      <c r="B2623" s="48" t="str">
        <f t="shared" si="560"/>
        <v/>
      </c>
      <c r="C2623" s="49" t="str">
        <f>IF(archive!F2623="","",archive!F2623)</f>
        <v/>
      </c>
      <c r="D2623" s="50" t="str">
        <f t="shared" si="561"/>
        <v/>
      </c>
      <c r="E2623" s="50" t="str">
        <f t="shared" si="562"/>
        <v/>
      </c>
      <c r="F2623" s="47" t="str">
        <f>IF(COUNTA(archive!H2623:CI2623)=0,"",COUNTA(archive!H2623:CI2623))</f>
        <v/>
      </c>
      <c r="G2623" s="47" t="str">
        <f>IF(archive!G2623="","",archive!G2623)</f>
        <v/>
      </c>
      <c r="H2623" s="51" t="str">
        <f>IF(archive!CJ2623="","",archive!CJ2623)</f>
        <v/>
      </c>
      <c r="I2623" s="51" t="str">
        <f>IF(archive!CK2623="","",archive!CK2623)</f>
        <v/>
      </c>
      <c r="J2623" s="47" t="str">
        <f t="shared" si="563"/>
        <v/>
      </c>
      <c r="K2623" s="51" t="str">
        <f t="shared" si="564"/>
        <v/>
      </c>
      <c r="L2623" s="52" t="str">
        <f t="shared" si="565"/>
        <v/>
      </c>
      <c r="M2623" s="53" t="str">
        <f t="shared" si="566"/>
        <v/>
      </c>
      <c r="N2623" s="53" t="str">
        <f t="shared" si="567"/>
        <v/>
      </c>
      <c r="O2623" s="53" t="str">
        <f t="shared" si="568"/>
        <v/>
      </c>
      <c r="P2623" s="53" t="str">
        <f t="shared" si="569"/>
        <v/>
      </c>
      <c r="Q2623" s="53" t="str">
        <f t="shared" si="570"/>
        <v/>
      </c>
      <c r="R2623" s="53" t="str">
        <f t="shared" si="571"/>
        <v/>
      </c>
      <c r="S2623" s="53" t="str">
        <f t="shared" si="572"/>
        <v/>
      </c>
      <c r="T2623" s="53" t="str">
        <f t="shared" si="573"/>
        <v/>
      </c>
    </row>
    <row r="2624" spans="1:20">
      <c r="A2624" s="47" t="str">
        <f>IF(archive!E2624="","",archive!E2624)</f>
        <v/>
      </c>
      <c r="B2624" s="48" t="str">
        <f t="shared" si="560"/>
        <v/>
      </c>
      <c r="C2624" s="49" t="str">
        <f>IF(archive!F2624="","",archive!F2624)</f>
        <v/>
      </c>
      <c r="D2624" s="50" t="str">
        <f t="shared" si="561"/>
        <v/>
      </c>
      <c r="E2624" s="50" t="str">
        <f t="shared" si="562"/>
        <v/>
      </c>
      <c r="F2624" s="47" t="str">
        <f>IF(COUNTA(archive!H2624:CI2624)=0,"",COUNTA(archive!H2624:CI2624))</f>
        <v/>
      </c>
      <c r="G2624" s="47" t="str">
        <f>IF(archive!G2624="","",archive!G2624)</f>
        <v/>
      </c>
      <c r="H2624" s="51" t="str">
        <f>IF(archive!CJ2624="","",archive!CJ2624)</f>
        <v/>
      </c>
      <c r="I2624" s="51" t="str">
        <f>IF(archive!CK2624="","",archive!CK2624)</f>
        <v/>
      </c>
      <c r="J2624" s="47" t="str">
        <f t="shared" si="563"/>
        <v/>
      </c>
      <c r="K2624" s="51" t="str">
        <f t="shared" si="564"/>
        <v/>
      </c>
      <c r="L2624" s="52" t="str">
        <f t="shared" si="565"/>
        <v/>
      </c>
      <c r="M2624" s="53" t="str">
        <f t="shared" si="566"/>
        <v/>
      </c>
      <c r="N2624" s="53" t="str">
        <f t="shared" si="567"/>
        <v/>
      </c>
      <c r="O2624" s="53" t="str">
        <f t="shared" si="568"/>
        <v/>
      </c>
      <c r="P2624" s="53" t="str">
        <f t="shared" si="569"/>
        <v/>
      </c>
      <c r="Q2624" s="53" t="str">
        <f t="shared" si="570"/>
        <v/>
      </c>
      <c r="R2624" s="53" t="str">
        <f t="shared" si="571"/>
        <v/>
      </c>
      <c r="S2624" s="53" t="str">
        <f t="shared" si="572"/>
        <v/>
      </c>
      <c r="T2624" s="53" t="str">
        <f t="shared" si="573"/>
        <v/>
      </c>
    </row>
    <row r="2625" spans="1:20">
      <c r="A2625" s="47" t="str">
        <f>IF(archive!E2625="","",archive!E2625)</f>
        <v/>
      </c>
      <c r="B2625" s="48" t="str">
        <f t="shared" si="560"/>
        <v/>
      </c>
      <c r="C2625" s="49" t="str">
        <f>IF(archive!F2625="","",archive!F2625)</f>
        <v/>
      </c>
      <c r="D2625" s="50" t="str">
        <f t="shared" si="561"/>
        <v/>
      </c>
      <c r="E2625" s="50" t="str">
        <f t="shared" si="562"/>
        <v/>
      </c>
      <c r="F2625" s="47" t="str">
        <f>IF(COUNTA(archive!H2625:CI2625)=0,"",COUNTA(archive!H2625:CI2625))</f>
        <v/>
      </c>
      <c r="G2625" s="47" t="str">
        <f>IF(archive!G2625="","",archive!G2625)</f>
        <v/>
      </c>
      <c r="H2625" s="51" t="str">
        <f>IF(archive!CJ2625="","",archive!CJ2625)</f>
        <v/>
      </c>
      <c r="I2625" s="51" t="str">
        <f>IF(archive!CK2625="","",archive!CK2625)</f>
        <v/>
      </c>
      <c r="J2625" s="47" t="str">
        <f t="shared" si="563"/>
        <v/>
      </c>
      <c r="K2625" s="51" t="str">
        <f t="shared" si="564"/>
        <v/>
      </c>
      <c r="L2625" s="52" t="str">
        <f t="shared" si="565"/>
        <v/>
      </c>
      <c r="M2625" s="53" t="str">
        <f t="shared" si="566"/>
        <v/>
      </c>
      <c r="N2625" s="53" t="str">
        <f t="shared" si="567"/>
        <v/>
      </c>
      <c r="O2625" s="53" t="str">
        <f t="shared" si="568"/>
        <v/>
      </c>
      <c r="P2625" s="53" t="str">
        <f t="shared" si="569"/>
        <v/>
      </c>
      <c r="Q2625" s="53" t="str">
        <f t="shared" si="570"/>
        <v/>
      </c>
      <c r="R2625" s="53" t="str">
        <f t="shared" si="571"/>
        <v/>
      </c>
      <c r="S2625" s="53" t="str">
        <f t="shared" si="572"/>
        <v/>
      </c>
      <c r="T2625" s="53" t="str">
        <f t="shared" si="573"/>
        <v/>
      </c>
    </row>
    <row r="2626" spans="1:20">
      <c r="A2626" s="47" t="str">
        <f>IF(archive!E2626="","",archive!E2626)</f>
        <v/>
      </c>
      <c r="B2626" s="48" t="str">
        <f t="shared" si="560"/>
        <v/>
      </c>
      <c r="C2626" s="49" t="str">
        <f>IF(archive!F2626="","",archive!F2626)</f>
        <v/>
      </c>
      <c r="D2626" s="50" t="str">
        <f t="shared" si="561"/>
        <v/>
      </c>
      <c r="E2626" s="50" t="str">
        <f t="shared" si="562"/>
        <v/>
      </c>
      <c r="F2626" s="47" t="str">
        <f>IF(COUNTA(archive!H2626:CI2626)=0,"",COUNTA(archive!H2626:CI2626))</f>
        <v/>
      </c>
      <c r="G2626" s="47" t="str">
        <f>IF(archive!G2626="","",archive!G2626)</f>
        <v/>
      </c>
      <c r="H2626" s="51" t="str">
        <f>IF(archive!CJ2626="","",archive!CJ2626)</f>
        <v/>
      </c>
      <c r="I2626" s="51" t="str">
        <f>IF(archive!CK2626="","",archive!CK2626)</f>
        <v/>
      </c>
      <c r="J2626" s="47" t="str">
        <f t="shared" si="563"/>
        <v/>
      </c>
      <c r="K2626" s="51" t="str">
        <f t="shared" si="564"/>
        <v/>
      </c>
      <c r="L2626" s="52" t="str">
        <f t="shared" si="565"/>
        <v/>
      </c>
      <c r="M2626" s="53" t="str">
        <f t="shared" si="566"/>
        <v/>
      </c>
      <c r="N2626" s="53" t="str">
        <f t="shared" si="567"/>
        <v/>
      </c>
      <c r="O2626" s="53" t="str">
        <f t="shared" si="568"/>
        <v/>
      </c>
      <c r="P2626" s="53" t="str">
        <f t="shared" si="569"/>
        <v/>
      </c>
      <c r="Q2626" s="53" t="str">
        <f t="shared" si="570"/>
        <v/>
      </c>
      <c r="R2626" s="53" t="str">
        <f t="shared" si="571"/>
        <v/>
      </c>
      <c r="S2626" s="53" t="str">
        <f t="shared" si="572"/>
        <v/>
      </c>
      <c r="T2626" s="53" t="str">
        <f t="shared" si="573"/>
        <v/>
      </c>
    </row>
    <row r="2627" spans="1:20">
      <c r="A2627" s="47" t="str">
        <f>IF(archive!E2627="","",archive!E2627)</f>
        <v/>
      </c>
      <c r="B2627" s="48" t="str">
        <f t="shared" si="560"/>
        <v/>
      </c>
      <c r="C2627" s="49" t="str">
        <f>IF(archive!F2627="","",archive!F2627)</f>
        <v/>
      </c>
      <c r="D2627" s="50" t="str">
        <f t="shared" si="561"/>
        <v/>
      </c>
      <c r="E2627" s="50" t="str">
        <f t="shared" si="562"/>
        <v/>
      </c>
      <c r="F2627" s="47" t="str">
        <f>IF(COUNTA(archive!H2627:CI2627)=0,"",COUNTA(archive!H2627:CI2627))</f>
        <v/>
      </c>
      <c r="G2627" s="47" t="str">
        <f>IF(archive!G2627="","",archive!G2627)</f>
        <v/>
      </c>
      <c r="H2627" s="51" t="str">
        <f>IF(archive!CJ2627="","",archive!CJ2627)</f>
        <v/>
      </c>
      <c r="I2627" s="51" t="str">
        <f>IF(archive!CK2627="","",archive!CK2627)</f>
        <v/>
      </c>
      <c r="J2627" s="47" t="str">
        <f t="shared" si="563"/>
        <v/>
      </c>
      <c r="K2627" s="51" t="str">
        <f t="shared" si="564"/>
        <v/>
      </c>
      <c r="L2627" s="52" t="str">
        <f t="shared" si="565"/>
        <v/>
      </c>
      <c r="M2627" s="53" t="str">
        <f t="shared" si="566"/>
        <v/>
      </c>
      <c r="N2627" s="53" t="str">
        <f t="shared" si="567"/>
        <v/>
      </c>
      <c r="O2627" s="53" t="str">
        <f t="shared" si="568"/>
        <v/>
      </c>
      <c r="P2627" s="53" t="str">
        <f t="shared" si="569"/>
        <v/>
      </c>
      <c r="Q2627" s="53" t="str">
        <f t="shared" si="570"/>
        <v/>
      </c>
      <c r="R2627" s="53" t="str">
        <f t="shared" si="571"/>
        <v/>
      </c>
      <c r="S2627" s="53" t="str">
        <f t="shared" si="572"/>
        <v/>
      </c>
      <c r="T2627" s="53" t="str">
        <f t="shared" si="573"/>
        <v/>
      </c>
    </row>
    <row r="2628" spans="1:20">
      <c r="A2628" s="47" t="str">
        <f>IF(archive!E2628="","",archive!E2628)</f>
        <v/>
      </c>
      <c r="B2628" s="48" t="str">
        <f t="shared" ref="B2628:B2691" si="574">IF(C2628="","",VLOOKUP($C2628,Tare,2,0))</f>
        <v/>
      </c>
      <c r="C2628" s="49" t="str">
        <f>IF(archive!F2628="","",archive!F2628)</f>
        <v/>
      </c>
      <c r="D2628" s="50" t="str">
        <f t="shared" ref="D2628:D2691" si="575">IF(C2628="","",C2628+B2628)</f>
        <v/>
      </c>
      <c r="E2628" s="50" t="str">
        <f t="shared" ref="E2628:E2691" si="576">IF(C2628="","",(C2628*0.025)+D2628)</f>
        <v/>
      </c>
      <c r="F2628" s="47" t="str">
        <f>IF(COUNTA(archive!H2628:CI2628)=0,"",COUNTA(archive!H2628:CI2628))</f>
        <v/>
      </c>
      <c r="G2628" s="47" t="str">
        <f>IF(archive!G2628="","",archive!G2628)</f>
        <v/>
      </c>
      <c r="H2628" s="51" t="str">
        <f>IF(archive!CJ2628="","",archive!CJ2628)</f>
        <v/>
      </c>
      <c r="I2628" s="51" t="str">
        <f>IF(archive!CK2628="","",archive!CK2628)</f>
        <v/>
      </c>
      <c r="J2628" s="47" t="str">
        <f t="shared" ref="J2628:J2691" si="577">IF(F2628="","",VLOOKUP(F2628,Valeur_g,2,0))</f>
        <v/>
      </c>
      <c r="K2628" s="51" t="str">
        <f t="shared" ref="K2628:K2691" si="578">IF(C2628="","",D2628+(J2628*I2628))</f>
        <v/>
      </c>
      <c r="L2628" s="52" t="str">
        <f t="shared" ref="L2628:L2691" si="579">IF(C2628="","",IF(K2628&lt;H2628,"Conforme","Non conforme"))</f>
        <v/>
      </c>
      <c r="M2628" s="53" t="str">
        <f t="shared" ref="M2628:M2691" si="580">IF(C2628="","",1)</f>
        <v/>
      </c>
      <c r="N2628" s="53" t="str">
        <f t="shared" ref="N2628:N2691" si="581">IF(L2628="","",COUNTIF(L2628,"Non conforme"))</f>
        <v/>
      </c>
      <c r="O2628" s="53" t="str">
        <f t="shared" ref="O2628:O2691" si="582">IF($C2628="","",IF($C2628=0.25,$G2628,"-"))</f>
        <v/>
      </c>
      <c r="P2628" s="53" t="str">
        <f t="shared" ref="P2628:P2691" si="583">IF($C2628="","",IF($C2628=0.4,$G2628,"-"))</f>
        <v/>
      </c>
      <c r="Q2628" s="53" t="str">
        <f t="shared" ref="Q2628:Q2691" si="584">IF($C2628="","",IF($C2628=0.5,$G2628,"-"))</f>
        <v/>
      </c>
      <c r="R2628" s="53" t="str">
        <f t="shared" ref="R2628:R2691" si="585">IF($C2628="","",IF($C2628=0.6,$G2628,"-"))</f>
        <v/>
      </c>
      <c r="S2628" s="53" t="str">
        <f t="shared" ref="S2628:S2691" si="586">IF($C2628="","",IF($C2628=0.8,$G2628,"-"))</f>
        <v/>
      </c>
      <c r="T2628" s="53" t="str">
        <f t="shared" ref="T2628:T2691" si="587">IF($C2628="","",IF($C2628=1,$G2628,"-"))</f>
        <v/>
      </c>
    </row>
    <row r="2629" spans="1:20">
      <c r="A2629" s="47" t="str">
        <f>IF(archive!E2629="","",archive!E2629)</f>
        <v/>
      </c>
      <c r="B2629" s="48" t="str">
        <f t="shared" si="574"/>
        <v/>
      </c>
      <c r="C2629" s="49" t="str">
        <f>IF(archive!F2629="","",archive!F2629)</f>
        <v/>
      </c>
      <c r="D2629" s="50" t="str">
        <f t="shared" si="575"/>
        <v/>
      </c>
      <c r="E2629" s="50" t="str">
        <f t="shared" si="576"/>
        <v/>
      </c>
      <c r="F2629" s="47" t="str">
        <f>IF(COUNTA(archive!H2629:CI2629)=0,"",COUNTA(archive!H2629:CI2629))</f>
        <v/>
      </c>
      <c r="G2629" s="47" t="str">
        <f>IF(archive!G2629="","",archive!G2629)</f>
        <v/>
      </c>
      <c r="H2629" s="51" t="str">
        <f>IF(archive!CJ2629="","",archive!CJ2629)</f>
        <v/>
      </c>
      <c r="I2629" s="51" t="str">
        <f>IF(archive!CK2629="","",archive!CK2629)</f>
        <v/>
      </c>
      <c r="J2629" s="47" t="str">
        <f t="shared" si="577"/>
        <v/>
      </c>
      <c r="K2629" s="51" t="str">
        <f t="shared" si="578"/>
        <v/>
      </c>
      <c r="L2629" s="52" t="str">
        <f t="shared" si="579"/>
        <v/>
      </c>
      <c r="M2629" s="53" t="str">
        <f t="shared" si="580"/>
        <v/>
      </c>
      <c r="N2629" s="53" t="str">
        <f t="shared" si="581"/>
        <v/>
      </c>
      <c r="O2629" s="53" t="str">
        <f t="shared" si="582"/>
        <v/>
      </c>
      <c r="P2629" s="53" t="str">
        <f t="shared" si="583"/>
        <v/>
      </c>
      <c r="Q2629" s="53" t="str">
        <f t="shared" si="584"/>
        <v/>
      </c>
      <c r="R2629" s="53" t="str">
        <f t="shared" si="585"/>
        <v/>
      </c>
      <c r="S2629" s="53" t="str">
        <f t="shared" si="586"/>
        <v/>
      </c>
      <c r="T2629" s="53" t="str">
        <f t="shared" si="587"/>
        <v/>
      </c>
    </row>
    <row r="2630" spans="1:20">
      <c r="A2630" s="47" t="str">
        <f>IF(archive!E2630="","",archive!E2630)</f>
        <v/>
      </c>
      <c r="B2630" s="48" t="str">
        <f t="shared" si="574"/>
        <v/>
      </c>
      <c r="C2630" s="49" t="str">
        <f>IF(archive!F2630="","",archive!F2630)</f>
        <v/>
      </c>
      <c r="D2630" s="50" t="str">
        <f t="shared" si="575"/>
        <v/>
      </c>
      <c r="E2630" s="50" t="str">
        <f t="shared" si="576"/>
        <v/>
      </c>
      <c r="F2630" s="47" t="str">
        <f>IF(COUNTA(archive!H2630:CI2630)=0,"",COUNTA(archive!H2630:CI2630))</f>
        <v/>
      </c>
      <c r="G2630" s="47" t="str">
        <f>IF(archive!G2630="","",archive!G2630)</f>
        <v/>
      </c>
      <c r="H2630" s="51" t="str">
        <f>IF(archive!CJ2630="","",archive!CJ2630)</f>
        <v/>
      </c>
      <c r="I2630" s="51" t="str">
        <f>IF(archive!CK2630="","",archive!CK2630)</f>
        <v/>
      </c>
      <c r="J2630" s="47" t="str">
        <f t="shared" si="577"/>
        <v/>
      </c>
      <c r="K2630" s="51" t="str">
        <f t="shared" si="578"/>
        <v/>
      </c>
      <c r="L2630" s="52" t="str">
        <f t="shared" si="579"/>
        <v/>
      </c>
      <c r="M2630" s="53" t="str">
        <f t="shared" si="580"/>
        <v/>
      </c>
      <c r="N2630" s="53" t="str">
        <f t="shared" si="581"/>
        <v/>
      </c>
      <c r="O2630" s="53" t="str">
        <f t="shared" si="582"/>
        <v/>
      </c>
      <c r="P2630" s="53" t="str">
        <f t="shared" si="583"/>
        <v/>
      </c>
      <c r="Q2630" s="53" t="str">
        <f t="shared" si="584"/>
        <v/>
      </c>
      <c r="R2630" s="53" t="str">
        <f t="shared" si="585"/>
        <v/>
      </c>
      <c r="S2630" s="53" t="str">
        <f t="shared" si="586"/>
        <v/>
      </c>
      <c r="T2630" s="53" t="str">
        <f t="shared" si="587"/>
        <v/>
      </c>
    </row>
    <row r="2631" spans="1:20">
      <c r="A2631" s="47" t="str">
        <f>IF(archive!E2631="","",archive!E2631)</f>
        <v/>
      </c>
      <c r="B2631" s="48" t="str">
        <f t="shared" si="574"/>
        <v/>
      </c>
      <c r="C2631" s="49" t="str">
        <f>IF(archive!F2631="","",archive!F2631)</f>
        <v/>
      </c>
      <c r="D2631" s="50" t="str">
        <f t="shared" si="575"/>
        <v/>
      </c>
      <c r="E2631" s="50" t="str">
        <f t="shared" si="576"/>
        <v/>
      </c>
      <c r="F2631" s="47" t="str">
        <f>IF(COUNTA(archive!H2631:CI2631)=0,"",COUNTA(archive!H2631:CI2631))</f>
        <v/>
      </c>
      <c r="G2631" s="47" t="str">
        <f>IF(archive!G2631="","",archive!G2631)</f>
        <v/>
      </c>
      <c r="H2631" s="51" t="str">
        <f>IF(archive!CJ2631="","",archive!CJ2631)</f>
        <v/>
      </c>
      <c r="I2631" s="51" t="str">
        <f>IF(archive!CK2631="","",archive!CK2631)</f>
        <v/>
      </c>
      <c r="J2631" s="47" t="str">
        <f t="shared" si="577"/>
        <v/>
      </c>
      <c r="K2631" s="51" t="str">
        <f t="shared" si="578"/>
        <v/>
      </c>
      <c r="L2631" s="52" t="str">
        <f t="shared" si="579"/>
        <v/>
      </c>
      <c r="M2631" s="53" t="str">
        <f t="shared" si="580"/>
        <v/>
      </c>
      <c r="N2631" s="53" t="str">
        <f t="shared" si="581"/>
        <v/>
      </c>
      <c r="O2631" s="53" t="str">
        <f t="shared" si="582"/>
        <v/>
      </c>
      <c r="P2631" s="53" t="str">
        <f t="shared" si="583"/>
        <v/>
      </c>
      <c r="Q2631" s="53" t="str">
        <f t="shared" si="584"/>
        <v/>
      </c>
      <c r="R2631" s="53" t="str">
        <f t="shared" si="585"/>
        <v/>
      </c>
      <c r="S2631" s="53" t="str">
        <f t="shared" si="586"/>
        <v/>
      </c>
      <c r="T2631" s="53" t="str">
        <f t="shared" si="587"/>
        <v/>
      </c>
    </row>
    <row r="2632" spans="1:20">
      <c r="A2632" s="47" t="str">
        <f>IF(archive!E2632="","",archive!E2632)</f>
        <v/>
      </c>
      <c r="B2632" s="48" t="str">
        <f t="shared" si="574"/>
        <v/>
      </c>
      <c r="C2632" s="49" t="str">
        <f>IF(archive!F2632="","",archive!F2632)</f>
        <v/>
      </c>
      <c r="D2632" s="50" t="str">
        <f t="shared" si="575"/>
        <v/>
      </c>
      <c r="E2632" s="50" t="str">
        <f t="shared" si="576"/>
        <v/>
      </c>
      <c r="F2632" s="47" t="str">
        <f>IF(COUNTA(archive!H2632:CI2632)=0,"",COUNTA(archive!H2632:CI2632))</f>
        <v/>
      </c>
      <c r="G2632" s="47" t="str">
        <f>IF(archive!G2632="","",archive!G2632)</f>
        <v/>
      </c>
      <c r="H2632" s="51" t="str">
        <f>IF(archive!CJ2632="","",archive!CJ2632)</f>
        <v/>
      </c>
      <c r="I2632" s="51" t="str">
        <f>IF(archive!CK2632="","",archive!CK2632)</f>
        <v/>
      </c>
      <c r="J2632" s="47" t="str">
        <f t="shared" si="577"/>
        <v/>
      </c>
      <c r="K2632" s="51" t="str">
        <f t="shared" si="578"/>
        <v/>
      </c>
      <c r="L2632" s="52" t="str">
        <f t="shared" si="579"/>
        <v/>
      </c>
      <c r="M2632" s="53" t="str">
        <f t="shared" si="580"/>
        <v/>
      </c>
      <c r="N2632" s="53" t="str">
        <f t="shared" si="581"/>
        <v/>
      </c>
      <c r="O2632" s="53" t="str">
        <f t="shared" si="582"/>
        <v/>
      </c>
      <c r="P2632" s="53" t="str">
        <f t="shared" si="583"/>
        <v/>
      </c>
      <c r="Q2632" s="53" t="str">
        <f t="shared" si="584"/>
        <v/>
      </c>
      <c r="R2632" s="53" t="str">
        <f t="shared" si="585"/>
        <v/>
      </c>
      <c r="S2632" s="53" t="str">
        <f t="shared" si="586"/>
        <v/>
      </c>
      <c r="T2632" s="53" t="str">
        <f t="shared" si="587"/>
        <v/>
      </c>
    </row>
    <row r="2633" spans="1:20">
      <c r="A2633" s="47" t="str">
        <f>IF(archive!E2633="","",archive!E2633)</f>
        <v/>
      </c>
      <c r="B2633" s="48" t="str">
        <f t="shared" si="574"/>
        <v/>
      </c>
      <c r="C2633" s="49" t="str">
        <f>IF(archive!F2633="","",archive!F2633)</f>
        <v/>
      </c>
      <c r="D2633" s="50" t="str">
        <f t="shared" si="575"/>
        <v/>
      </c>
      <c r="E2633" s="50" t="str">
        <f t="shared" si="576"/>
        <v/>
      </c>
      <c r="F2633" s="47" t="str">
        <f>IF(COUNTA(archive!H2633:CI2633)=0,"",COUNTA(archive!H2633:CI2633))</f>
        <v/>
      </c>
      <c r="G2633" s="47" t="str">
        <f>IF(archive!G2633="","",archive!G2633)</f>
        <v/>
      </c>
      <c r="H2633" s="51" t="str">
        <f>IF(archive!CJ2633="","",archive!CJ2633)</f>
        <v/>
      </c>
      <c r="I2633" s="51" t="str">
        <f>IF(archive!CK2633="","",archive!CK2633)</f>
        <v/>
      </c>
      <c r="J2633" s="47" t="str">
        <f t="shared" si="577"/>
        <v/>
      </c>
      <c r="K2633" s="51" t="str">
        <f t="shared" si="578"/>
        <v/>
      </c>
      <c r="L2633" s="52" t="str">
        <f t="shared" si="579"/>
        <v/>
      </c>
      <c r="M2633" s="53" t="str">
        <f t="shared" si="580"/>
        <v/>
      </c>
      <c r="N2633" s="53" t="str">
        <f t="shared" si="581"/>
        <v/>
      </c>
      <c r="O2633" s="53" t="str">
        <f t="shared" si="582"/>
        <v/>
      </c>
      <c r="P2633" s="53" t="str">
        <f t="shared" si="583"/>
        <v/>
      </c>
      <c r="Q2633" s="53" t="str">
        <f t="shared" si="584"/>
        <v/>
      </c>
      <c r="R2633" s="53" t="str">
        <f t="shared" si="585"/>
        <v/>
      </c>
      <c r="S2633" s="53" t="str">
        <f t="shared" si="586"/>
        <v/>
      </c>
      <c r="T2633" s="53" t="str">
        <f t="shared" si="587"/>
        <v/>
      </c>
    </row>
    <row r="2634" spans="1:20">
      <c r="A2634" s="47" t="str">
        <f>IF(archive!E2634="","",archive!E2634)</f>
        <v/>
      </c>
      <c r="B2634" s="48" t="str">
        <f t="shared" si="574"/>
        <v/>
      </c>
      <c r="C2634" s="49" t="str">
        <f>IF(archive!F2634="","",archive!F2634)</f>
        <v/>
      </c>
      <c r="D2634" s="50" t="str">
        <f t="shared" si="575"/>
        <v/>
      </c>
      <c r="E2634" s="50" t="str">
        <f t="shared" si="576"/>
        <v/>
      </c>
      <c r="F2634" s="47" t="str">
        <f>IF(COUNTA(archive!H2634:CI2634)=0,"",COUNTA(archive!H2634:CI2634))</f>
        <v/>
      </c>
      <c r="G2634" s="47" t="str">
        <f>IF(archive!G2634="","",archive!G2634)</f>
        <v/>
      </c>
      <c r="H2634" s="51" t="str">
        <f>IF(archive!CJ2634="","",archive!CJ2634)</f>
        <v/>
      </c>
      <c r="I2634" s="51" t="str">
        <f>IF(archive!CK2634="","",archive!CK2634)</f>
        <v/>
      </c>
      <c r="J2634" s="47" t="str">
        <f t="shared" si="577"/>
        <v/>
      </c>
      <c r="K2634" s="51" t="str">
        <f t="shared" si="578"/>
        <v/>
      </c>
      <c r="L2634" s="52" t="str">
        <f t="shared" si="579"/>
        <v/>
      </c>
      <c r="M2634" s="53" t="str">
        <f t="shared" si="580"/>
        <v/>
      </c>
      <c r="N2634" s="53" t="str">
        <f t="shared" si="581"/>
        <v/>
      </c>
      <c r="O2634" s="53" t="str">
        <f t="shared" si="582"/>
        <v/>
      </c>
      <c r="P2634" s="53" t="str">
        <f t="shared" si="583"/>
        <v/>
      </c>
      <c r="Q2634" s="53" t="str">
        <f t="shared" si="584"/>
        <v/>
      </c>
      <c r="R2634" s="53" t="str">
        <f t="shared" si="585"/>
        <v/>
      </c>
      <c r="S2634" s="53" t="str">
        <f t="shared" si="586"/>
        <v/>
      </c>
      <c r="T2634" s="53" t="str">
        <f t="shared" si="587"/>
        <v/>
      </c>
    </row>
    <row r="2635" spans="1:20">
      <c r="A2635" s="47" t="str">
        <f>IF(archive!E2635="","",archive!E2635)</f>
        <v/>
      </c>
      <c r="B2635" s="48" t="str">
        <f t="shared" si="574"/>
        <v/>
      </c>
      <c r="C2635" s="49" t="str">
        <f>IF(archive!F2635="","",archive!F2635)</f>
        <v/>
      </c>
      <c r="D2635" s="50" t="str">
        <f t="shared" si="575"/>
        <v/>
      </c>
      <c r="E2635" s="50" t="str">
        <f t="shared" si="576"/>
        <v/>
      </c>
      <c r="F2635" s="47" t="str">
        <f>IF(COUNTA(archive!H2635:CI2635)=0,"",COUNTA(archive!H2635:CI2635))</f>
        <v/>
      </c>
      <c r="G2635" s="47" t="str">
        <f>IF(archive!G2635="","",archive!G2635)</f>
        <v/>
      </c>
      <c r="H2635" s="51" t="str">
        <f>IF(archive!CJ2635="","",archive!CJ2635)</f>
        <v/>
      </c>
      <c r="I2635" s="51" t="str">
        <f>IF(archive!CK2635="","",archive!CK2635)</f>
        <v/>
      </c>
      <c r="J2635" s="47" t="str">
        <f t="shared" si="577"/>
        <v/>
      </c>
      <c r="K2635" s="51" t="str">
        <f t="shared" si="578"/>
        <v/>
      </c>
      <c r="L2635" s="52" t="str">
        <f t="shared" si="579"/>
        <v/>
      </c>
      <c r="M2635" s="53" t="str">
        <f t="shared" si="580"/>
        <v/>
      </c>
      <c r="N2635" s="53" t="str">
        <f t="shared" si="581"/>
        <v/>
      </c>
      <c r="O2635" s="53" t="str">
        <f t="shared" si="582"/>
        <v/>
      </c>
      <c r="P2635" s="53" t="str">
        <f t="shared" si="583"/>
        <v/>
      </c>
      <c r="Q2635" s="53" t="str">
        <f t="shared" si="584"/>
        <v/>
      </c>
      <c r="R2635" s="53" t="str">
        <f t="shared" si="585"/>
        <v/>
      </c>
      <c r="S2635" s="53" t="str">
        <f t="shared" si="586"/>
        <v/>
      </c>
      <c r="T2635" s="53" t="str">
        <f t="shared" si="587"/>
        <v/>
      </c>
    </row>
    <row r="2636" spans="1:20">
      <c r="A2636" s="47" t="str">
        <f>IF(archive!E2636="","",archive!E2636)</f>
        <v/>
      </c>
      <c r="B2636" s="48" t="str">
        <f t="shared" si="574"/>
        <v/>
      </c>
      <c r="C2636" s="49" t="str">
        <f>IF(archive!F2636="","",archive!F2636)</f>
        <v/>
      </c>
      <c r="D2636" s="50" t="str">
        <f t="shared" si="575"/>
        <v/>
      </c>
      <c r="E2636" s="50" t="str">
        <f t="shared" si="576"/>
        <v/>
      </c>
      <c r="F2636" s="47" t="str">
        <f>IF(COUNTA(archive!H2636:CI2636)=0,"",COUNTA(archive!H2636:CI2636))</f>
        <v/>
      </c>
      <c r="G2636" s="47" t="str">
        <f>IF(archive!G2636="","",archive!G2636)</f>
        <v/>
      </c>
      <c r="H2636" s="51" t="str">
        <f>IF(archive!CJ2636="","",archive!CJ2636)</f>
        <v/>
      </c>
      <c r="I2636" s="51" t="str">
        <f>IF(archive!CK2636="","",archive!CK2636)</f>
        <v/>
      </c>
      <c r="J2636" s="47" t="str">
        <f t="shared" si="577"/>
        <v/>
      </c>
      <c r="K2636" s="51" t="str">
        <f t="shared" si="578"/>
        <v/>
      </c>
      <c r="L2636" s="52" t="str">
        <f t="shared" si="579"/>
        <v/>
      </c>
      <c r="M2636" s="53" t="str">
        <f t="shared" si="580"/>
        <v/>
      </c>
      <c r="N2636" s="53" t="str">
        <f t="shared" si="581"/>
        <v/>
      </c>
      <c r="O2636" s="53" t="str">
        <f t="shared" si="582"/>
        <v/>
      </c>
      <c r="P2636" s="53" t="str">
        <f t="shared" si="583"/>
        <v/>
      </c>
      <c r="Q2636" s="53" t="str">
        <f t="shared" si="584"/>
        <v/>
      </c>
      <c r="R2636" s="53" t="str">
        <f t="shared" si="585"/>
        <v/>
      </c>
      <c r="S2636" s="53" t="str">
        <f t="shared" si="586"/>
        <v/>
      </c>
      <c r="T2636" s="53" t="str">
        <f t="shared" si="587"/>
        <v/>
      </c>
    </row>
    <row r="2637" spans="1:20">
      <c r="A2637" s="47" t="str">
        <f>IF(archive!E2637="","",archive!E2637)</f>
        <v/>
      </c>
      <c r="B2637" s="48" t="str">
        <f t="shared" si="574"/>
        <v/>
      </c>
      <c r="C2637" s="49" t="str">
        <f>IF(archive!F2637="","",archive!F2637)</f>
        <v/>
      </c>
      <c r="D2637" s="50" t="str">
        <f t="shared" si="575"/>
        <v/>
      </c>
      <c r="E2637" s="50" t="str">
        <f t="shared" si="576"/>
        <v/>
      </c>
      <c r="F2637" s="47" t="str">
        <f>IF(COUNTA(archive!H2637:CI2637)=0,"",COUNTA(archive!H2637:CI2637))</f>
        <v/>
      </c>
      <c r="G2637" s="47" t="str">
        <f>IF(archive!G2637="","",archive!G2637)</f>
        <v/>
      </c>
      <c r="H2637" s="51" t="str">
        <f>IF(archive!CJ2637="","",archive!CJ2637)</f>
        <v/>
      </c>
      <c r="I2637" s="51" t="str">
        <f>IF(archive!CK2637="","",archive!CK2637)</f>
        <v/>
      </c>
      <c r="J2637" s="47" t="str">
        <f t="shared" si="577"/>
        <v/>
      </c>
      <c r="K2637" s="51" t="str">
        <f t="shared" si="578"/>
        <v/>
      </c>
      <c r="L2637" s="52" t="str">
        <f t="shared" si="579"/>
        <v/>
      </c>
      <c r="M2637" s="53" t="str">
        <f t="shared" si="580"/>
        <v/>
      </c>
      <c r="N2637" s="53" t="str">
        <f t="shared" si="581"/>
        <v/>
      </c>
      <c r="O2637" s="53" t="str">
        <f t="shared" si="582"/>
        <v/>
      </c>
      <c r="P2637" s="53" t="str">
        <f t="shared" si="583"/>
        <v/>
      </c>
      <c r="Q2637" s="53" t="str">
        <f t="shared" si="584"/>
        <v/>
      </c>
      <c r="R2637" s="53" t="str">
        <f t="shared" si="585"/>
        <v/>
      </c>
      <c r="S2637" s="53" t="str">
        <f t="shared" si="586"/>
        <v/>
      </c>
      <c r="T2637" s="53" t="str">
        <f t="shared" si="587"/>
        <v/>
      </c>
    </row>
    <row r="2638" spans="1:20">
      <c r="A2638" s="47" t="str">
        <f>IF(archive!E2638="","",archive!E2638)</f>
        <v/>
      </c>
      <c r="B2638" s="48" t="str">
        <f t="shared" si="574"/>
        <v/>
      </c>
      <c r="C2638" s="49" t="str">
        <f>IF(archive!F2638="","",archive!F2638)</f>
        <v/>
      </c>
      <c r="D2638" s="50" t="str">
        <f t="shared" si="575"/>
        <v/>
      </c>
      <c r="E2638" s="50" t="str">
        <f t="shared" si="576"/>
        <v/>
      </c>
      <c r="F2638" s="47" t="str">
        <f>IF(COUNTA(archive!H2638:CI2638)=0,"",COUNTA(archive!H2638:CI2638))</f>
        <v/>
      </c>
      <c r="G2638" s="47" t="str">
        <f>IF(archive!G2638="","",archive!G2638)</f>
        <v/>
      </c>
      <c r="H2638" s="51" t="str">
        <f>IF(archive!CJ2638="","",archive!CJ2638)</f>
        <v/>
      </c>
      <c r="I2638" s="51" t="str">
        <f>IF(archive!CK2638="","",archive!CK2638)</f>
        <v/>
      </c>
      <c r="J2638" s="47" t="str">
        <f t="shared" si="577"/>
        <v/>
      </c>
      <c r="K2638" s="51" t="str">
        <f t="shared" si="578"/>
        <v/>
      </c>
      <c r="L2638" s="52" t="str">
        <f t="shared" si="579"/>
        <v/>
      </c>
      <c r="M2638" s="53" t="str">
        <f t="shared" si="580"/>
        <v/>
      </c>
      <c r="N2638" s="53" t="str">
        <f t="shared" si="581"/>
        <v/>
      </c>
      <c r="O2638" s="53" t="str">
        <f t="shared" si="582"/>
        <v/>
      </c>
      <c r="P2638" s="53" t="str">
        <f t="shared" si="583"/>
        <v/>
      </c>
      <c r="Q2638" s="53" t="str">
        <f t="shared" si="584"/>
        <v/>
      </c>
      <c r="R2638" s="53" t="str">
        <f t="shared" si="585"/>
        <v/>
      </c>
      <c r="S2638" s="53" t="str">
        <f t="shared" si="586"/>
        <v/>
      </c>
      <c r="T2638" s="53" t="str">
        <f t="shared" si="587"/>
        <v/>
      </c>
    </row>
    <row r="2639" spans="1:20">
      <c r="A2639" s="47" t="str">
        <f>IF(archive!E2639="","",archive!E2639)</f>
        <v/>
      </c>
      <c r="B2639" s="48" t="str">
        <f t="shared" si="574"/>
        <v/>
      </c>
      <c r="C2639" s="49" t="str">
        <f>IF(archive!F2639="","",archive!F2639)</f>
        <v/>
      </c>
      <c r="D2639" s="50" t="str">
        <f t="shared" si="575"/>
        <v/>
      </c>
      <c r="E2639" s="50" t="str">
        <f t="shared" si="576"/>
        <v/>
      </c>
      <c r="F2639" s="47" t="str">
        <f>IF(COUNTA(archive!H2639:CI2639)=0,"",COUNTA(archive!H2639:CI2639))</f>
        <v/>
      </c>
      <c r="G2639" s="47" t="str">
        <f>IF(archive!G2639="","",archive!G2639)</f>
        <v/>
      </c>
      <c r="H2639" s="51" t="str">
        <f>IF(archive!CJ2639="","",archive!CJ2639)</f>
        <v/>
      </c>
      <c r="I2639" s="51" t="str">
        <f>IF(archive!CK2639="","",archive!CK2639)</f>
        <v/>
      </c>
      <c r="J2639" s="47" t="str">
        <f t="shared" si="577"/>
        <v/>
      </c>
      <c r="K2639" s="51" t="str">
        <f t="shared" si="578"/>
        <v/>
      </c>
      <c r="L2639" s="52" t="str">
        <f t="shared" si="579"/>
        <v/>
      </c>
      <c r="M2639" s="53" t="str">
        <f t="shared" si="580"/>
        <v/>
      </c>
      <c r="N2639" s="53" t="str">
        <f t="shared" si="581"/>
        <v/>
      </c>
      <c r="O2639" s="53" t="str">
        <f t="shared" si="582"/>
        <v/>
      </c>
      <c r="P2639" s="53" t="str">
        <f t="shared" si="583"/>
        <v/>
      </c>
      <c r="Q2639" s="53" t="str">
        <f t="shared" si="584"/>
        <v/>
      </c>
      <c r="R2639" s="53" t="str">
        <f t="shared" si="585"/>
        <v/>
      </c>
      <c r="S2639" s="53" t="str">
        <f t="shared" si="586"/>
        <v/>
      </c>
      <c r="T2639" s="53" t="str">
        <f t="shared" si="587"/>
        <v/>
      </c>
    </row>
    <row r="2640" spans="1:20">
      <c r="A2640" s="47" t="str">
        <f>IF(archive!E2640="","",archive!E2640)</f>
        <v/>
      </c>
      <c r="B2640" s="48" t="str">
        <f t="shared" si="574"/>
        <v/>
      </c>
      <c r="C2640" s="49" t="str">
        <f>IF(archive!F2640="","",archive!F2640)</f>
        <v/>
      </c>
      <c r="D2640" s="50" t="str">
        <f t="shared" si="575"/>
        <v/>
      </c>
      <c r="E2640" s="50" t="str">
        <f t="shared" si="576"/>
        <v/>
      </c>
      <c r="F2640" s="47" t="str">
        <f>IF(COUNTA(archive!H2640:CI2640)=0,"",COUNTA(archive!H2640:CI2640))</f>
        <v/>
      </c>
      <c r="G2640" s="47" t="str">
        <f>IF(archive!G2640="","",archive!G2640)</f>
        <v/>
      </c>
      <c r="H2640" s="51" t="str">
        <f>IF(archive!CJ2640="","",archive!CJ2640)</f>
        <v/>
      </c>
      <c r="I2640" s="51" t="str">
        <f>IF(archive!CK2640="","",archive!CK2640)</f>
        <v/>
      </c>
      <c r="J2640" s="47" t="str">
        <f t="shared" si="577"/>
        <v/>
      </c>
      <c r="K2640" s="51" t="str">
        <f t="shared" si="578"/>
        <v/>
      </c>
      <c r="L2640" s="52" t="str">
        <f t="shared" si="579"/>
        <v/>
      </c>
      <c r="M2640" s="53" t="str">
        <f t="shared" si="580"/>
        <v/>
      </c>
      <c r="N2640" s="53" t="str">
        <f t="shared" si="581"/>
        <v/>
      </c>
      <c r="O2640" s="53" t="str">
        <f t="shared" si="582"/>
        <v/>
      </c>
      <c r="P2640" s="53" t="str">
        <f t="shared" si="583"/>
        <v/>
      </c>
      <c r="Q2640" s="53" t="str">
        <f t="shared" si="584"/>
        <v/>
      </c>
      <c r="R2640" s="53" t="str">
        <f t="shared" si="585"/>
        <v/>
      </c>
      <c r="S2640" s="53" t="str">
        <f t="shared" si="586"/>
        <v/>
      </c>
      <c r="T2640" s="53" t="str">
        <f t="shared" si="587"/>
        <v/>
      </c>
    </row>
    <row r="2641" spans="1:20">
      <c r="A2641" s="47" t="str">
        <f>IF(archive!E2641="","",archive!E2641)</f>
        <v/>
      </c>
      <c r="B2641" s="48" t="str">
        <f t="shared" si="574"/>
        <v/>
      </c>
      <c r="C2641" s="49" t="str">
        <f>IF(archive!F2641="","",archive!F2641)</f>
        <v/>
      </c>
      <c r="D2641" s="50" t="str">
        <f t="shared" si="575"/>
        <v/>
      </c>
      <c r="E2641" s="50" t="str">
        <f t="shared" si="576"/>
        <v/>
      </c>
      <c r="F2641" s="47" t="str">
        <f>IF(COUNTA(archive!H2641:CI2641)=0,"",COUNTA(archive!H2641:CI2641))</f>
        <v/>
      </c>
      <c r="G2641" s="47" t="str">
        <f>IF(archive!G2641="","",archive!G2641)</f>
        <v/>
      </c>
      <c r="H2641" s="51" t="str">
        <f>IF(archive!CJ2641="","",archive!CJ2641)</f>
        <v/>
      </c>
      <c r="I2641" s="51" t="str">
        <f>IF(archive!CK2641="","",archive!CK2641)</f>
        <v/>
      </c>
      <c r="J2641" s="47" t="str">
        <f t="shared" si="577"/>
        <v/>
      </c>
      <c r="K2641" s="51" t="str">
        <f t="shared" si="578"/>
        <v/>
      </c>
      <c r="L2641" s="52" t="str">
        <f t="shared" si="579"/>
        <v/>
      </c>
      <c r="M2641" s="53" t="str">
        <f t="shared" si="580"/>
        <v/>
      </c>
      <c r="N2641" s="53" t="str">
        <f t="shared" si="581"/>
        <v/>
      </c>
      <c r="O2641" s="53" t="str">
        <f t="shared" si="582"/>
        <v/>
      </c>
      <c r="P2641" s="53" t="str">
        <f t="shared" si="583"/>
        <v/>
      </c>
      <c r="Q2641" s="53" t="str">
        <f t="shared" si="584"/>
        <v/>
      </c>
      <c r="R2641" s="53" t="str">
        <f t="shared" si="585"/>
        <v/>
      </c>
      <c r="S2641" s="53" t="str">
        <f t="shared" si="586"/>
        <v/>
      </c>
      <c r="T2641" s="53" t="str">
        <f t="shared" si="587"/>
        <v/>
      </c>
    </row>
    <row r="2642" spans="1:20">
      <c r="A2642" s="47" t="str">
        <f>IF(archive!E2642="","",archive!E2642)</f>
        <v/>
      </c>
      <c r="B2642" s="48" t="str">
        <f t="shared" si="574"/>
        <v/>
      </c>
      <c r="C2642" s="49" t="str">
        <f>IF(archive!F2642="","",archive!F2642)</f>
        <v/>
      </c>
      <c r="D2642" s="50" t="str">
        <f t="shared" si="575"/>
        <v/>
      </c>
      <c r="E2642" s="50" t="str">
        <f t="shared" si="576"/>
        <v/>
      </c>
      <c r="F2642" s="47" t="str">
        <f>IF(COUNTA(archive!H2642:CI2642)=0,"",COUNTA(archive!H2642:CI2642))</f>
        <v/>
      </c>
      <c r="G2642" s="47" t="str">
        <f>IF(archive!G2642="","",archive!G2642)</f>
        <v/>
      </c>
      <c r="H2642" s="51" t="str">
        <f>IF(archive!CJ2642="","",archive!CJ2642)</f>
        <v/>
      </c>
      <c r="I2642" s="51" t="str">
        <f>IF(archive!CK2642="","",archive!CK2642)</f>
        <v/>
      </c>
      <c r="J2642" s="47" t="str">
        <f t="shared" si="577"/>
        <v/>
      </c>
      <c r="K2642" s="51" t="str">
        <f t="shared" si="578"/>
        <v/>
      </c>
      <c r="L2642" s="52" t="str">
        <f t="shared" si="579"/>
        <v/>
      </c>
      <c r="M2642" s="53" t="str">
        <f t="shared" si="580"/>
        <v/>
      </c>
      <c r="N2642" s="53" t="str">
        <f t="shared" si="581"/>
        <v/>
      </c>
      <c r="O2642" s="53" t="str">
        <f t="shared" si="582"/>
        <v/>
      </c>
      <c r="P2642" s="53" t="str">
        <f t="shared" si="583"/>
        <v/>
      </c>
      <c r="Q2642" s="53" t="str">
        <f t="shared" si="584"/>
        <v/>
      </c>
      <c r="R2642" s="53" t="str">
        <f t="shared" si="585"/>
        <v/>
      </c>
      <c r="S2642" s="53" t="str">
        <f t="shared" si="586"/>
        <v/>
      </c>
      <c r="T2642" s="53" t="str">
        <f t="shared" si="587"/>
        <v/>
      </c>
    </row>
    <row r="2643" spans="1:20">
      <c r="A2643" s="47" t="str">
        <f>IF(archive!E2643="","",archive!E2643)</f>
        <v/>
      </c>
      <c r="B2643" s="48" t="str">
        <f t="shared" si="574"/>
        <v/>
      </c>
      <c r="C2643" s="49" t="str">
        <f>IF(archive!F2643="","",archive!F2643)</f>
        <v/>
      </c>
      <c r="D2643" s="50" t="str">
        <f t="shared" si="575"/>
        <v/>
      </c>
      <c r="E2643" s="50" t="str">
        <f t="shared" si="576"/>
        <v/>
      </c>
      <c r="F2643" s="47" t="str">
        <f>IF(COUNTA(archive!H2643:CI2643)=0,"",COUNTA(archive!H2643:CI2643))</f>
        <v/>
      </c>
      <c r="G2643" s="47" t="str">
        <f>IF(archive!G2643="","",archive!G2643)</f>
        <v/>
      </c>
      <c r="H2643" s="51" t="str">
        <f>IF(archive!CJ2643="","",archive!CJ2643)</f>
        <v/>
      </c>
      <c r="I2643" s="51" t="str">
        <f>IF(archive!CK2643="","",archive!CK2643)</f>
        <v/>
      </c>
      <c r="J2643" s="47" t="str">
        <f t="shared" si="577"/>
        <v/>
      </c>
      <c r="K2643" s="51" t="str">
        <f t="shared" si="578"/>
        <v/>
      </c>
      <c r="L2643" s="52" t="str">
        <f t="shared" si="579"/>
        <v/>
      </c>
      <c r="M2643" s="53" t="str">
        <f t="shared" si="580"/>
        <v/>
      </c>
      <c r="N2643" s="53" t="str">
        <f t="shared" si="581"/>
        <v/>
      </c>
      <c r="O2643" s="53" t="str">
        <f t="shared" si="582"/>
        <v/>
      </c>
      <c r="P2643" s="53" t="str">
        <f t="shared" si="583"/>
        <v/>
      </c>
      <c r="Q2643" s="53" t="str">
        <f t="shared" si="584"/>
        <v/>
      </c>
      <c r="R2643" s="53" t="str">
        <f t="shared" si="585"/>
        <v/>
      </c>
      <c r="S2643" s="53" t="str">
        <f t="shared" si="586"/>
        <v/>
      </c>
      <c r="T2643" s="53" t="str">
        <f t="shared" si="587"/>
        <v/>
      </c>
    </row>
    <row r="2644" spans="1:20">
      <c r="A2644" s="47" t="str">
        <f>IF(archive!E2644="","",archive!E2644)</f>
        <v/>
      </c>
      <c r="B2644" s="48" t="str">
        <f t="shared" si="574"/>
        <v/>
      </c>
      <c r="C2644" s="49" t="str">
        <f>IF(archive!F2644="","",archive!F2644)</f>
        <v/>
      </c>
      <c r="D2644" s="50" t="str">
        <f t="shared" si="575"/>
        <v/>
      </c>
      <c r="E2644" s="50" t="str">
        <f t="shared" si="576"/>
        <v/>
      </c>
      <c r="F2644" s="47" t="str">
        <f>IF(COUNTA(archive!H2644:CI2644)=0,"",COUNTA(archive!H2644:CI2644))</f>
        <v/>
      </c>
      <c r="G2644" s="47" t="str">
        <f>IF(archive!G2644="","",archive!G2644)</f>
        <v/>
      </c>
      <c r="H2644" s="51" t="str">
        <f>IF(archive!CJ2644="","",archive!CJ2644)</f>
        <v/>
      </c>
      <c r="I2644" s="51" t="str">
        <f>IF(archive!CK2644="","",archive!CK2644)</f>
        <v/>
      </c>
      <c r="J2644" s="47" t="str">
        <f t="shared" si="577"/>
        <v/>
      </c>
      <c r="K2644" s="51" t="str">
        <f t="shared" si="578"/>
        <v/>
      </c>
      <c r="L2644" s="52" t="str">
        <f t="shared" si="579"/>
        <v/>
      </c>
      <c r="M2644" s="53" t="str">
        <f t="shared" si="580"/>
        <v/>
      </c>
      <c r="N2644" s="53" t="str">
        <f t="shared" si="581"/>
        <v/>
      </c>
      <c r="O2644" s="53" t="str">
        <f t="shared" si="582"/>
        <v/>
      </c>
      <c r="P2644" s="53" t="str">
        <f t="shared" si="583"/>
        <v/>
      </c>
      <c r="Q2644" s="53" t="str">
        <f t="shared" si="584"/>
        <v/>
      </c>
      <c r="R2644" s="53" t="str">
        <f t="shared" si="585"/>
        <v/>
      </c>
      <c r="S2644" s="53" t="str">
        <f t="shared" si="586"/>
        <v/>
      </c>
      <c r="T2644" s="53" t="str">
        <f t="shared" si="587"/>
        <v/>
      </c>
    </row>
    <row r="2645" spans="1:20">
      <c r="A2645" s="47" t="str">
        <f>IF(archive!E2645="","",archive!E2645)</f>
        <v/>
      </c>
      <c r="B2645" s="48" t="str">
        <f t="shared" si="574"/>
        <v/>
      </c>
      <c r="C2645" s="49" t="str">
        <f>IF(archive!F2645="","",archive!F2645)</f>
        <v/>
      </c>
      <c r="D2645" s="50" t="str">
        <f t="shared" si="575"/>
        <v/>
      </c>
      <c r="E2645" s="50" t="str">
        <f t="shared" si="576"/>
        <v/>
      </c>
      <c r="F2645" s="47" t="str">
        <f>IF(COUNTA(archive!H2645:CI2645)=0,"",COUNTA(archive!H2645:CI2645))</f>
        <v/>
      </c>
      <c r="G2645" s="47" t="str">
        <f>IF(archive!G2645="","",archive!G2645)</f>
        <v/>
      </c>
      <c r="H2645" s="51" t="str">
        <f>IF(archive!CJ2645="","",archive!CJ2645)</f>
        <v/>
      </c>
      <c r="I2645" s="51" t="str">
        <f>IF(archive!CK2645="","",archive!CK2645)</f>
        <v/>
      </c>
      <c r="J2645" s="47" t="str">
        <f t="shared" si="577"/>
        <v/>
      </c>
      <c r="K2645" s="51" t="str">
        <f t="shared" si="578"/>
        <v/>
      </c>
      <c r="L2645" s="52" t="str">
        <f t="shared" si="579"/>
        <v/>
      </c>
      <c r="M2645" s="53" t="str">
        <f t="shared" si="580"/>
        <v/>
      </c>
      <c r="N2645" s="53" t="str">
        <f t="shared" si="581"/>
        <v/>
      </c>
      <c r="O2645" s="53" t="str">
        <f t="shared" si="582"/>
        <v/>
      </c>
      <c r="P2645" s="53" t="str">
        <f t="shared" si="583"/>
        <v/>
      </c>
      <c r="Q2645" s="53" t="str">
        <f t="shared" si="584"/>
        <v/>
      </c>
      <c r="R2645" s="53" t="str">
        <f t="shared" si="585"/>
        <v/>
      </c>
      <c r="S2645" s="53" t="str">
        <f t="shared" si="586"/>
        <v/>
      </c>
      <c r="T2645" s="53" t="str">
        <f t="shared" si="587"/>
        <v/>
      </c>
    </row>
    <row r="2646" spans="1:20">
      <c r="A2646" s="47" t="str">
        <f>IF(archive!E2646="","",archive!E2646)</f>
        <v/>
      </c>
      <c r="B2646" s="48" t="str">
        <f t="shared" si="574"/>
        <v/>
      </c>
      <c r="C2646" s="49" t="str">
        <f>IF(archive!F2646="","",archive!F2646)</f>
        <v/>
      </c>
      <c r="D2646" s="50" t="str">
        <f t="shared" si="575"/>
        <v/>
      </c>
      <c r="E2646" s="50" t="str">
        <f t="shared" si="576"/>
        <v/>
      </c>
      <c r="F2646" s="47" t="str">
        <f>IF(COUNTA(archive!H2646:CI2646)=0,"",COUNTA(archive!H2646:CI2646))</f>
        <v/>
      </c>
      <c r="G2646" s="47" t="str">
        <f>IF(archive!G2646="","",archive!G2646)</f>
        <v/>
      </c>
      <c r="H2646" s="51" t="str">
        <f>IF(archive!CJ2646="","",archive!CJ2646)</f>
        <v/>
      </c>
      <c r="I2646" s="51" t="str">
        <f>IF(archive!CK2646="","",archive!CK2646)</f>
        <v/>
      </c>
      <c r="J2646" s="47" t="str">
        <f t="shared" si="577"/>
        <v/>
      </c>
      <c r="K2646" s="51" t="str">
        <f t="shared" si="578"/>
        <v/>
      </c>
      <c r="L2646" s="52" t="str">
        <f t="shared" si="579"/>
        <v/>
      </c>
      <c r="M2646" s="53" t="str">
        <f t="shared" si="580"/>
        <v/>
      </c>
      <c r="N2646" s="53" t="str">
        <f t="shared" si="581"/>
        <v/>
      </c>
      <c r="O2646" s="53" t="str">
        <f t="shared" si="582"/>
        <v/>
      </c>
      <c r="P2646" s="53" t="str">
        <f t="shared" si="583"/>
        <v/>
      </c>
      <c r="Q2646" s="53" t="str">
        <f t="shared" si="584"/>
        <v/>
      </c>
      <c r="R2646" s="53" t="str">
        <f t="shared" si="585"/>
        <v/>
      </c>
      <c r="S2646" s="53" t="str">
        <f t="shared" si="586"/>
        <v/>
      </c>
      <c r="T2646" s="53" t="str">
        <f t="shared" si="587"/>
        <v/>
      </c>
    </row>
    <row r="2647" spans="1:20">
      <c r="A2647" s="47" t="str">
        <f>IF(archive!E2647="","",archive!E2647)</f>
        <v/>
      </c>
      <c r="B2647" s="48" t="str">
        <f t="shared" si="574"/>
        <v/>
      </c>
      <c r="C2647" s="49" t="str">
        <f>IF(archive!F2647="","",archive!F2647)</f>
        <v/>
      </c>
      <c r="D2647" s="50" t="str">
        <f t="shared" si="575"/>
        <v/>
      </c>
      <c r="E2647" s="50" t="str">
        <f t="shared" si="576"/>
        <v/>
      </c>
      <c r="F2647" s="47" t="str">
        <f>IF(COUNTA(archive!H2647:CI2647)=0,"",COUNTA(archive!H2647:CI2647))</f>
        <v/>
      </c>
      <c r="G2647" s="47" t="str">
        <f>IF(archive!G2647="","",archive!G2647)</f>
        <v/>
      </c>
      <c r="H2647" s="51" t="str">
        <f>IF(archive!CJ2647="","",archive!CJ2647)</f>
        <v/>
      </c>
      <c r="I2647" s="51" t="str">
        <f>IF(archive!CK2647="","",archive!CK2647)</f>
        <v/>
      </c>
      <c r="J2647" s="47" t="str">
        <f t="shared" si="577"/>
        <v/>
      </c>
      <c r="K2647" s="51" t="str">
        <f t="shared" si="578"/>
        <v/>
      </c>
      <c r="L2647" s="52" t="str">
        <f t="shared" si="579"/>
        <v/>
      </c>
      <c r="M2647" s="53" t="str">
        <f t="shared" si="580"/>
        <v/>
      </c>
      <c r="N2647" s="53" t="str">
        <f t="shared" si="581"/>
        <v/>
      </c>
      <c r="O2647" s="53" t="str">
        <f t="shared" si="582"/>
        <v/>
      </c>
      <c r="P2647" s="53" t="str">
        <f t="shared" si="583"/>
        <v/>
      </c>
      <c r="Q2647" s="53" t="str">
        <f t="shared" si="584"/>
        <v/>
      </c>
      <c r="R2647" s="53" t="str">
        <f t="shared" si="585"/>
        <v/>
      </c>
      <c r="S2647" s="53" t="str">
        <f t="shared" si="586"/>
        <v/>
      </c>
      <c r="T2647" s="53" t="str">
        <f t="shared" si="587"/>
        <v/>
      </c>
    </row>
    <row r="2648" spans="1:20">
      <c r="A2648" s="47" t="str">
        <f>IF(archive!E2648="","",archive!E2648)</f>
        <v/>
      </c>
      <c r="B2648" s="48" t="str">
        <f t="shared" si="574"/>
        <v/>
      </c>
      <c r="C2648" s="49" t="str">
        <f>IF(archive!F2648="","",archive!F2648)</f>
        <v/>
      </c>
      <c r="D2648" s="50" t="str">
        <f t="shared" si="575"/>
        <v/>
      </c>
      <c r="E2648" s="50" t="str">
        <f t="shared" si="576"/>
        <v/>
      </c>
      <c r="F2648" s="47" t="str">
        <f>IF(COUNTA(archive!H2648:CI2648)=0,"",COUNTA(archive!H2648:CI2648))</f>
        <v/>
      </c>
      <c r="G2648" s="47" t="str">
        <f>IF(archive!G2648="","",archive!G2648)</f>
        <v/>
      </c>
      <c r="H2648" s="51" t="str">
        <f>IF(archive!CJ2648="","",archive!CJ2648)</f>
        <v/>
      </c>
      <c r="I2648" s="51" t="str">
        <f>IF(archive!CK2648="","",archive!CK2648)</f>
        <v/>
      </c>
      <c r="J2648" s="47" t="str">
        <f t="shared" si="577"/>
        <v/>
      </c>
      <c r="K2648" s="51" t="str">
        <f t="shared" si="578"/>
        <v/>
      </c>
      <c r="L2648" s="52" t="str">
        <f t="shared" si="579"/>
        <v/>
      </c>
      <c r="M2648" s="53" t="str">
        <f t="shared" si="580"/>
        <v/>
      </c>
      <c r="N2648" s="53" t="str">
        <f t="shared" si="581"/>
        <v/>
      </c>
      <c r="O2648" s="53" t="str">
        <f t="shared" si="582"/>
        <v/>
      </c>
      <c r="P2648" s="53" t="str">
        <f t="shared" si="583"/>
        <v/>
      </c>
      <c r="Q2648" s="53" t="str">
        <f t="shared" si="584"/>
        <v/>
      </c>
      <c r="R2648" s="53" t="str">
        <f t="shared" si="585"/>
        <v/>
      </c>
      <c r="S2648" s="53" t="str">
        <f t="shared" si="586"/>
        <v/>
      </c>
      <c r="T2648" s="53" t="str">
        <f t="shared" si="587"/>
        <v/>
      </c>
    </row>
    <row r="2649" spans="1:20">
      <c r="A2649" s="47" t="str">
        <f>IF(archive!E2649="","",archive!E2649)</f>
        <v/>
      </c>
      <c r="B2649" s="48" t="str">
        <f t="shared" si="574"/>
        <v/>
      </c>
      <c r="C2649" s="49" t="str">
        <f>IF(archive!F2649="","",archive!F2649)</f>
        <v/>
      </c>
      <c r="D2649" s="50" t="str">
        <f t="shared" si="575"/>
        <v/>
      </c>
      <c r="E2649" s="50" t="str">
        <f t="shared" si="576"/>
        <v/>
      </c>
      <c r="F2649" s="47" t="str">
        <f>IF(COUNTA(archive!H2649:CI2649)=0,"",COUNTA(archive!H2649:CI2649))</f>
        <v/>
      </c>
      <c r="G2649" s="47" t="str">
        <f>IF(archive!G2649="","",archive!G2649)</f>
        <v/>
      </c>
      <c r="H2649" s="51" t="str">
        <f>IF(archive!CJ2649="","",archive!CJ2649)</f>
        <v/>
      </c>
      <c r="I2649" s="51" t="str">
        <f>IF(archive!CK2649="","",archive!CK2649)</f>
        <v/>
      </c>
      <c r="J2649" s="47" t="str">
        <f t="shared" si="577"/>
        <v/>
      </c>
      <c r="K2649" s="51" t="str">
        <f t="shared" si="578"/>
        <v/>
      </c>
      <c r="L2649" s="52" t="str">
        <f t="shared" si="579"/>
        <v/>
      </c>
      <c r="M2649" s="53" t="str">
        <f t="shared" si="580"/>
        <v/>
      </c>
      <c r="N2649" s="53" t="str">
        <f t="shared" si="581"/>
        <v/>
      </c>
      <c r="O2649" s="53" t="str">
        <f t="shared" si="582"/>
        <v/>
      </c>
      <c r="P2649" s="53" t="str">
        <f t="shared" si="583"/>
        <v/>
      </c>
      <c r="Q2649" s="53" t="str">
        <f t="shared" si="584"/>
        <v/>
      </c>
      <c r="R2649" s="53" t="str">
        <f t="shared" si="585"/>
        <v/>
      </c>
      <c r="S2649" s="53" t="str">
        <f t="shared" si="586"/>
        <v/>
      </c>
      <c r="T2649" s="53" t="str">
        <f t="shared" si="587"/>
        <v/>
      </c>
    </row>
    <row r="2650" spans="1:20">
      <c r="A2650" s="47" t="str">
        <f>IF(archive!E2650="","",archive!E2650)</f>
        <v/>
      </c>
      <c r="B2650" s="48" t="str">
        <f t="shared" si="574"/>
        <v/>
      </c>
      <c r="C2650" s="49" t="str">
        <f>IF(archive!F2650="","",archive!F2650)</f>
        <v/>
      </c>
      <c r="D2650" s="50" t="str">
        <f t="shared" si="575"/>
        <v/>
      </c>
      <c r="E2650" s="50" t="str">
        <f t="shared" si="576"/>
        <v/>
      </c>
      <c r="F2650" s="47" t="str">
        <f>IF(COUNTA(archive!H2650:CI2650)=0,"",COUNTA(archive!H2650:CI2650))</f>
        <v/>
      </c>
      <c r="G2650" s="47" t="str">
        <f>IF(archive!G2650="","",archive!G2650)</f>
        <v/>
      </c>
      <c r="H2650" s="51" t="str">
        <f>IF(archive!CJ2650="","",archive!CJ2650)</f>
        <v/>
      </c>
      <c r="I2650" s="51" t="str">
        <f>IF(archive!CK2650="","",archive!CK2650)</f>
        <v/>
      </c>
      <c r="J2650" s="47" t="str">
        <f t="shared" si="577"/>
        <v/>
      </c>
      <c r="K2650" s="51" t="str">
        <f t="shared" si="578"/>
        <v/>
      </c>
      <c r="L2650" s="52" t="str">
        <f t="shared" si="579"/>
        <v/>
      </c>
      <c r="M2650" s="53" t="str">
        <f t="shared" si="580"/>
        <v/>
      </c>
      <c r="N2650" s="53" t="str">
        <f t="shared" si="581"/>
        <v/>
      </c>
      <c r="O2650" s="53" t="str">
        <f t="shared" si="582"/>
        <v/>
      </c>
      <c r="P2650" s="53" t="str">
        <f t="shared" si="583"/>
        <v/>
      </c>
      <c r="Q2650" s="53" t="str">
        <f t="shared" si="584"/>
        <v/>
      </c>
      <c r="R2650" s="53" t="str">
        <f t="shared" si="585"/>
        <v/>
      </c>
      <c r="S2650" s="53" t="str">
        <f t="shared" si="586"/>
        <v/>
      </c>
      <c r="T2650" s="53" t="str">
        <f t="shared" si="587"/>
        <v/>
      </c>
    </row>
    <row r="2651" spans="1:20">
      <c r="A2651" s="47" t="str">
        <f>IF(archive!E2651="","",archive!E2651)</f>
        <v/>
      </c>
      <c r="B2651" s="48" t="str">
        <f t="shared" si="574"/>
        <v/>
      </c>
      <c r="C2651" s="49" t="str">
        <f>IF(archive!F2651="","",archive!F2651)</f>
        <v/>
      </c>
      <c r="D2651" s="50" t="str">
        <f t="shared" si="575"/>
        <v/>
      </c>
      <c r="E2651" s="50" t="str">
        <f t="shared" si="576"/>
        <v/>
      </c>
      <c r="F2651" s="47" t="str">
        <f>IF(COUNTA(archive!H2651:CI2651)=0,"",COUNTA(archive!H2651:CI2651))</f>
        <v/>
      </c>
      <c r="G2651" s="47" t="str">
        <f>IF(archive!G2651="","",archive!G2651)</f>
        <v/>
      </c>
      <c r="H2651" s="51" t="str">
        <f>IF(archive!CJ2651="","",archive!CJ2651)</f>
        <v/>
      </c>
      <c r="I2651" s="51" t="str">
        <f>IF(archive!CK2651="","",archive!CK2651)</f>
        <v/>
      </c>
      <c r="J2651" s="47" t="str">
        <f t="shared" si="577"/>
        <v/>
      </c>
      <c r="K2651" s="51" t="str">
        <f t="shared" si="578"/>
        <v/>
      </c>
      <c r="L2651" s="52" t="str">
        <f t="shared" si="579"/>
        <v/>
      </c>
      <c r="M2651" s="53" t="str">
        <f t="shared" si="580"/>
        <v/>
      </c>
      <c r="N2651" s="53" t="str">
        <f t="shared" si="581"/>
        <v/>
      </c>
      <c r="O2651" s="53" t="str">
        <f t="shared" si="582"/>
        <v/>
      </c>
      <c r="P2651" s="53" t="str">
        <f t="shared" si="583"/>
        <v/>
      </c>
      <c r="Q2651" s="53" t="str">
        <f t="shared" si="584"/>
        <v/>
      </c>
      <c r="R2651" s="53" t="str">
        <f t="shared" si="585"/>
        <v/>
      </c>
      <c r="S2651" s="53" t="str">
        <f t="shared" si="586"/>
        <v/>
      </c>
      <c r="T2651" s="53" t="str">
        <f t="shared" si="587"/>
        <v/>
      </c>
    </row>
    <row r="2652" spans="1:20">
      <c r="A2652" s="47" t="str">
        <f>IF(archive!E2652="","",archive!E2652)</f>
        <v/>
      </c>
      <c r="B2652" s="48" t="str">
        <f t="shared" si="574"/>
        <v/>
      </c>
      <c r="C2652" s="49" t="str">
        <f>IF(archive!F2652="","",archive!F2652)</f>
        <v/>
      </c>
      <c r="D2652" s="50" t="str">
        <f t="shared" si="575"/>
        <v/>
      </c>
      <c r="E2652" s="50" t="str">
        <f t="shared" si="576"/>
        <v/>
      </c>
      <c r="F2652" s="47" t="str">
        <f>IF(COUNTA(archive!H2652:CI2652)=0,"",COUNTA(archive!H2652:CI2652))</f>
        <v/>
      </c>
      <c r="G2652" s="47" t="str">
        <f>IF(archive!G2652="","",archive!G2652)</f>
        <v/>
      </c>
      <c r="H2652" s="51" t="str">
        <f>IF(archive!CJ2652="","",archive!CJ2652)</f>
        <v/>
      </c>
      <c r="I2652" s="51" t="str">
        <f>IF(archive!CK2652="","",archive!CK2652)</f>
        <v/>
      </c>
      <c r="J2652" s="47" t="str">
        <f t="shared" si="577"/>
        <v/>
      </c>
      <c r="K2652" s="51" t="str">
        <f t="shared" si="578"/>
        <v/>
      </c>
      <c r="L2652" s="52" t="str">
        <f t="shared" si="579"/>
        <v/>
      </c>
      <c r="M2652" s="53" t="str">
        <f t="shared" si="580"/>
        <v/>
      </c>
      <c r="N2652" s="53" t="str">
        <f t="shared" si="581"/>
        <v/>
      </c>
      <c r="O2652" s="53" t="str">
        <f t="shared" si="582"/>
        <v/>
      </c>
      <c r="P2652" s="53" t="str">
        <f t="shared" si="583"/>
        <v/>
      </c>
      <c r="Q2652" s="53" t="str">
        <f t="shared" si="584"/>
        <v/>
      </c>
      <c r="R2652" s="53" t="str">
        <f t="shared" si="585"/>
        <v/>
      </c>
      <c r="S2652" s="53" t="str">
        <f t="shared" si="586"/>
        <v/>
      </c>
      <c r="T2652" s="53" t="str">
        <f t="shared" si="587"/>
        <v/>
      </c>
    </row>
    <row r="2653" spans="1:20">
      <c r="A2653" s="47" t="str">
        <f>IF(archive!E2653="","",archive!E2653)</f>
        <v/>
      </c>
      <c r="B2653" s="48" t="str">
        <f t="shared" si="574"/>
        <v/>
      </c>
      <c r="C2653" s="49" t="str">
        <f>IF(archive!F2653="","",archive!F2653)</f>
        <v/>
      </c>
      <c r="D2653" s="50" t="str">
        <f t="shared" si="575"/>
        <v/>
      </c>
      <c r="E2653" s="50" t="str">
        <f t="shared" si="576"/>
        <v/>
      </c>
      <c r="F2653" s="47" t="str">
        <f>IF(COUNTA(archive!H2653:CI2653)=0,"",COUNTA(archive!H2653:CI2653))</f>
        <v/>
      </c>
      <c r="G2653" s="47" t="str">
        <f>IF(archive!G2653="","",archive!G2653)</f>
        <v/>
      </c>
      <c r="H2653" s="51" t="str">
        <f>IF(archive!CJ2653="","",archive!CJ2653)</f>
        <v/>
      </c>
      <c r="I2653" s="51" t="str">
        <f>IF(archive!CK2653="","",archive!CK2653)</f>
        <v/>
      </c>
      <c r="J2653" s="47" t="str">
        <f t="shared" si="577"/>
        <v/>
      </c>
      <c r="K2653" s="51" t="str">
        <f t="shared" si="578"/>
        <v/>
      </c>
      <c r="L2653" s="52" t="str">
        <f t="shared" si="579"/>
        <v/>
      </c>
      <c r="M2653" s="53" t="str">
        <f t="shared" si="580"/>
        <v/>
      </c>
      <c r="N2653" s="53" t="str">
        <f t="shared" si="581"/>
        <v/>
      </c>
      <c r="O2653" s="53" t="str">
        <f t="shared" si="582"/>
        <v/>
      </c>
      <c r="P2653" s="53" t="str">
        <f t="shared" si="583"/>
        <v/>
      </c>
      <c r="Q2653" s="53" t="str">
        <f t="shared" si="584"/>
        <v/>
      </c>
      <c r="R2653" s="53" t="str">
        <f t="shared" si="585"/>
        <v/>
      </c>
      <c r="S2653" s="53" t="str">
        <f t="shared" si="586"/>
        <v/>
      </c>
      <c r="T2653" s="53" t="str">
        <f t="shared" si="587"/>
        <v/>
      </c>
    </row>
    <row r="2654" spans="1:20">
      <c r="A2654" s="47" t="str">
        <f>IF(archive!E2654="","",archive!E2654)</f>
        <v/>
      </c>
      <c r="B2654" s="48" t="str">
        <f t="shared" si="574"/>
        <v/>
      </c>
      <c r="C2654" s="49" t="str">
        <f>IF(archive!F2654="","",archive!F2654)</f>
        <v/>
      </c>
      <c r="D2654" s="50" t="str">
        <f t="shared" si="575"/>
        <v/>
      </c>
      <c r="E2654" s="50" t="str">
        <f t="shared" si="576"/>
        <v/>
      </c>
      <c r="F2654" s="47" t="str">
        <f>IF(COUNTA(archive!H2654:CI2654)=0,"",COUNTA(archive!H2654:CI2654))</f>
        <v/>
      </c>
      <c r="G2654" s="47" t="str">
        <f>IF(archive!G2654="","",archive!G2654)</f>
        <v/>
      </c>
      <c r="H2654" s="51" t="str">
        <f>IF(archive!CJ2654="","",archive!CJ2654)</f>
        <v/>
      </c>
      <c r="I2654" s="51" t="str">
        <f>IF(archive!CK2654="","",archive!CK2654)</f>
        <v/>
      </c>
      <c r="J2654" s="47" t="str">
        <f t="shared" si="577"/>
        <v/>
      </c>
      <c r="K2654" s="51" t="str">
        <f t="shared" si="578"/>
        <v/>
      </c>
      <c r="L2654" s="52" t="str">
        <f t="shared" si="579"/>
        <v/>
      </c>
      <c r="M2654" s="53" t="str">
        <f t="shared" si="580"/>
        <v/>
      </c>
      <c r="N2654" s="53" t="str">
        <f t="shared" si="581"/>
        <v/>
      </c>
      <c r="O2654" s="53" t="str">
        <f t="shared" si="582"/>
        <v/>
      </c>
      <c r="P2654" s="53" t="str">
        <f t="shared" si="583"/>
        <v/>
      </c>
      <c r="Q2654" s="53" t="str">
        <f t="shared" si="584"/>
        <v/>
      </c>
      <c r="R2654" s="53" t="str">
        <f t="shared" si="585"/>
        <v/>
      </c>
      <c r="S2654" s="53" t="str">
        <f t="shared" si="586"/>
        <v/>
      </c>
      <c r="T2654" s="53" t="str">
        <f t="shared" si="587"/>
        <v/>
      </c>
    </row>
    <row r="2655" spans="1:20">
      <c r="A2655" s="47" t="str">
        <f>IF(archive!E2655="","",archive!E2655)</f>
        <v/>
      </c>
      <c r="B2655" s="48" t="str">
        <f t="shared" si="574"/>
        <v/>
      </c>
      <c r="C2655" s="49" t="str">
        <f>IF(archive!F2655="","",archive!F2655)</f>
        <v/>
      </c>
      <c r="D2655" s="50" t="str">
        <f t="shared" si="575"/>
        <v/>
      </c>
      <c r="E2655" s="50" t="str">
        <f t="shared" si="576"/>
        <v/>
      </c>
      <c r="F2655" s="47" t="str">
        <f>IF(COUNTA(archive!H2655:CI2655)=0,"",COUNTA(archive!H2655:CI2655))</f>
        <v/>
      </c>
      <c r="G2655" s="47" t="str">
        <f>IF(archive!G2655="","",archive!G2655)</f>
        <v/>
      </c>
      <c r="H2655" s="51" t="str">
        <f>IF(archive!CJ2655="","",archive!CJ2655)</f>
        <v/>
      </c>
      <c r="I2655" s="51" t="str">
        <f>IF(archive!CK2655="","",archive!CK2655)</f>
        <v/>
      </c>
      <c r="J2655" s="47" t="str">
        <f t="shared" si="577"/>
        <v/>
      </c>
      <c r="K2655" s="51" t="str">
        <f t="shared" si="578"/>
        <v/>
      </c>
      <c r="L2655" s="52" t="str">
        <f t="shared" si="579"/>
        <v/>
      </c>
      <c r="M2655" s="53" t="str">
        <f t="shared" si="580"/>
        <v/>
      </c>
      <c r="N2655" s="53" t="str">
        <f t="shared" si="581"/>
        <v/>
      </c>
      <c r="O2655" s="53" t="str">
        <f t="shared" si="582"/>
        <v/>
      </c>
      <c r="P2655" s="53" t="str">
        <f t="shared" si="583"/>
        <v/>
      </c>
      <c r="Q2655" s="53" t="str">
        <f t="shared" si="584"/>
        <v/>
      </c>
      <c r="R2655" s="53" t="str">
        <f t="shared" si="585"/>
        <v/>
      </c>
      <c r="S2655" s="53" t="str">
        <f t="shared" si="586"/>
        <v/>
      </c>
      <c r="T2655" s="53" t="str">
        <f t="shared" si="587"/>
        <v/>
      </c>
    </row>
    <row r="2656" spans="1:20">
      <c r="A2656" s="47" t="str">
        <f>IF(archive!E2656="","",archive!E2656)</f>
        <v/>
      </c>
      <c r="B2656" s="48" t="str">
        <f t="shared" si="574"/>
        <v/>
      </c>
      <c r="C2656" s="49" t="str">
        <f>IF(archive!F2656="","",archive!F2656)</f>
        <v/>
      </c>
      <c r="D2656" s="50" t="str">
        <f t="shared" si="575"/>
        <v/>
      </c>
      <c r="E2656" s="50" t="str">
        <f t="shared" si="576"/>
        <v/>
      </c>
      <c r="F2656" s="47" t="str">
        <f>IF(COUNTA(archive!H2656:CI2656)=0,"",COUNTA(archive!H2656:CI2656))</f>
        <v/>
      </c>
      <c r="G2656" s="47" t="str">
        <f>IF(archive!G2656="","",archive!G2656)</f>
        <v/>
      </c>
      <c r="H2656" s="51" t="str">
        <f>IF(archive!CJ2656="","",archive!CJ2656)</f>
        <v/>
      </c>
      <c r="I2656" s="51" t="str">
        <f>IF(archive!CK2656="","",archive!CK2656)</f>
        <v/>
      </c>
      <c r="J2656" s="47" t="str">
        <f t="shared" si="577"/>
        <v/>
      </c>
      <c r="K2656" s="51" t="str">
        <f t="shared" si="578"/>
        <v/>
      </c>
      <c r="L2656" s="52" t="str">
        <f t="shared" si="579"/>
        <v/>
      </c>
      <c r="M2656" s="53" t="str">
        <f t="shared" si="580"/>
        <v/>
      </c>
      <c r="N2656" s="53" t="str">
        <f t="shared" si="581"/>
        <v/>
      </c>
      <c r="O2656" s="53" t="str">
        <f t="shared" si="582"/>
        <v/>
      </c>
      <c r="P2656" s="53" t="str">
        <f t="shared" si="583"/>
        <v/>
      </c>
      <c r="Q2656" s="53" t="str">
        <f t="shared" si="584"/>
        <v/>
      </c>
      <c r="R2656" s="53" t="str">
        <f t="shared" si="585"/>
        <v/>
      </c>
      <c r="S2656" s="53" t="str">
        <f t="shared" si="586"/>
        <v/>
      </c>
      <c r="T2656" s="53" t="str">
        <f t="shared" si="587"/>
        <v/>
      </c>
    </row>
    <row r="2657" spans="1:20">
      <c r="A2657" s="47" t="str">
        <f>IF(archive!E2657="","",archive!E2657)</f>
        <v/>
      </c>
      <c r="B2657" s="48" t="str">
        <f t="shared" si="574"/>
        <v/>
      </c>
      <c r="C2657" s="49" t="str">
        <f>IF(archive!F2657="","",archive!F2657)</f>
        <v/>
      </c>
      <c r="D2657" s="50" t="str">
        <f t="shared" si="575"/>
        <v/>
      </c>
      <c r="E2657" s="50" t="str">
        <f t="shared" si="576"/>
        <v/>
      </c>
      <c r="F2657" s="47" t="str">
        <f>IF(COUNTA(archive!H2657:CI2657)=0,"",COUNTA(archive!H2657:CI2657))</f>
        <v/>
      </c>
      <c r="G2657" s="47" t="str">
        <f>IF(archive!G2657="","",archive!G2657)</f>
        <v/>
      </c>
      <c r="H2657" s="51" t="str">
        <f>IF(archive!CJ2657="","",archive!CJ2657)</f>
        <v/>
      </c>
      <c r="I2657" s="51" t="str">
        <f>IF(archive!CK2657="","",archive!CK2657)</f>
        <v/>
      </c>
      <c r="J2657" s="47" t="str">
        <f t="shared" si="577"/>
        <v/>
      </c>
      <c r="K2657" s="51" t="str">
        <f t="shared" si="578"/>
        <v/>
      </c>
      <c r="L2657" s="52" t="str">
        <f t="shared" si="579"/>
        <v/>
      </c>
      <c r="M2657" s="53" t="str">
        <f t="shared" si="580"/>
        <v/>
      </c>
      <c r="N2657" s="53" t="str">
        <f t="shared" si="581"/>
        <v/>
      </c>
      <c r="O2657" s="53" t="str">
        <f t="shared" si="582"/>
        <v/>
      </c>
      <c r="P2657" s="53" t="str">
        <f t="shared" si="583"/>
        <v/>
      </c>
      <c r="Q2657" s="53" t="str">
        <f t="shared" si="584"/>
        <v/>
      </c>
      <c r="R2657" s="53" t="str">
        <f t="shared" si="585"/>
        <v/>
      </c>
      <c r="S2657" s="53" t="str">
        <f t="shared" si="586"/>
        <v/>
      </c>
      <c r="T2657" s="53" t="str">
        <f t="shared" si="587"/>
        <v/>
      </c>
    </row>
    <row r="2658" spans="1:20">
      <c r="A2658" s="47" t="str">
        <f>IF(archive!E2658="","",archive!E2658)</f>
        <v/>
      </c>
      <c r="B2658" s="48" t="str">
        <f t="shared" si="574"/>
        <v/>
      </c>
      <c r="C2658" s="49" t="str">
        <f>IF(archive!F2658="","",archive!F2658)</f>
        <v/>
      </c>
      <c r="D2658" s="50" t="str">
        <f t="shared" si="575"/>
        <v/>
      </c>
      <c r="E2658" s="50" t="str">
        <f t="shared" si="576"/>
        <v/>
      </c>
      <c r="F2658" s="47" t="str">
        <f>IF(COUNTA(archive!H2658:CI2658)=0,"",COUNTA(archive!H2658:CI2658))</f>
        <v/>
      </c>
      <c r="G2658" s="47" t="str">
        <f>IF(archive!G2658="","",archive!G2658)</f>
        <v/>
      </c>
      <c r="H2658" s="51" t="str">
        <f>IF(archive!CJ2658="","",archive!CJ2658)</f>
        <v/>
      </c>
      <c r="I2658" s="51" t="str">
        <f>IF(archive!CK2658="","",archive!CK2658)</f>
        <v/>
      </c>
      <c r="J2658" s="47" t="str">
        <f t="shared" si="577"/>
        <v/>
      </c>
      <c r="K2658" s="51" t="str">
        <f t="shared" si="578"/>
        <v/>
      </c>
      <c r="L2658" s="52" t="str">
        <f t="shared" si="579"/>
        <v/>
      </c>
      <c r="M2658" s="53" t="str">
        <f t="shared" si="580"/>
        <v/>
      </c>
      <c r="N2658" s="53" t="str">
        <f t="shared" si="581"/>
        <v/>
      </c>
      <c r="O2658" s="53" t="str">
        <f t="shared" si="582"/>
        <v/>
      </c>
      <c r="P2658" s="53" t="str">
        <f t="shared" si="583"/>
        <v/>
      </c>
      <c r="Q2658" s="53" t="str">
        <f t="shared" si="584"/>
        <v/>
      </c>
      <c r="R2658" s="53" t="str">
        <f t="shared" si="585"/>
        <v/>
      </c>
      <c r="S2658" s="53" t="str">
        <f t="shared" si="586"/>
        <v/>
      </c>
      <c r="T2658" s="53" t="str">
        <f t="shared" si="587"/>
        <v/>
      </c>
    </row>
    <row r="2659" spans="1:20">
      <c r="A2659" s="47" t="str">
        <f>IF(archive!E2659="","",archive!E2659)</f>
        <v/>
      </c>
      <c r="B2659" s="48" t="str">
        <f t="shared" si="574"/>
        <v/>
      </c>
      <c r="C2659" s="49" t="str">
        <f>IF(archive!F2659="","",archive!F2659)</f>
        <v/>
      </c>
      <c r="D2659" s="50" t="str">
        <f t="shared" si="575"/>
        <v/>
      </c>
      <c r="E2659" s="50" t="str">
        <f t="shared" si="576"/>
        <v/>
      </c>
      <c r="F2659" s="47" t="str">
        <f>IF(COUNTA(archive!H2659:CI2659)=0,"",COUNTA(archive!H2659:CI2659))</f>
        <v/>
      </c>
      <c r="G2659" s="47" t="str">
        <f>IF(archive!G2659="","",archive!G2659)</f>
        <v/>
      </c>
      <c r="H2659" s="51" t="str">
        <f>IF(archive!CJ2659="","",archive!CJ2659)</f>
        <v/>
      </c>
      <c r="I2659" s="51" t="str">
        <f>IF(archive!CK2659="","",archive!CK2659)</f>
        <v/>
      </c>
      <c r="J2659" s="47" t="str">
        <f t="shared" si="577"/>
        <v/>
      </c>
      <c r="K2659" s="51" t="str">
        <f t="shared" si="578"/>
        <v/>
      </c>
      <c r="L2659" s="52" t="str">
        <f t="shared" si="579"/>
        <v/>
      </c>
      <c r="M2659" s="53" t="str">
        <f t="shared" si="580"/>
        <v/>
      </c>
      <c r="N2659" s="53" t="str">
        <f t="shared" si="581"/>
        <v/>
      </c>
      <c r="O2659" s="53" t="str">
        <f t="shared" si="582"/>
        <v/>
      </c>
      <c r="P2659" s="53" t="str">
        <f t="shared" si="583"/>
        <v/>
      </c>
      <c r="Q2659" s="53" t="str">
        <f t="shared" si="584"/>
        <v/>
      </c>
      <c r="R2659" s="53" t="str">
        <f t="shared" si="585"/>
        <v/>
      </c>
      <c r="S2659" s="53" t="str">
        <f t="shared" si="586"/>
        <v/>
      </c>
      <c r="T2659" s="53" t="str">
        <f t="shared" si="587"/>
        <v/>
      </c>
    </row>
    <row r="2660" spans="1:20">
      <c r="A2660" s="47" t="str">
        <f>IF(archive!E2660="","",archive!E2660)</f>
        <v/>
      </c>
      <c r="B2660" s="48" t="str">
        <f t="shared" si="574"/>
        <v/>
      </c>
      <c r="C2660" s="49" t="str">
        <f>IF(archive!F2660="","",archive!F2660)</f>
        <v/>
      </c>
      <c r="D2660" s="50" t="str">
        <f t="shared" si="575"/>
        <v/>
      </c>
      <c r="E2660" s="50" t="str">
        <f t="shared" si="576"/>
        <v/>
      </c>
      <c r="F2660" s="47" t="str">
        <f>IF(COUNTA(archive!H2660:CI2660)=0,"",COUNTA(archive!H2660:CI2660))</f>
        <v/>
      </c>
      <c r="G2660" s="47" t="str">
        <f>IF(archive!G2660="","",archive!G2660)</f>
        <v/>
      </c>
      <c r="H2660" s="51" t="str">
        <f>IF(archive!CJ2660="","",archive!CJ2660)</f>
        <v/>
      </c>
      <c r="I2660" s="51" t="str">
        <f>IF(archive!CK2660="","",archive!CK2660)</f>
        <v/>
      </c>
      <c r="J2660" s="47" t="str">
        <f t="shared" si="577"/>
        <v/>
      </c>
      <c r="K2660" s="51" t="str">
        <f t="shared" si="578"/>
        <v/>
      </c>
      <c r="L2660" s="52" t="str">
        <f t="shared" si="579"/>
        <v/>
      </c>
      <c r="M2660" s="53" t="str">
        <f t="shared" si="580"/>
        <v/>
      </c>
      <c r="N2660" s="53" t="str">
        <f t="shared" si="581"/>
        <v/>
      </c>
      <c r="O2660" s="53" t="str">
        <f t="shared" si="582"/>
        <v/>
      </c>
      <c r="P2660" s="53" t="str">
        <f t="shared" si="583"/>
        <v/>
      </c>
      <c r="Q2660" s="53" t="str">
        <f t="shared" si="584"/>
        <v/>
      </c>
      <c r="R2660" s="53" t="str">
        <f t="shared" si="585"/>
        <v/>
      </c>
      <c r="S2660" s="53" t="str">
        <f t="shared" si="586"/>
        <v/>
      </c>
      <c r="T2660" s="53" t="str">
        <f t="shared" si="587"/>
        <v/>
      </c>
    </row>
    <row r="2661" spans="1:20">
      <c r="A2661" s="47" t="str">
        <f>IF(archive!E2661="","",archive!E2661)</f>
        <v/>
      </c>
      <c r="B2661" s="48" t="str">
        <f t="shared" si="574"/>
        <v/>
      </c>
      <c r="C2661" s="49" t="str">
        <f>IF(archive!F2661="","",archive!F2661)</f>
        <v/>
      </c>
      <c r="D2661" s="50" t="str">
        <f t="shared" si="575"/>
        <v/>
      </c>
      <c r="E2661" s="50" t="str">
        <f t="shared" si="576"/>
        <v/>
      </c>
      <c r="F2661" s="47" t="str">
        <f>IF(COUNTA(archive!H2661:CI2661)=0,"",COUNTA(archive!H2661:CI2661))</f>
        <v/>
      </c>
      <c r="G2661" s="47" t="str">
        <f>IF(archive!G2661="","",archive!G2661)</f>
        <v/>
      </c>
      <c r="H2661" s="51" t="str">
        <f>IF(archive!CJ2661="","",archive!CJ2661)</f>
        <v/>
      </c>
      <c r="I2661" s="51" t="str">
        <f>IF(archive!CK2661="","",archive!CK2661)</f>
        <v/>
      </c>
      <c r="J2661" s="47" t="str">
        <f t="shared" si="577"/>
        <v/>
      </c>
      <c r="K2661" s="51" t="str">
        <f t="shared" si="578"/>
        <v/>
      </c>
      <c r="L2661" s="52" t="str">
        <f t="shared" si="579"/>
        <v/>
      </c>
      <c r="M2661" s="53" t="str">
        <f t="shared" si="580"/>
        <v/>
      </c>
      <c r="N2661" s="53" t="str">
        <f t="shared" si="581"/>
        <v/>
      </c>
      <c r="O2661" s="53" t="str">
        <f t="shared" si="582"/>
        <v/>
      </c>
      <c r="P2661" s="53" t="str">
        <f t="shared" si="583"/>
        <v/>
      </c>
      <c r="Q2661" s="53" t="str">
        <f t="shared" si="584"/>
        <v/>
      </c>
      <c r="R2661" s="53" t="str">
        <f t="shared" si="585"/>
        <v/>
      </c>
      <c r="S2661" s="53" t="str">
        <f t="shared" si="586"/>
        <v/>
      </c>
      <c r="T2661" s="53" t="str">
        <f t="shared" si="587"/>
        <v/>
      </c>
    </row>
    <row r="2662" spans="1:20">
      <c r="A2662" s="47" t="str">
        <f>IF(archive!E2662="","",archive!E2662)</f>
        <v/>
      </c>
      <c r="B2662" s="48" t="str">
        <f t="shared" si="574"/>
        <v/>
      </c>
      <c r="C2662" s="49" t="str">
        <f>IF(archive!F2662="","",archive!F2662)</f>
        <v/>
      </c>
      <c r="D2662" s="50" t="str">
        <f t="shared" si="575"/>
        <v/>
      </c>
      <c r="E2662" s="50" t="str">
        <f t="shared" si="576"/>
        <v/>
      </c>
      <c r="F2662" s="47" t="str">
        <f>IF(COUNTA(archive!H2662:CI2662)=0,"",COUNTA(archive!H2662:CI2662))</f>
        <v/>
      </c>
      <c r="G2662" s="47" t="str">
        <f>IF(archive!G2662="","",archive!G2662)</f>
        <v/>
      </c>
      <c r="H2662" s="51" t="str">
        <f>IF(archive!CJ2662="","",archive!CJ2662)</f>
        <v/>
      </c>
      <c r="I2662" s="51" t="str">
        <f>IF(archive!CK2662="","",archive!CK2662)</f>
        <v/>
      </c>
      <c r="J2662" s="47" t="str">
        <f t="shared" si="577"/>
        <v/>
      </c>
      <c r="K2662" s="51" t="str">
        <f t="shared" si="578"/>
        <v/>
      </c>
      <c r="L2662" s="52" t="str">
        <f t="shared" si="579"/>
        <v/>
      </c>
      <c r="M2662" s="53" t="str">
        <f t="shared" si="580"/>
        <v/>
      </c>
      <c r="N2662" s="53" t="str">
        <f t="shared" si="581"/>
        <v/>
      </c>
      <c r="O2662" s="53" t="str">
        <f t="shared" si="582"/>
        <v/>
      </c>
      <c r="P2662" s="53" t="str">
        <f t="shared" si="583"/>
        <v/>
      </c>
      <c r="Q2662" s="53" t="str">
        <f t="shared" si="584"/>
        <v/>
      </c>
      <c r="R2662" s="53" t="str">
        <f t="shared" si="585"/>
        <v/>
      </c>
      <c r="S2662" s="53" t="str">
        <f t="shared" si="586"/>
        <v/>
      </c>
      <c r="T2662" s="53" t="str">
        <f t="shared" si="587"/>
        <v/>
      </c>
    </row>
    <row r="2663" spans="1:20">
      <c r="A2663" s="47" t="str">
        <f>IF(archive!E2663="","",archive!E2663)</f>
        <v/>
      </c>
      <c r="B2663" s="48" t="str">
        <f t="shared" si="574"/>
        <v/>
      </c>
      <c r="C2663" s="49" t="str">
        <f>IF(archive!F2663="","",archive!F2663)</f>
        <v/>
      </c>
      <c r="D2663" s="50" t="str">
        <f t="shared" si="575"/>
        <v/>
      </c>
      <c r="E2663" s="50" t="str">
        <f t="shared" si="576"/>
        <v/>
      </c>
      <c r="F2663" s="47" t="str">
        <f>IF(COUNTA(archive!H2663:CI2663)=0,"",COUNTA(archive!H2663:CI2663))</f>
        <v/>
      </c>
      <c r="G2663" s="47" t="str">
        <f>IF(archive!G2663="","",archive!G2663)</f>
        <v/>
      </c>
      <c r="H2663" s="51" t="str">
        <f>IF(archive!CJ2663="","",archive!CJ2663)</f>
        <v/>
      </c>
      <c r="I2663" s="51" t="str">
        <f>IF(archive!CK2663="","",archive!CK2663)</f>
        <v/>
      </c>
      <c r="J2663" s="47" t="str">
        <f t="shared" si="577"/>
        <v/>
      </c>
      <c r="K2663" s="51" t="str">
        <f t="shared" si="578"/>
        <v/>
      </c>
      <c r="L2663" s="52" t="str">
        <f t="shared" si="579"/>
        <v/>
      </c>
      <c r="M2663" s="53" t="str">
        <f t="shared" si="580"/>
        <v/>
      </c>
      <c r="N2663" s="53" t="str">
        <f t="shared" si="581"/>
        <v/>
      </c>
      <c r="O2663" s="53" t="str">
        <f t="shared" si="582"/>
        <v/>
      </c>
      <c r="P2663" s="53" t="str">
        <f t="shared" si="583"/>
        <v/>
      </c>
      <c r="Q2663" s="53" t="str">
        <f t="shared" si="584"/>
        <v/>
      </c>
      <c r="R2663" s="53" t="str">
        <f t="shared" si="585"/>
        <v/>
      </c>
      <c r="S2663" s="53" t="str">
        <f t="shared" si="586"/>
        <v/>
      </c>
      <c r="T2663" s="53" t="str">
        <f t="shared" si="587"/>
        <v/>
      </c>
    </row>
    <row r="2664" spans="1:20">
      <c r="A2664" s="47" t="str">
        <f>IF(archive!E2664="","",archive!E2664)</f>
        <v/>
      </c>
      <c r="B2664" s="48" t="str">
        <f t="shared" si="574"/>
        <v/>
      </c>
      <c r="C2664" s="49" t="str">
        <f>IF(archive!F2664="","",archive!F2664)</f>
        <v/>
      </c>
      <c r="D2664" s="50" t="str">
        <f t="shared" si="575"/>
        <v/>
      </c>
      <c r="E2664" s="50" t="str">
        <f t="shared" si="576"/>
        <v/>
      </c>
      <c r="F2664" s="47" t="str">
        <f>IF(COUNTA(archive!H2664:CI2664)=0,"",COUNTA(archive!H2664:CI2664))</f>
        <v/>
      </c>
      <c r="G2664" s="47" t="str">
        <f>IF(archive!G2664="","",archive!G2664)</f>
        <v/>
      </c>
      <c r="H2664" s="51" t="str">
        <f>IF(archive!CJ2664="","",archive!CJ2664)</f>
        <v/>
      </c>
      <c r="I2664" s="51" t="str">
        <f>IF(archive!CK2664="","",archive!CK2664)</f>
        <v/>
      </c>
      <c r="J2664" s="47" t="str">
        <f t="shared" si="577"/>
        <v/>
      </c>
      <c r="K2664" s="51" t="str">
        <f t="shared" si="578"/>
        <v/>
      </c>
      <c r="L2664" s="52" t="str">
        <f t="shared" si="579"/>
        <v/>
      </c>
      <c r="M2664" s="53" t="str">
        <f t="shared" si="580"/>
        <v/>
      </c>
      <c r="N2664" s="53" t="str">
        <f t="shared" si="581"/>
        <v/>
      </c>
      <c r="O2664" s="53" t="str">
        <f t="shared" si="582"/>
        <v/>
      </c>
      <c r="P2664" s="53" t="str">
        <f t="shared" si="583"/>
        <v/>
      </c>
      <c r="Q2664" s="53" t="str">
        <f t="shared" si="584"/>
        <v/>
      </c>
      <c r="R2664" s="53" t="str">
        <f t="shared" si="585"/>
        <v/>
      </c>
      <c r="S2664" s="53" t="str">
        <f t="shared" si="586"/>
        <v/>
      </c>
      <c r="T2664" s="53" t="str">
        <f t="shared" si="587"/>
        <v/>
      </c>
    </row>
    <row r="2665" spans="1:20">
      <c r="A2665" s="47" t="str">
        <f>IF(archive!E2665="","",archive!E2665)</f>
        <v/>
      </c>
      <c r="B2665" s="48" t="str">
        <f t="shared" si="574"/>
        <v/>
      </c>
      <c r="C2665" s="49" t="str">
        <f>IF(archive!F2665="","",archive!F2665)</f>
        <v/>
      </c>
      <c r="D2665" s="50" t="str">
        <f t="shared" si="575"/>
        <v/>
      </c>
      <c r="E2665" s="50" t="str">
        <f t="shared" si="576"/>
        <v/>
      </c>
      <c r="F2665" s="47" t="str">
        <f>IF(COUNTA(archive!H2665:CI2665)=0,"",COUNTA(archive!H2665:CI2665))</f>
        <v/>
      </c>
      <c r="G2665" s="47" t="str">
        <f>IF(archive!G2665="","",archive!G2665)</f>
        <v/>
      </c>
      <c r="H2665" s="51" t="str">
        <f>IF(archive!CJ2665="","",archive!CJ2665)</f>
        <v/>
      </c>
      <c r="I2665" s="51" t="str">
        <f>IF(archive!CK2665="","",archive!CK2665)</f>
        <v/>
      </c>
      <c r="J2665" s="47" t="str">
        <f t="shared" si="577"/>
        <v/>
      </c>
      <c r="K2665" s="51" t="str">
        <f t="shared" si="578"/>
        <v/>
      </c>
      <c r="L2665" s="52" t="str">
        <f t="shared" si="579"/>
        <v/>
      </c>
      <c r="M2665" s="53" t="str">
        <f t="shared" si="580"/>
        <v/>
      </c>
      <c r="N2665" s="53" t="str">
        <f t="shared" si="581"/>
        <v/>
      </c>
      <c r="O2665" s="53" t="str">
        <f t="shared" si="582"/>
        <v/>
      </c>
      <c r="P2665" s="53" t="str">
        <f t="shared" si="583"/>
        <v/>
      </c>
      <c r="Q2665" s="53" t="str">
        <f t="shared" si="584"/>
        <v/>
      </c>
      <c r="R2665" s="53" t="str">
        <f t="shared" si="585"/>
        <v/>
      </c>
      <c r="S2665" s="53" t="str">
        <f t="shared" si="586"/>
        <v/>
      </c>
      <c r="T2665" s="53" t="str">
        <f t="shared" si="587"/>
        <v/>
      </c>
    </row>
    <row r="2666" spans="1:20">
      <c r="A2666" s="47" t="str">
        <f>IF(archive!E2666="","",archive!E2666)</f>
        <v/>
      </c>
      <c r="B2666" s="48" t="str">
        <f t="shared" si="574"/>
        <v/>
      </c>
      <c r="C2666" s="49" t="str">
        <f>IF(archive!F2666="","",archive!F2666)</f>
        <v/>
      </c>
      <c r="D2666" s="50" t="str">
        <f t="shared" si="575"/>
        <v/>
      </c>
      <c r="E2666" s="50" t="str">
        <f t="shared" si="576"/>
        <v/>
      </c>
      <c r="F2666" s="47" t="str">
        <f>IF(COUNTA(archive!H2666:CI2666)=0,"",COUNTA(archive!H2666:CI2666))</f>
        <v/>
      </c>
      <c r="G2666" s="47" t="str">
        <f>IF(archive!G2666="","",archive!G2666)</f>
        <v/>
      </c>
      <c r="H2666" s="51" t="str">
        <f>IF(archive!CJ2666="","",archive!CJ2666)</f>
        <v/>
      </c>
      <c r="I2666" s="51" t="str">
        <f>IF(archive!CK2666="","",archive!CK2666)</f>
        <v/>
      </c>
      <c r="J2666" s="47" t="str">
        <f t="shared" si="577"/>
        <v/>
      </c>
      <c r="K2666" s="51" t="str">
        <f t="shared" si="578"/>
        <v/>
      </c>
      <c r="L2666" s="52" t="str">
        <f t="shared" si="579"/>
        <v/>
      </c>
      <c r="M2666" s="53" t="str">
        <f t="shared" si="580"/>
        <v/>
      </c>
      <c r="N2666" s="53" t="str">
        <f t="shared" si="581"/>
        <v/>
      </c>
      <c r="O2666" s="53" t="str">
        <f t="shared" si="582"/>
        <v/>
      </c>
      <c r="P2666" s="53" t="str">
        <f t="shared" si="583"/>
        <v/>
      </c>
      <c r="Q2666" s="53" t="str">
        <f t="shared" si="584"/>
        <v/>
      </c>
      <c r="R2666" s="53" t="str">
        <f t="shared" si="585"/>
        <v/>
      </c>
      <c r="S2666" s="53" t="str">
        <f t="shared" si="586"/>
        <v/>
      </c>
      <c r="T2666" s="53" t="str">
        <f t="shared" si="587"/>
        <v/>
      </c>
    </row>
    <row r="2667" spans="1:20">
      <c r="A2667" s="47" t="str">
        <f>IF(archive!E2667="","",archive!E2667)</f>
        <v/>
      </c>
      <c r="B2667" s="48" t="str">
        <f t="shared" si="574"/>
        <v/>
      </c>
      <c r="C2667" s="49" t="str">
        <f>IF(archive!F2667="","",archive!F2667)</f>
        <v/>
      </c>
      <c r="D2667" s="50" t="str">
        <f t="shared" si="575"/>
        <v/>
      </c>
      <c r="E2667" s="50" t="str">
        <f t="shared" si="576"/>
        <v/>
      </c>
      <c r="F2667" s="47" t="str">
        <f>IF(COUNTA(archive!H2667:CI2667)=0,"",COUNTA(archive!H2667:CI2667))</f>
        <v/>
      </c>
      <c r="G2667" s="47" t="str">
        <f>IF(archive!G2667="","",archive!G2667)</f>
        <v/>
      </c>
      <c r="H2667" s="51" t="str">
        <f>IF(archive!CJ2667="","",archive!CJ2667)</f>
        <v/>
      </c>
      <c r="I2667" s="51" t="str">
        <f>IF(archive!CK2667="","",archive!CK2667)</f>
        <v/>
      </c>
      <c r="J2667" s="47" t="str">
        <f t="shared" si="577"/>
        <v/>
      </c>
      <c r="K2667" s="51" t="str">
        <f t="shared" si="578"/>
        <v/>
      </c>
      <c r="L2667" s="52" t="str">
        <f t="shared" si="579"/>
        <v/>
      </c>
      <c r="M2667" s="53" t="str">
        <f t="shared" si="580"/>
        <v/>
      </c>
      <c r="N2667" s="53" t="str">
        <f t="shared" si="581"/>
        <v/>
      </c>
      <c r="O2667" s="53" t="str">
        <f t="shared" si="582"/>
        <v/>
      </c>
      <c r="P2667" s="53" t="str">
        <f t="shared" si="583"/>
        <v/>
      </c>
      <c r="Q2667" s="53" t="str">
        <f t="shared" si="584"/>
        <v/>
      </c>
      <c r="R2667" s="53" t="str">
        <f t="shared" si="585"/>
        <v/>
      </c>
      <c r="S2667" s="53" t="str">
        <f t="shared" si="586"/>
        <v/>
      </c>
      <c r="T2667" s="53" t="str">
        <f t="shared" si="587"/>
        <v/>
      </c>
    </row>
    <row r="2668" spans="1:20">
      <c r="A2668" s="47" t="str">
        <f>IF(archive!E2668="","",archive!E2668)</f>
        <v/>
      </c>
      <c r="B2668" s="48" t="str">
        <f t="shared" si="574"/>
        <v/>
      </c>
      <c r="C2668" s="49" t="str">
        <f>IF(archive!F2668="","",archive!F2668)</f>
        <v/>
      </c>
      <c r="D2668" s="50" t="str">
        <f t="shared" si="575"/>
        <v/>
      </c>
      <c r="E2668" s="50" t="str">
        <f t="shared" si="576"/>
        <v/>
      </c>
      <c r="F2668" s="47" t="str">
        <f>IF(COUNTA(archive!H2668:CI2668)=0,"",COUNTA(archive!H2668:CI2668))</f>
        <v/>
      </c>
      <c r="G2668" s="47" t="str">
        <f>IF(archive!G2668="","",archive!G2668)</f>
        <v/>
      </c>
      <c r="H2668" s="51" t="str">
        <f>IF(archive!CJ2668="","",archive!CJ2668)</f>
        <v/>
      </c>
      <c r="I2668" s="51" t="str">
        <f>IF(archive!CK2668="","",archive!CK2668)</f>
        <v/>
      </c>
      <c r="J2668" s="47" t="str">
        <f t="shared" si="577"/>
        <v/>
      </c>
      <c r="K2668" s="51" t="str">
        <f t="shared" si="578"/>
        <v/>
      </c>
      <c r="L2668" s="52" t="str">
        <f t="shared" si="579"/>
        <v/>
      </c>
      <c r="M2668" s="53" t="str">
        <f t="shared" si="580"/>
        <v/>
      </c>
      <c r="N2668" s="53" t="str">
        <f t="shared" si="581"/>
        <v/>
      </c>
      <c r="O2668" s="53" t="str">
        <f t="shared" si="582"/>
        <v/>
      </c>
      <c r="P2668" s="53" t="str">
        <f t="shared" si="583"/>
        <v/>
      </c>
      <c r="Q2668" s="53" t="str">
        <f t="shared" si="584"/>
        <v/>
      </c>
      <c r="R2668" s="53" t="str">
        <f t="shared" si="585"/>
        <v/>
      </c>
      <c r="S2668" s="53" t="str">
        <f t="shared" si="586"/>
        <v/>
      </c>
      <c r="T2668" s="53" t="str">
        <f t="shared" si="587"/>
        <v/>
      </c>
    </row>
    <row r="2669" spans="1:20">
      <c r="A2669" s="47" t="str">
        <f>IF(archive!E2669="","",archive!E2669)</f>
        <v/>
      </c>
      <c r="B2669" s="48" t="str">
        <f t="shared" si="574"/>
        <v/>
      </c>
      <c r="C2669" s="49" t="str">
        <f>IF(archive!F2669="","",archive!F2669)</f>
        <v/>
      </c>
      <c r="D2669" s="50" t="str">
        <f t="shared" si="575"/>
        <v/>
      </c>
      <c r="E2669" s="50" t="str">
        <f t="shared" si="576"/>
        <v/>
      </c>
      <c r="F2669" s="47" t="str">
        <f>IF(COUNTA(archive!H2669:CI2669)=0,"",COUNTA(archive!H2669:CI2669))</f>
        <v/>
      </c>
      <c r="G2669" s="47" t="str">
        <f>IF(archive!G2669="","",archive!G2669)</f>
        <v/>
      </c>
      <c r="H2669" s="51" t="str">
        <f>IF(archive!CJ2669="","",archive!CJ2669)</f>
        <v/>
      </c>
      <c r="I2669" s="51" t="str">
        <f>IF(archive!CK2669="","",archive!CK2669)</f>
        <v/>
      </c>
      <c r="J2669" s="47" t="str">
        <f t="shared" si="577"/>
        <v/>
      </c>
      <c r="K2669" s="51" t="str">
        <f t="shared" si="578"/>
        <v/>
      </c>
      <c r="L2669" s="52" t="str">
        <f t="shared" si="579"/>
        <v/>
      </c>
      <c r="M2669" s="53" t="str">
        <f t="shared" si="580"/>
        <v/>
      </c>
      <c r="N2669" s="53" t="str">
        <f t="shared" si="581"/>
        <v/>
      </c>
      <c r="O2669" s="53" t="str">
        <f t="shared" si="582"/>
        <v/>
      </c>
      <c r="P2669" s="53" t="str">
        <f t="shared" si="583"/>
        <v/>
      </c>
      <c r="Q2669" s="53" t="str">
        <f t="shared" si="584"/>
        <v/>
      </c>
      <c r="R2669" s="53" t="str">
        <f t="shared" si="585"/>
        <v/>
      </c>
      <c r="S2669" s="53" t="str">
        <f t="shared" si="586"/>
        <v/>
      </c>
      <c r="T2669" s="53" t="str">
        <f t="shared" si="587"/>
        <v/>
      </c>
    </row>
    <row r="2670" spans="1:20">
      <c r="A2670" s="47" t="str">
        <f>IF(archive!E2670="","",archive!E2670)</f>
        <v/>
      </c>
      <c r="B2670" s="48" t="str">
        <f t="shared" si="574"/>
        <v/>
      </c>
      <c r="C2670" s="49" t="str">
        <f>IF(archive!F2670="","",archive!F2670)</f>
        <v/>
      </c>
      <c r="D2670" s="50" t="str">
        <f t="shared" si="575"/>
        <v/>
      </c>
      <c r="E2670" s="50" t="str">
        <f t="shared" si="576"/>
        <v/>
      </c>
      <c r="F2670" s="47" t="str">
        <f>IF(COUNTA(archive!H2670:CI2670)=0,"",COUNTA(archive!H2670:CI2670))</f>
        <v/>
      </c>
      <c r="G2670" s="47" t="str">
        <f>IF(archive!G2670="","",archive!G2670)</f>
        <v/>
      </c>
      <c r="H2670" s="51" t="str">
        <f>IF(archive!CJ2670="","",archive!CJ2670)</f>
        <v/>
      </c>
      <c r="I2670" s="51" t="str">
        <f>IF(archive!CK2670="","",archive!CK2670)</f>
        <v/>
      </c>
      <c r="J2670" s="47" t="str">
        <f t="shared" si="577"/>
        <v/>
      </c>
      <c r="K2670" s="51" t="str">
        <f t="shared" si="578"/>
        <v/>
      </c>
      <c r="L2670" s="52" t="str">
        <f t="shared" si="579"/>
        <v/>
      </c>
      <c r="M2670" s="53" t="str">
        <f t="shared" si="580"/>
        <v/>
      </c>
      <c r="N2670" s="53" t="str">
        <f t="shared" si="581"/>
        <v/>
      </c>
      <c r="O2670" s="53" t="str">
        <f t="shared" si="582"/>
        <v/>
      </c>
      <c r="P2670" s="53" t="str">
        <f t="shared" si="583"/>
        <v/>
      </c>
      <c r="Q2670" s="53" t="str">
        <f t="shared" si="584"/>
        <v/>
      </c>
      <c r="R2670" s="53" t="str">
        <f t="shared" si="585"/>
        <v/>
      </c>
      <c r="S2670" s="53" t="str">
        <f t="shared" si="586"/>
        <v/>
      </c>
      <c r="T2670" s="53" t="str">
        <f t="shared" si="587"/>
        <v/>
      </c>
    </row>
    <row r="2671" spans="1:20">
      <c r="A2671" s="47" t="str">
        <f>IF(archive!E2671="","",archive!E2671)</f>
        <v/>
      </c>
      <c r="B2671" s="48" t="str">
        <f t="shared" si="574"/>
        <v/>
      </c>
      <c r="C2671" s="49" t="str">
        <f>IF(archive!F2671="","",archive!F2671)</f>
        <v/>
      </c>
      <c r="D2671" s="50" t="str">
        <f t="shared" si="575"/>
        <v/>
      </c>
      <c r="E2671" s="50" t="str">
        <f t="shared" si="576"/>
        <v/>
      </c>
      <c r="F2671" s="47" t="str">
        <f>IF(COUNTA(archive!H2671:CI2671)=0,"",COUNTA(archive!H2671:CI2671))</f>
        <v/>
      </c>
      <c r="G2671" s="47" t="str">
        <f>IF(archive!G2671="","",archive!G2671)</f>
        <v/>
      </c>
      <c r="H2671" s="51" t="str">
        <f>IF(archive!CJ2671="","",archive!CJ2671)</f>
        <v/>
      </c>
      <c r="I2671" s="51" t="str">
        <f>IF(archive!CK2671="","",archive!CK2671)</f>
        <v/>
      </c>
      <c r="J2671" s="47" t="str">
        <f t="shared" si="577"/>
        <v/>
      </c>
      <c r="K2671" s="51" t="str">
        <f t="shared" si="578"/>
        <v/>
      </c>
      <c r="L2671" s="52" t="str">
        <f t="shared" si="579"/>
        <v/>
      </c>
      <c r="M2671" s="53" t="str">
        <f t="shared" si="580"/>
        <v/>
      </c>
      <c r="N2671" s="53" t="str">
        <f t="shared" si="581"/>
        <v/>
      </c>
      <c r="O2671" s="53" t="str">
        <f t="shared" si="582"/>
        <v/>
      </c>
      <c r="P2671" s="53" t="str">
        <f t="shared" si="583"/>
        <v/>
      </c>
      <c r="Q2671" s="53" t="str">
        <f t="shared" si="584"/>
        <v/>
      </c>
      <c r="R2671" s="53" t="str">
        <f t="shared" si="585"/>
        <v/>
      </c>
      <c r="S2671" s="53" t="str">
        <f t="shared" si="586"/>
        <v/>
      </c>
      <c r="T2671" s="53" t="str">
        <f t="shared" si="587"/>
        <v/>
      </c>
    </row>
    <row r="2672" spans="1:20">
      <c r="A2672" s="47" t="str">
        <f>IF(archive!E2672="","",archive!E2672)</f>
        <v/>
      </c>
      <c r="B2672" s="48" t="str">
        <f t="shared" si="574"/>
        <v/>
      </c>
      <c r="C2672" s="49" t="str">
        <f>IF(archive!F2672="","",archive!F2672)</f>
        <v/>
      </c>
      <c r="D2672" s="50" t="str">
        <f t="shared" si="575"/>
        <v/>
      </c>
      <c r="E2672" s="50" t="str">
        <f t="shared" si="576"/>
        <v/>
      </c>
      <c r="F2672" s="47" t="str">
        <f>IF(COUNTA(archive!H2672:CI2672)=0,"",COUNTA(archive!H2672:CI2672))</f>
        <v/>
      </c>
      <c r="G2672" s="47" t="str">
        <f>IF(archive!G2672="","",archive!G2672)</f>
        <v/>
      </c>
      <c r="H2672" s="51" t="str">
        <f>IF(archive!CJ2672="","",archive!CJ2672)</f>
        <v/>
      </c>
      <c r="I2672" s="51" t="str">
        <f>IF(archive!CK2672="","",archive!CK2672)</f>
        <v/>
      </c>
      <c r="J2672" s="47" t="str">
        <f t="shared" si="577"/>
        <v/>
      </c>
      <c r="K2672" s="51" t="str">
        <f t="shared" si="578"/>
        <v/>
      </c>
      <c r="L2672" s="52" t="str">
        <f t="shared" si="579"/>
        <v/>
      </c>
      <c r="M2672" s="53" t="str">
        <f t="shared" si="580"/>
        <v/>
      </c>
      <c r="N2672" s="53" t="str">
        <f t="shared" si="581"/>
        <v/>
      </c>
      <c r="O2672" s="53" t="str">
        <f t="shared" si="582"/>
        <v/>
      </c>
      <c r="P2672" s="53" t="str">
        <f t="shared" si="583"/>
        <v/>
      </c>
      <c r="Q2672" s="53" t="str">
        <f t="shared" si="584"/>
        <v/>
      </c>
      <c r="R2672" s="53" t="str">
        <f t="shared" si="585"/>
        <v/>
      </c>
      <c r="S2672" s="53" t="str">
        <f t="shared" si="586"/>
        <v/>
      </c>
      <c r="T2672" s="53" t="str">
        <f t="shared" si="587"/>
        <v/>
      </c>
    </row>
    <row r="2673" spans="1:20">
      <c r="A2673" s="47" t="str">
        <f>IF(archive!E2673="","",archive!E2673)</f>
        <v/>
      </c>
      <c r="B2673" s="48" t="str">
        <f t="shared" si="574"/>
        <v/>
      </c>
      <c r="C2673" s="49" t="str">
        <f>IF(archive!F2673="","",archive!F2673)</f>
        <v/>
      </c>
      <c r="D2673" s="50" t="str">
        <f t="shared" si="575"/>
        <v/>
      </c>
      <c r="E2673" s="50" t="str">
        <f t="shared" si="576"/>
        <v/>
      </c>
      <c r="F2673" s="47" t="str">
        <f>IF(COUNTA(archive!H2673:CI2673)=0,"",COUNTA(archive!H2673:CI2673))</f>
        <v/>
      </c>
      <c r="G2673" s="47" t="str">
        <f>IF(archive!G2673="","",archive!G2673)</f>
        <v/>
      </c>
      <c r="H2673" s="51" t="str">
        <f>IF(archive!CJ2673="","",archive!CJ2673)</f>
        <v/>
      </c>
      <c r="I2673" s="51" t="str">
        <f>IF(archive!CK2673="","",archive!CK2673)</f>
        <v/>
      </c>
      <c r="J2673" s="47" t="str">
        <f t="shared" si="577"/>
        <v/>
      </c>
      <c r="K2673" s="51" t="str">
        <f t="shared" si="578"/>
        <v/>
      </c>
      <c r="L2673" s="52" t="str">
        <f t="shared" si="579"/>
        <v/>
      </c>
      <c r="M2673" s="53" t="str">
        <f t="shared" si="580"/>
        <v/>
      </c>
      <c r="N2673" s="53" t="str">
        <f t="shared" si="581"/>
        <v/>
      </c>
      <c r="O2673" s="53" t="str">
        <f t="shared" si="582"/>
        <v/>
      </c>
      <c r="P2673" s="53" t="str">
        <f t="shared" si="583"/>
        <v/>
      </c>
      <c r="Q2673" s="53" t="str">
        <f t="shared" si="584"/>
        <v/>
      </c>
      <c r="R2673" s="53" t="str">
        <f t="shared" si="585"/>
        <v/>
      </c>
      <c r="S2673" s="53" t="str">
        <f t="shared" si="586"/>
        <v/>
      </c>
      <c r="T2673" s="53" t="str">
        <f t="shared" si="587"/>
        <v/>
      </c>
    </row>
    <row r="2674" spans="1:20">
      <c r="A2674" s="47" t="str">
        <f>IF(archive!E2674="","",archive!E2674)</f>
        <v/>
      </c>
      <c r="B2674" s="48" t="str">
        <f t="shared" si="574"/>
        <v/>
      </c>
      <c r="C2674" s="49" t="str">
        <f>IF(archive!F2674="","",archive!F2674)</f>
        <v/>
      </c>
      <c r="D2674" s="50" t="str">
        <f t="shared" si="575"/>
        <v/>
      </c>
      <c r="E2674" s="50" t="str">
        <f t="shared" si="576"/>
        <v/>
      </c>
      <c r="F2674" s="47" t="str">
        <f>IF(COUNTA(archive!H2674:CI2674)=0,"",COUNTA(archive!H2674:CI2674))</f>
        <v/>
      </c>
      <c r="G2674" s="47" t="str">
        <f>IF(archive!G2674="","",archive!G2674)</f>
        <v/>
      </c>
      <c r="H2674" s="51" t="str">
        <f>IF(archive!CJ2674="","",archive!CJ2674)</f>
        <v/>
      </c>
      <c r="I2674" s="51" t="str">
        <f>IF(archive!CK2674="","",archive!CK2674)</f>
        <v/>
      </c>
      <c r="J2674" s="47" t="str">
        <f t="shared" si="577"/>
        <v/>
      </c>
      <c r="K2674" s="51" t="str">
        <f t="shared" si="578"/>
        <v/>
      </c>
      <c r="L2674" s="52" t="str">
        <f t="shared" si="579"/>
        <v/>
      </c>
      <c r="M2674" s="53" t="str">
        <f t="shared" si="580"/>
        <v/>
      </c>
      <c r="N2674" s="53" t="str">
        <f t="shared" si="581"/>
        <v/>
      </c>
      <c r="O2674" s="53" t="str">
        <f t="shared" si="582"/>
        <v/>
      </c>
      <c r="P2674" s="53" t="str">
        <f t="shared" si="583"/>
        <v/>
      </c>
      <c r="Q2674" s="53" t="str">
        <f t="shared" si="584"/>
        <v/>
      </c>
      <c r="R2674" s="53" t="str">
        <f t="shared" si="585"/>
        <v/>
      </c>
      <c r="S2674" s="53" t="str">
        <f t="shared" si="586"/>
        <v/>
      </c>
      <c r="T2674" s="53" t="str">
        <f t="shared" si="587"/>
        <v/>
      </c>
    </row>
    <row r="2675" spans="1:20">
      <c r="A2675" s="47" t="str">
        <f>IF(archive!E2675="","",archive!E2675)</f>
        <v/>
      </c>
      <c r="B2675" s="48" t="str">
        <f t="shared" si="574"/>
        <v/>
      </c>
      <c r="C2675" s="49" t="str">
        <f>IF(archive!F2675="","",archive!F2675)</f>
        <v/>
      </c>
      <c r="D2675" s="50" t="str">
        <f t="shared" si="575"/>
        <v/>
      </c>
      <c r="E2675" s="50" t="str">
        <f t="shared" si="576"/>
        <v/>
      </c>
      <c r="F2675" s="47" t="str">
        <f>IF(COUNTA(archive!H2675:CI2675)=0,"",COUNTA(archive!H2675:CI2675))</f>
        <v/>
      </c>
      <c r="G2675" s="47" t="str">
        <f>IF(archive!G2675="","",archive!G2675)</f>
        <v/>
      </c>
      <c r="H2675" s="51" t="str">
        <f>IF(archive!CJ2675="","",archive!CJ2675)</f>
        <v/>
      </c>
      <c r="I2675" s="51" t="str">
        <f>IF(archive!CK2675="","",archive!CK2675)</f>
        <v/>
      </c>
      <c r="J2675" s="47" t="str">
        <f t="shared" si="577"/>
        <v/>
      </c>
      <c r="K2675" s="51" t="str">
        <f t="shared" si="578"/>
        <v/>
      </c>
      <c r="L2675" s="52" t="str">
        <f t="shared" si="579"/>
        <v/>
      </c>
      <c r="M2675" s="53" t="str">
        <f t="shared" si="580"/>
        <v/>
      </c>
      <c r="N2675" s="53" t="str">
        <f t="shared" si="581"/>
        <v/>
      </c>
      <c r="O2675" s="53" t="str">
        <f t="shared" si="582"/>
        <v/>
      </c>
      <c r="P2675" s="53" t="str">
        <f t="shared" si="583"/>
        <v/>
      </c>
      <c r="Q2675" s="53" t="str">
        <f t="shared" si="584"/>
        <v/>
      </c>
      <c r="R2675" s="53" t="str">
        <f t="shared" si="585"/>
        <v/>
      </c>
      <c r="S2675" s="53" t="str">
        <f t="shared" si="586"/>
        <v/>
      </c>
      <c r="T2675" s="53" t="str">
        <f t="shared" si="587"/>
        <v/>
      </c>
    </row>
    <row r="2676" spans="1:20">
      <c r="A2676" s="47" t="str">
        <f>IF(archive!E2676="","",archive!E2676)</f>
        <v/>
      </c>
      <c r="B2676" s="48" t="str">
        <f t="shared" si="574"/>
        <v/>
      </c>
      <c r="C2676" s="49" t="str">
        <f>IF(archive!F2676="","",archive!F2676)</f>
        <v/>
      </c>
      <c r="D2676" s="50" t="str">
        <f t="shared" si="575"/>
        <v/>
      </c>
      <c r="E2676" s="50" t="str">
        <f t="shared" si="576"/>
        <v/>
      </c>
      <c r="F2676" s="47" t="str">
        <f>IF(COUNTA(archive!H2676:CI2676)=0,"",COUNTA(archive!H2676:CI2676))</f>
        <v/>
      </c>
      <c r="G2676" s="47" t="str">
        <f>IF(archive!G2676="","",archive!G2676)</f>
        <v/>
      </c>
      <c r="H2676" s="51" t="str">
        <f>IF(archive!CJ2676="","",archive!CJ2676)</f>
        <v/>
      </c>
      <c r="I2676" s="51" t="str">
        <f>IF(archive!CK2676="","",archive!CK2676)</f>
        <v/>
      </c>
      <c r="J2676" s="47" t="str">
        <f t="shared" si="577"/>
        <v/>
      </c>
      <c r="K2676" s="51" t="str">
        <f t="shared" si="578"/>
        <v/>
      </c>
      <c r="L2676" s="52" t="str">
        <f t="shared" si="579"/>
        <v/>
      </c>
      <c r="M2676" s="53" t="str">
        <f t="shared" si="580"/>
        <v/>
      </c>
      <c r="N2676" s="53" t="str">
        <f t="shared" si="581"/>
        <v/>
      </c>
      <c r="O2676" s="53" t="str">
        <f t="shared" si="582"/>
        <v/>
      </c>
      <c r="P2676" s="53" t="str">
        <f t="shared" si="583"/>
        <v/>
      </c>
      <c r="Q2676" s="53" t="str">
        <f t="shared" si="584"/>
        <v/>
      </c>
      <c r="R2676" s="53" t="str">
        <f t="shared" si="585"/>
        <v/>
      </c>
      <c r="S2676" s="53" t="str">
        <f t="shared" si="586"/>
        <v/>
      </c>
      <c r="T2676" s="53" t="str">
        <f t="shared" si="587"/>
        <v/>
      </c>
    </row>
    <row r="2677" spans="1:20">
      <c r="A2677" s="47" t="str">
        <f>IF(archive!E2677="","",archive!E2677)</f>
        <v/>
      </c>
      <c r="B2677" s="48" t="str">
        <f t="shared" si="574"/>
        <v/>
      </c>
      <c r="C2677" s="49" t="str">
        <f>IF(archive!F2677="","",archive!F2677)</f>
        <v/>
      </c>
      <c r="D2677" s="50" t="str">
        <f t="shared" si="575"/>
        <v/>
      </c>
      <c r="E2677" s="50" t="str">
        <f t="shared" si="576"/>
        <v/>
      </c>
      <c r="F2677" s="47" t="str">
        <f>IF(COUNTA(archive!H2677:CI2677)=0,"",COUNTA(archive!H2677:CI2677))</f>
        <v/>
      </c>
      <c r="G2677" s="47" t="str">
        <f>IF(archive!G2677="","",archive!G2677)</f>
        <v/>
      </c>
      <c r="H2677" s="51" t="str">
        <f>IF(archive!CJ2677="","",archive!CJ2677)</f>
        <v/>
      </c>
      <c r="I2677" s="51" t="str">
        <f>IF(archive!CK2677="","",archive!CK2677)</f>
        <v/>
      </c>
      <c r="J2677" s="47" t="str">
        <f t="shared" si="577"/>
        <v/>
      </c>
      <c r="K2677" s="51" t="str">
        <f t="shared" si="578"/>
        <v/>
      </c>
      <c r="L2677" s="52" t="str">
        <f t="shared" si="579"/>
        <v/>
      </c>
      <c r="M2677" s="53" t="str">
        <f t="shared" si="580"/>
        <v/>
      </c>
      <c r="N2677" s="53" t="str">
        <f t="shared" si="581"/>
        <v/>
      </c>
      <c r="O2677" s="53" t="str">
        <f t="shared" si="582"/>
        <v/>
      </c>
      <c r="P2677" s="53" t="str">
        <f t="shared" si="583"/>
        <v/>
      </c>
      <c r="Q2677" s="53" t="str">
        <f t="shared" si="584"/>
        <v/>
      </c>
      <c r="R2677" s="53" t="str">
        <f t="shared" si="585"/>
        <v/>
      </c>
      <c r="S2677" s="53" t="str">
        <f t="shared" si="586"/>
        <v/>
      </c>
      <c r="T2677" s="53" t="str">
        <f t="shared" si="587"/>
        <v/>
      </c>
    </row>
    <row r="2678" spans="1:20">
      <c r="A2678" s="47" t="str">
        <f>IF(archive!E2678="","",archive!E2678)</f>
        <v/>
      </c>
      <c r="B2678" s="48" t="str">
        <f t="shared" si="574"/>
        <v/>
      </c>
      <c r="C2678" s="49" t="str">
        <f>IF(archive!F2678="","",archive!F2678)</f>
        <v/>
      </c>
      <c r="D2678" s="50" t="str">
        <f t="shared" si="575"/>
        <v/>
      </c>
      <c r="E2678" s="50" t="str">
        <f t="shared" si="576"/>
        <v/>
      </c>
      <c r="F2678" s="47" t="str">
        <f>IF(COUNTA(archive!H2678:CI2678)=0,"",COUNTA(archive!H2678:CI2678))</f>
        <v/>
      </c>
      <c r="G2678" s="47" t="str">
        <f>IF(archive!G2678="","",archive!G2678)</f>
        <v/>
      </c>
      <c r="H2678" s="51" t="str">
        <f>IF(archive!CJ2678="","",archive!CJ2678)</f>
        <v/>
      </c>
      <c r="I2678" s="51" t="str">
        <f>IF(archive!CK2678="","",archive!CK2678)</f>
        <v/>
      </c>
      <c r="J2678" s="47" t="str">
        <f t="shared" si="577"/>
        <v/>
      </c>
      <c r="K2678" s="51" t="str">
        <f t="shared" si="578"/>
        <v/>
      </c>
      <c r="L2678" s="52" t="str">
        <f t="shared" si="579"/>
        <v/>
      </c>
      <c r="M2678" s="53" t="str">
        <f t="shared" si="580"/>
        <v/>
      </c>
      <c r="N2678" s="53" t="str">
        <f t="shared" si="581"/>
        <v/>
      </c>
      <c r="O2678" s="53" t="str">
        <f t="shared" si="582"/>
        <v/>
      </c>
      <c r="P2678" s="53" t="str">
        <f t="shared" si="583"/>
        <v/>
      </c>
      <c r="Q2678" s="53" t="str">
        <f t="shared" si="584"/>
        <v/>
      </c>
      <c r="R2678" s="53" t="str">
        <f t="shared" si="585"/>
        <v/>
      </c>
      <c r="S2678" s="53" t="str">
        <f t="shared" si="586"/>
        <v/>
      </c>
      <c r="T2678" s="53" t="str">
        <f t="shared" si="587"/>
        <v/>
      </c>
    </row>
    <row r="2679" spans="1:20">
      <c r="A2679" s="47" t="str">
        <f>IF(archive!E2679="","",archive!E2679)</f>
        <v/>
      </c>
      <c r="B2679" s="48" t="str">
        <f t="shared" si="574"/>
        <v/>
      </c>
      <c r="C2679" s="49" t="str">
        <f>IF(archive!F2679="","",archive!F2679)</f>
        <v/>
      </c>
      <c r="D2679" s="50" t="str">
        <f t="shared" si="575"/>
        <v/>
      </c>
      <c r="E2679" s="50" t="str">
        <f t="shared" si="576"/>
        <v/>
      </c>
      <c r="F2679" s="47" t="str">
        <f>IF(COUNTA(archive!H2679:CI2679)=0,"",COUNTA(archive!H2679:CI2679))</f>
        <v/>
      </c>
      <c r="G2679" s="47" t="str">
        <f>IF(archive!G2679="","",archive!G2679)</f>
        <v/>
      </c>
      <c r="H2679" s="51" t="str">
        <f>IF(archive!CJ2679="","",archive!CJ2679)</f>
        <v/>
      </c>
      <c r="I2679" s="51" t="str">
        <f>IF(archive!CK2679="","",archive!CK2679)</f>
        <v/>
      </c>
      <c r="J2679" s="47" t="str">
        <f t="shared" si="577"/>
        <v/>
      </c>
      <c r="K2679" s="51" t="str">
        <f t="shared" si="578"/>
        <v/>
      </c>
      <c r="L2679" s="52" t="str">
        <f t="shared" si="579"/>
        <v/>
      </c>
      <c r="M2679" s="53" t="str">
        <f t="shared" si="580"/>
        <v/>
      </c>
      <c r="N2679" s="53" t="str">
        <f t="shared" si="581"/>
        <v/>
      </c>
      <c r="O2679" s="53" t="str">
        <f t="shared" si="582"/>
        <v/>
      </c>
      <c r="P2679" s="53" t="str">
        <f t="shared" si="583"/>
        <v/>
      </c>
      <c r="Q2679" s="53" t="str">
        <f t="shared" si="584"/>
        <v/>
      </c>
      <c r="R2679" s="53" t="str">
        <f t="shared" si="585"/>
        <v/>
      </c>
      <c r="S2679" s="53" t="str">
        <f t="shared" si="586"/>
        <v/>
      </c>
      <c r="T2679" s="53" t="str">
        <f t="shared" si="587"/>
        <v/>
      </c>
    </row>
    <row r="2680" spans="1:20">
      <c r="A2680" s="47" t="str">
        <f>IF(archive!E2680="","",archive!E2680)</f>
        <v/>
      </c>
      <c r="B2680" s="48" t="str">
        <f t="shared" si="574"/>
        <v/>
      </c>
      <c r="C2680" s="49" t="str">
        <f>IF(archive!F2680="","",archive!F2680)</f>
        <v/>
      </c>
      <c r="D2680" s="50" t="str">
        <f t="shared" si="575"/>
        <v/>
      </c>
      <c r="E2680" s="50" t="str">
        <f t="shared" si="576"/>
        <v/>
      </c>
      <c r="F2680" s="47" t="str">
        <f>IF(COUNTA(archive!H2680:CI2680)=0,"",COUNTA(archive!H2680:CI2680))</f>
        <v/>
      </c>
      <c r="G2680" s="47" t="str">
        <f>IF(archive!G2680="","",archive!G2680)</f>
        <v/>
      </c>
      <c r="H2680" s="51" t="str">
        <f>IF(archive!CJ2680="","",archive!CJ2680)</f>
        <v/>
      </c>
      <c r="I2680" s="51" t="str">
        <f>IF(archive!CK2680="","",archive!CK2680)</f>
        <v/>
      </c>
      <c r="J2680" s="47" t="str">
        <f t="shared" si="577"/>
        <v/>
      </c>
      <c r="K2680" s="51" t="str">
        <f t="shared" si="578"/>
        <v/>
      </c>
      <c r="L2680" s="52" t="str">
        <f t="shared" si="579"/>
        <v/>
      </c>
      <c r="M2680" s="53" t="str">
        <f t="shared" si="580"/>
        <v/>
      </c>
      <c r="N2680" s="53" t="str">
        <f t="shared" si="581"/>
        <v/>
      </c>
      <c r="O2680" s="53" t="str">
        <f t="shared" si="582"/>
        <v/>
      </c>
      <c r="P2680" s="53" t="str">
        <f t="shared" si="583"/>
        <v/>
      </c>
      <c r="Q2680" s="53" t="str">
        <f t="shared" si="584"/>
        <v/>
      </c>
      <c r="R2680" s="53" t="str">
        <f t="shared" si="585"/>
        <v/>
      </c>
      <c r="S2680" s="53" t="str">
        <f t="shared" si="586"/>
        <v/>
      </c>
      <c r="T2680" s="53" t="str">
        <f t="shared" si="587"/>
        <v/>
      </c>
    </row>
    <row r="2681" spans="1:20">
      <c r="A2681" s="47" t="str">
        <f>IF(archive!E2681="","",archive!E2681)</f>
        <v/>
      </c>
      <c r="B2681" s="48" t="str">
        <f t="shared" si="574"/>
        <v/>
      </c>
      <c r="C2681" s="49" t="str">
        <f>IF(archive!F2681="","",archive!F2681)</f>
        <v/>
      </c>
      <c r="D2681" s="50" t="str">
        <f t="shared" si="575"/>
        <v/>
      </c>
      <c r="E2681" s="50" t="str">
        <f t="shared" si="576"/>
        <v/>
      </c>
      <c r="F2681" s="47" t="str">
        <f>IF(COUNTA(archive!H2681:CI2681)=0,"",COUNTA(archive!H2681:CI2681))</f>
        <v/>
      </c>
      <c r="G2681" s="47" t="str">
        <f>IF(archive!G2681="","",archive!G2681)</f>
        <v/>
      </c>
      <c r="H2681" s="51" t="str">
        <f>IF(archive!CJ2681="","",archive!CJ2681)</f>
        <v/>
      </c>
      <c r="I2681" s="51" t="str">
        <f>IF(archive!CK2681="","",archive!CK2681)</f>
        <v/>
      </c>
      <c r="J2681" s="47" t="str">
        <f t="shared" si="577"/>
        <v/>
      </c>
      <c r="K2681" s="51" t="str">
        <f t="shared" si="578"/>
        <v/>
      </c>
      <c r="L2681" s="52" t="str">
        <f t="shared" si="579"/>
        <v/>
      </c>
      <c r="M2681" s="53" t="str">
        <f t="shared" si="580"/>
        <v/>
      </c>
      <c r="N2681" s="53" t="str">
        <f t="shared" si="581"/>
        <v/>
      </c>
      <c r="O2681" s="53" t="str">
        <f t="shared" si="582"/>
        <v/>
      </c>
      <c r="P2681" s="53" t="str">
        <f t="shared" si="583"/>
        <v/>
      </c>
      <c r="Q2681" s="53" t="str">
        <f t="shared" si="584"/>
        <v/>
      </c>
      <c r="R2681" s="53" t="str">
        <f t="shared" si="585"/>
        <v/>
      </c>
      <c r="S2681" s="53" t="str">
        <f t="shared" si="586"/>
        <v/>
      </c>
      <c r="T2681" s="53" t="str">
        <f t="shared" si="587"/>
        <v/>
      </c>
    </row>
    <row r="2682" spans="1:20">
      <c r="A2682" s="47" t="str">
        <f>IF(archive!E2682="","",archive!E2682)</f>
        <v/>
      </c>
      <c r="B2682" s="48" t="str">
        <f t="shared" si="574"/>
        <v/>
      </c>
      <c r="C2682" s="49" t="str">
        <f>IF(archive!F2682="","",archive!F2682)</f>
        <v/>
      </c>
      <c r="D2682" s="50" t="str">
        <f t="shared" si="575"/>
        <v/>
      </c>
      <c r="E2682" s="50" t="str">
        <f t="shared" si="576"/>
        <v/>
      </c>
      <c r="F2682" s="47" t="str">
        <f>IF(COUNTA(archive!H2682:CI2682)=0,"",COUNTA(archive!H2682:CI2682))</f>
        <v/>
      </c>
      <c r="G2682" s="47" t="str">
        <f>IF(archive!G2682="","",archive!G2682)</f>
        <v/>
      </c>
      <c r="H2682" s="51" t="str">
        <f>IF(archive!CJ2682="","",archive!CJ2682)</f>
        <v/>
      </c>
      <c r="I2682" s="51" t="str">
        <f>IF(archive!CK2682="","",archive!CK2682)</f>
        <v/>
      </c>
      <c r="J2682" s="47" t="str">
        <f t="shared" si="577"/>
        <v/>
      </c>
      <c r="K2682" s="51" t="str">
        <f t="shared" si="578"/>
        <v/>
      </c>
      <c r="L2682" s="52" t="str">
        <f t="shared" si="579"/>
        <v/>
      </c>
      <c r="M2682" s="53" t="str">
        <f t="shared" si="580"/>
        <v/>
      </c>
      <c r="N2682" s="53" t="str">
        <f t="shared" si="581"/>
        <v/>
      </c>
      <c r="O2682" s="53" t="str">
        <f t="shared" si="582"/>
        <v/>
      </c>
      <c r="P2682" s="53" t="str">
        <f t="shared" si="583"/>
        <v/>
      </c>
      <c r="Q2682" s="53" t="str">
        <f t="shared" si="584"/>
        <v/>
      </c>
      <c r="R2682" s="53" t="str">
        <f t="shared" si="585"/>
        <v/>
      </c>
      <c r="S2682" s="53" t="str">
        <f t="shared" si="586"/>
        <v/>
      </c>
      <c r="T2682" s="53" t="str">
        <f t="shared" si="587"/>
        <v/>
      </c>
    </row>
    <row r="2683" spans="1:20">
      <c r="A2683" s="47" t="str">
        <f>IF(archive!E2683="","",archive!E2683)</f>
        <v/>
      </c>
      <c r="B2683" s="48" t="str">
        <f t="shared" si="574"/>
        <v/>
      </c>
      <c r="C2683" s="49" t="str">
        <f>IF(archive!F2683="","",archive!F2683)</f>
        <v/>
      </c>
      <c r="D2683" s="50" t="str">
        <f t="shared" si="575"/>
        <v/>
      </c>
      <c r="E2683" s="50" t="str">
        <f t="shared" si="576"/>
        <v/>
      </c>
      <c r="F2683" s="47" t="str">
        <f>IF(COUNTA(archive!H2683:CI2683)=0,"",COUNTA(archive!H2683:CI2683))</f>
        <v/>
      </c>
      <c r="G2683" s="47" t="str">
        <f>IF(archive!G2683="","",archive!G2683)</f>
        <v/>
      </c>
      <c r="H2683" s="51" t="str">
        <f>IF(archive!CJ2683="","",archive!CJ2683)</f>
        <v/>
      </c>
      <c r="I2683" s="51" t="str">
        <f>IF(archive!CK2683="","",archive!CK2683)</f>
        <v/>
      </c>
      <c r="J2683" s="47" t="str">
        <f t="shared" si="577"/>
        <v/>
      </c>
      <c r="K2683" s="51" t="str">
        <f t="shared" si="578"/>
        <v/>
      </c>
      <c r="L2683" s="52" t="str">
        <f t="shared" si="579"/>
        <v/>
      </c>
      <c r="M2683" s="53" t="str">
        <f t="shared" si="580"/>
        <v/>
      </c>
      <c r="N2683" s="53" t="str">
        <f t="shared" si="581"/>
        <v/>
      </c>
      <c r="O2683" s="53" t="str">
        <f t="shared" si="582"/>
        <v/>
      </c>
      <c r="P2683" s="53" t="str">
        <f t="shared" si="583"/>
        <v/>
      </c>
      <c r="Q2683" s="53" t="str">
        <f t="shared" si="584"/>
        <v/>
      </c>
      <c r="R2683" s="53" t="str">
        <f t="shared" si="585"/>
        <v/>
      </c>
      <c r="S2683" s="53" t="str">
        <f t="shared" si="586"/>
        <v/>
      </c>
      <c r="T2683" s="53" t="str">
        <f t="shared" si="587"/>
        <v/>
      </c>
    </row>
    <row r="2684" spans="1:20">
      <c r="A2684" s="47" t="str">
        <f>IF(archive!E2684="","",archive!E2684)</f>
        <v/>
      </c>
      <c r="B2684" s="48" t="str">
        <f t="shared" si="574"/>
        <v/>
      </c>
      <c r="C2684" s="49" t="str">
        <f>IF(archive!F2684="","",archive!F2684)</f>
        <v/>
      </c>
      <c r="D2684" s="50" t="str">
        <f t="shared" si="575"/>
        <v/>
      </c>
      <c r="E2684" s="50" t="str">
        <f t="shared" si="576"/>
        <v/>
      </c>
      <c r="F2684" s="47" t="str">
        <f>IF(COUNTA(archive!H2684:CI2684)=0,"",COUNTA(archive!H2684:CI2684))</f>
        <v/>
      </c>
      <c r="G2684" s="47" t="str">
        <f>IF(archive!G2684="","",archive!G2684)</f>
        <v/>
      </c>
      <c r="H2684" s="51" t="str">
        <f>IF(archive!CJ2684="","",archive!CJ2684)</f>
        <v/>
      </c>
      <c r="I2684" s="51" t="str">
        <f>IF(archive!CK2684="","",archive!CK2684)</f>
        <v/>
      </c>
      <c r="J2684" s="47" t="str">
        <f t="shared" si="577"/>
        <v/>
      </c>
      <c r="K2684" s="51" t="str">
        <f t="shared" si="578"/>
        <v/>
      </c>
      <c r="L2684" s="52" t="str">
        <f t="shared" si="579"/>
        <v/>
      </c>
      <c r="M2684" s="53" t="str">
        <f t="shared" si="580"/>
        <v/>
      </c>
      <c r="N2684" s="53" t="str">
        <f t="shared" si="581"/>
        <v/>
      </c>
      <c r="O2684" s="53" t="str">
        <f t="shared" si="582"/>
        <v/>
      </c>
      <c r="P2684" s="53" t="str">
        <f t="shared" si="583"/>
        <v/>
      </c>
      <c r="Q2684" s="53" t="str">
        <f t="shared" si="584"/>
        <v/>
      </c>
      <c r="R2684" s="53" t="str">
        <f t="shared" si="585"/>
        <v/>
      </c>
      <c r="S2684" s="53" t="str">
        <f t="shared" si="586"/>
        <v/>
      </c>
      <c r="T2684" s="53" t="str">
        <f t="shared" si="587"/>
        <v/>
      </c>
    </row>
    <row r="2685" spans="1:20">
      <c r="A2685" s="47" t="str">
        <f>IF(archive!E2685="","",archive!E2685)</f>
        <v/>
      </c>
      <c r="B2685" s="48" t="str">
        <f t="shared" si="574"/>
        <v/>
      </c>
      <c r="C2685" s="49" t="str">
        <f>IF(archive!F2685="","",archive!F2685)</f>
        <v/>
      </c>
      <c r="D2685" s="50" t="str">
        <f t="shared" si="575"/>
        <v/>
      </c>
      <c r="E2685" s="50" t="str">
        <f t="shared" si="576"/>
        <v/>
      </c>
      <c r="F2685" s="47" t="str">
        <f>IF(COUNTA(archive!H2685:CI2685)=0,"",COUNTA(archive!H2685:CI2685))</f>
        <v/>
      </c>
      <c r="G2685" s="47" t="str">
        <f>IF(archive!G2685="","",archive!G2685)</f>
        <v/>
      </c>
      <c r="H2685" s="51" t="str">
        <f>IF(archive!CJ2685="","",archive!CJ2685)</f>
        <v/>
      </c>
      <c r="I2685" s="51" t="str">
        <f>IF(archive!CK2685="","",archive!CK2685)</f>
        <v/>
      </c>
      <c r="J2685" s="47" t="str">
        <f t="shared" si="577"/>
        <v/>
      </c>
      <c r="K2685" s="51" t="str">
        <f t="shared" si="578"/>
        <v/>
      </c>
      <c r="L2685" s="52" t="str">
        <f t="shared" si="579"/>
        <v/>
      </c>
      <c r="M2685" s="53" t="str">
        <f t="shared" si="580"/>
        <v/>
      </c>
      <c r="N2685" s="53" t="str">
        <f t="shared" si="581"/>
        <v/>
      </c>
      <c r="O2685" s="53" t="str">
        <f t="shared" si="582"/>
        <v/>
      </c>
      <c r="P2685" s="53" t="str">
        <f t="shared" si="583"/>
        <v/>
      </c>
      <c r="Q2685" s="53" t="str">
        <f t="shared" si="584"/>
        <v/>
      </c>
      <c r="R2685" s="53" t="str">
        <f t="shared" si="585"/>
        <v/>
      </c>
      <c r="S2685" s="53" t="str">
        <f t="shared" si="586"/>
        <v/>
      </c>
      <c r="T2685" s="53" t="str">
        <f t="shared" si="587"/>
        <v/>
      </c>
    </row>
    <row r="2686" spans="1:20">
      <c r="A2686" s="47" t="str">
        <f>IF(archive!E2686="","",archive!E2686)</f>
        <v/>
      </c>
      <c r="B2686" s="48" t="str">
        <f t="shared" si="574"/>
        <v/>
      </c>
      <c r="C2686" s="49" t="str">
        <f>IF(archive!F2686="","",archive!F2686)</f>
        <v/>
      </c>
      <c r="D2686" s="50" t="str">
        <f t="shared" si="575"/>
        <v/>
      </c>
      <c r="E2686" s="50" t="str">
        <f t="shared" si="576"/>
        <v/>
      </c>
      <c r="F2686" s="47" t="str">
        <f>IF(COUNTA(archive!H2686:CI2686)=0,"",COUNTA(archive!H2686:CI2686))</f>
        <v/>
      </c>
      <c r="G2686" s="47" t="str">
        <f>IF(archive!G2686="","",archive!G2686)</f>
        <v/>
      </c>
      <c r="H2686" s="51" t="str">
        <f>IF(archive!CJ2686="","",archive!CJ2686)</f>
        <v/>
      </c>
      <c r="I2686" s="51" t="str">
        <f>IF(archive!CK2686="","",archive!CK2686)</f>
        <v/>
      </c>
      <c r="J2686" s="47" t="str">
        <f t="shared" si="577"/>
        <v/>
      </c>
      <c r="K2686" s="51" t="str">
        <f t="shared" si="578"/>
        <v/>
      </c>
      <c r="L2686" s="52" t="str">
        <f t="shared" si="579"/>
        <v/>
      </c>
      <c r="M2686" s="53" t="str">
        <f t="shared" si="580"/>
        <v/>
      </c>
      <c r="N2686" s="53" t="str">
        <f t="shared" si="581"/>
        <v/>
      </c>
      <c r="O2686" s="53" t="str">
        <f t="shared" si="582"/>
        <v/>
      </c>
      <c r="P2686" s="53" t="str">
        <f t="shared" si="583"/>
        <v/>
      </c>
      <c r="Q2686" s="53" t="str">
        <f t="shared" si="584"/>
        <v/>
      </c>
      <c r="R2686" s="53" t="str">
        <f t="shared" si="585"/>
        <v/>
      </c>
      <c r="S2686" s="53" t="str">
        <f t="shared" si="586"/>
        <v/>
      </c>
      <c r="T2686" s="53" t="str">
        <f t="shared" si="587"/>
        <v/>
      </c>
    </row>
    <row r="2687" spans="1:20">
      <c r="A2687" s="47" t="str">
        <f>IF(archive!E2687="","",archive!E2687)</f>
        <v/>
      </c>
      <c r="B2687" s="48" t="str">
        <f t="shared" si="574"/>
        <v/>
      </c>
      <c r="C2687" s="49" t="str">
        <f>IF(archive!F2687="","",archive!F2687)</f>
        <v/>
      </c>
      <c r="D2687" s="50" t="str">
        <f t="shared" si="575"/>
        <v/>
      </c>
      <c r="E2687" s="50" t="str">
        <f t="shared" si="576"/>
        <v/>
      </c>
      <c r="F2687" s="47" t="str">
        <f>IF(COUNTA(archive!H2687:CI2687)=0,"",COUNTA(archive!H2687:CI2687))</f>
        <v/>
      </c>
      <c r="G2687" s="47" t="str">
        <f>IF(archive!G2687="","",archive!G2687)</f>
        <v/>
      </c>
      <c r="H2687" s="51" t="str">
        <f>IF(archive!CJ2687="","",archive!CJ2687)</f>
        <v/>
      </c>
      <c r="I2687" s="51" t="str">
        <f>IF(archive!CK2687="","",archive!CK2687)</f>
        <v/>
      </c>
      <c r="J2687" s="47" t="str">
        <f t="shared" si="577"/>
        <v/>
      </c>
      <c r="K2687" s="51" t="str">
        <f t="shared" si="578"/>
        <v/>
      </c>
      <c r="L2687" s="52" t="str">
        <f t="shared" si="579"/>
        <v/>
      </c>
      <c r="M2687" s="53" t="str">
        <f t="shared" si="580"/>
        <v/>
      </c>
      <c r="N2687" s="53" t="str">
        <f t="shared" si="581"/>
        <v/>
      </c>
      <c r="O2687" s="53" t="str">
        <f t="shared" si="582"/>
        <v/>
      </c>
      <c r="P2687" s="53" t="str">
        <f t="shared" si="583"/>
        <v/>
      </c>
      <c r="Q2687" s="53" t="str">
        <f t="shared" si="584"/>
        <v/>
      </c>
      <c r="R2687" s="53" t="str">
        <f t="shared" si="585"/>
        <v/>
      </c>
      <c r="S2687" s="53" t="str">
        <f t="shared" si="586"/>
        <v/>
      </c>
      <c r="T2687" s="53" t="str">
        <f t="shared" si="587"/>
        <v/>
      </c>
    </row>
    <row r="2688" spans="1:20">
      <c r="A2688" s="47" t="str">
        <f>IF(archive!E2688="","",archive!E2688)</f>
        <v/>
      </c>
      <c r="B2688" s="48" t="str">
        <f t="shared" si="574"/>
        <v/>
      </c>
      <c r="C2688" s="49" t="str">
        <f>IF(archive!F2688="","",archive!F2688)</f>
        <v/>
      </c>
      <c r="D2688" s="50" t="str">
        <f t="shared" si="575"/>
        <v/>
      </c>
      <c r="E2688" s="50" t="str">
        <f t="shared" si="576"/>
        <v/>
      </c>
      <c r="F2688" s="47" t="str">
        <f>IF(COUNTA(archive!H2688:CI2688)=0,"",COUNTA(archive!H2688:CI2688))</f>
        <v/>
      </c>
      <c r="G2688" s="47" t="str">
        <f>IF(archive!G2688="","",archive!G2688)</f>
        <v/>
      </c>
      <c r="H2688" s="51" t="str">
        <f>IF(archive!CJ2688="","",archive!CJ2688)</f>
        <v/>
      </c>
      <c r="I2688" s="51" t="str">
        <f>IF(archive!CK2688="","",archive!CK2688)</f>
        <v/>
      </c>
      <c r="J2688" s="47" t="str">
        <f t="shared" si="577"/>
        <v/>
      </c>
      <c r="K2688" s="51" t="str">
        <f t="shared" si="578"/>
        <v/>
      </c>
      <c r="L2688" s="52" t="str">
        <f t="shared" si="579"/>
        <v/>
      </c>
      <c r="M2688" s="53" t="str">
        <f t="shared" si="580"/>
        <v/>
      </c>
      <c r="N2688" s="53" t="str">
        <f t="shared" si="581"/>
        <v/>
      </c>
      <c r="O2688" s="53" t="str">
        <f t="shared" si="582"/>
        <v/>
      </c>
      <c r="P2688" s="53" t="str">
        <f t="shared" si="583"/>
        <v/>
      </c>
      <c r="Q2688" s="53" t="str">
        <f t="shared" si="584"/>
        <v/>
      </c>
      <c r="R2688" s="53" t="str">
        <f t="shared" si="585"/>
        <v/>
      </c>
      <c r="S2688" s="53" t="str">
        <f t="shared" si="586"/>
        <v/>
      </c>
      <c r="T2688" s="53" t="str">
        <f t="shared" si="587"/>
        <v/>
      </c>
    </row>
    <row r="2689" spans="1:20">
      <c r="A2689" s="47" t="str">
        <f>IF(archive!E2689="","",archive!E2689)</f>
        <v/>
      </c>
      <c r="B2689" s="48" t="str">
        <f t="shared" si="574"/>
        <v/>
      </c>
      <c r="C2689" s="49" t="str">
        <f>IF(archive!F2689="","",archive!F2689)</f>
        <v/>
      </c>
      <c r="D2689" s="50" t="str">
        <f t="shared" si="575"/>
        <v/>
      </c>
      <c r="E2689" s="50" t="str">
        <f t="shared" si="576"/>
        <v/>
      </c>
      <c r="F2689" s="47" t="str">
        <f>IF(COUNTA(archive!H2689:CI2689)=0,"",COUNTA(archive!H2689:CI2689))</f>
        <v/>
      </c>
      <c r="G2689" s="47" t="str">
        <f>IF(archive!G2689="","",archive!G2689)</f>
        <v/>
      </c>
      <c r="H2689" s="51" t="str">
        <f>IF(archive!CJ2689="","",archive!CJ2689)</f>
        <v/>
      </c>
      <c r="I2689" s="51" t="str">
        <f>IF(archive!CK2689="","",archive!CK2689)</f>
        <v/>
      </c>
      <c r="J2689" s="47" t="str">
        <f t="shared" si="577"/>
        <v/>
      </c>
      <c r="K2689" s="51" t="str">
        <f t="shared" si="578"/>
        <v/>
      </c>
      <c r="L2689" s="52" t="str">
        <f t="shared" si="579"/>
        <v/>
      </c>
      <c r="M2689" s="53" t="str">
        <f t="shared" si="580"/>
        <v/>
      </c>
      <c r="N2689" s="53" t="str">
        <f t="shared" si="581"/>
        <v/>
      </c>
      <c r="O2689" s="53" t="str">
        <f t="shared" si="582"/>
        <v/>
      </c>
      <c r="P2689" s="53" t="str">
        <f t="shared" si="583"/>
        <v/>
      </c>
      <c r="Q2689" s="53" t="str">
        <f t="shared" si="584"/>
        <v/>
      </c>
      <c r="R2689" s="53" t="str">
        <f t="shared" si="585"/>
        <v/>
      </c>
      <c r="S2689" s="53" t="str">
        <f t="shared" si="586"/>
        <v/>
      </c>
      <c r="T2689" s="53" t="str">
        <f t="shared" si="587"/>
        <v/>
      </c>
    </row>
    <row r="2690" spans="1:20">
      <c r="A2690" s="47" t="str">
        <f>IF(archive!E2690="","",archive!E2690)</f>
        <v/>
      </c>
      <c r="B2690" s="48" t="str">
        <f t="shared" si="574"/>
        <v/>
      </c>
      <c r="C2690" s="49" t="str">
        <f>IF(archive!F2690="","",archive!F2690)</f>
        <v/>
      </c>
      <c r="D2690" s="50" t="str">
        <f t="shared" si="575"/>
        <v/>
      </c>
      <c r="E2690" s="50" t="str">
        <f t="shared" si="576"/>
        <v/>
      </c>
      <c r="F2690" s="47" t="str">
        <f>IF(COUNTA(archive!H2690:CI2690)=0,"",COUNTA(archive!H2690:CI2690))</f>
        <v/>
      </c>
      <c r="G2690" s="47" t="str">
        <f>IF(archive!G2690="","",archive!G2690)</f>
        <v/>
      </c>
      <c r="H2690" s="51" t="str">
        <f>IF(archive!CJ2690="","",archive!CJ2690)</f>
        <v/>
      </c>
      <c r="I2690" s="51" t="str">
        <f>IF(archive!CK2690="","",archive!CK2690)</f>
        <v/>
      </c>
      <c r="J2690" s="47" t="str">
        <f t="shared" si="577"/>
        <v/>
      </c>
      <c r="K2690" s="51" t="str">
        <f t="shared" si="578"/>
        <v/>
      </c>
      <c r="L2690" s="52" t="str">
        <f t="shared" si="579"/>
        <v/>
      </c>
      <c r="M2690" s="53" t="str">
        <f t="shared" si="580"/>
        <v/>
      </c>
      <c r="N2690" s="53" t="str">
        <f t="shared" si="581"/>
        <v/>
      </c>
      <c r="O2690" s="53" t="str">
        <f t="shared" si="582"/>
        <v/>
      </c>
      <c r="P2690" s="53" t="str">
        <f t="shared" si="583"/>
        <v/>
      </c>
      <c r="Q2690" s="53" t="str">
        <f t="shared" si="584"/>
        <v/>
      </c>
      <c r="R2690" s="53" t="str">
        <f t="shared" si="585"/>
        <v/>
      </c>
      <c r="S2690" s="53" t="str">
        <f t="shared" si="586"/>
        <v/>
      </c>
      <c r="T2690" s="53" t="str">
        <f t="shared" si="587"/>
        <v/>
      </c>
    </row>
    <row r="2691" spans="1:20">
      <c r="A2691" s="47" t="str">
        <f>IF(archive!E2691="","",archive!E2691)</f>
        <v/>
      </c>
      <c r="B2691" s="48" t="str">
        <f t="shared" si="574"/>
        <v/>
      </c>
      <c r="C2691" s="49" t="str">
        <f>IF(archive!F2691="","",archive!F2691)</f>
        <v/>
      </c>
      <c r="D2691" s="50" t="str">
        <f t="shared" si="575"/>
        <v/>
      </c>
      <c r="E2691" s="50" t="str">
        <f t="shared" si="576"/>
        <v/>
      </c>
      <c r="F2691" s="47" t="str">
        <f>IF(COUNTA(archive!H2691:CI2691)=0,"",COUNTA(archive!H2691:CI2691))</f>
        <v/>
      </c>
      <c r="G2691" s="47" t="str">
        <f>IF(archive!G2691="","",archive!G2691)</f>
        <v/>
      </c>
      <c r="H2691" s="51" t="str">
        <f>IF(archive!CJ2691="","",archive!CJ2691)</f>
        <v/>
      </c>
      <c r="I2691" s="51" t="str">
        <f>IF(archive!CK2691="","",archive!CK2691)</f>
        <v/>
      </c>
      <c r="J2691" s="47" t="str">
        <f t="shared" si="577"/>
        <v/>
      </c>
      <c r="K2691" s="51" t="str">
        <f t="shared" si="578"/>
        <v/>
      </c>
      <c r="L2691" s="52" t="str">
        <f t="shared" si="579"/>
        <v/>
      </c>
      <c r="M2691" s="53" t="str">
        <f t="shared" si="580"/>
        <v/>
      </c>
      <c r="N2691" s="53" t="str">
        <f t="shared" si="581"/>
        <v/>
      </c>
      <c r="O2691" s="53" t="str">
        <f t="shared" si="582"/>
        <v/>
      </c>
      <c r="P2691" s="53" t="str">
        <f t="shared" si="583"/>
        <v/>
      </c>
      <c r="Q2691" s="53" t="str">
        <f t="shared" si="584"/>
        <v/>
      </c>
      <c r="R2691" s="53" t="str">
        <f t="shared" si="585"/>
        <v/>
      </c>
      <c r="S2691" s="53" t="str">
        <f t="shared" si="586"/>
        <v/>
      </c>
      <c r="T2691" s="53" t="str">
        <f t="shared" si="587"/>
        <v/>
      </c>
    </row>
    <row r="2692" spans="1:20">
      <c r="A2692" s="47" t="str">
        <f>IF(archive!E2692="","",archive!E2692)</f>
        <v/>
      </c>
      <c r="B2692" s="48" t="str">
        <f t="shared" ref="B2692:B2724" si="588">IF(C2692="","",VLOOKUP($C2692,Tare,2,0))</f>
        <v/>
      </c>
      <c r="C2692" s="49" t="str">
        <f>IF(archive!F2692="","",archive!F2692)</f>
        <v/>
      </c>
      <c r="D2692" s="50" t="str">
        <f t="shared" ref="D2692:D2724" si="589">IF(C2692="","",C2692+B2692)</f>
        <v/>
      </c>
      <c r="E2692" s="50" t="str">
        <f t="shared" ref="E2692:E2724" si="590">IF(C2692="","",(C2692*0.025)+D2692)</f>
        <v/>
      </c>
      <c r="F2692" s="47" t="str">
        <f>IF(COUNTA(archive!H2692:CI2692)=0,"",COUNTA(archive!H2692:CI2692))</f>
        <v/>
      </c>
      <c r="G2692" s="47" t="str">
        <f>IF(archive!G2692="","",archive!G2692)</f>
        <v/>
      </c>
      <c r="H2692" s="51" t="str">
        <f>IF(archive!CJ2692="","",archive!CJ2692)</f>
        <v/>
      </c>
      <c r="I2692" s="51" t="str">
        <f>IF(archive!CK2692="","",archive!CK2692)</f>
        <v/>
      </c>
      <c r="J2692" s="47" t="str">
        <f t="shared" ref="J2692:J2724" si="591">IF(F2692="","",VLOOKUP(F2692,Valeur_g,2,0))</f>
        <v/>
      </c>
      <c r="K2692" s="51" t="str">
        <f t="shared" ref="K2692:K2724" si="592">IF(C2692="","",D2692+(J2692*I2692))</f>
        <v/>
      </c>
      <c r="L2692" s="52" t="str">
        <f t="shared" ref="L2692:L2724" si="593">IF(C2692="","",IF(K2692&lt;H2692,"Conforme","Non conforme"))</f>
        <v/>
      </c>
      <c r="M2692" s="53" t="str">
        <f t="shared" ref="M2692:M2724" si="594">IF(C2692="","",1)</f>
        <v/>
      </c>
      <c r="N2692" s="53" t="str">
        <f t="shared" ref="N2692:N2724" si="595">IF(L2692="","",COUNTIF(L2692,"Non conforme"))</f>
        <v/>
      </c>
      <c r="O2692" s="53" t="str">
        <f t="shared" ref="O2692:O2724" si="596">IF($C2692="","",IF($C2692=0.25,$G2692,"-"))</f>
        <v/>
      </c>
      <c r="P2692" s="53" t="str">
        <f t="shared" ref="P2692:P2724" si="597">IF($C2692="","",IF($C2692=0.4,$G2692,"-"))</f>
        <v/>
      </c>
      <c r="Q2692" s="53" t="str">
        <f t="shared" ref="Q2692:Q2724" si="598">IF($C2692="","",IF($C2692=0.5,$G2692,"-"))</f>
        <v/>
      </c>
      <c r="R2692" s="53" t="str">
        <f t="shared" ref="R2692:R2724" si="599">IF($C2692="","",IF($C2692=0.6,$G2692,"-"))</f>
        <v/>
      </c>
      <c r="S2692" s="53" t="str">
        <f t="shared" ref="S2692:S2724" si="600">IF($C2692="","",IF($C2692=0.8,$G2692,"-"))</f>
        <v/>
      </c>
      <c r="T2692" s="53" t="str">
        <f t="shared" ref="T2692:T2724" si="601">IF($C2692="","",IF($C2692=1,$G2692,"-"))</f>
        <v/>
      </c>
    </row>
    <row r="2693" spans="1:20">
      <c r="A2693" s="47" t="str">
        <f>IF(archive!E2693="","",archive!E2693)</f>
        <v/>
      </c>
      <c r="B2693" s="48" t="str">
        <f t="shared" si="588"/>
        <v/>
      </c>
      <c r="C2693" s="49" t="str">
        <f>IF(archive!F2693="","",archive!F2693)</f>
        <v/>
      </c>
      <c r="D2693" s="50" t="str">
        <f t="shared" si="589"/>
        <v/>
      </c>
      <c r="E2693" s="50" t="str">
        <f t="shared" si="590"/>
        <v/>
      </c>
      <c r="F2693" s="47" t="str">
        <f>IF(COUNTA(archive!H2693:CI2693)=0,"",COUNTA(archive!H2693:CI2693))</f>
        <v/>
      </c>
      <c r="G2693" s="47" t="str">
        <f>IF(archive!G2693="","",archive!G2693)</f>
        <v/>
      </c>
      <c r="H2693" s="51" t="str">
        <f>IF(archive!CJ2693="","",archive!CJ2693)</f>
        <v/>
      </c>
      <c r="I2693" s="51" t="str">
        <f>IF(archive!CK2693="","",archive!CK2693)</f>
        <v/>
      </c>
      <c r="J2693" s="47" t="str">
        <f t="shared" si="591"/>
        <v/>
      </c>
      <c r="K2693" s="51" t="str">
        <f t="shared" si="592"/>
        <v/>
      </c>
      <c r="L2693" s="52" t="str">
        <f t="shared" si="593"/>
        <v/>
      </c>
      <c r="M2693" s="53" t="str">
        <f t="shared" si="594"/>
        <v/>
      </c>
      <c r="N2693" s="53" t="str">
        <f t="shared" si="595"/>
        <v/>
      </c>
      <c r="O2693" s="53" t="str">
        <f t="shared" si="596"/>
        <v/>
      </c>
      <c r="P2693" s="53" t="str">
        <f t="shared" si="597"/>
        <v/>
      </c>
      <c r="Q2693" s="53" t="str">
        <f t="shared" si="598"/>
        <v/>
      </c>
      <c r="R2693" s="53" t="str">
        <f t="shared" si="599"/>
        <v/>
      </c>
      <c r="S2693" s="53" t="str">
        <f t="shared" si="600"/>
        <v/>
      </c>
      <c r="T2693" s="53" t="str">
        <f t="shared" si="601"/>
        <v/>
      </c>
    </row>
    <row r="2694" spans="1:20">
      <c r="A2694" s="47" t="str">
        <f>IF(archive!E2694="","",archive!E2694)</f>
        <v/>
      </c>
      <c r="B2694" s="48" t="str">
        <f t="shared" si="588"/>
        <v/>
      </c>
      <c r="C2694" s="49" t="str">
        <f>IF(archive!F2694="","",archive!F2694)</f>
        <v/>
      </c>
      <c r="D2694" s="50" t="str">
        <f t="shared" si="589"/>
        <v/>
      </c>
      <c r="E2694" s="50" t="str">
        <f t="shared" si="590"/>
        <v/>
      </c>
      <c r="F2694" s="47" t="str">
        <f>IF(COUNTA(archive!H2694:CI2694)=0,"",COUNTA(archive!H2694:CI2694))</f>
        <v/>
      </c>
      <c r="G2694" s="47" t="str">
        <f>IF(archive!G2694="","",archive!G2694)</f>
        <v/>
      </c>
      <c r="H2694" s="51" t="str">
        <f>IF(archive!CJ2694="","",archive!CJ2694)</f>
        <v/>
      </c>
      <c r="I2694" s="51" t="str">
        <f>IF(archive!CK2694="","",archive!CK2694)</f>
        <v/>
      </c>
      <c r="J2694" s="47" t="str">
        <f t="shared" si="591"/>
        <v/>
      </c>
      <c r="K2694" s="51" t="str">
        <f t="shared" si="592"/>
        <v/>
      </c>
      <c r="L2694" s="52" t="str">
        <f t="shared" si="593"/>
        <v/>
      </c>
      <c r="M2694" s="53" t="str">
        <f t="shared" si="594"/>
        <v/>
      </c>
      <c r="N2694" s="53" t="str">
        <f t="shared" si="595"/>
        <v/>
      </c>
      <c r="O2694" s="53" t="str">
        <f t="shared" si="596"/>
        <v/>
      </c>
      <c r="P2694" s="53" t="str">
        <f t="shared" si="597"/>
        <v/>
      </c>
      <c r="Q2694" s="53" t="str">
        <f t="shared" si="598"/>
        <v/>
      </c>
      <c r="R2694" s="53" t="str">
        <f t="shared" si="599"/>
        <v/>
      </c>
      <c r="S2694" s="53" t="str">
        <f t="shared" si="600"/>
        <v/>
      </c>
      <c r="T2694" s="53" t="str">
        <f t="shared" si="601"/>
        <v/>
      </c>
    </row>
    <row r="2695" spans="1:20">
      <c r="A2695" s="47" t="str">
        <f>IF(archive!E2695="","",archive!E2695)</f>
        <v/>
      </c>
      <c r="B2695" s="48" t="str">
        <f t="shared" si="588"/>
        <v/>
      </c>
      <c r="C2695" s="49" t="str">
        <f>IF(archive!F2695="","",archive!F2695)</f>
        <v/>
      </c>
      <c r="D2695" s="50" t="str">
        <f t="shared" si="589"/>
        <v/>
      </c>
      <c r="E2695" s="50" t="str">
        <f t="shared" si="590"/>
        <v/>
      </c>
      <c r="F2695" s="47" t="str">
        <f>IF(COUNTA(archive!H2695:CI2695)=0,"",COUNTA(archive!H2695:CI2695))</f>
        <v/>
      </c>
      <c r="G2695" s="47" t="str">
        <f>IF(archive!G2695="","",archive!G2695)</f>
        <v/>
      </c>
      <c r="H2695" s="51" t="str">
        <f>IF(archive!CJ2695="","",archive!CJ2695)</f>
        <v/>
      </c>
      <c r="I2695" s="51" t="str">
        <f>IF(archive!CK2695="","",archive!CK2695)</f>
        <v/>
      </c>
      <c r="J2695" s="47" t="str">
        <f t="shared" si="591"/>
        <v/>
      </c>
      <c r="K2695" s="51" t="str">
        <f t="shared" si="592"/>
        <v/>
      </c>
      <c r="L2695" s="52" t="str">
        <f t="shared" si="593"/>
        <v/>
      </c>
      <c r="M2695" s="53" t="str">
        <f t="shared" si="594"/>
        <v/>
      </c>
      <c r="N2695" s="53" t="str">
        <f t="shared" si="595"/>
        <v/>
      </c>
      <c r="O2695" s="53" t="str">
        <f t="shared" si="596"/>
        <v/>
      </c>
      <c r="P2695" s="53" t="str">
        <f t="shared" si="597"/>
        <v/>
      </c>
      <c r="Q2695" s="53" t="str">
        <f t="shared" si="598"/>
        <v/>
      </c>
      <c r="R2695" s="53" t="str">
        <f t="shared" si="599"/>
        <v/>
      </c>
      <c r="S2695" s="53" t="str">
        <f t="shared" si="600"/>
        <v/>
      </c>
      <c r="T2695" s="53" t="str">
        <f t="shared" si="601"/>
        <v/>
      </c>
    </row>
    <row r="2696" spans="1:20">
      <c r="A2696" s="47" t="str">
        <f>IF(archive!E2696="","",archive!E2696)</f>
        <v/>
      </c>
      <c r="B2696" s="48" t="str">
        <f t="shared" si="588"/>
        <v/>
      </c>
      <c r="C2696" s="49" t="str">
        <f>IF(archive!F2696="","",archive!F2696)</f>
        <v/>
      </c>
      <c r="D2696" s="50" t="str">
        <f t="shared" si="589"/>
        <v/>
      </c>
      <c r="E2696" s="50" t="str">
        <f t="shared" si="590"/>
        <v/>
      </c>
      <c r="F2696" s="47" t="str">
        <f>IF(COUNTA(archive!H2696:CI2696)=0,"",COUNTA(archive!H2696:CI2696))</f>
        <v/>
      </c>
      <c r="G2696" s="47" t="str">
        <f>IF(archive!G2696="","",archive!G2696)</f>
        <v/>
      </c>
      <c r="H2696" s="51" t="str">
        <f>IF(archive!CJ2696="","",archive!CJ2696)</f>
        <v/>
      </c>
      <c r="I2696" s="51" t="str">
        <f>IF(archive!CK2696="","",archive!CK2696)</f>
        <v/>
      </c>
      <c r="J2696" s="47" t="str">
        <f t="shared" si="591"/>
        <v/>
      </c>
      <c r="K2696" s="51" t="str">
        <f t="shared" si="592"/>
        <v/>
      </c>
      <c r="L2696" s="52" t="str">
        <f t="shared" si="593"/>
        <v/>
      </c>
      <c r="M2696" s="53" t="str">
        <f t="shared" si="594"/>
        <v/>
      </c>
      <c r="N2696" s="53" t="str">
        <f t="shared" si="595"/>
        <v/>
      </c>
      <c r="O2696" s="53" t="str">
        <f t="shared" si="596"/>
        <v/>
      </c>
      <c r="P2696" s="53" t="str">
        <f t="shared" si="597"/>
        <v/>
      </c>
      <c r="Q2696" s="53" t="str">
        <f t="shared" si="598"/>
        <v/>
      </c>
      <c r="R2696" s="53" t="str">
        <f t="shared" si="599"/>
        <v/>
      </c>
      <c r="S2696" s="53" t="str">
        <f t="shared" si="600"/>
        <v/>
      </c>
      <c r="T2696" s="53" t="str">
        <f t="shared" si="601"/>
        <v/>
      </c>
    </row>
    <row r="2697" spans="1:20">
      <c r="A2697" s="47" t="str">
        <f>IF(archive!E2697="","",archive!E2697)</f>
        <v/>
      </c>
      <c r="B2697" s="48" t="str">
        <f t="shared" si="588"/>
        <v/>
      </c>
      <c r="C2697" s="49" t="str">
        <f>IF(archive!F2697="","",archive!F2697)</f>
        <v/>
      </c>
      <c r="D2697" s="50" t="str">
        <f t="shared" si="589"/>
        <v/>
      </c>
      <c r="E2697" s="50" t="str">
        <f t="shared" si="590"/>
        <v/>
      </c>
      <c r="F2697" s="47" t="str">
        <f>IF(COUNTA(archive!H2697:CI2697)=0,"",COUNTA(archive!H2697:CI2697))</f>
        <v/>
      </c>
      <c r="G2697" s="47" t="str">
        <f>IF(archive!G2697="","",archive!G2697)</f>
        <v/>
      </c>
      <c r="H2697" s="51" t="str">
        <f>IF(archive!CJ2697="","",archive!CJ2697)</f>
        <v/>
      </c>
      <c r="I2697" s="51" t="str">
        <f>IF(archive!CK2697="","",archive!CK2697)</f>
        <v/>
      </c>
      <c r="J2697" s="47" t="str">
        <f t="shared" si="591"/>
        <v/>
      </c>
      <c r="K2697" s="51" t="str">
        <f t="shared" si="592"/>
        <v/>
      </c>
      <c r="L2697" s="52" t="str">
        <f t="shared" si="593"/>
        <v/>
      </c>
      <c r="M2697" s="53" t="str">
        <f t="shared" si="594"/>
        <v/>
      </c>
      <c r="N2697" s="53" t="str">
        <f t="shared" si="595"/>
        <v/>
      </c>
      <c r="O2697" s="53" t="str">
        <f t="shared" si="596"/>
        <v/>
      </c>
      <c r="P2697" s="53" t="str">
        <f t="shared" si="597"/>
        <v/>
      </c>
      <c r="Q2697" s="53" t="str">
        <f t="shared" si="598"/>
        <v/>
      </c>
      <c r="R2697" s="53" t="str">
        <f t="shared" si="599"/>
        <v/>
      </c>
      <c r="S2697" s="53" t="str">
        <f t="shared" si="600"/>
        <v/>
      </c>
      <c r="T2697" s="53" t="str">
        <f t="shared" si="601"/>
        <v/>
      </c>
    </row>
    <row r="2698" spans="1:20">
      <c r="A2698" s="47" t="str">
        <f>IF(archive!E2698="","",archive!E2698)</f>
        <v/>
      </c>
      <c r="B2698" s="48" t="str">
        <f t="shared" si="588"/>
        <v/>
      </c>
      <c r="C2698" s="49" t="str">
        <f>IF(archive!F2698="","",archive!F2698)</f>
        <v/>
      </c>
      <c r="D2698" s="50" t="str">
        <f t="shared" si="589"/>
        <v/>
      </c>
      <c r="E2698" s="50" t="str">
        <f t="shared" si="590"/>
        <v/>
      </c>
      <c r="F2698" s="47" t="str">
        <f>IF(COUNTA(archive!H2698:CI2698)=0,"",COUNTA(archive!H2698:CI2698))</f>
        <v/>
      </c>
      <c r="G2698" s="47" t="str">
        <f>IF(archive!G2698="","",archive!G2698)</f>
        <v/>
      </c>
      <c r="H2698" s="51" t="str">
        <f>IF(archive!CJ2698="","",archive!CJ2698)</f>
        <v/>
      </c>
      <c r="I2698" s="51" t="str">
        <f>IF(archive!CK2698="","",archive!CK2698)</f>
        <v/>
      </c>
      <c r="J2698" s="47" t="str">
        <f t="shared" si="591"/>
        <v/>
      </c>
      <c r="K2698" s="51" t="str">
        <f t="shared" si="592"/>
        <v/>
      </c>
      <c r="L2698" s="52" t="str">
        <f t="shared" si="593"/>
        <v/>
      </c>
      <c r="M2698" s="53" t="str">
        <f t="shared" si="594"/>
        <v/>
      </c>
      <c r="N2698" s="53" t="str">
        <f t="shared" si="595"/>
        <v/>
      </c>
      <c r="O2698" s="53" t="str">
        <f t="shared" si="596"/>
        <v/>
      </c>
      <c r="P2698" s="53" t="str">
        <f t="shared" si="597"/>
        <v/>
      </c>
      <c r="Q2698" s="53" t="str">
        <f t="shared" si="598"/>
        <v/>
      </c>
      <c r="R2698" s="53" t="str">
        <f t="shared" si="599"/>
        <v/>
      </c>
      <c r="S2698" s="53" t="str">
        <f t="shared" si="600"/>
        <v/>
      </c>
      <c r="T2698" s="53" t="str">
        <f t="shared" si="601"/>
        <v/>
      </c>
    </row>
    <row r="2699" spans="1:20">
      <c r="A2699" s="47" t="str">
        <f>IF(archive!E2699="","",archive!E2699)</f>
        <v/>
      </c>
      <c r="B2699" s="48" t="str">
        <f t="shared" si="588"/>
        <v/>
      </c>
      <c r="C2699" s="49" t="str">
        <f>IF(archive!F2699="","",archive!F2699)</f>
        <v/>
      </c>
      <c r="D2699" s="50" t="str">
        <f t="shared" si="589"/>
        <v/>
      </c>
      <c r="E2699" s="50" t="str">
        <f t="shared" si="590"/>
        <v/>
      </c>
      <c r="F2699" s="47" t="str">
        <f>IF(COUNTA(archive!H2699:CI2699)=0,"",COUNTA(archive!H2699:CI2699))</f>
        <v/>
      </c>
      <c r="G2699" s="47" t="str">
        <f>IF(archive!G2699="","",archive!G2699)</f>
        <v/>
      </c>
      <c r="H2699" s="51" t="str">
        <f>IF(archive!CJ2699="","",archive!CJ2699)</f>
        <v/>
      </c>
      <c r="I2699" s="51" t="str">
        <f>IF(archive!CK2699="","",archive!CK2699)</f>
        <v/>
      </c>
      <c r="J2699" s="47" t="str">
        <f t="shared" si="591"/>
        <v/>
      </c>
      <c r="K2699" s="51" t="str">
        <f t="shared" si="592"/>
        <v/>
      </c>
      <c r="L2699" s="52" t="str">
        <f t="shared" si="593"/>
        <v/>
      </c>
      <c r="M2699" s="53" t="str">
        <f t="shared" si="594"/>
        <v/>
      </c>
      <c r="N2699" s="53" t="str">
        <f t="shared" si="595"/>
        <v/>
      </c>
      <c r="O2699" s="53" t="str">
        <f t="shared" si="596"/>
        <v/>
      </c>
      <c r="P2699" s="53" t="str">
        <f t="shared" si="597"/>
        <v/>
      </c>
      <c r="Q2699" s="53" t="str">
        <f t="shared" si="598"/>
        <v/>
      </c>
      <c r="R2699" s="53" t="str">
        <f t="shared" si="599"/>
        <v/>
      </c>
      <c r="S2699" s="53" t="str">
        <f t="shared" si="600"/>
        <v/>
      </c>
      <c r="T2699" s="53" t="str">
        <f t="shared" si="601"/>
        <v/>
      </c>
    </row>
    <row r="2700" spans="1:20">
      <c r="A2700" s="47" t="str">
        <f>IF(archive!E2700="","",archive!E2700)</f>
        <v/>
      </c>
      <c r="B2700" s="48" t="str">
        <f t="shared" si="588"/>
        <v/>
      </c>
      <c r="C2700" s="49" t="str">
        <f>IF(archive!F2700="","",archive!F2700)</f>
        <v/>
      </c>
      <c r="D2700" s="50" t="str">
        <f t="shared" si="589"/>
        <v/>
      </c>
      <c r="E2700" s="50" t="str">
        <f t="shared" si="590"/>
        <v/>
      </c>
      <c r="F2700" s="47" t="str">
        <f>IF(COUNTA(archive!H2700:CI2700)=0,"",COUNTA(archive!H2700:CI2700))</f>
        <v/>
      </c>
      <c r="G2700" s="47" t="str">
        <f>IF(archive!G2700="","",archive!G2700)</f>
        <v/>
      </c>
      <c r="H2700" s="51" t="str">
        <f>IF(archive!CJ2700="","",archive!CJ2700)</f>
        <v/>
      </c>
      <c r="I2700" s="51" t="str">
        <f>IF(archive!CK2700="","",archive!CK2700)</f>
        <v/>
      </c>
      <c r="J2700" s="47" t="str">
        <f t="shared" si="591"/>
        <v/>
      </c>
      <c r="K2700" s="51" t="str">
        <f t="shared" si="592"/>
        <v/>
      </c>
      <c r="L2700" s="52" t="str">
        <f t="shared" si="593"/>
        <v/>
      </c>
      <c r="M2700" s="53" t="str">
        <f t="shared" si="594"/>
        <v/>
      </c>
      <c r="N2700" s="53" t="str">
        <f t="shared" si="595"/>
        <v/>
      </c>
      <c r="O2700" s="53" t="str">
        <f t="shared" si="596"/>
        <v/>
      </c>
      <c r="P2700" s="53" t="str">
        <f t="shared" si="597"/>
        <v/>
      </c>
      <c r="Q2700" s="53" t="str">
        <f t="shared" si="598"/>
        <v/>
      </c>
      <c r="R2700" s="53" t="str">
        <f t="shared" si="599"/>
        <v/>
      </c>
      <c r="S2700" s="53" t="str">
        <f t="shared" si="600"/>
        <v/>
      </c>
      <c r="T2700" s="53" t="str">
        <f t="shared" si="601"/>
        <v/>
      </c>
    </row>
    <row r="2701" spans="1:20">
      <c r="A2701" s="47" t="str">
        <f>IF(archive!E2701="","",archive!E2701)</f>
        <v/>
      </c>
      <c r="B2701" s="48" t="str">
        <f t="shared" si="588"/>
        <v/>
      </c>
      <c r="C2701" s="49" t="str">
        <f>IF(archive!F2701="","",archive!F2701)</f>
        <v/>
      </c>
      <c r="D2701" s="50" t="str">
        <f t="shared" si="589"/>
        <v/>
      </c>
      <c r="E2701" s="50" t="str">
        <f t="shared" si="590"/>
        <v/>
      </c>
      <c r="F2701" s="47" t="str">
        <f>IF(COUNTA(archive!H2701:CI2701)=0,"",COUNTA(archive!H2701:CI2701))</f>
        <v/>
      </c>
      <c r="G2701" s="47" t="str">
        <f>IF(archive!G2701="","",archive!G2701)</f>
        <v/>
      </c>
      <c r="H2701" s="51" t="str">
        <f>IF(archive!CJ2701="","",archive!CJ2701)</f>
        <v/>
      </c>
      <c r="I2701" s="51" t="str">
        <f>IF(archive!CK2701="","",archive!CK2701)</f>
        <v/>
      </c>
      <c r="J2701" s="47" t="str">
        <f t="shared" si="591"/>
        <v/>
      </c>
      <c r="K2701" s="51" t="str">
        <f t="shared" si="592"/>
        <v/>
      </c>
      <c r="L2701" s="52" t="str">
        <f t="shared" si="593"/>
        <v/>
      </c>
      <c r="M2701" s="53" t="str">
        <f t="shared" si="594"/>
        <v/>
      </c>
      <c r="N2701" s="53" t="str">
        <f t="shared" si="595"/>
        <v/>
      </c>
      <c r="O2701" s="53" t="str">
        <f t="shared" si="596"/>
        <v/>
      </c>
      <c r="P2701" s="53" t="str">
        <f t="shared" si="597"/>
        <v/>
      </c>
      <c r="Q2701" s="53" t="str">
        <f t="shared" si="598"/>
        <v/>
      </c>
      <c r="R2701" s="53" t="str">
        <f t="shared" si="599"/>
        <v/>
      </c>
      <c r="S2701" s="53" t="str">
        <f t="shared" si="600"/>
        <v/>
      </c>
      <c r="T2701" s="53" t="str">
        <f t="shared" si="601"/>
        <v/>
      </c>
    </row>
    <row r="2702" spans="1:20">
      <c r="A2702" s="47" t="str">
        <f>IF(archive!E2702="","",archive!E2702)</f>
        <v/>
      </c>
      <c r="B2702" s="48" t="str">
        <f t="shared" si="588"/>
        <v/>
      </c>
      <c r="C2702" s="49" t="str">
        <f>IF(archive!F2702="","",archive!F2702)</f>
        <v/>
      </c>
      <c r="D2702" s="50" t="str">
        <f t="shared" si="589"/>
        <v/>
      </c>
      <c r="E2702" s="50" t="str">
        <f t="shared" si="590"/>
        <v/>
      </c>
      <c r="F2702" s="47" t="str">
        <f>IF(COUNTA(archive!H2702:CI2702)=0,"",COUNTA(archive!H2702:CI2702))</f>
        <v/>
      </c>
      <c r="G2702" s="47" t="str">
        <f>IF(archive!G2702="","",archive!G2702)</f>
        <v/>
      </c>
      <c r="H2702" s="51" t="str">
        <f>IF(archive!CJ2702="","",archive!CJ2702)</f>
        <v/>
      </c>
      <c r="I2702" s="51" t="str">
        <f>IF(archive!CK2702="","",archive!CK2702)</f>
        <v/>
      </c>
      <c r="J2702" s="47" t="str">
        <f t="shared" si="591"/>
        <v/>
      </c>
      <c r="K2702" s="51" t="str">
        <f t="shared" si="592"/>
        <v/>
      </c>
      <c r="L2702" s="52" t="str">
        <f t="shared" si="593"/>
        <v/>
      </c>
      <c r="M2702" s="53" t="str">
        <f t="shared" si="594"/>
        <v/>
      </c>
      <c r="N2702" s="53" t="str">
        <f t="shared" si="595"/>
        <v/>
      </c>
      <c r="O2702" s="53" t="str">
        <f t="shared" si="596"/>
        <v/>
      </c>
      <c r="P2702" s="53" t="str">
        <f t="shared" si="597"/>
        <v/>
      </c>
      <c r="Q2702" s="53" t="str">
        <f t="shared" si="598"/>
        <v/>
      </c>
      <c r="R2702" s="53" t="str">
        <f t="shared" si="599"/>
        <v/>
      </c>
      <c r="S2702" s="53" t="str">
        <f t="shared" si="600"/>
        <v/>
      </c>
      <c r="T2702" s="53" t="str">
        <f t="shared" si="601"/>
        <v/>
      </c>
    </row>
    <row r="2703" spans="1:20">
      <c r="A2703" s="47" t="str">
        <f>IF(archive!E2703="","",archive!E2703)</f>
        <v/>
      </c>
      <c r="B2703" s="48" t="str">
        <f t="shared" si="588"/>
        <v/>
      </c>
      <c r="C2703" s="49" t="str">
        <f>IF(archive!F2703="","",archive!F2703)</f>
        <v/>
      </c>
      <c r="D2703" s="50" t="str">
        <f t="shared" si="589"/>
        <v/>
      </c>
      <c r="E2703" s="50" t="str">
        <f t="shared" si="590"/>
        <v/>
      </c>
      <c r="F2703" s="47" t="str">
        <f>IF(COUNTA(archive!H2703:CI2703)=0,"",COUNTA(archive!H2703:CI2703))</f>
        <v/>
      </c>
      <c r="G2703" s="47" t="str">
        <f>IF(archive!G2703="","",archive!G2703)</f>
        <v/>
      </c>
      <c r="H2703" s="51" t="str">
        <f>IF(archive!CJ2703="","",archive!CJ2703)</f>
        <v/>
      </c>
      <c r="I2703" s="51" t="str">
        <f>IF(archive!CK2703="","",archive!CK2703)</f>
        <v/>
      </c>
      <c r="J2703" s="47" t="str">
        <f t="shared" si="591"/>
        <v/>
      </c>
      <c r="K2703" s="51" t="str">
        <f t="shared" si="592"/>
        <v/>
      </c>
      <c r="L2703" s="52" t="str">
        <f t="shared" si="593"/>
        <v/>
      </c>
      <c r="M2703" s="53" t="str">
        <f t="shared" si="594"/>
        <v/>
      </c>
      <c r="N2703" s="53" t="str">
        <f t="shared" si="595"/>
        <v/>
      </c>
      <c r="O2703" s="53" t="str">
        <f t="shared" si="596"/>
        <v/>
      </c>
      <c r="P2703" s="53" t="str">
        <f t="shared" si="597"/>
        <v/>
      </c>
      <c r="Q2703" s="53" t="str">
        <f t="shared" si="598"/>
        <v/>
      </c>
      <c r="R2703" s="53" t="str">
        <f t="shared" si="599"/>
        <v/>
      </c>
      <c r="S2703" s="53" t="str">
        <f t="shared" si="600"/>
        <v/>
      </c>
      <c r="T2703" s="53" t="str">
        <f t="shared" si="601"/>
        <v/>
      </c>
    </row>
    <row r="2704" spans="1:20">
      <c r="A2704" s="47" t="str">
        <f>IF(archive!E2704="","",archive!E2704)</f>
        <v/>
      </c>
      <c r="B2704" s="48" t="str">
        <f t="shared" si="588"/>
        <v/>
      </c>
      <c r="C2704" s="49" t="str">
        <f>IF(archive!F2704="","",archive!F2704)</f>
        <v/>
      </c>
      <c r="D2704" s="50" t="str">
        <f t="shared" si="589"/>
        <v/>
      </c>
      <c r="E2704" s="50" t="str">
        <f t="shared" si="590"/>
        <v/>
      </c>
      <c r="F2704" s="47" t="str">
        <f>IF(COUNTA(archive!H2704:CI2704)=0,"",COUNTA(archive!H2704:CI2704))</f>
        <v/>
      </c>
      <c r="G2704" s="47" t="str">
        <f>IF(archive!G2704="","",archive!G2704)</f>
        <v/>
      </c>
      <c r="H2704" s="51" t="str">
        <f>IF(archive!CJ2704="","",archive!CJ2704)</f>
        <v/>
      </c>
      <c r="I2704" s="51" t="str">
        <f>IF(archive!CK2704="","",archive!CK2704)</f>
        <v/>
      </c>
      <c r="J2704" s="47" t="str">
        <f t="shared" si="591"/>
        <v/>
      </c>
      <c r="K2704" s="51" t="str">
        <f t="shared" si="592"/>
        <v/>
      </c>
      <c r="L2704" s="52" t="str">
        <f t="shared" si="593"/>
        <v/>
      </c>
      <c r="M2704" s="53" t="str">
        <f t="shared" si="594"/>
        <v/>
      </c>
      <c r="N2704" s="53" t="str">
        <f t="shared" si="595"/>
        <v/>
      </c>
      <c r="O2704" s="53" t="str">
        <f t="shared" si="596"/>
        <v/>
      </c>
      <c r="P2704" s="53" t="str">
        <f t="shared" si="597"/>
        <v/>
      </c>
      <c r="Q2704" s="53" t="str">
        <f t="shared" si="598"/>
        <v/>
      </c>
      <c r="R2704" s="53" t="str">
        <f t="shared" si="599"/>
        <v/>
      </c>
      <c r="S2704" s="53" t="str">
        <f t="shared" si="600"/>
        <v/>
      </c>
      <c r="T2704" s="53" t="str">
        <f t="shared" si="601"/>
        <v/>
      </c>
    </row>
    <row r="2705" spans="1:20">
      <c r="A2705" s="47" t="str">
        <f>IF(archive!E2705="","",archive!E2705)</f>
        <v/>
      </c>
      <c r="B2705" s="48" t="str">
        <f t="shared" si="588"/>
        <v/>
      </c>
      <c r="C2705" s="49" t="str">
        <f>IF(archive!F2705="","",archive!F2705)</f>
        <v/>
      </c>
      <c r="D2705" s="50" t="str">
        <f t="shared" si="589"/>
        <v/>
      </c>
      <c r="E2705" s="50" t="str">
        <f t="shared" si="590"/>
        <v/>
      </c>
      <c r="F2705" s="47" t="str">
        <f>IF(COUNTA(archive!H2705:CI2705)=0,"",COUNTA(archive!H2705:CI2705))</f>
        <v/>
      </c>
      <c r="G2705" s="47" t="str">
        <f>IF(archive!G2705="","",archive!G2705)</f>
        <v/>
      </c>
      <c r="H2705" s="51" t="str">
        <f>IF(archive!CJ2705="","",archive!CJ2705)</f>
        <v/>
      </c>
      <c r="I2705" s="51" t="str">
        <f>IF(archive!CK2705="","",archive!CK2705)</f>
        <v/>
      </c>
      <c r="J2705" s="47" t="str">
        <f t="shared" si="591"/>
        <v/>
      </c>
      <c r="K2705" s="51" t="str">
        <f t="shared" si="592"/>
        <v/>
      </c>
      <c r="L2705" s="52" t="str">
        <f t="shared" si="593"/>
        <v/>
      </c>
      <c r="M2705" s="53" t="str">
        <f t="shared" si="594"/>
        <v/>
      </c>
      <c r="N2705" s="53" t="str">
        <f t="shared" si="595"/>
        <v/>
      </c>
      <c r="O2705" s="53" t="str">
        <f t="shared" si="596"/>
        <v/>
      </c>
      <c r="P2705" s="53" t="str">
        <f t="shared" si="597"/>
        <v/>
      </c>
      <c r="Q2705" s="53" t="str">
        <f t="shared" si="598"/>
        <v/>
      </c>
      <c r="R2705" s="53" t="str">
        <f t="shared" si="599"/>
        <v/>
      </c>
      <c r="S2705" s="53" t="str">
        <f t="shared" si="600"/>
        <v/>
      </c>
      <c r="T2705" s="53" t="str">
        <f t="shared" si="601"/>
        <v/>
      </c>
    </row>
    <row r="2706" spans="1:20">
      <c r="A2706" s="47" t="str">
        <f>IF(archive!E2706="","",archive!E2706)</f>
        <v/>
      </c>
      <c r="B2706" s="48" t="str">
        <f t="shared" si="588"/>
        <v/>
      </c>
      <c r="C2706" s="49" t="str">
        <f>IF(archive!F2706="","",archive!F2706)</f>
        <v/>
      </c>
      <c r="D2706" s="50" t="str">
        <f t="shared" si="589"/>
        <v/>
      </c>
      <c r="E2706" s="50" t="str">
        <f t="shared" si="590"/>
        <v/>
      </c>
      <c r="F2706" s="47" t="str">
        <f>IF(COUNTA(archive!H2706:CI2706)=0,"",COUNTA(archive!H2706:CI2706))</f>
        <v/>
      </c>
      <c r="G2706" s="47" t="str">
        <f>IF(archive!G2706="","",archive!G2706)</f>
        <v/>
      </c>
      <c r="H2706" s="51" t="str">
        <f>IF(archive!CJ2706="","",archive!CJ2706)</f>
        <v/>
      </c>
      <c r="I2706" s="51" t="str">
        <f>IF(archive!CK2706="","",archive!CK2706)</f>
        <v/>
      </c>
      <c r="J2706" s="47" t="str">
        <f t="shared" si="591"/>
        <v/>
      </c>
      <c r="K2706" s="51" t="str">
        <f t="shared" si="592"/>
        <v/>
      </c>
      <c r="L2706" s="52" t="str">
        <f t="shared" si="593"/>
        <v/>
      </c>
      <c r="M2706" s="53" t="str">
        <f t="shared" si="594"/>
        <v/>
      </c>
      <c r="N2706" s="53" t="str">
        <f t="shared" si="595"/>
        <v/>
      </c>
      <c r="O2706" s="53" t="str">
        <f t="shared" si="596"/>
        <v/>
      </c>
      <c r="P2706" s="53" t="str">
        <f t="shared" si="597"/>
        <v/>
      </c>
      <c r="Q2706" s="53" t="str">
        <f t="shared" si="598"/>
        <v/>
      </c>
      <c r="R2706" s="53" t="str">
        <f t="shared" si="599"/>
        <v/>
      </c>
      <c r="S2706" s="53" t="str">
        <f t="shared" si="600"/>
        <v/>
      </c>
      <c r="T2706" s="53" t="str">
        <f t="shared" si="601"/>
        <v/>
      </c>
    </row>
    <row r="2707" spans="1:20">
      <c r="A2707" s="47" t="str">
        <f>IF(archive!E2707="","",archive!E2707)</f>
        <v/>
      </c>
      <c r="B2707" s="48" t="str">
        <f t="shared" si="588"/>
        <v/>
      </c>
      <c r="C2707" s="49" t="str">
        <f>IF(archive!F2707="","",archive!F2707)</f>
        <v/>
      </c>
      <c r="D2707" s="50" t="str">
        <f t="shared" si="589"/>
        <v/>
      </c>
      <c r="E2707" s="50" t="str">
        <f t="shared" si="590"/>
        <v/>
      </c>
      <c r="F2707" s="47" t="str">
        <f>IF(COUNTA(archive!H2707:CI2707)=0,"",COUNTA(archive!H2707:CI2707))</f>
        <v/>
      </c>
      <c r="G2707" s="47" t="str">
        <f>IF(archive!G2707="","",archive!G2707)</f>
        <v/>
      </c>
      <c r="H2707" s="51" t="str">
        <f>IF(archive!CJ2707="","",archive!CJ2707)</f>
        <v/>
      </c>
      <c r="I2707" s="51" t="str">
        <f>IF(archive!CK2707="","",archive!CK2707)</f>
        <v/>
      </c>
      <c r="J2707" s="47" t="str">
        <f t="shared" si="591"/>
        <v/>
      </c>
      <c r="K2707" s="51" t="str">
        <f t="shared" si="592"/>
        <v/>
      </c>
      <c r="L2707" s="52" t="str">
        <f t="shared" si="593"/>
        <v/>
      </c>
      <c r="M2707" s="53" t="str">
        <f t="shared" si="594"/>
        <v/>
      </c>
      <c r="N2707" s="53" t="str">
        <f t="shared" si="595"/>
        <v/>
      </c>
      <c r="O2707" s="53" t="str">
        <f t="shared" si="596"/>
        <v/>
      </c>
      <c r="P2707" s="53" t="str">
        <f t="shared" si="597"/>
        <v/>
      </c>
      <c r="Q2707" s="53" t="str">
        <f t="shared" si="598"/>
        <v/>
      </c>
      <c r="R2707" s="53" t="str">
        <f t="shared" si="599"/>
        <v/>
      </c>
      <c r="S2707" s="53" t="str">
        <f t="shared" si="600"/>
        <v/>
      </c>
      <c r="T2707" s="53" t="str">
        <f t="shared" si="601"/>
        <v/>
      </c>
    </row>
    <row r="2708" spans="1:20">
      <c r="A2708" s="47" t="str">
        <f>IF(archive!E2708="","",archive!E2708)</f>
        <v/>
      </c>
      <c r="B2708" s="48" t="str">
        <f t="shared" si="588"/>
        <v/>
      </c>
      <c r="C2708" s="49" t="str">
        <f>IF(archive!F2708="","",archive!F2708)</f>
        <v/>
      </c>
      <c r="D2708" s="50" t="str">
        <f t="shared" si="589"/>
        <v/>
      </c>
      <c r="E2708" s="50" t="str">
        <f t="shared" si="590"/>
        <v/>
      </c>
      <c r="F2708" s="47" t="str">
        <f>IF(COUNTA(archive!H2708:CI2708)=0,"",COUNTA(archive!H2708:CI2708))</f>
        <v/>
      </c>
      <c r="G2708" s="47" t="str">
        <f>IF(archive!G2708="","",archive!G2708)</f>
        <v/>
      </c>
      <c r="H2708" s="51" t="str">
        <f>IF(archive!CJ2708="","",archive!CJ2708)</f>
        <v/>
      </c>
      <c r="I2708" s="51" t="str">
        <f>IF(archive!CK2708="","",archive!CK2708)</f>
        <v/>
      </c>
      <c r="J2708" s="47" t="str">
        <f t="shared" si="591"/>
        <v/>
      </c>
      <c r="K2708" s="51" t="str">
        <f t="shared" si="592"/>
        <v/>
      </c>
      <c r="L2708" s="52" t="str">
        <f t="shared" si="593"/>
        <v/>
      </c>
      <c r="M2708" s="53" t="str">
        <f t="shared" si="594"/>
        <v/>
      </c>
      <c r="N2708" s="53" t="str">
        <f t="shared" si="595"/>
        <v/>
      </c>
      <c r="O2708" s="53" t="str">
        <f t="shared" si="596"/>
        <v/>
      </c>
      <c r="P2708" s="53" t="str">
        <f t="shared" si="597"/>
        <v/>
      </c>
      <c r="Q2708" s="53" t="str">
        <f t="shared" si="598"/>
        <v/>
      </c>
      <c r="R2708" s="53" t="str">
        <f t="shared" si="599"/>
        <v/>
      </c>
      <c r="S2708" s="53" t="str">
        <f t="shared" si="600"/>
        <v/>
      </c>
      <c r="T2708" s="53" t="str">
        <f t="shared" si="601"/>
        <v/>
      </c>
    </row>
    <row r="2709" spans="1:20">
      <c r="A2709" s="47" t="str">
        <f>IF(archive!E2709="","",archive!E2709)</f>
        <v/>
      </c>
      <c r="B2709" s="48" t="str">
        <f t="shared" si="588"/>
        <v/>
      </c>
      <c r="C2709" s="49" t="str">
        <f>IF(archive!F2709="","",archive!F2709)</f>
        <v/>
      </c>
      <c r="D2709" s="50" t="str">
        <f t="shared" si="589"/>
        <v/>
      </c>
      <c r="E2709" s="50" t="str">
        <f t="shared" si="590"/>
        <v/>
      </c>
      <c r="F2709" s="47" t="str">
        <f>IF(COUNTA(archive!H2709:CI2709)=0,"",COUNTA(archive!H2709:CI2709))</f>
        <v/>
      </c>
      <c r="G2709" s="47" t="str">
        <f>IF(archive!G2709="","",archive!G2709)</f>
        <v/>
      </c>
      <c r="H2709" s="51" t="str">
        <f>IF(archive!CJ2709="","",archive!CJ2709)</f>
        <v/>
      </c>
      <c r="I2709" s="51" t="str">
        <f>IF(archive!CK2709="","",archive!CK2709)</f>
        <v/>
      </c>
      <c r="J2709" s="47" t="str">
        <f t="shared" si="591"/>
        <v/>
      </c>
      <c r="K2709" s="51" t="str">
        <f t="shared" si="592"/>
        <v/>
      </c>
      <c r="L2709" s="52" t="str">
        <f t="shared" si="593"/>
        <v/>
      </c>
      <c r="M2709" s="53" t="str">
        <f t="shared" si="594"/>
        <v/>
      </c>
      <c r="N2709" s="53" t="str">
        <f t="shared" si="595"/>
        <v/>
      </c>
      <c r="O2709" s="53" t="str">
        <f t="shared" si="596"/>
        <v/>
      </c>
      <c r="P2709" s="53" t="str">
        <f t="shared" si="597"/>
        <v/>
      </c>
      <c r="Q2709" s="53" t="str">
        <f t="shared" si="598"/>
        <v/>
      </c>
      <c r="R2709" s="53" t="str">
        <f t="shared" si="599"/>
        <v/>
      </c>
      <c r="S2709" s="53" t="str">
        <f t="shared" si="600"/>
        <v/>
      </c>
      <c r="T2709" s="53" t="str">
        <f t="shared" si="601"/>
        <v/>
      </c>
    </row>
    <row r="2710" spans="1:20">
      <c r="A2710" s="47" t="str">
        <f>IF(archive!E2710="","",archive!E2710)</f>
        <v/>
      </c>
      <c r="B2710" s="48" t="str">
        <f t="shared" si="588"/>
        <v/>
      </c>
      <c r="C2710" s="49" t="str">
        <f>IF(archive!F2710="","",archive!F2710)</f>
        <v/>
      </c>
      <c r="D2710" s="50" t="str">
        <f t="shared" si="589"/>
        <v/>
      </c>
      <c r="E2710" s="50" t="str">
        <f t="shared" si="590"/>
        <v/>
      </c>
      <c r="F2710" s="47" t="str">
        <f>IF(COUNTA(archive!H2710:CI2710)=0,"",COUNTA(archive!H2710:CI2710))</f>
        <v/>
      </c>
      <c r="G2710" s="47" t="str">
        <f>IF(archive!G2710="","",archive!G2710)</f>
        <v/>
      </c>
      <c r="H2710" s="51" t="str">
        <f>IF(archive!CJ2710="","",archive!CJ2710)</f>
        <v/>
      </c>
      <c r="I2710" s="51" t="str">
        <f>IF(archive!CK2710="","",archive!CK2710)</f>
        <v/>
      </c>
      <c r="J2710" s="47" t="str">
        <f t="shared" si="591"/>
        <v/>
      </c>
      <c r="K2710" s="51" t="str">
        <f t="shared" si="592"/>
        <v/>
      </c>
      <c r="L2710" s="52" t="str">
        <f t="shared" si="593"/>
        <v/>
      </c>
      <c r="M2710" s="53" t="str">
        <f t="shared" si="594"/>
        <v/>
      </c>
      <c r="N2710" s="53" t="str">
        <f t="shared" si="595"/>
        <v/>
      </c>
      <c r="O2710" s="53" t="str">
        <f t="shared" si="596"/>
        <v/>
      </c>
      <c r="P2710" s="53" t="str">
        <f t="shared" si="597"/>
        <v/>
      </c>
      <c r="Q2710" s="53" t="str">
        <f t="shared" si="598"/>
        <v/>
      </c>
      <c r="R2710" s="53" t="str">
        <f t="shared" si="599"/>
        <v/>
      </c>
      <c r="S2710" s="53" t="str">
        <f t="shared" si="600"/>
        <v/>
      </c>
      <c r="T2710" s="53" t="str">
        <f t="shared" si="601"/>
        <v/>
      </c>
    </row>
    <row r="2711" spans="1:20">
      <c r="A2711" s="47" t="str">
        <f>IF(archive!E2711="","",archive!E2711)</f>
        <v/>
      </c>
      <c r="B2711" s="48" t="str">
        <f t="shared" si="588"/>
        <v/>
      </c>
      <c r="C2711" s="49" t="str">
        <f>IF(archive!F2711="","",archive!F2711)</f>
        <v/>
      </c>
      <c r="D2711" s="50" t="str">
        <f t="shared" si="589"/>
        <v/>
      </c>
      <c r="E2711" s="50" t="str">
        <f t="shared" si="590"/>
        <v/>
      </c>
      <c r="F2711" s="47" t="str">
        <f>IF(COUNTA(archive!H2711:CI2711)=0,"",COUNTA(archive!H2711:CI2711))</f>
        <v/>
      </c>
      <c r="G2711" s="47" t="str">
        <f>IF(archive!G2711="","",archive!G2711)</f>
        <v/>
      </c>
      <c r="H2711" s="51" t="str">
        <f>IF(archive!CJ2711="","",archive!CJ2711)</f>
        <v/>
      </c>
      <c r="I2711" s="51" t="str">
        <f>IF(archive!CK2711="","",archive!CK2711)</f>
        <v/>
      </c>
      <c r="J2711" s="47" t="str">
        <f t="shared" si="591"/>
        <v/>
      </c>
      <c r="K2711" s="51" t="str">
        <f t="shared" si="592"/>
        <v/>
      </c>
      <c r="L2711" s="52" t="str">
        <f t="shared" si="593"/>
        <v/>
      </c>
      <c r="M2711" s="53" t="str">
        <f t="shared" si="594"/>
        <v/>
      </c>
      <c r="N2711" s="53" t="str">
        <f t="shared" si="595"/>
        <v/>
      </c>
      <c r="O2711" s="53" t="str">
        <f t="shared" si="596"/>
        <v/>
      </c>
      <c r="P2711" s="53" t="str">
        <f t="shared" si="597"/>
        <v/>
      </c>
      <c r="Q2711" s="53" t="str">
        <f t="shared" si="598"/>
        <v/>
      </c>
      <c r="R2711" s="53" t="str">
        <f t="shared" si="599"/>
        <v/>
      </c>
      <c r="S2711" s="53" t="str">
        <f t="shared" si="600"/>
        <v/>
      </c>
      <c r="T2711" s="53" t="str">
        <f t="shared" si="601"/>
        <v/>
      </c>
    </row>
    <row r="2712" spans="1:20">
      <c r="A2712" s="47" t="str">
        <f>IF(archive!E2712="","",archive!E2712)</f>
        <v/>
      </c>
      <c r="B2712" s="48" t="str">
        <f t="shared" si="588"/>
        <v/>
      </c>
      <c r="C2712" s="49" t="str">
        <f>IF(archive!F2712="","",archive!F2712)</f>
        <v/>
      </c>
      <c r="D2712" s="50" t="str">
        <f t="shared" si="589"/>
        <v/>
      </c>
      <c r="E2712" s="50" t="str">
        <f t="shared" si="590"/>
        <v/>
      </c>
      <c r="F2712" s="47" t="str">
        <f>IF(COUNTA(archive!H2712:CI2712)=0,"",COUNTA(archive!H2712:CI2712))</f>
        <v/>
      </c>
      <c r="G2712" s="47" t="str">
        <f>IF(archive!G2712="","",archive!G2712)</f>
        <v/>
      </c>
      <c r="H2712" s="51" t="str">
        <f>IF(archive!CJ2712="","",archive!CJ2712)</f>
        <v/>
      </c>
      <c r="I2712" s="51" t="str">
        <f>IF(archive!CK2712="","",archive!CK2712)</f>
        <v/>
      </c>
      <c r="J2712" s="47" t="str">
        <f t="shared" si="591"/>
        <v/>
      </c>
      <c r="K2712" s="51" t="str">
        <f t="shared" si="592"/>
        <v/>
      </c>
      <c r="L2712" s="52" t="str">
        <f t="shared" si="593"/>
        <v/>
      </c>
      <c r="M2712" s="53" t="str">
        <f t="shared" si="594"/>
        <v/>
      </c>
      <c r="N2712" s="53" t="str">
        <f t="shared" si="595"/>
        <v/>
      </c>
      <c r="O2712" s="53" t="str">
        <f t="shared" si="596"/>
        <v/>
      </c>
      <c r="P2712" s="53" t="str">
        <f t="shared" si="597"/>
        <v/>
      </c>
      <c r="Q2712" s="53" t="str">
        <f t="shared" si="598"/>
        <v/>
      </c>
      <c r="R2712" s="53" t="str">
        <f t="shared" si="599"/>
        <v/>
      </c>
      <c r="S2712" s="53" t="str">
        <f t="shared" si="600"/>
        <v/>
      </c>
      <c r="T2712" s="53" t="str">
        <f t="shared" si="601"/>
        <v/>
      </c>
    </row>
    <row r="2713" spans="1:20">
      <c r="A2713" s="47" t="str">
        <f>IF(archive!E2713="","",archive!E2713)</f>
        <v/>
      </c>
      <c r="B2713" s="48" t="str">
        <f t="shared" si="588"/>
        <v/>
      </c>
      <c r="C2713" s="49" t="str">
        <f>IF(archive!F2713="","",archive!F2713)</f>
        <v/>
      </c>
      <c r="D2713" s="50" t="str">
        <f t="shared" si="589"/>
        <v/>
      </c>
      <c r="E2713" s="50" t="str">
        <f t="shared" si="590"/>
        <v/>
      </c>
      <c r="F2713" s="47" t="str">
        <f>IF(COUNTA(archive!H2713:CI2713)=0,"",COUNTA(archive!H2713:CI2713))</f>
        <v/>
      </c>
      <c r="G2713" s="47" t="str">
        <f>IF(archive!G2713="","",archive!G2713)</f>
        <v/>
      </c>
      <c r="H2713" s="51" t="str">
        <f>IF(archive!CJ2713="","",archive!CJ2713)</f>
        <v/>
      </c>
      <c r="I2713" s="51" t="str">
        <f>IF(archive!CK2713="","",archive!CK2713)</f>
        <v/>
      </c>
      <c r="J2713" s="47" t="str">
        <f t="shared" si="591"/>
        <v/>
      </c>
      <c r="K2713" s="51" t="str">
        <f t="shared" si="592"/>
        <v/>
      </c>
      <c r="L2713" s="52" t="str">
        <f t="shared" si="593"/>
        <v/>
      </c>
      <c r="M2713" s="53" t="str">
        <f t="shared" si="594"/>
        <v/>
      </c>
      <c r="N2713" s="53" t="str">
        <f t="shared" si="595"/>
        <v/>
      </c>
      <c r="O2713" s="53" t="str">
        <f t="shared" si="596"/>
        <v/>
      </c>
      <c r="P2713" s="53" t="str">
        <f t="shared" si="597"/>
        <v/>
      </c>
      <c r="Q2713" s="53" t="str">
        <f t="shared" si="598"/>
        <v/>
      </c>
      <c r="R2713" s="53" t="str">
        <f t="shared" si="599"/>
        <v/>
      </c>
      <c r="S2713" s="53" t="str">
        <f t="shared" si="600"/>
        <v/>
      </c>
      <c r="T2713" s="53" t="str">
        <f t="shared" si="601"/>
        <v/>
      </c>
    </row>
    <row r="2714" spans="1:20">
      <c r="A2714" s="47" t="str">
        <f>IF(archive!E2714="","",archive!E2714)</f>
        <v/>
      </c>
      <c r="B2714" s="48" t="str">
        <f t="shared" si="588"/>
        <v/>
      </c>
      <c r="C2714" s="49" t="str">
        <f>IF(archive!F2714="","",archive!F2714)</f>
        <v/>
      </c>
      <c r="D2714" s="50" t="str">
        <f t="shared" si="589"/>
        <v/>
      </c>
      <c r="E2714" s="50" t="str">
        <f t="shared" si="590"/>
        <v/>
      </c>
      <c r="F2714" s="47" t="str">
        <f>IF(COUNTA(archive!H2714:CI2714)=0,"",COUNTA(archive!H2714:CI2714))</f>
        <v/>
      </c>
      <c r="G2714" s="47" t="str">
        <f>IF(archive!G2714="","",archive!G2714)</f>
        <v/>
      </c>
      <c r="H2714" s="51" t="str">
        <f>IF(archive!CJ2714="","",archive!CJ2714)</f>
        <v/>
      </c>
      <c r="I2714" s="51" t="str">
        <f>IF(archive!CK2714="","",archive!CK2714)</f>
        <v/>
      </c>
      <c r="J2714" s="47" t="str">
        <f t="shared" si="591"/>
        <v/>
      </c>
      <c r="K2714" s="51" t="str">
        <f t="shared" si="592"/>
        <v/>
      </c>
      <c r="L2714" s="52" t="str">
        <f t="shared" si="593"/>
        <v/>
      </c>
      <c r="M2714" s="53" t="str">
        <f t="shared" si="594"/>
        <v/>
      </c>
      <c r="N2714" s="53" t="str">
        <f t="shared" si="595"/>
        <v/>
      </c>
      <c r="O2714" s="53" t="str">
        <f t="shared" si="596"/>
        <v/>
      </c>
      <c r="P2714" s="53" t="str">
        <f t="shared" si="597"/>
        <v/>
      </c>
      <c r="Q2714" s="53" t="str">
        <f t="shared" si="598"/>
        <v/>
      </c>
      <c r="R2714" s="53" t="str">
        <f t="shared" si="599"/>
        <v/>
      </c>
      <c r="S2714" s="53" t="str">
        <f t="shared" si="600"/>
        <v/>
      </c>
      <c r="T2714" s="53" t="str">
        <f t="shared" si="601"/>
        <v/>
      </c>
    </row>
    <row r="2715" spans="1:20">
      <c r="A2715" s="47" t="str">
        <f>IF(archive!E2715="","",archive!E2715)</f>
        <v/>
      </c>
      <c r="B2715" s="48" t="str">
        <f t="shared" si="588"/>
        <v/>
      </c>
      <c r="C2715" s="49" t="str">
        <f>IF(archive!F2715="","",archive!F2715)</f>
        <v/>
      </c>
      <c r="D2715" s="50" t="str">
        <f t="shared" si="589"/>
        <v/>
      </c>
      <c r="E2715" s="50" t="str">
        <f t="shared" si="590"/>
        <v/>
      </c>
      <c r="F2715" s="47" t="str">
        <f>IF(COUNTA(archive!H2715:CI2715)=0,"",COUNTA(archive!H2715:CI2715))</f>
        <v/>
      </c>
      <c r="G2715" s="47" t="str">
        <f>IF(archive!G2715="","",archive!G2715)</f>
        <v/>
      </c>
      <c r="H2715" s="51" t="str">
        <f>IF(archive!CJ2715="","",archive!CJ2715)</f>
        <v/>
      </c>
      <c r="I2715" s="51" t="str">
        <f>IF(archive!CK2715="","",archive!CK2715)</f>
        <v/>
      </c>
      <c r="J2715" s="47" t="str">
        <f t="shared" si="591"/>
        <v/>
      </c>
      <c r="K2715" s="51" t="str">
        <f t="shared" si="592"/>
        <v/>
      </c>
      <c r="L2715" s="52" t="str">
        <f t="shared" si="593"/>
        <v/>
      </c>
      <c r="M2715" s="53" t="str">
        <f t="shared" si="594"/>
        <v/>
      </c>
      <c r="N2715" s="53" t="str">
        <f t="shared" si="595"/>
        <v/>
      </c>
      <c r="O2715" s="53" t="str">
        <f t="shared" si="596"/>
        <v/>
      </c>
      <c r="P2715" s="53" t="str">
        <f t="shared" si="597"/>
        <v/>
      </c>
      <c r="Q2715" s="53" t="str">
        <f t="shared" si="598"/>
        <v/>
      </c>
      <c r="R2715" s="53" t="str">
        <f t="shared" si="599"/>
        <v/>
      </c>
      <c r="S2715" s="53" t="str">
        <f t="shared" si="600"/>
        <v/>
      </c>
      <c r="T2715" s="53" t="str">
        <f t="shared" si="601"/>
        <v/>
      </c>
    </row>
    <row r="2716" spans="1:20">
      <c r="A2716" s="47" t="str">
        <f>IF(archive!E2716="","",archive!E2716)</f>
        <v/>
      </c>
      <c r="B2716" s="48" t="str">
        <f t="shared" si="588"/>
        <v/>
      </c>
      <c r="C2716" s="49" t="str">
        <f>IF(archive!F2716="","",archive!F2716)</f>
        <v/>
      </c>
      <c r="D2716" s="50" t="str">
        <f t="shared" si="589"/>
        <v/>
      </c>
      <c r="E2716" s="50" t="str">
        <f t="shared" si="590"/>
        <v/>
      </c>
      <c r="F2716" s="47" t="str">
        <f>IF(COUNTA(archive!H2716:CI2716)=0,"",COUNTA(archive!H2716:CI2716))</f>
        <v/>
      </c>
      <c r="G2716" s="47" t="str">
        <f>IF(archive!G2716="","",archive!G2716)</f>
        <v/>
      </c>
      <c r="H2716" s="51" t="str">
        <f>IF(archive!CJ2716="","",archive!CJ2716)</f>
        <v/>
      </c>
      <c r="I2716" s="51" t="str">
        <f>IF(archive!CK2716="","",archive!CK2716)</f>
        <v/>
      </c>
      <c r="J2716" s="47" t="str">
        <f t="shared" si="591"/>
        <v/>
      </c>
      <c r="K2716" s="51" t="str">
        <f t="shared" si="592"/>
        <v/>
      </c>
      <c r="L2716" s="52" t="str">
        <f t="shared" si="593"/>
        <v/>
      </c>
      <c r="M2716" s="53" t="str">
        <f t="shared" si="594"/>
        <v/>
      </c>
      <c r="N2716" s="53" t="str">
        <f t="shared" si="595"/>
        <v/>
      </c>
      <c r="O2716" s="53" t="str">
        <f t="shared" si="596"/>
        <v/>
      </c>
      <c r="P2716" s="53" t="str">
        <f t="shared" si="597"/>
        <v/>
      </c>
      <c r="Q2716" s="53" t="str">
        <f t="shared" si="598"/>
        <v/>
      </c>
      <c r="R2716" s="53" t="str">
        <f t="shared" si="599"/>
        <v/>
      </c>
      <c r="S2716" s="53" t="str">
        <f t="shared" si="600"/>
        <v/>
      </c>
      <c r="T2716" s="53" t="str">
        <f t="shared" si="601"/>
        <v/>
      </c>
    </row>
    <row r="2717" spans="1:20">
      <c r="A2717" s="47" t="str">
        <f>IF(archive!E2717="","",archive!E2717)</f>
        <v/>
      </c>
      <c r="B2717" s="48" t="str">
        <f t="shared" si="588"/>
        <v/>
      </c>
      <c r="C2717" s="49" t="str">
        <f>IF(archive!F2717="","",archive!F2717)</f>
        <v/>
      </c>
      <c r="D2717" s="50" t="str">
        <f t="shared" si="589"/>
        <v/>
      </c>
      <c r="E2717" s="50" t="str">
        <f t="shared" si="590"/>
        <v/>
      </c>
      <c r="F2717" s="47" t="str">
        <f>IF(COUNTA(archive!H2717:CI2717)=0,"",COUNTA(archive!H2717:CI2717))</f>
        <v/>
      </c>
      <c r="G2717" s="47" t="str">
        <f>IF(archive!G2717="","",archive!G2717)</f>
        <v/>
      </c>
      <c r="H2717" s="51" t="str">
        <f>IF(archive!CJ2717="","",archive!CJ2717)</f>
        <v/>
      </c>
      <c r="I2717" s="51" t="str">
        <f>IF(archive!CK2717="","",archive!CK2717)</f>
        <v/>
      </c>
      <c r="J2717" s="47" t="str">
        <f t="shared" si="591"/>
        <v/>
      </c>
      <c r="K2717" s="51" t="str">
        <f t="shared" si="592"/>
        <v/>
      </c>
      <c r="L2717" s="52" t="str">
        <f t="shared" si="593"/>
        <v/>
      </c>
      <c r="M2717" s="53" t="str">
        <f t="shared" si="594"/>
        <v/>
      </c>
      <c r="N2717" s="53" t="str">
        <f t="shared" si="595"/>
        <v/>
      </c>
      <c r="O2717" s="53" t="str">
        <f t="shared" si="596"/>
        <v/>
      </c>
      <c r="P2717" s="53" t="str">
        <f t="shared" si="597"/>
        <v/>
      </c>
      <c r="Q2717" s="53" t="str">
        <f t="shared" si="598"/>
        <v/>
      </c>
      <c r="R2717" s="53" t="str">
        <f t="shared" si="599"/>
        <v/>
      </c>
      <c r="S2717" s="53" t="str">
        <f t="shared" si="600"/>
        <v/>
      </c>
      <c r="T2717" s="53" t="str">
        <f t="shared" si="601"/>
        <v/>
      </c>
    </row>
    <row r="2718" spans="1:20">
      <c r="A2718" s="47" t="str">
        <f>IF(archive!E2718="","",archive!E2718)</f>
        <v/>
      </c>
      <c r="B2718" s="48" t="str">
        <f t="shared" si="588"/>
        <v/>
      </c>
      <c r="C2718" s="49" t="str">
        <f>IF(archive!F2718="","",archive!F2718)</f>
        <v/>
      </c>
      <c r="D2718" s="50" t="str">
        <f t="shared" si="589"/>
        <v/>
      </c>
      <c r="E2718" s="50" t="str">
        <f t="shared" si="590"/>
        <v/>
      </c>
      <c r="F2718" s="47" t="str">
        <f>IF(COUNTA(archive!H2718:CI2718)=0,"",COUNTA(archive!H2718:CI2718))</f>
        <v/>
      </c>
      <c r="G2718" s="47" t="str">
        <f>IF(archive!G2718="","",archive!G2718)</f>
        <v/>
      </c>
      <c r="H2718" s="51" t="str">
        <f>IF(archive!CJ2718="","",archive!CJ2718)</f>
        <v/>
      </c>
      <c r="I2718" s="51" t="str">
        <f>IF(archive!CK2718="","",archive!CK2718)</f>
        <v/>
      </c>
      <c r="J2718" s="47" t="str">
        <f t="shared" si="591"/>
        <v/>
      </c>
      <c r="K2718" s="51" t="str">
        <f t="shared" si="592"/>
        <v/>
      </c>
      <c r="L2718" s="52" t="str">
        <f t="shared" si="593"/>
        <v/>
      </c>
      <c r="M2718" s="53" t="str">
        <f t="shared" si="594"/>
        <v/>
      </c>
      <c r="N2718" s="53" t="str">
        <f t="shared" si="595"/>
        <v/>
      </c>
      <c r="O2718" s="53" t="str">
        <f t="shared" si="596"/>
        <v/>
      </c>
      <c r="P2718" s="53" t="str">
        <f t="shared" si="597"/>
        <v/>
      </c>
      <c r="Q2718" s="53" t="str">
        <f t="shared" si="598"/>
        <v/>
      </c>
      <c r="R2718" s="53" t="str">
        <f t="shared" si="599"/>
        <v/>
      </c>
      <c r="S2718" s="53" t="str">
        <f t="shared" si="600"/>
        <v/>
      </c>
      <c r="T2718" s="53" t="str">
        <f t="shared" si="601"/>
        <v/>
      </c>
    </row>
    <row r="2719" spans="1:20">
      <c r="A2719" s="47" t="str">
        <f>IF(archive!E2719="","",archive!E2719)</f>
        <v/>
      </c>
      <c r="B2719" s="48" t="str">
        <f t="shared" si="588"/>
        <v/>
      </c>
      <c r="C2719" s="49" t="str">
        <f>IF(archive!F2719="","",archive!F2719)</f>
        <v/>
      </c>
      <c r="D2719" s="50" t="str">
        <f t="shared" si="589"/>
        <v/>
      </c>
      <c r="E2719" s="50" t="str">
        <f t="shared" si="590"/>
        <v/>
      </c>
      <c r="F2719" s="47" t="str">
        <f>IF(COUNTA(archive!H2719:CI2719)=0,"",COUNTA(archive!H2719:CI2719))</f>
        <v/>
      </c>
      <c r="G2719" s="47" t="str">
        <f>IF(archive!G2719="","",archive!G2719)</f>
        <v/>
      </c>
      <c r="H2719" s="51" t="str">
        <f>IF(archive!CJ2719="","",archive!CJ2719)</f>
        <v/>
      </c>
      <c r="I2719" s="51" t="str">
        <f>IF(archive!CK2719="","",archive!CK2719)</f>
        <v/>
      </c>
      <c r="J2719" s="47" t="str">
        <f t="shared" si="591"/>
        <v/>
      </c>
      <c r="K2719" s="51" t="str">
        <f t="shared" si="592"/>
        <v/>
      </c>
      <c r="L2719" s="52" t="str">
        <f t="shared" si="593"/>
        <v/>
      </c>
      <c r="M2719" s="53" t="str">
        <f t="shared" si="594"/>
        <v/>
      </c>
      <c r="N2719" s="53" t="str">
        <f t="shared" si="595"/>
        <v/>
      </c>
      <c r="O2719" s="53" t="str">
        <f t="shared" si="596"/>
        <v/>
      </c>
      <c r="P2719" s="53" t="str">
        <f t="shared" si="597"/>
        <v/>
      </c>
      <c r="Q2719" s="53" t="str">
        <f t="shared" si="598"/>
        <v/>
      </c>
      <c r="R2719" s="53" t="str">
        <f t="shared" si="599"/>
        <v/>
      </c>
      <c r="S2719" s="53" t="str">
        <f t="shared" si="600"/>
        <v/>
      </c>
      <c r="T2719" s="53" t="str">
        <f t="shared" si="601"/>
        <v/>
      </c>
    </row>
    <row r="2720" spans="1:20">
      <c r="A2720" s="47" t="str">
        <f>IF(archive!E2720="","",archive!E2720)</f>
        <v/>
      </c>
      <c r="B2720" s="48" t="str">
        <f t="shared" si="588"/>
        <v/>
      </c>
      <c r="C2720" s="49" t="str">
        <f>IF(archive!F2720="","",archive!F2720)</f>
        <v/>
      </c>
      <c r="D2720" s="50" t="str">
        <f t="shared" si="589"/>
        <v/>
      </c>
      <c r="E2720" s="50" t="str">
        <f t="shared" si="590"/>
        <v/>
      </c>
      <c r="F2720" s="47" t="str">
        <f>IF(COUNTA(archive!H2720:CI2720)=0,"",COUNTA(archive!H2720:CI2720))</f>
        <v/>
      </c>
      <c r="G2720" s="47" t="str">
        <f>IF(archive!G2720="","",archive!G2720)</f>
        <v/>
      </c>
      <c r="H2720" s="51" t="str">
        <f>IF(archive!CJ2720="","",archive!CJ2720)</f>
        <v/>
      </c>
      <c r="I2720" s="51" t="str">
        <f>IF(archive!CK2720="","",archive!CK2720)</f>
        <v/>
      </c>
      <c r="J2720" s="47" t="str">
        <f t="shared" si="591"/>
        <v/>
      </c>
      <c r="K2720" s="51" t="str">
        <f t="shared" si="592"/>
        <v/>
      </c>
      <c r="L2720" s="52" t="str">
        <f t="shared" si="593"/>
        <v/>
      </c>
      <c r="M2720" s="53" t="str">
        <f t="shared" si="594"/>
        <v/>
      </c>
      <c r="N2720" s="53" t="str">
        <f t="shared" si="595"/>
        <v/>
      </c>
      <c r="O2720" s="53" t="str">
        <f t="shared" si="596"/>
        <v/>
      </c>
      <c r="P2720" s="53" t="str">
        <f t="shared" si="597"/>
        <v/>
      </c>
      <c r="Q2720" s="53" t="str">
        <f t="shared" si="598"/>
        <v/>
      </c>
      <c r="R2720" s="53" t="str">
        <f t="shared" si="599"/>
        <v/>
      </c>
      <c r="S2720" s="53" t="str">
        <f t="shared" si="600"/>
        <v/>
      </c>
      <c r="T2720" s="53" t="str">
        <f t="shared" si="601"/>
        <v/>
      </c>
    </row>
    <row r="2721" spans="1:20">
      <c r="A2721" s="47" t="str">
        <f>IF(archive!E2721="","",archive!E2721)</f>
        <v/>
      </c>
      <c r="B2721" s="48" t="str">
        <f t="shared" si="588"/>
        <v/>
      </c>
      <c r="C2721" s="49" t="str">
        <f>IF(archive!F2721="","",archive!F2721)</f>
        <v/>
      </c>
      <c r="D2721" s="50" t="str">
        <f t="shared" si="589"/>
        <v/>
      </c>
      <c r="E2721" s="50" t="str">
        <f t="shared" si="590"/>
        <v/>
      </c>
      <c r="F2721" s="47" t="str">
        <f>IF(COUNTA(archive!H2721:CI2721)=0,"",COUNTA(archive!H2721:CI2721))</f>
        <v/>
      </c>
      <c r="G2721" s="47" t="str">
        <f>IF(archive!G2721="","",archive!G2721)</f>
        <v/>
      </c>
      <c r="H2721" s="51" t="str">
        <f>IF(archive!CJ2721="","",archive!CJ2721)</f>
        <v/>
      </c>
      <c r="I2721" s="51" t="str">
        <f>IF(archive!CK2721="","",archive!CK2721)</f>
        <v/>
      </c>
      <c r="J2721" s="47" t="str">
        <f t="shared" si="591"/>
        <v/>
      </c>
      <c r="K2721" s="51" t="str">
        <f t="shared" si="592"/>
        <v/>
      </c>
      <c r="L2721" s="52" t="str">
        <f t="shared" si="593"/>
        <v/>
      </c>
      <c r="M2721" s="53" t="str">
        <f t="shared" si="594"/>
        <v/>
      </c>
      <c r="N2721" s="53" t="str">
        <f t="shared" si="595"/>
        <v/>
      </c>
      <c r="O2721" s="53" t="str">
        <f t="shared" si="596"/>
        <v/>
      </c>
      <c r="P2721" s="53" t="str">
        <f t="shared" si="597"/>
        <v/>
      </c>
      <c r="Q2721" s="53" t="str">
        <f t="shared" si="598"/>
        <v/>
      </c>
      <c r="R2721" s="53" t="str">
        <f t="shared" si="599"/>
        <v/>
      </c>
      <c r="S2721" s="53" t="str">
        <f t="shared" si="600"/>
        <v/>
      </c>
      <c r="T2721" s="53" t="str">
        <f t="shared" si="601"/>
        <v/>
      </c>
    </row>
    <row r="2722" spans="1:20">
      <c r="A2722" s="47" t="str">
        <f>IF(archive!E2722="","",archive!E2722)</f>
        <v/>
      </c>
      <c r="B2722" s="48" t="str">
        <f t="shared" si="588"/>
        <v/>
      </c>
      <c r="C2722" s="49" t="str">
        <f>IF(archive!F2722="","",archive!F2722)</f>
        <v/>
      </c>
      <c r="D2722" s="50" t="str">
        <f t="shared" si="589"/>
        <v/>
      </c>
      <c r="E2722" s="50" t="str">
        <f t="shared" si="590"/>
        <v/>
      </c>
      <c r="F2722" s="47" t="str">
        <f>IF(COUNTA(archive!H2722:CI2722)=0,"",COUNTA(archive!H2722:CI2722))</f>
        <v/>
      </c>
      <c r="G2722" s="47" t="str">
        <f>IF(archive!G2722="","",archive!G2722)</f>
        <v/>
      </c>
      <c r="H2722" s="51" t="str">
        <f>IF(archive!CJ2722="","",archive!CJ2722)</f>
        <v/>
      </c>
      <c r="I2722" s="51" t="str">
        <f>IF(archive!CK2722="","",archive!CK2722)</f>
        <v/>
      </c>
      <c r="J2722" s="47" t="str">
        <f t="shared" si="591"/>
        <v/>
      </c>
      <c r="K2722" s="51" t="str">
        <f t="shared" si="592"/>
        <v/>
      </c>
      <c r="L2722" s="52" t="str">
        <f t="shared" si="593"/>
        <v/>
      </c>
      <c r="M2722" s="53" t="str">
        <f t="shared" si="594"/>
        <v/>
      </c>
      <c r="N2722" s="53" t="str">
        <f t="shared" si="595"/>
        <v/>
      </c>
      <c r="O2722" s="53" t="str">
        <f t="shared" si="596"/>
        <v/>
      </c>
      <c r="P2722" s="53" t="str">
        <f t="shared" si="597"/>
        <v/>
      </c>
      <c r="Q2722" s="53" t="str">
        <f t="shared" si="598"/>
        <v/>
      </c>
      <c r="R2722" s="53" t="str">
        <f t="shared" si="599"/>
        <v/>
      </c>
      <c r="S2722" s="53" t="str">
        <f t="shared" si="600"/>
        <v/>
      </c>
      <c r="T2722" s="53" t="str">
        <f t="shared" si="601"/>
        <v/>
      </c>
    </row>
    <row r="2723" spans="1:20">
      <c r="A2723" s="47" t="str">
        <f>IF(archive!E2723="","",archive!E2723)</f>
        <v/>
      </c>
      <c r="B2723" s="48" t="str">
        <f t="shared" si="588"/>
        <v/>
      </c>
      <c r="C2723" s="49" t="str">
        <f>IF(archive!F2723="","",archive!F2723)</f>
        <v/>
      </c>
      <c r="D2723" s="50" t="str">
        <f t="shared" si="589"/>
        <v/>
      </c>
      <c r="E2723" s="50" t="str">
        <f t="shared" si="590"/>
        <v/>
      </c>
      <c r="F2723" s="47" t="str">
        <f>IF(COUNTA(archive!H2723:CI2723)=0,"",COUNTA(archive!H2723:CI2723))</f>
        <v/>
      </c>
      <c r="G2723" s="47" t="str">
        <f>IF(archive!G2723="","",archive!G2723)</f>
        <v/>
      </c>
      <c r="H2723" s="51" t="str">
        <f>IF(archive!CJ2723="","",archive!CJ2723)</f>
        <v/>
      </c>
      <c r="I2723" s="51" t="str">
        <f>IF(archive!CK2723="","",archive!CK2723)</f>
        <v/>
      </c>
      <c r="J2723" s="47" t="str">
        <f t="shared" si="591"/>
        <v/>
      </c>
      <c r="K2723" s="51" t="str">
        <f t="shared" si="592"/>
        <v/>
      </c>
      <c r="L2723" s="52" t="str">
        <f t="shared" si="593"/>
        <v/>
      </c>
      <c r="M2723" s="53" t="str">
        <f t="shared" si="594"/>
        <v/>
      </c>
      <c r="N2723" s="53" t="str">
        <f t="shared" si="595"/>
        <v/>
      </c>
      <c r="O2723" s="53" t="str">
        <f t="shared" si="596"/>
        <v/>
      </c>
      <c r="P2723" s="53" t="str">
        <f t="shared" si="597"/>
        <v/>
      </c>
      <c r="Q2723" s="53" t="str">
        <f t="shared" si="598"/>
        <v/>
      </c>
      <c r="R2723" s="53" t="str">
        <f t="shared" si="599"/>
        <v/>
      </c>
      <c r="S2723" s="53" t="str">
        <f t="shared" si="600"/>
        <v/>
      </c>
      <c r="T2723" s="53" t="str">
        <f t="shared" si="601"/>
        <v/>
      </c>
    </row>
    <row r="2724" spans="1:20">
      <c r="A2724" s="47" t="str">
        <f>IF(archive!E2724="","",archive!E2724)</f>
        <v/>
      </c>
      <c r="B2724" s="48" t="str">
        <f t="shared" si="588"/>
        <v/>
      </c>
      <c r="C2724" s="49" t="str">
        <f>IF(archive!F2724="","",archive!F2724)</f>
        <v/>
      </c>
      <c r="D2724" s="50" t="str">
        <f t="shared" si="589"/>
        <v/>
      </c>
      <c r="E2724" s="50" t="str">
        <f t="shared" si="590"/>
        <v/>
      </c>
      <c r="F2724" s="47" t="str">
        <f>IF(COUNTA(archive!H2724:CI2724)=0,"",COUNTA(archive!H2724:CI2724))</f>
        <v/>
      </c>
      <c r="G2724" s="47" t="str">
        <f>IF(archive!G2724="","",archive!G2724)</f>
        <v/>
      </c>
      <c r="H2724" s="51" t="str">
        <f>IF(archive!CJ2724="","",archive!CJ2724)</f>
        <v/>
      </c>
      <c r="I2724" s="51" t="str">
        <f>IF(archive!CK2724="","",archive!CK2724)</f>
        <v/>
      </c>
      <c r="J2724" s="47" t="str">
        <f t="shared" si="591"/>
        <v/>
      </c>
      <c r="K2724" s="51" t="str">
        <f t="shared" si="592"/>
        <v/>
      </c>
      <c r="L2724" s="52" t="str">
        <f t="shared" si="593"/>
        <v/>
      </c>
      <c r="M2724" s="53" t="str">
        <f t="shared" si="594"/>
        <v/>
      </c>
      <c r="N2724" s="53" t="str">
        <f t="shared" si="595"/>
        <v/>
      </c>
      <c r="O2724" s="53" t="str">
        <f t="shared" si="596"/>
        <v/>
      </c>
      <c r="P2724" s="53" t="str">
        <f t="shared" si="597"/>
        <v/>
      </c>
      <c r="Q2724" s="53" t="str">
        <f t="shared" si="598"/>
        <v/>
      </c>
      <c r="R2724" s="53" t="str">
        <f t="shared" si="599"/>
        <v/>
      </c>
      <c r="S2724" s="53" t="str">
        <f t="shared" si="600"/>
        <v/>
      </c>
      <c r="T2724" s="53" t="str">
        <f t="shared" si="601"/>
        <v/>
      </c>
    </row>
  </sheetData>
  <sheetProtection algorithmName="SHA-512" hashValue="i2j3Wm9xy1Fsxdotlmxfoy+m5mmv3CZnmVDVdGbe+dOWzL9ggWtrSfvL1iQxy4rdsiDts7OCgBfyqy5DlOgZbg==" saltValue="HrhQDa94F1q5Q86InUGQSw==" spinCount="100000" sheet="1" objects="1" scenarios="1" selectLockedCells="1" autoFilter="0" selectUnlockedCells="1"/>
  <autoFilter ref="A3:T3" xr:uid="{00000000-0009-0000-0000-000002000000}"/>
  <mergeCells count="1">
    <mergeCell ref="A1:T1"/>
  </mergeCells>
  <conditionalFormatting sqref="F4:F2724">
    <cfRule type="cellIs" dxfId="1" priority="2" operator="lessThan">
      <formula>$G4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3"/>
  <dimension ref="A1:AMJ54"/>
  <sheetViews>
    <sheetView zoomScale="75" zoomScaleNormal="75" workbookViewId="0">
      <selection sqref="A1:A2"/>
    </sheetView>
  </sheetViews>
  <sheetFormatPr baseColWidth="10" defaultColWidth="10" defaultRowHeight="15"/>
  <cols>
    <col min="1" max="1" width="13.75" style="54" customWidth="1"/>
    <col min="2" max="2" width="10" style="54"/>
    <col min="3" max="3" width="11.875" style="54" customWidth="1"/>
    <col min="4" max="4" width="10" style="54"/>
    <col min="5" max="5" width="12.5" style="54" customWidth="1"/>
    <col min="6" max="7" width="10" style="54"/>
    <col min="8" max="8" width="17.125" style="54" customWidth="1"/>
    <col min="9" max="9" width="11.25" style="54" customWidth="1"/>
    <col min="10" max="10" width="16.25" style="54" customWidth="1"/>
    <col min="11" max="1024" width="10" style="54"/>
  </cols>
  <sheetData>
    <row r="1" spans="1:10">
      <c r="A1" s="103"/>
      <c r="B1" s="104" t="s">
        <v>41</v>
      </c>
      <c r="C1" s="104"/>
      <c r="D1" s="104"/>
      <c r="E1" s="104"/>
      <c r="F1" s="104"/>
      <c r="G1" s="104"/>
      <c r="H1" s="104"/>
      <c r="I1" s="104"/>
      <c r="J1" s="55" t="s">
        <v>27</v>
      </c>
    </row>
    <row r="2" spans="1:10">
      <c r="A2" s="103"/>
      <c r="B2" s="104"/>
      <c r="C2" s="104"/>
      <c r="D2" s="104"/>
      <c r="E2" s="104"/>
      <c r="F2" s="104"/>
      <c r="G2" s="104"/>
      <c r="H2" s="104"/>
      <c r="I2" s="104"/>
      <c r="J2" s="1" t="s">
        <v>42</v>
      </c>
    </row>
    <row r="3" spans="1:10" ht="14.25" customHeight="1">
      <c r="A3" s="105" t="s">
        <v>43</v>
      </c>
      <c r="B3" s="106" t="s">
        <v>44</v>
      </c>
      <c r="C3" s="106"/>
      <c r="D3" s="106"/>
      <c r="E3" s="106"/>
      <c r="F3" s="107" t="s">
        <v>45</v>
      </c>
      <c r="G3" s="107"/>
      <c r="H3" s="107"/>
      <c r="I3" s="107"/>
      <c r="J3" s="101" t="s">
        <v>46</v>
      </c>
    </row>
    <row r="4" spans="1:10">
      <c r="A4" s="105"/>
      <c r="B4" s="106"/>
      <c r="C4" s="106"/>
      <c r="D4" s="106"/>
      <c r="E4" s="106"/>
      <c r="F4" s="107"/>
      <c r="G4" s="107"/>
      <c r="H4" s="107"/>
      <c r="I4" s="107"/>
      <c r="J4" s="101"/>
    </row>
    <row r="5" spans="1:10" ht="15.75">
      <c r="A5" s="56" t="s">
        <v>47</v>
      </c>
      <c r="I5" s="57" t="s">
        <v>48</v>
      </c>
      <c r="J5" s="58" t="s">
        <v>49</v>
      </c>
    </row>
    <row r="6" spans="1:10" ht="15" customHeight="1">
      <c r="A6" s="102" t="s">
        <v>50</v>
      </c>
      <c r="B6" s="102"/>
      <c r="C6" s="102"/>
      <c r="D6" s="102"/>
      <c r="E6" s="102"/>
      <c r="F6" s="102"/>
      <c r="G6" s="102"/>
      <c r="H6" s="102"/>
      <c r="I6" s="59">
        <v>0.25</v>
      </c>
      <c r="J6" s="57">
        <v>5.5999999999999999E-3</v>
      </c>
    </row>
    <row r="7" spans="1:10" ht="15.75">
      <c r="A7" s="56" t="s">
        <v>51</v>
      </c>
      <c r="I7" s="59">
        <v>0.4</v>
      </c>
      <c r="J7" s="57">
        <v>5.5999999999999999E-3</v>
      </c>
    </row>
    <row r="8" spans="1:10">
      <c r="A8" s="54" t="s">
        <v>52</v>
      </c>
      <c r="I8" s="59">
        <v>0.5</v>
      </c>
      <c r="J8" s="57">
        <v>5.5999999999999999E-3</v>
      </c>
    </row>
    <row r="9" spans="1:10">
      <c r="A9" s="54" t="s">
        <v>53</v>
      </c>
      <c r="I9" s="59">
        <v>0.6</v>
      </c>
      <c r="J9" s="57">
        <v>5.5999999999999999E-3</v>
      </c>
    </row>
    <row r="10" spans="1:10">
      <c r="A10" s="54" t="s">
        <v>54</v>
      </c>
      <c r="I10" s="60">
        <v>0.75</v>
      </c>
      <c r="J10" s="61">
        <v>7.6E-3</v>
      </c>
    </row>
    <row r="11" spans="1:10">
      <c r="A11" s="54" t="s">
        <v>55</v>
      </c>
      <c r="I11" s="59">
        <v>0.8</v>
      </c>
      <c r="J11" s="57">
        <v>7.6E-3</v>
      </c>
    </row>
    <row r="12" spans="1:10">
      <c r="A12" s="54" t="s">
        <v>56</v>
      </c>
      <c r="I12" s="59">
        <v>1</v>
      </c>
      <c r="J12" s="57">
        <v>7.6E-3</v>
      </c>
    </row>
    <row r="13" spans="1:10" ht="15.75">
      <c r="A13" s="56" t="s">
        <v>57</v>
      </c>
      <c r="B13" s="56"/>
      <c r="C13" s="56" t="s">
        <v>58</v>
      </c>
      <c r="D13" s="56"/>
      <c r="I13" s="59">
        <v>1</v>
      </c>
      <c r="J13" s="57">
        <v>7.6E-3</v>
      </c>
    </row>
    <row r="14" spans="1:10">
      <c r="I14" s="54">
        <v>12.5</v>
      </c>
    </row>
    <row r="15" spans="1:10">
      <c r="A15" s="62" t="s">
        <v>59</v>
      </c>
      <c r="I15" s="54">
        <v>18</v>
      </c>
    </row>
    <row r="16" spans="1:10">
      <c r="A16" s="63" t="s">
        <v>6</v>
      </c>
      <c r="B16" s="64" t="s">
        <v>60</v>
      </c>
      <c r="E16" s="65" t="s">
        <v>61</v>
      </c>
      <c r="F16" s="65" t="s">
        <v>62</v>
      </c>
      <c r="G16" s="65" t="s">
        <v>63</v>
      </c>
    </row>
    <row r="17" spans="1:9">
      <c r="A17" s="66" t="s">
        <v>13</v>
      </c>
      <c r="B17" s="64">
        <v>8014</v>
      </c>
      <c r="E17" s="65">
        <v>1</v>
      </c>
      <c r="F17" s="65">
        <v>1E-3</v>
      </c>
      <c r="G17" s="65">
        <v>1.0009999999999999</v>
      </c>
    </row>
    <row r="18" spans="1:9">
      <c r="A18" s="67" t="s">
        <v>15</v>
      </c>
      <c r="B18" s="68">
        <v>1</v>
      </c>
      <c r="E18" s="69" t="s">
        <v>64</v>
      </c>
      <c r="F18" s="65">
        <f>_xlfn.STDEV.S(B19:B30)</f>
        <v>6.7097565778002268E-3</v>
      </c>
    </row>
    <row r="19" spans="1:9">
      <c r="A19" s="70">
        <v>1</v>
      </c>
      <c r="B19" s="71">
        <v>1.0195000000000001</v>
      </c>
      <c r="E19" s="72" t="s">
        <v>65</v>
      </c>
      <c r="F19" s="73">
        <f>AVERAGE(B19:B30)</f>
        <v>1.0190416666666666</v>
      </c>
    </row>
    <row r="20" spans="1:9">
      <c r="A20" s="70">
        <v>2</v>
      </c>
      <c r="B20" s="71">
        <v>1.0125</v>
      </c>
      <c r="E20" s="74" t="s">
        <v>66</v>
      </c>
      <c r="F20" s="75">
        <v>0.39400000000000002</v>
      </c>
    </row>
    <row r="21" spans="1:9">
      <c r="A21" s="70">
        <v>3</v>
      </c>
      <c r="B21" s="71">
        <v>1.0115000000000001</v>
      </c>
      <c r="E21" s="76" t="s">
        <v>67</v>
      </c>
      <c r="F21" s="77">
        <f>G17+(F20*F18)</f>
        <v>1.0036436440916532</v>
      </c>
      <c r="G21" s="78" t="s">
        <v>68</v>
      </c>
      <c r="H21" s="78" t="s">
        <v>69</v>
      </c>
      <c r="I21" s="79" t="s">
        <v>70</v>
      </c>
    </row>
    <row r="22" spans="1:9">
      <c r="A22" s="70">
        <v>4</v>
      </c>
      <c r="B22" s="71">
        <v>1.0145</v>
      </c>
    </row>
    <row r="23" spans="1:9">
      <c r="A23" s="70">
        <v>5</v>
      </c>
      <c r="B23" s="71">
        <v>1.0165</v>
      </c>
    </row>
    <row r="24" spans="1:9">
      <c r="A24" s="70">
        <v>6</v>
      </c>
      <c r="B24" s="71">
        <v>1.0169999999999999</v>
      </c>
    </row>
    <row r="25" spans="1:9">
      <c r="A25" s="70">
        <v>7</v>
      </c>
      <c r="B25" s="71">
        <v>1.024</v>
      </c>
    </row>
    <row r="26" spans="1:9">
      <c r="A26" s="70">
        <v>8</v>
      </c>
      <c r="B26" s="71">
        <v>1.0185</v>
      </c>
    </row>
    <row r="27" spans="1:9">
      <c r="A27" s="70">
        <v>9</v>
      </c>
      <c r="B27" s="71">
        <v>1.0135000000000001</v>
      </c>
    </row>
    <row r="28" spans="1:9">
      <c r="A28" s="70">
        <v>10</v>
      </c>
      <c r="B28" s="71">
        <v>1.0335000000000001</v>
      </c>
    </row>
    <row r="29" spans="1:9">
      <c r="A29" s="70">
        <v>11</v>
      </c>
      <c r="B29" s="71">
        <v>1.0185</v>
      </c>
    </row>
    <row r="30" spans="1:9">
      <c r="A30" s="70">
        <v>12</v>
      </c>
      <c r="B30" s="71">
        <v>1.0289999999999999</v>
      </c>
    </row>
    <row r="32" spans="1:9">
      <c r="A32" s="64" t="s">
        <v>71</v>
      </c>
    </row>
    <row r="33" spans="1:7">
      <c r="A33" s="64" t="s">
        <v>72</v>
      </c>
    </row>
    <row r="34" spans="1:7">
      <c r="A34" s="68">
        <v>0.5</v>
      </c>
    </row>
    <row r="35" spans="1:7">
      <c r="A35" s="71">
        <v>0.51</v>
      </c>
    </row>
    <row r="36" spans="1:7">
      <c r="A36" s="71">
        <v>0.50800000000000001</v>
      </c>
      <c r="C36" s="65" t="s">
        <v>61</v>
      </c>
      <c r="D36" s="65" t="s">
        <v>62</v>
      </c>
      <c r="E36" s="65" t="s">
        <v>63</v>
      </c>
    </row>
    <row r="37" spans="1:7">
      <c r="A37" s="71">
        <v>0.51300000000000001</v>
      </c>
      <c r="C37" s="65">
        <v>0.5</v>
      </c>
      <c r="D37" s="65">
        <v>5.5999999999999999E-3</v>
      </c>
      <c r="E37" s="65">
        <f>C37+D37</f>
        <v>0.50560000000000005</v>
      </c>
    </row>
    <row r="38" spans="1:7">
      <c r="A38" s="71">
        <v>0.51500000000000001</v>
      </c>
      <c r="C38" s="69" t="s">
        <v>64</v>
      </c>
      <c r="D38" s="65">
        <f>_xlfn.STDEV.S(A35:A54)</f>
        <v>2.8566634936214538E-3</v>
      </c>
    </row>
    <row r="39" spans="1:7">
      <c r="A39" s="71">
        <v>0.50949999999999995</v>
      </c>
      <c r="C39" s="72" t="s">
        <v>65</v>
      </c>
      <c r="D39" s="73">
        <f>AVERAGE(A35:A54)</f>
        <v>0.51134999999999997</v>
      </c>
    </row>
    <row r="40" spans="1:7">
      <c r="A40" s="71">
        <v>0.51600000000000001</v>
      </c>
      <c r="C40" s="69" t="s">
        <v>66</v>
      </c>
      <c r="D40" s="65">
        <v>0.29699999999999999</v>
      </c>
    </row>
    <row r="41" spans="1:7">
      <c r="A41" s="71">
        <v>0.51300000000000001</v>
      </c>
      <c r="C41" s="76" t="s">
        <v>67</v>
      </c>
      <c r="D41" s="54">
        <f>E37+(D40*D38)</f>
        <v>0.50644842905760568</v>
      </c>
      <c r="E41" s="78" t="s">
        <v>68</v>
      </c>
      <c r="F41" s="78" t="s">
        <v>69</v>
      </c>
      <c r="G41" s="79" t="s">
        <v>70</v>
      </c>
    </row>
    <row r="42" spans="1:7">
      <c r="A42" s="71">
        <v>0.51500000000000001</v>
      </c>
    </row>
    <row r="43" spans="1:7">
      <c r="A43" s="71">
        <v>0.50849999999999995</v>
      </c>
    </row>
    <row r="44" spans="1:7">
      <c r="A44" s="71">
        <v>0.51</v>
      </c>
    </row>
    <row r="45" spans="1:7">
      <c r="A45" s="71">
        <v>0.51449999999999996</v>
      </c>
    </row>
    <row r="46" spans="1:7">
      <c r="A46" s="71">
        <v>0.51700000000000002</v>
      </c>
    </row>
    <row r="47" spans="1:7">
      <c r="A47" s="71">
        <v>0.51200000000000001</v>
      </c>
    </row>
    <row r="48" spans="1:7">
      <c r="A48" s="71">
        <v>0.50849999999999995</v>
      </c>
    </row>
    <row r="49" spans="1:1">
      <c r="A49" s="71">
        <v>0.50800000000000001</v>
      </c>
    </row>
    <row r="50" spans="1:1">
      <c r="A50" s="80">
        <v>0.50949999999999995</v>
      </c>
    </row>
    <row r="51" spans="1:1">
      <c r="A51" s="80">
        <v>0.50900000000000001</v>
      </c>
    </row>
    <row r="52" spans="1:1">
      <c r="A52" s="80">
        <v>0.51</v>
      </c>
    </row>
    <row r="53" spans="1:1">
      <c r="A53" s="80">
        <v>0.51</v>
      </c>
    </row>
    <row r="54" spans="1:1">
      <c r="A54" s="80">
        <v>0.51049999999999995</v>
      </c>
    </row>
  </sheetData>
  <sheetProtection algorithmName="SHA-512" hashValue="f5sDrnQ/47iWkOpsi4MlT8XXcha9CLddkiqianN1qAm0keKh0yaDRju3bJ4qSJbTpzf/NWAnmllNa0E5skfdjA==" saltValue="GfJ49d58jBZ3ikfh360abg==" spinCount="100000" sheet="1" objects="1" scenarios="1" selectLockedCells="1" selectUnlockedCells="1"/>
  <mergeCells count="7">
    <mergeCell ref="J3:J4"/>
    <mergeCell ref="A6:H6"/>
    <mergeCell ref="A1:A2"/>
    <mergeCell ref="B1:I2"/>
    <mergeCell ref="A3:A4"/>
    <mergeCell ref="B3:E4"/>
    <mergeCell ref="F3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4"/>
  <dimension ref="A1:AMJ300"/>
  <sheetViews>
    <sheetView zoomScale="75" zoomScaleNormal="75" workbookViewId="0"/>
  </sheetViews>
  <sheetFormatPr baseColWidth="10" defaultColWidth="10" defaultRowHeight="15"/>
  <cols>
    <col min="1" max="1" width="15.75" style="81" customWidth="1"/>
    <col min="2" max="2" width="15" style="81" customWidth="1"/>
    <col min="3" max="1024" width="10" style="54"/>
  </cols>
  <sheetData>
    <row r="1" spans="1:2">
      <c r="A1" s="81" t="s">
        <v>73</v>
      </c>
      <c r="B1" s="81" t="s">
        <v>74</v>
      </c>
    </row>
    <row r="2" spans="1:2">
      <c r="A2" s="81">
        <v>2</v>
      </c>
      <c r="B2" s="81">
        <v>2.1760000000000002</v>
      </c>
    </row>
    <row r="3" spans="1:2">
      <c r="A3" s="81">
        <v>3</v>
      </c>
      <c r="B3" s="81">
        <v>1.089</v>
      </c>
    </row>
    <row r="4" spans="1:2">
      <c r="A4" s="81">
        <v>4</v>
      </c>
      <c r="B4" s="81">
        <v>0.81899999999999995</v>
      </c>
    </row>
    <row r="5" spans="1:2">
      <c r="A5" s="81">
        <v>5</v>
      </c>
      <c r="B5" s="81">
        <v>0.68600000000000005</v>
      </c>
    </row>
    <row r="6" spans="1:2">
      <c r="A6" s="81">
        <v>6</v>
      </c>
      <c r="B6" s="81">
        <v>0.60299999999999998</v>
      </c>
    </row>
    <row r="7" spans="1:2">
      <c r="A7" s="81">
        <v>7</v>
      </c>
      <c r="B7" s="81">
        <v>0.54400000000000004</v>
      </c>
    </row>
    <row r="8" spans="1:2">
      <c r="A8" s="81">
        <v>8</v>
      </c>
      <c r="B8" s="81">
        <v>0.5</v>
      </c>
    </row>
    <row r="9" spans="1:2">
      <c r="A9" s="81">
        <v>9</v>
      </c>
      <c r="B9" s="81">
        <v>0.46600000000000003</v>
      </c>
    </row>
    <row r="10" spans="1:2">
      <c r="A10" s="81">
        <v>10</v>
      </c>
      <c r="B10" s="81">
        <v>0.437</v>
      </c>
    </row>
    <row r="11" spans="1:2">
      <c r="A11" s="81">
        <v>11</v>
      </c>
      <c r="B11" s="81">
        <v>0.41399999999999998</v>
      </c>
    </row>
    <row r="12" spans="1:2">
      <c r="A12" s="81">
        <v>12</v>
      </c>
      <c r="B12" s="81">
        <v>0.39400000000000002</v>
      </c>
    </row>
    <row r="13" spans="1:2">
      <c r="A13" s="81">
        <v>13</v>
      </c>
      <c r="B13" s="81">
        <v>0.376</v>
      </c>
    </row>
    <row r="14" spans="1:2">
      <c r="A14" s="81">
        <v>14</v>
      </c>
      <c r="B14" s="81">
        <v>0.36099999999999999</v>
      </c>
    </row>
    <row r="15" spans="1:2">
      <c r="A15" s="81">
        <v>15</v>
      </c>
      <c r="B15" s="81">
        <v>0.34699999999999998</v>
      </c>
    </row>
    <row r="16" spans="1:2">
      <c r="A16" s="81">
        <v>16</v>
      </c>
      <c r="B16" s="81">
        <v>0.33500000000000002</v>
      </c>
    </row>
    <row r="17" spans="1:2">
      <c r="A17" s="81">
        <v>17</v>
      </c>
      <c r="B17" s="81">
        <v>0.32400000000000001</v>
      </c>
    </row>
    <row r="18" spans="1:2">
      <c r="A18" s="81">
        <v>18</v>
      </c>
      <c r="B18" s="81">
        <v>0.314</v>
      </c>
    </row>
    <row r="19" spans="1:2">
      <c r="A19" s="81">
        <v>19</v>
      </c>
      <c r="B19" s="81">
        <v>0.30499999999999999</v>
      </c>
    </row>
    <row r="20" spans="1:2">
      <c r="A20" s="81">
        <v>20</v>
      </c>
      <c r="B20" s="81">
        <v>0.29699999999999999</v>
      </c>
    </row>
    <row r="21" spans="1:2">
      <c r="A21" s="81">
        <v>21</v>
      </c>
      <c r="B21" s="81">
        <v>0.28899999999999998</v>
      </c>
    </row>
    <row r="22" spans="1:2">
      <c r="A22" s="81">
        <v>22</v>
      </c>
      <c r="B22" s="81">
        <v>0.28199999999999997</v>
      </c>
    </row>
    <row r="23" spans="1:2">
      <c r="A23" s="81">
        <v>23</v>
      </c>
      <c r="B23" s="81">
        <v>0.27500000000000002</v>
      </c>
    </row>
    <row r="24" spans="1:2">
      <c r="A24" s="81">
        <v>24</v>
      </c>
      <c r="B24" s="81">
        <v>0.26900000000000002</v>
      </c>
    </row>
    <row r="25" spans="1:2">
      <c r="A25" s="81">
        <v>25</v>
      </c>
      <c r="B25" s="81">
        <v>0.26400000000000001</v>
      </c>
    </row>
    <row r="26" spans="1:2">
      <c r="A26" s="81">
        <v>26</v>
      </c>
      <c r="B26" s="81">
        <v>0.25800000000000001</v>
      </c>
    </row>
    <row r="27" spans="1:2">
      <c r="A27" s="81">
        <v>27</v>
      </c>
      <c r="B27" s="81">
        <v>0.253</v>
      </c>
    </row>
    <row r="28" spans="1:2">
      <c r="A28" s="81">
        <v>28</v>
      </c>
      <c r="B28" s="81">
        <v>0.248</v>
      </c>
    </row>
    <row r="29" spans="1:2">
      <c r="A29" s="81">
        <v>29</v>
      </c>
      <c r="B29" s="81">
        <v>0.24399999999999999</v>
      </c>
    </row>
    <row r="30" spans="1:2">
      <c r="A30" s="81">
        <v>30</v>
      </c>
      <c r="B30" s="81">
        <v>0.23899999999999999</v>
      </c>
    </row>
    <row r="31" spans="1:2">
      <c r="A31" s="81">
        <v>31</v>
      </c>
      <c r="B31" s="81">
        <v>0.23499999999999999</v>
      </c>
    </row>
    <row r="32" spans="1:2">
      <c r="A32" s="81">
        <v>32</v>
      </c>
      <c r="B32" s="81">
        <v>0.23100000000000001</v>
      </c>
    </row>
    <row r="33" spans="1:2">
      <c r="A33" s="81">
        <v>33</v>
      </c>
      <c r="B33" s="81">
        <v>0.22800000000000001</v>
      </c>
    </row>
    <row r="34" spans="1:2">
      <c r="A34" s="81">
        <v>34</v>
      </c>
      <c r="B34" s="81">
        <v>0.224</v>
      </c>
    </row>
    <row r="35" spans="1:2">
      <c r="A35" s="81">
        <v>35</v>
      </c>
      <c r="B35" s="81">
        <v>0.221</v>
      </c>
    </row>
    <row r="36" spans="1:2">
      <c r="A36" s="81">
        <v>36</v>
      </c>
      <c r="B36" s="81">
        <v>0.218</v>
      </c>
    </row>
    <row r="37" spans="1:2">
      <c r="A37" s="81">
        <v>37</v>
      </c>
      <c r="B37" s="81">
        <v>0.215</v>
      </c>
    </row>
    <row r="38" spans="1:2">
      <c r="A38" s="81">
        <v>38</v>
      </c>
      <c r="B38" s="81">
        <v>0.21199999999999999</v>
      </c>
    </row>
    <row r="39" spans="1:2">
      <c r="A39" s="81">
        <v>39</v>
      </c>
      <c r="B39" s="81">
        <v>0.20899999999999999</v>
      </c>
    </row>
    <row r="40" spans="1:2">
      <c r="A40" s="81">
        <v>40</v>
      </c>
      <c r="B40" s="81">
        <v>0.20599999999999999</v>
      </c>
    </row>
    <row r="41" spans="1:2">
      <c r="A41" s="81">
        <v>41</v>
      </c>
      <c r="B41" s="81">
        <v>0.20399999999999999</v>
      </c>
    </row>
    <row r="42" spans="1:2">
      <c r="A42" s="81">
        <v>42</v>
      </c>
      <c r="B42" s="81">
        <v>0.20100000000000001</v>
      </c>
    </row>
    <row r="43" spans="1:2">
      <c r="A43" s="81">
        <v>43</v>
      </c>
      <c r="B43" s="81">
        <v>0.19900000000000001</v>
      </c>
    </row>
    <row r="44" spans="1:2">
      <c r="A44" s="81">
        <v>44</v>
      </c>
      <c r="B44" s="81">
        <v>0.19600000000000001</v>
      </c>
    </row>
    <row r="45" spans="1:2">
      <c r="A45" s="81">
        <v>45</v>
      </c>
      <c r="B45" s="81">
        <v>0.19400000000000001</v>
      </c>
    </row>
    <row r="46" spans="1:2">
      <c r="A46" s="81">
        <v>46</v>
      </c>
      <c r="B46" s="81">
        <v>0.192</v>
      </c>
    </row>
    <row r="47" spans="1:2">
      <c r="A47" s="81">
        <v>47</v>
      </c>
      <c r="B47" s="81">
        <v>0.19</v>
      </c>
    </row>
    <row r="48" spans="1:2">
      <c r="A48" s="81">
        <v>48</v>
      </c>
      <c r="B48" s="81">
        <v>0.188</v>
      </c>
    </row>
    <row r="49" spans="1:2">
      <c r="A49" s="81">
        <v>49</v>
      </c>
      <c r="B49" s="81">
        <v>0.186</v>
      </c>
    </row>
    <row r="50" spans="1:2">
      <c r="A50" s="81">
        <v>50</v>
      </c>
      <c r="B50" s="81">
        <v>0.184</v>
      </c>
    </row>
    <row r="51" spans="1:2">
      <c r="A51" s="81">
        <v>51</v>
      </c>
      <c r="B51" s="81">
        <v>0.184</v>
      </c>
    </row>
    <row r="52" spans="1:2">
      <c r="A52" s="81">
        <v>52</v>
      </c>
      <c r="B52" s="81">
        <v>0.184</v>
      </c>
    </row>
    <row r="53" spans="1:2">
      <c r="A53" s="81">
        <v>53</v>
      </c>
      <c r="B53" s="81">
        <v>0.184</v>
      </c>
    </row>
    <row r="54" spans="1:2">
      <c r="A54" s="81">
        <v>54</v>
      </c>
      <c r="B54" s="81">
        <v>0.184</v>
      </c>
    </row>
    <row r="55" spans="1:2">
      <c r="A55" s="81">
        <v>55</v>
      </c>
      <c r="B55" s="81">
        <v>0.17499999999999999</v>
      </c>
    </row>
    <row r="56" spans="1:2">
      <c r="A56" s="81">
        <v>56</v>
      </c>
      <c r="B56" s="81">
        <v>0.17499999999999999</v>
      </c>
    </row>
    <row r="57" spans="1:2">
      <c r="A57" s="81">
        <v>57</v>
      </c>
      <c r="B57" s="81">
        <v>0.17499999999999999</v>
      </c>
    </row>
    <row r="58" spans="1:2">
      <c r="A58" s="81">
        <v>58</v>
      </c>
      <c r="B58" s="81">
        <v>0.17499999999999999</v>
      </c>
    </row>
    <row r="59" spans="1:2">
      <c r="A59" s="81">
        <v>59</v>
      </c>
      <c r="B59" s="81">
        <v>0.17499999999999999</v>
      </c>
    </row>
    <row r="60" spans="1:2">
      <c r="A60" s="81">
        <v>60</v>
      </c>
      <c r="B60" s="81">
        <v>0.16700000000000001</v>
      </c>
    </row>
    <row r="61" spans="1:2">
      <c r="A61" s="81">
        <v>61</v>
      </c>
      <c r="B61" s="81">
        <v>0.16700000000000001</v>
      </c>
    </row>
    <row r="62" spans="1:2">
      <c r="A62" s="81">
        <v>62</v>
      </c>
      <c r="B62" s="81">
        <v>0.16700000000000001</v>
      </c>
    </row>
    <row r="63" spans="1:2">
      <c r="A63" s="81">
        <v>63</v>
      </c>
      <c r="B63" s="81">
        <v>0.16700000000000001</v>
      </c>
    </row>
    <row r="64" spans="1:2">
      <c r="A64" s="81">
        <v>64</v>
      </c>
      <c r="B64" s="81">
        <v>0.16700000000000001</v>
      </c>
    </row>
    <row r="65" spans="1:2">
      <c r="A65" s="81">
        <v>65</v>
      </c>
      <c r="B65" s="81">
        <v>0.161</v>
      </c>
    </row>
    <row r="66" spans="1:2">
      <c r="A66" s="81">
        <v>66</v>
      </c>
      <c r="B66" s="81">
        <v>0.161</v>
      </c>
    </row>
    <row r="67" spans="1:2">
      <c r="A67" s="81">
        <v>67</v>
      </c>
      <c r="B67" s="81">
        <v>0.161</v>
      </c>
    </row>
    <row r="68" spans="1:2">
      <c r="A68" s="81">
        <v>68</v>
      </c>
      <c r="B68" s="81">
        <v>0.161</v>
      </c>
    </row>
    <row r="69" spans="1:2">
      <c r="A69" s="81">
        <v>69</v>
      </c>
      <c r="B69" s="81">
        <v>0.161</v>
      </c>
    </row>
    <row r="70" spans="1:2">
      <c r="A70" s="81">
        <v>70</v>
      </c>
      <c r="B70" s="81">
        <v>0.155</v>
      </c>
    </row>
    <row r="71" spans="1:2">
      <c r="A71" s="81">
        <v>71</v>
      </c>
      <c r="B71" s="81">
        <v>0.155</v>
      </c>
    </row>
    <row r="72" spans="1:2">
      <c r="A72" s="81">
        <v>72</v>
      </c>
      <c r="B72" s="81">
        <v>0.155</v>
      </c>
    </row>
    <row r="73" spans="1:2">
      <c r="A73" s="81">
        <v>73</v>
      </c>
      <c r="B73" s="81">
        <v>0.155</v>
      </c>
    </row>
    <row r="74" spans="1:2">
      <c r="A74" s="81">
        <v>74</v>
      </c>
      <c r="B74" s="81">
        <v>0.155</v>
      </c>
    </row>
    <row r="75" spans="1:2">
      <c r="A75" s="81">
        <v>75</v>
      </c>
      <c r="B75" s="81">
        <v>0.14899999999999999</v>
      </c>
    </row>
    <row r="76" spans="1:2">
      <c r="A76" s="81">
        <v>76</v>
      </c>
      <c r="B76" s="81">
        <v>0.14899999999999999</v>
      </c>
    </row>
    <row r="77" spans="1:2">
      <c r="A77" s="81">
        <v>77</v>
      </c>
      <c r="B77" s="81">
        <v>0.14899999999999999</v>
      </c>
    </row>
    <row r="78" spans="1:2">
      <c r="A78" s="81">
        <v>78</v>
      </c>
      <c r="B78" s="81">
        <v>0.14899999999999999</v>
      </c>
    </row>
    <row r="79" spans="1:2">
      <c r="A79" s="81">
        <v>79</v>
      </c>
      <c r="B79" s="81">
        <v>0.14899999999999999</v>
      </c>
    </row>
    <row r="80" spans="1:2">
      <c r="A80" s="81">
        <v>80</v>
      </c>
      <c r="B80" s="81">
        <v>0.14399999999999999</v>
      </c>
    </row>
    <row r="81" spans="1:2">
      <c r="A81" s="81">
        <v>81</v>
      </c>
      <c r="B81" s="81">
        <v>0.14399999999999999</v>
      </c>
    </row>
    <row r="82" spans="1:2">
      <c r="A82" s="81">
        <v>82</v>
      </c>
      <c r="B82" s="81">
        <v>0.14399999999999999</v>
      </c>
    </row>
    <row r="83" spans="1:2">
      <c r="A83" s="81">
        <v>83</v>
      </c>
      <c r="B83" s="81">
        <v>0.14399999999999999</v>
      </c>
    </row>
    <row r="84" spans="1:2">
      <c r="A84" s="81">
        <v>84</v>
      </c>
      <c r="B84" s="81">
        <v>0.14399999999999999</v>
      </c>
    </row>
    <row r="85" spans="1:2">
      <c r="A85" s="81">
        <v>85</v>
      </c>
      <c r="B85" s="81">
        <v>0.14000000000000001</v>
      </c>
    </row>
    <row r="86" spans="1:2">
      <c r="A86" s="81">
        <v>86</v>
      </c>
      <c r="B86" s="81">
        <v>0.14000000000000001</v>
      </c>
    </row>
    <row r="87" spans="1:2">
      <c r="A87" s="81">
        <v>87</v>
      </c>
      <c r="B87" s="81">
        <v>0.14000000000000001</v>
      </c>
    </row>
    <row r="88" spans="1:2">
      <c r="A88" s="81">
        <v>88</v>
      </c>
      <c r="B88" s="81">
        <v>0.14000000000000001</v>
      </c>
    </row>
    <row r="89" spans="1:2">
      <c r="A89" s="81">
        <v>89</v>
      </c>
      <c r="B89" s="81">
        <v>0.14000000000000001</v>
      </c>
    </row>
    <row r="90" spans="1:2">
      <c r="A90" s="81">
        <v>90</v>
      </c>
      <c r="B90" s="81">
        <v>0.13600000000000001</v>
      </c>
    </row>
    <row r="91" spans="1:2">
      <c r="A91" s="81">
        <v>91</v>
      </c>
      <c r="B91" s="81">
        <v>0.13600000000000001</v>
      </c>
    </row>
    <row r="92" spans="1:2">
      <c r="A92" s="81">
        <v>92</v>
      </c>
      <c r="B92" s="81">
        <v>0.13600000000000001</v>
      </c>
    </row>
    <row r="93" spans="1:2">
      <c r="A93" s="81">
        <v>93</v>
      </c>
      <c r="B93" s="81">
        <v>0.13600000000000001</v>
      </c>
    </row>
    <row r="94" spans="1:2">
      <c r="A94" s="81">
        <v>94</v>
      </c>
      <c r="B94" s="81">
        <v>0.13600000000000001</v>
      </c>
    </row>
    <row r="95" spans="1:2">
      <c r="A95" s="81">
        <v>95</v>
      </c>
      <c r="B95" s="81">
        <v>0.13200000000000001</v>
      </c>
    </row>
    <row r="96" spans="1:2">
      <c r="A96" s="81">
        <v>96</v>
      </c>
      <c r="B96" s="81">
        <v>0.13200000000000001</v>
      </c>
    </row>
    <row r="97" spans="1:2">
      <c r="A97" s="81">
        <v>97</v>
      </c>
      <c r="B97" s="81">
        <v>0.13200000000000001</v>
      </c>
    </row>
    <row r="98" spans="1:2">
      <c r="A98" s="81">
        <v>98</v>
      </c>
      <c r="B98" s="81">
        <v>0.13200000000000001</v>
      </c>
    </row>
    <row r="99" spans="1:2">
      <c r="A99" s="81">
        <v>99</v>
      </c>
      <c r="B99" s="81">
        <v>0.13200000000000001</v>
      </c>
    </row>
    <row r="100" spans="1:2">
      <c r="A100" s="81">
        <v>100</v>
      </c>
      <c r="B100" s="81">
        <v>0.129</v>
      </c>
    </row>
    <row r="101" spans="1:2">
      <c r="A101" s="81">
        <v>101</v>
      </c>
      <c r="B101" s="81">
        <v>0.129</v>
      </c>
    </row>
    <row r="102" spans="1:2">
      <c r="A102" s="81">
        <v>102</v>
      </c>
      <c r="B102" s="81">
        <v>0.129</v>
      </c>
    </row>
    <row r="103" spans="1:2">
      <c r="A103" s="81">
        <v>103</v>
      </c>
      <c r="B103" s="81">
        <v>0.129</v>
      </c>
    </row>
    <row r="104" spans="1:2">
      <c r="A104" s="81">
        <v>104</v>
      </c>
      <c r="B104" s="81">
        <v>0.129</v>
      </c>
    </row>
    <row r="105" spans="1:2">
      <c r="A105" s="81">
        <v>105</v>
      </c>
      <c r="B105" s="81">
        <v>0.126</v>
      </c>
    </row>
    <row r="106" spans="1:2">
      <c r="A106" s="81">
        <v>106</v>
      </c>
      <c r="B106" s="81">
        <v>0.126</v>
      </c>
    </row>
    <row r="107" spans="1:2">
      <c r="A107" s="81">
        <v>107</v>
      </c>
      <c r="B107" s="81">
        <v>0.126</v>
      </c>
    </row>
    <row r="108" spans="1:2">
      <c r="A108" s="81">
        <v>108</v>
      </c>
      <c r="B108" s="81">
        <v>0.126</v>
      </c>
    </row>
    <row r="109" spans="1:2">
      <c r="A109" s="81">
        <v>109</v>
      </c>
      <c r="B109" s="81">
        <v>0.126</v>
      </c>
    </row>
    <row r="110" spans="1:2">
      <c r="A110" s="81">
        <v>110</v>
      </c>
      <c r="B110" s="81">
        <v>0.123</v>
      </c>
    </row>
    <row r="111" spans="1:2">
      <c r="A111" s="81">
        <v>111</v>
      </c>
      <c r="B111" s="81">
        <v>0.123</v>
      </c>
    </row>
    <row r="112" spans="1:2">
      <c r="A112" s="81">
        <v>112</v>
      </c>
      <c r="B112" s="81">
        <v>0.123</v>
      </c>
    </row>
    <row r="113" spans="1:2">
      <c r="A113" s="81">
        <v>113</v>
      </c>
      <c r="B113" s="81">
        <v>0.123</v>
      </c>
    </row>
    <row r="114" spans="1:2">
      <c r="A114" s="81">
        <v>114</v>
      </c>
      <c r="B114" s="81">
        <v>0.123</v>
      </c>
    </row>
    <row r="115" spans="1:2">
      <c r="A115" s="81">
        <v>115</v>
      </c>
      <c r="B115" s="81">
        <v>0.12</v>
      </c>
    </row>
    <row r="116" spans="1:2">
      <c r="A116" s="81">
        <v>116</v>
      </c>
      <c r="B116" s="81">
        <v>0.12</v>
      </c>
    </row>
    <row r="117" spans="1:2">
      <c r="A117" s="81">
        <v>117</v>
      </c>
      <c r="B117" s="81">
        <v>0.12</v>
      </c>
    </row>
    <row r="118" spans="1:2">
      <c r="A118" s="81">
        <v>118</v>
      </c>
      <c r="B118" s="81">
        <v>0.12</v>
      </c>
    </row>
    <row r="119" spans="1:2">
      <c r="A119" s="81">
        <v>119</v>
      </c>
      <c r="B119" s="81">
        <v>0.12</v>
      </c>
    </row>
    <row r="120" spans="1:2">
      <c r="A120" s="81">
        <v>120</v>
      </c>
      <c r="B120" s="81">
        <v>0.11799999999999999</v>
      </c>
    </row>
    <row r="121" spans="1:2">
      <c r="A121" s="81">
        <v>121</v>
      </c>
      <c r="B121" s="81">
        <v>0.11799999999999999</v>
      </c>
    </row>
    <row r="122" spans="1:2">
      <c r="A122" s="81">
        <v>122</v>
      </c>
      <c r="B122" s="81">
        <v>0.11799999999999999</v>
      </c>
    </row>
    <row r="123" spans="1:2">
      <c r="A123" s="81">
        <v>123</v>
      </c>
      <c r="B123" s="81">
        <v>0.11799999999999999</v>
      </c>
    </row>
    <row r="124" spans="1:2">
      <c r="A124" s="81">
        <v>124</v>
      </c>
      <c r="B124" s="81">
        <v>0.11799999999999999</v>
      </c>
    </row>
    <row r="125" spans="1:2">
      <c r="A125" s="81">
        <v>125</v>
      </c>
      <c r="B125" s="81">
        <v>0.115</v>
      </c>
    </row>
    <row r="126" spans="1:2">
      <c r="A126" s="81">
        <v>126</v>
      </c>
      <c r="B126" s="81">
        <v>0.115</v>
      </c>
    </row>
    <row r="127" spans="1:2">
      <c r="A127" s="81">
        <v>127</v>
      </c>
      <c r="B127" s="81">
        <v>0.115</v>
      </c>
    </row>
    <row r="128" spans="1:2">
      <c r="A128" s="81">
        <v>128</v>
      </c>
      <c r="B128" s="81">
        <v>0.115</v>
      </c>
    </row>
    <row r="129" spans="1:2">
      <c r="A129" s="81">
        <v>129</v>
      </c>
      <c r="B129" s="81">
        <v>0.115</v>
      </c>
    </row>
    <row r="130" spans="1:2">
      <c r="A130" s="81">
        <v>130</v>
      </c>
      <c r="B130" s="81">
        <v>0.113</v>
      </c>
    </row>
    <row r="131" spans="1:2">
      <c r="A131" s="81">
        <v>131</v>
      </c>
      <c r="B131" s="81">
        <v>0.113</v>
      </c>
    </row>
    <row r="132" spans="1:2">
      <c r="A132" s="81">
        <v>132</v>
      </c>
      <c r="B132" s="81">
        <v>0.113</v>
      </c>
    </row>
    <row r="133" spans="1:2">
      <c r="A133" s="81">
        <v>133</v>
      </c>
      <c r="B133" s="81">
        <v>0.113</v>
      </c>
    </row>
    <row r="134" spans="1:2">
      <c r="A134" s="81">
        <v>134</v>
      </c>
      <c r="B134" s="81">
        <v>0.113</v>
      </c>
    </row>
    <row r="135" spans="1:2">
      <c r="A135" s="81">
        <v>135</v>
      </c>
      <c r="B135" s="81">
        <v>0.111</v>
      </c>
    </row>
    <row r="136" spans="1:2">
      <c r="A136" s="81">
        <v>136</v>
      </c>
      <c r="B136" s="81">
        <v>0.111</v>
      </c>
    </row>
    <row r="137" spans="1:2">
      <c r="A137" s="81">
        <v>137</v>
      </c>
      <c r="B137" s="81">
        <v>0.111</v>
      </c>
    </row>
    <row r="138" spans="1:2">
      <c r="A138" s="81">
        <v>138</v>
      </c>
      <c r="B138" s="81">
        <v>0.111</v>
      </c>
    </row>
    <row r="139" spans="1:2">
      <c r="A139" s="81">
        <v>139</v>
      </c>
      <c r="B139" s="81">
        <v>0.111</v>
      </c>
    </row>
    <row r="140" spans="1:2">
      <c r="A140" s="81">
        <v>140</v>
      </c>
      <c r="B140" s="81">
        <v>0.109</v>
      </c>
    </row>
    <row r="141" spans="1:2">
      <c r="A141" s="81">
        <v>141</v>
      </c>
      <c r="B141" s="81">
        <v>0.109</v>
      </c>
    </row>
    <row r="142" spans="1:2">
      <c r="A142" s="81">
        <v>142</v>
      </c>
      <c r="B142" s="81">
        <v>0.109</v>
      </c>
    </row>
    <row r="143" spans="1:2">
      <c r="A143" s="81">
        <v>143</v>
      </c>
      <c r="B143" s="81">
        <v>0.109</v>
      </c>
    </row>
    <row r="144" spans="1:2">
      <c r="A144" s="81">
        <v>144</v>
      </c>
      <c r="B144" s="81">
        <v>0.109</v>
      </c>
    </row>
    <row r="145" spans="1:2">
      <c r="A145" s="81">
        <v>145</v>
      </c>
      <c r="B145" s="81">
        <v>0.107</v>
      </c>
    </row>
    <row r="146" spans="1:2">
      <c r="A146" s="81">
        <v>146</v>
      </c>
      <c r="B146" s="81">
        <v>0.107</v>
      </c>
    </row>
    <row r="147" spans="1:2">
      <c r="A147" s="81">
        <v>147</v>
      </c>
      <c r="B147" s="81">
        <v>0.107</v>
      </c>
    </row>
    <row r="148" spans="1:2">
      <c r="A148" s="81">
        <v>148</v>
      </c>
      <c r="B148" s="81">
        <v>0.107</v>
      </c>
    </row>
    <row r="149" spans="1:2">
      <c r="A149" s="81">
        <v>149</v>
      </c>
      <c r="B149" s="81">
        <v>0.107</v>
      </c>
    </row>
    <row r="150" spans="1:2">
      <c r="A150" s="81">
        <v>150</v>
      </c>
      <c r="B150" s="81">
        <v>0.105</v>
      </c>
    </row>
    <row r="151" spans="1:2">
      <c r="A151" s="81">
        <v>151</v>
      </c>
      <c r="B151" s="81">
        <v>0.105</v>
      </c>
    </row>
    <row r="152" spans="1:2">
      <c r="A152" s="81">
        <v>152</v>
      </c>
      <c r="B152" s="81">
        <v>0.105</v>
      </c>
    </row>
    <row r="153" spans="1:2">
      <c r="A153" s="81">
        <v>153</v>
      </c>
      <c r="B153" s="81">
        <v>0.105</v>
      </c>
    </row>
    <row r="154" spans="1:2">
      <c r="A154" s="81">
        <v>154</v>
      </c>
      <c r="B154" s="81">
        <v>0.105</v>
      </c>
    </row>
    <row r="155" spans="1:2">
      <c r="A155" s="81">
        <v>155</v>
      </c>
      <c r="B155" s="81">
        <v>0.10299999999999999</v>
      </c>
    </row>
    <row r="156" spans="1:2">
      <c r="A156" s="81">
        <v>156</v>
      </c>
      <c r="B156" s="81">
        <v>0.10299999999999999</v>
      </c>
    </row>
    <row r="157" spans="1:2">
      <c r="A157" s="81">
        <v>157</v>
      </c>
      <c r="B157" s="81">
        <v>0.10299999999999999</v>
      </c>
    </row>
    <row r="158" spans="1:2">
      <c r="A158" s="81">
        <v>158</v>
      </c>
      <c r="B158" s="81">
        <v>0.10299999999999999</v>
      </c>
    </row>
    <row r="159" spans="1:2">
      <c r="A159" s="81">
        <v>159</v>
      </c>
      <c r="B159" s="81">
        <v>0.10299999999999999</v>
      </c>
    </row>
    <row r="160" spans="1:2">
      <c r="A160" s="81">
        <v>160</v>
      </c>
      <c r="B160" s="81">
        <v>0.10199999999999999</v>
      </c>
    </row>
    <row r="161" spans="1:2">
      <c r="A161" s="81">
        <v>161</v>
      </c>
      <c r="B161" s="81">
        <v>0.10199999999999999</v>
      </c>
    </row>
    <row r="162" spans="1:2">
      <c r="A162" s="81">
        <v>162</v>
      </c>
      <c r="B162" s="81">
        <v>0.10199999999999999</v>
      </c>
    </row>
    <row r="163" spans="1:2">
      <c r="A163" s="81">
        <v>163</v>
      </c>
      <c r="B163" s="81">
        <v>0.10199999999999999</v>
      </c>
    </row>
    <row r="164" spans="1:2">
      <c r="A164" s="81">
        <v>164</v>
      </c>
      <c r="B164" s="81">
        <v>0.10199999999999999</v>
      </c>
    </row>
    <row r="165" spans="1:2">
      <c r="A165" s="81">
        <v>165</v>
      </c>
      <c r="B165" s="81">
        <v>0.1</v>
      </c>
    </row>
    <row r="166" spans="1:2">
      <c r="A166" s="81">
        <v>166</v>
      </c>
      <c r="B166" s="81">
        <v>0.1</v>
      </c>
    </row>
    <row r="167" spans="1:2">
      <c r="A167" s="81">
        <v>167</v>
      </c>
      <c r="B167" s="81">
        <v>0.1</v>
      </c>
    </row>
    <row r="168" spans="1:2">
      <c r="A168" s="81">
        <v>168</v>
      </c>
      <c r="B168" s="81">
        <v>0.1</v>
      </c>
    </row>
    <row r="169" spans="1:2">
      <c r="A169" s="81">
        <v>169</v>
      </c>
      <c r="B169" s="81">
        <v>0.1</v>
      </c>
    </row>
    <row r="170" spans="1:2">
      <c r="A170" s="81">
        <v>170</v>
      </c>
      <c r="B170" s="81">
        <v>9.9000000000000005E-2</v>
      </c>
    </row>
    <row r="171" spans="1:2">
      <c r="A171" s="81">
        <v>171</v>
      </c>
      <c r="B171" s="81">
        <v>9.9000000000000005E-2</v>
      </c>
    </row>
    <row r="172" spans="1:2">
      <c r="A172" s="81">
        <v>172</v>
      </c>
      <c r="B172" s="81">
        <v>9.9000000000000005E-2</v>
      </c>
    </row>
    <row r="173" spans="1:2">
      <c r="A173" s="81">
        <v>173</v>
      </c>
      <c r="B173" s="81">
        <v>9.9000000000000005E-2</v>
      </c>
    </row>
    <row r="174" spans="1:2">
      <c r="A174" s="81">
        <v>174</v>
      </c>
      <c r="B174" s="81">
        <v>9.9000000000000005E-2</v>
      </c>
    </row>
    <row r="175" spans="1:2">
      <c r="A175" s="81">
        <v>175</v>
      </c>
      <c r="B175" s="81">
        <v>9.7000000000000003E-2</v>
      </c>
    </row>
    <row r="176" spans="1:2">
      <c r="A176" s="81">
        <v>176</v>
      </c>
      <c r="B176" s="81">
        <v>9.7000000000000003E-2</v>
      </c>
    </row>
    <row r="177" spans="1:2">
      <c r="A177" s="81">
        <v>177</v>
      </c>
      <c r="B177" s="81">
        <v>9.7000000000000003E-2</v>
      </c>
    </row>
    <row r="178" spans="1:2">
      <c r="A178" s="81">
        <v>178</v>
      </c>
      <c r="B178" s="81">
        <v>9.7000000000000003E-2</v>
      </c>
    </row>
    <row r="179" spans="1:2">
      <c r="A179" s="81">
        <v>179</v>
      </c>
      <c r="B179" s="81">
        <v>9.7000000000000003E-2</v>
      </c>
    </row>
    <row r="180" spans="1:2">
      <c r="A180" s="81">
        <v>180</v>
      </c>
      <c r="B180" s="81">
        <v>9.6000000000000002E-2</v>
      </c>
    </row>
    <row r="181" spans="1:2">
      <c r="A181" s="81">
        <v>181</v>
      </c>
      <c r="B181" s="81">
        <v>9.6000000000000002E-2</v>
      </c>
    </row>
    <row r="182" spans="1:2">
      <c r="A182" s="81">
        <v>182</v>
      </c>
      <c r="B182" s="81">
        <v>9.6000000000000002E-2</v>
      </c>
    </row>
    <row r="183" spans="1:2">
      <c r="A183" s="81">
        <v>183</v>
      </c>
      <c r="B183" s="81">
        <v>9.6000000000000002E-2</v>
      </c>
    </row>
    <row r="184" spans="1:2">
      <c r="A184" s="81">
        <v>184</v>
      </c>
      <c r="B184" s="81">
        <v>9.6000000000000002E-2</v>
      </c>
    </row>
    <row r="185" spans="1:2">
      <c r="A185" s="81">
        <v>185</v>
      </c>
      <c r="B185" s="81">
        <v>9.5000000000000001E-2</v>
      </c>
    </row>
    <row r="186" spans="1:2">
      <c r="A186" s="81">
        <v>186</v>
      </c>
      <c r="B186" s="81">
        <v>9.5000000000000001E-2</v>
      </c>
    </row>
    <row r="187" spans="1:2">
      <c r="A187" s="81">
        <v>187</v>
      </c>
      <c r="B187" s="81">
        <v>9.5000000000000001E-2</v>
      </c>
    </row>
    <row r="188" spans="1:2">
      <c r="A188" s="81">
        <v>188</v>
      </c>
      <c r="B188" s="81">
        <v>9.5000000000000001E-2</v>
      </c>
    </row>
    <row r="189" spans="1:2">
      <c r="A189" s="81">
        <v>189</v>
      </c>
      <c r="B189" s="81">
        <v>9.5000000000000001E-2</v>
      </c>
    </row>
    <row r="190" spans="1:2">
      <c r="A190" s="81">
        <v>190</v>
      </c>
      <c r="B190" s="81">
        <v>9.2999999999999999E-2</v>
      </c>
    </row>
    <row r="191" spans="1:2">
      <c r="A191" s="81">
        <v>191</v>
      </c>
      <c r="B191" s="81">
        <v>9.2999999999999999E-2</v>
      </c>
    </row>
    <row r="192" spans="1:2">
      <c r="A192" s="81">
        <v>192</v>
      </c>
      <c r="B192" s="81">
        <v>9.2999999999999999E-2</v>
      </c>
    </row>
    <row r="193" spans="1:2">
      <c r="A193" s="81">
        <v>193</v>
      </c>
      <c r="B193" s="81">
        <v>9.2999999999999999E-2</v>
      </c>
    </row>
    <row r="194" spans="1:2">
      <c r="A194" s="81">
        <v>194</v>
      </c>
      <c r="B194" s="81">
        <v>9.2999999999999999E-2</v>
      </c>
    </row>
    <row r="195" spans="1:2">
      <c r="A195" s="81">
        <v>195</v>
      </c>
      <c r="B195" s="81">
        <v>9.1999999999999998E-2</v>
      </c>
    </row>
    <row r="196" spans="1:2">
      <c r="A196" s="81">
        <v>196</v>
      </c>
      <c r="B196" s="81">
        <v>9.1999999999999998E-2</v>
      </c>
    </row>
    <row r="197" spans="1:2">
      <c r="A197" s="81">
        <v>197</v>
      </c>
      <c r="B197" s="81">
        <v>9.1999999999999998E-2</v>
      </c>
    </row>
    <row r="198" spans="1:2">
      <c r="A198" s="81">
        <v>198</v>
      </c>
      <c r="B198" s="81">
        <v>9.1999999999999998E-2</v>
      </c>
    </row>
    <row r="199" spans="1:2">
      <c r="A199" s="81">
        <v>199</v>
      </c>
      <c r="B199" s="81">
        <v>9.1999999999999998E-2</v>
      </c>
    </row>
    <row r="200" spans="1:2">
      <c r="A200" s="81">
        <v>200</v>
      </c>
      <c r="B200" s="81">
        <v>9.0999999999999998E-2</v>
      </c>
    </row>
    <row r="201" spans="1:2">
      <c r="A201" s="81">
        <v>201</v>
      </c>
      <c r="B201" s="81">
        <v>9.0999999999999998E-2</v>
      </c>
    </row>
    <row r="202" spans="1:2">
      <c r="A202" s="81">
        <v>202</v>
      </c>
      <c r="B202" s="81">
        <v>9.0999999999999998E-2</v>
      </c>
    </row>
    <row r="203" spans="1:2">
      <c r="A203" s="81">
        <v>203</v>
      </c>
      <c r="B203" s="81">
        <v>9.0999999999999998E-2</v>
      </c>
    </row>
    <row r="204" spans="1:2">
      <c r="A204" s="81">
        <v>204</v>
      </c>
      <c r="B204" s="81">
        <v>9.0999999999999998E-2</v>
      </c>
    </row>
    <row r="205" spans="1:2">
      <c r="A205" s="81">
        <v>205</v>
      </c>
      <c r="B205" s="81">
        <v>0.09</v>
      </c>
    </row>
    <row r="206" spans="1:2">
      <c r="A206" s="81">
        <v>206</v>
      </c>
      <c r="B206" s="81">
        <v>0.09</v>
      </c>
    </row>
    <row r="207" spans="1:2">
      <c r="A207" s="81">
        <v>207</v>
      </c>
      <c r="B207" s="81">
        <v>0.09</v>
      </c>
    </row>
    <row r="208" spans="1:2">
      <c r="A208" s="81">
        <v>208</v>
      </c>
      <c r="B208" s="81">
        <v>0.09</v>
      </c>
    </row>
    <row r="209" spans="1:2">
      <c r="A209" s="81">
        <v>209</v>
      </c>
      <c r="B209" s="81">
        <v>0.09</v>
      </c>
    </row>
    <row r="210" spans="1:2">
      <c r="A210" s="81">
        <v>210</v>
      </c>
      <c r="B210" s="81">
        <v>8.8999999999999996E-2</v>
      </c>
    </row>
    <row r="211" spans="1:2">
      <c r="A211" s="81">
        <v>211</v>
      </c>
      <c r="B211" s="81">
        <v>8.8999999999999996E-2</v>
      </c>
    </row>
    <row r="212" spans="1:2">
      <c r="A212" s="81">
        <v>212</v>
      </c>
      <c r="B212" s="81">
        <v>8.8999999999999996E-2</v>
      </c>
    </row>
    <row r="213" spans="1:2">
      <c r="A213" s="81">
        <v>213</v>
      </c>
      <c r="B213" s="81">
        <v>8.8999999999999996E-2</v>
      </c>
    </row>
    <row r="214" spans="1:2">
      <c r="A214" s="81">
        <v>214</v>
      </c>
      <c r="B214" s="81">
        <v>8.8999999999999996E-2</v>
      </c>
    </row>
    <row r="215" spans="1:2">
      <c r="A215" s="81">
        <v>215</v>
      </c>
      <c r="B215" s="81">
        <v>8.7999999999999995E-2</v>
      </c>
    </row>
    <row r="216" spans="1:2">
      <c r="A216" s="81">
        <v>216</v>
      </c>
      <c r="B216" s="81">
        <v>8.7999999999999995E-2</v>
      </c>
    </row>
    <row r="217" spans="1:2">
      <c r="A217" s="81">
        <v>217</v>
      </c>
      <c r="B217" s="81">
        <v>8.7999999999999995E-2</v>
      </c>
    </row>
    <row r="218" spans="1:2">
      <c r="A218" s="81">
        <v>218</v>
      </c>
      <c r="B218" s="81">
        <v>8.7999999999999995E-2</v>
      </c>
    </row>
    <row r="219" spans="1:2">
      <c r="A219" s="81">
        <v>219</v>
      </c>
      <c r="B219" s="81">
        <v>8.7999999999999995E-2</v>
      </c>
    </row>
    <row r="220" spans="1:2">
      <c r="A220" s="81">
        <v>220</v>
      </c>
      <c r="B220" s="81">
        <v>8.6999999999999994E-2</v>
      </c>
    </row>
    <row r="221" spans="1:2">
      <c r="A221" s="81">
        <v>221</v>
      </c>
      <c r="B221" s="81">
        <v>8.6999999999999994E-2</v>
      </c>
    </row>
    <row r="222" spans="1:2">
      <c r="A222" s="81">
        <v>222</v>
      </c>
      <c r="B222" s="81">
        <v>8.6999999999999994E-2</v>
      </c>
    </row>
    <row r="223" spans="1:2">
      <c r="A223" s="81">
        <v>223</v>
      </c>
      <c r="B223" s="81">
        <v>8.6999999999999994E-2</v>
      </c>
    </row>
    <row r="224" spans="1:2">
      <c r="A224" s="81">
        <v>224</v>
      </c>
      <c r="B224" s="81">
        <v>8.6999999999999994E-2</v>
      </c>
    </row>
    <row r="225" spans="1:2">
      <c r="A225" s="81">
        <v>225</v>
      </c>
      <c r="B225" s="81">
        <v>8.5999999999999993E-2</v>
      </c>
    </row>
    <row r="226" spans="1:2">
      <c r="A226" s="81">
        <v>226</v>
      </c>
      <c r="B226" s="81">
        <v>8.5999999999999993E-2</v>
      </c>
    </row>
    <row r="227" spans="1:2">
      <c r="A227" s="81">
        <v>227</v>
      </c>
      <c r="B227" s="81">
        <v>8.5999999999999993E-2</v>
      </c>
    </row>
    <row r="228" spans="1:2">
      <c r="A228" s="81">
        <v>228</v>
      </c>
      <c r="B228" s="81">
        <v>8.5999999999999993E-2</v>
      </c>
    </row>
    <row r="229" spans="1:2">
      <c r="A229" s="81">
        <v>229</v>
      </c>
      <c r="B229" s="81">
        <v>8.5999999999999993E-2</v>
      </c>
    </row>
    <row r="230" spans="1:2">
      <c r="A230" s="81">
        <v>230</v>
      </c>
      <c r="B230" s="81">
        <v>8.5000000000000006E-2</v>
      </c>
    </row>
    <row r="231" spans="1:2">
      <c r="A231" s="81">
        <v>231</v>
      </c>
      <c r="B231" s="81">
        <v>8.5000000000000006E-2</v>
      </c>
    </row>
    <row r="232" spans="1:2">
      <c r="A232" s="81">
        <v>232</v>
      </c>
      <c r="B232" s="81">
        <v>8.5000000000000006E-2</v>
      </c>
    </row>
    <row r="233" spans="1:2">
      <c r="A233" s="81">
        <v>233</v>
      </c>
      <c r="B233" s="81">
        <v>8.5000000000000006E-2</v>
      </c>
    </row>
    <row r="234" spans="1:2">
      <c r="A234" s="81">
        <v>234</v>
      </c>
      <c r="B234" s="81">
        <v>8.5000000000000006E-2</v>
      </c>
    </row>
    <row r="235" spans="1:2">
      <c r="A235" s="81">
        <v>235</v>
      </c>
      <c r="B235" s="81">
        <v>8.4000000000000005E-2</v>
      </c>
    </row>
    <row r="236" spans="1:2">
      <c r="A236" s="81">
        <v>236</v>
      </c>
      <c r="B236" s="81">
        <v>8.4000000000000005E-2</v>
      </c>
    </row>
    <row r="237" spans="1:2">
      <c r="A237" s="81">
        <v>237</v>
      </c>
      <c r="B237" s="81">
        <v>8.4000000000000005E-2</v>
      </c>
    </row>
    <row r="238" spans="1:2">
      <c r="A238" s="81">
        <v>238</v>
      </c>
      <c r="B238" s="81">
        <v>8.4000000000000005E-2</v>
      </c>
    </row>
    <row r="239" spans="1:2">
      <c r="A239" s="81">
        <v>239</v>
      </c>
      <c r="B239" s="81">
        <v>8.4000000000000005E-2</v>
      </c>
    </row>
    <row r="240" spans="1:2">
      <c r="A240" s="81">
        <v>240</v>
      </c>
      <c r="B240" s="81">
        <v>8.3000000000000004E-2</v>
      </c>
    </row>
    <row r="241" spans="1:2">
      <c r="A241" s="81">
        <v>241</v>
      </c>
      <c r="B241" s="81">
        <v>8.3000000000000004E-2</v>
      </c>
    </row>
    <row r="242" spans="1:2">
      <c r="A242" s="81">
        <v>242</v>
      </c>
      <c r="B242" s="81">
        <v>8.3000000000000004E-2</v>
      </c>
    </row>
    <row r="243" spans="1:2">
      <c r="A243" s="81">
        <v>243</v>
      </c>
      <c r="B243" s="81">
        <v>8.3000000000000004E-2</v>
      </c>
    </row>
    <row r="244" spans="1:2">
      <c r="A244" s="81">
        <v>244</v>
      </c>
      <c r="B244" s="81">
        <v>8.3000000000000004E-2</v>
      </c>
    </row>
    <row r="245" spans="1:2">
      <c r="A245" s="81">
        <v>245</v>
      </c>
      <c r="B245" s="81">
        <v>8.2000000000000003E-2</v>
      </c>
    </row>
    <row r="246" spans="1:2">
      <c r="A246" s="81">
        <v>246</v>
      </c>
      <c r="B246" s="81">
        <v>8.2000000000000003E-2</v>
      </c>
    </row>
    <row r="247" spans="1:2">
      <c r="A247" s="81">
        <v>247</v>
      </c>
      <c r="B247" s="81">
        <v>8.2000000000000003E-2</v>
      </c>
    </row>
    <row r="248" spans="1:2">
      <c r="A248" s="81">
        <v>248</v>
      </c>
      <c r="B248" s="81">
        <v>8.2000000000000003E-2</v>
      </c>
    </row>
    <row r="249" spans="1:2">
      <c r="A249" s="81">
        <v>249</v>
      </c>
      <c r="B249" s="81">
        <v>8.2000000000000003E-2</v>
      </c>
    </row>
    <row r="250" spans="1:2">
      <c r="A250" s="81">
        <v>250</v>
      </c>
      <c r="B250" s="81">
        <v>8.1000000000000003E-2</v>
      </c>
    </row>
    <row r="251" spans="1:2">
      <c r="A251" s="81">
        <v>251</v>
      </c>
      <c r="B251" s="81">
        <v>8.1000000000000003E-2</v>
      </c>
    </row>
    <row r="252" spans="1:2">
      <c r="A252" s="81">
        <v>252</v>
      </c>
      <c r="B252" s="81">
        <v>8.1000000000000003E-2</v>
      </c>
    </row>
    <row r="253" spans="1:2">
      <c r="A253" s="81">
        <v>253</v>
      </c>
      <c r="B253" s="81">
        <v>8.1000000000000003E-2</v>
      </c>
    </row>
    <row r="254" spans="1:2">
      <c r="A254" s="81">
        <v>254</v>
      </c>
      <c r="B254" s="81">
        <v>8.1000000000000003E-2</v>
      </c>
    </row>
    <row r="255" spans="1:2">
      <c r="A255" s="81">
        <v>255</v>
      </c>
      <c r="B255" s="81">
        <v>0.08</v>
      </c>
    </row>
    <row r="256" spans="1:2">
      <c r="A256" s="81">
        <v>256</v>
      </c>
      <c r="B256" s="81">
        <v>0.08</v>
      </c>
    </row>
    <row r="257" spans="1:2">
      <c r="A257" s="81">
        <v>257</v>
      </c>
      <c r="B257" s="81">
        <v>0.08</v>
      </c>
    </row>
    <row r="258" spans="1:2">
      <c r="A258" s="81">
        <v>258</v>
      </c>
      <c r="B258" s="81">
        <v>0.08</v>
      </c>
    </row>
    <row r="259" spans="1:2">
      <c r="A259" s="81">
        <v>259</v>
      </c>
      <c r="B259" s="81">
        <v>0.08</v>
      </c>
    </row>
    <row r="260" spans="1:2">
      <c r="A260" s="81">
        <v>260</v>
      </c>
      <c r="B260" s="81">
        <v>0.08</v>
      </c>
    </row>
    <row r="261" spans="1:2">
      <c r="A261" s="81">
        <v>261</v>
      </c>
      <c r="B261" s="81">
        <v>0.08</v>
      </c>
    </row>
    <row r="262" spans="1:2">
      <c r="A262" s="81">
        <v>262</v>
      </c>
      <c r="B262" s="81">
        <v>0.08</v>
      </c>
    </row>
    <row r="263" spans="1:2">
      <c r="A263" s="81">
        <v>263</v>
      </c>
      <c r="B263" s="81">
        <v>0.08</v>
      </c>
    </row>
    <row r="264" spans="1:2">
      <c r="A264" s="81">
        <v>264</v>
      </c>
      <c r="B264" s="81">
        <v>0.08</v>
      </c>
    </row>
    <row r="265" spans="1:2">
      <c r="A265" s="81">
        <v>265</v>
      </c>
      <c r="B265" s="81">
        <v>7.9000000000000001E-2</v>
      </c>
    </row>
    <row r="266" spans="1:2">
      <c r="A266" s="81">
        <v>266</v>
      </c>
      <c r="B266" s="81">
        <v>7.9000000000000001E-2</v>
      </c>
    </row>
    <row r="267" spans="1:2">
      <c r="A267" s="81">
        <v>267</v>
      </c>
      <c r="B267" s="81">
        <v>7.9000000000000001E-2</v>
      </c>
    </row>
    <row r="268" spans="1:2">
      <c r="A268" s="81">
        <v>268</v>
      </c>
      <c r="B268" s="81">
        <v>7.9000000000000001E-2</v>
      </c>
    </row>
    <row r="269" spans="1:2">
      <c r="A269" s="81">
        <v>269</v>
      </c>
      <c r="B269" s="81">
        <v>7.9000000000000001E-2</v>
      </c>
    </row>
    <row r="270" spans="1:2">
      <c r="A270" s="81">
        <v>270</v>
      </c>
      <c r="B270" s="81">
        <v>7.8E-2</v>
      </c>
    </row>
    <row r="271" spans="1:2">
      <c r="A271" s="81">
        <v>271</v>
      </c>
      <c r="B271" s="81">
        <v>7.8E-2</v>
      </c>
    </row>
    <row r="272" spans="1:2">
      <c r="A272" s="81">
        <v>272</v>
      </c>
      <c r="B272" s="81">
        <v>7.8E-2</v>
      </c>
    </row>
    <row r="273" spans="1:2">
      <c r="A273" s="81">
        <v>273</v>
      </c>
      <c r="B273" s="81">
        <v>7.8E-2</v>
      </c>
    </row>
    <row r="274" spans="1:2">
      <c r="A274" s="81">
        <v>274</v>
      </c>
      <c r="B274" s="81">
        <v>7.8E-2</v>
      </c>
    </row>
    <row r="275" spans="1:2">
      <c r="A275" s="81">
        <v>275</v>
      </c>
      <c r="B275" s="81">
        <v>7.6999999999999999E-2</v>
      </c>
    </row>
    <row r="276" spans="1:2">
      <c r="A276" s="81">
        <v>276</v>
      </c>
      <c r="B276" s="81">
        <v>7.6999999999999999E-2</v>
      </c>
    </row>
    <row r="277" spans="1:2">
      <c r="A277" s="81">
        <v>277</v>
      </c>
      <c r="B277" s="81">
        <v>7.6999999999999999E-2</v>
      </c>
    </row>
    <row r="278" spans="1:2">
      <c r="A278" s="81">
        <v>278</v>
      </c>
      <c r="B278" s="81">
        <v>7.6999999999999999E-2</v>
      </c>
    </row>
    <row r="279" spans="1:2">
      <c r="A279" s="81">
        <v>279</v>
      </c>
      <c r="B279" s="81">
        <v>7.6999999999999999E-2</v>
      </c>
    </row>
    <row r="280" spans="1:2">
      <c r="A280" s="81">
        <v>280</v>
      </c>
      <c r="B280" s="81">
        <v>7.6999999999999999E-2</v>
      </c>
    </row>
    <row r="281" spans="1:2">
      <c r="A281" s="81">
        <v>281</v>
      </c>
      <c r="B281" s="81">
        <v>7.6999999999999999E-2</v>
      </c>
    </row>
    <row r="282" spans="1:2">
      <c r="A282" s="81">
        <v>282</v>
      </c>
      <c r="B282" s="81">
        <v>7.6999999999999999E-2</v>
      </c>
    </row>
    <row r="283" spans="1:2">
      <c r="A283" s="81">
        <v>283</v>
      </c>
      <c r="B283" s="81">
        <v>7.6999999999999999E-2</v>
      </c>
    </row>
    <row r="284" spans="1:2">
      <c r="A284" s="81">
        <v>284</v>
      </c>
      <c r="B284" s="81">
        <v>7.6999999999999999E-2</v>
      </c>
    </row>
    <row r="285" spans="1:2">
      <c r="A285" s="81">
        <v>285</v>
      </c>
      <c r="B285" s="81">
        <v>7.5999999999999998E-2</v>
      </c>
    </row>
    <row r="286" spans="1:2">
      <c r="A286" s="81">
        <v>286</v>
      </c>
      <c r="B286" s="81">
        <v>7.5999999999999998E-2</v>
      </c>
    </row>
    <row r="287" spans="1:2">
      <c r="A287" s="81">
        <v>287</v>
      </c>
      <c r="B287" s="81">
        <v>7.5999999999999998E-2</v>
      </c>
    </row>
    <row r="288" spans="1:2">
      <c r="A288" s="81">
        <v>288</v>
      </c>
      <c r="B288" s="81">
        <v>7.5999999999999998E-2</v>
      </c>
    </row>
    <row r="289" spans="1:2">
      <c r="A289" s="81">
        <v>289</v>
      </c>
      <c r="B289" s="81">
        <v>7.5999999999999998E-2</v>
      </c>
    </row>
    <row r="290" spans="1:2">
      <c r="A290" s="81">
        <v>290</v>
      </c>
      <c r="B290" s="81">
        <v>7.4999999999999997E-2</v>
      </c>
    </row>
    <row r="291" spans="1:2">
      <c r="A291" s="81">
        <v>291</v>
      </c>
      <c r="B291" s="81">
        <v>7.4999999999999997E-2</v>
      </c>
    </row>
    <row r="292" spans="1:2">
      <c r="A292" s="81">
        <v>292</v>
      </c>
      <c r="B292" s="81">
        <v>7.4999999999999997E-2</v>
      </c>
    </row>
    <row r="293" spans="1:2">
      <c r="A293" s="81">
        <v>293</v>
      </c>
      <c r="B293" s="81">
        <v>7.4999999999999997E-2</v>
      </c>
    </row>
    <row r="294" spans="1:2">
      <c r="A294" s="81">
        <v>294</v>
      </c>
      <c r="B294" s="81">
        <v>7.4999999999999997E-2</v>
      </c>
    </row>
    <row r="295" spans="1:2">
      <c r="A295" s="81">
        <v>295</v>
      </c>
      <c r="B295" s="81">
        <v>7.4999999999999997E-2</v>
      </c>
    </row>
    <row r="296" spans="1:2">
      <c r="A296" s="81">
        <v>296</v>
      </c>
      <c r="B296" s="81">
        <v>7.4999999999999997E-2</v>
      </c>
    </row>
    <row r="297" spans="1:2">
      <c r="A297" s="81">
        <v>297</v>
      </c>
      <c r="B297" s="81">
        <v>7.4999999999999997E-2</v>
      </c>
    </row>
    <row r="298" spans="1:2">
      <c r="A298" s="81">
        <v>298</v>
      </c>
      <c r="B298" s="81">
        <v>7.4999999999999997E-2</v>
      </c>
    </row>
    <row r="299" spans="1:2">
      <c r="A299" s="81">
        <v>299</v>
      </c>
      <c r="B299" s="81">
        <v>7.4999999999999997E-2</v>
      </c>
    </row>
    <row r="300" spans="1:2">
      <c r="A300" s="81">
        <v>300</v>
      </c>
      <c r="B300" s="81">
        <v>7.3999999999999996E-2</v>
      </c>
    </row>
  </sheetData>
  <sheetProtection algorithmName="SHA-512" hashValue="LAk0I2IbpHdxzsicvqqkobXraqpaM4rOZpjQhDwLc5Bzjc50Dh7e/tnfd8SEtpCOpzCL88DS7BMy/EBWWic2pw==" saltValue="Jb1mau2YrPc13/AgN8/PbA==" spinCount="100000" sheet="1" objects="1" scenarios="1" selectLockedCells="1" selectUnlockedCells="1"/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5"/>
  <dimension ref="A1:H18"/>
  <sheetViews>
    <sheetView zoomScale="75" zoomScaleNormal="75" workbookViewId="0">
      <selection activeCell="C21" sqref="C21"/>
    </sheetView>
  </sheetViews>
  <sheetFormatPr baseColWidth="10" defaultColWidth="10.625" defaultRowHeight="14.25"/>
  <cols>
    <col min="1" max="1" width="17.875" customWidth="1"/>
    <col min="2" max="2" width="22.625" customWidth="1"/>
    <col min="3" max="3" width="11" customWidth="1"/>
  </cols>
  <sheetData>
    <row r="1" spans="1:8" ht="30" customHeight="1">
      <c r="A1" s="108" t="s">
        <v>75</v>
      </c>
      <c r="B1" s="108"/>
      <c r="C1" s="108"/>
      <c r="D1" s="108"/>
      <c r="E1" s="108"/>
      <c r="F1" s="108"/>
      <c r="G1" s="108"/>
      <c r="H1" s="108"/>
    </row>
    <row r="2" spans="1:8">
      <c r="A2" t="s">
        <v>76</v>
      </c>
    </row>
    <row r="3" spans="1:8">
      <c r="A3" t="s">
        <v>77</v>
      </c>
    </row>
    <row r="5" spans="1:8" ht="15">
      <c r="A5" s="82" t="s">
        <v>78</v>
      </c>
      <c r="B5" s="82"/>
      <c r="C5" s="82"/>
      <c r="D5" s="82"/>
      <c r="E5" s="82"/>
      <c r="F5" s="82"/>
      <c r="G5" s="82"/>
      <c r="H5" s="82"/>
    </row>
    <row r="6" spans="1:8">
      <c r="A6" t="s">
        <v>79</v>
      </c>
    </row>
    <row r="8" spans="1:8" ht="15">
      <c r="A8" s="83" t="s">
        <v>80</v>
      </c>
      <c r="B8" s="83" t="s">
        <v>81</v>
      </c>
    </row>
    <row r="9" spans="1:8">
      <c r="A9" s="84" t="s">
        <v>82</v>
      </c>
      <c r="B9" s="84">
        <v>20</v>
      </c>
    </row>
    <row r="10" spans="1:8">
      <c r="A10" s="84" t="s">
        <v>83</v>
      </c>
      <c r="B10" s="84">
        <v>60</v>
      </c>
    </row>
    <row r="11" spans="1:8">
      <c r="A11" s="84" t="s">
        <v>84</v>
      </c>
      <c r="B11" s="84">
        <v>80</v>
      </c>
    </row>
    <row r="12" spans="1:8" ht="6" customHeight="1">
      <c r="A12" s="85"/>
      <c r="B12" s="85"/>
    </row>
    <row r="13" spans="1:8">
      <c r="A13" s="86" t="s">
        <v>85</v>
      </c>
      <c r="B13" s="86"/>
      <c r="C13" s="86"/>
      <c r="D13" s="86"/>
    </row>
    <row r="15" spans="1:8">
      <c r="A15" t="s">
        <v>86</v>
      </c>
    </row>
    <row r="16" spans="1:8">
      <c r="A16" t="s">
        <v>87</v>
      </c>
    </row>
    <row r="18" spans="3:3" ht="15">
      <c r="C18" s="82"/>
    </row>
  </sheetData>
  <sheetProtection algorithmName="SHA-512" hashValue="sv9OgbhccrXdfdjQ2v6GLVjou34QFycsCyYCUrdO876xO2DsihQfnsCA+uzBgbKiiV2rNza5eYbT2XSz1dU4bg==" saltValue="9EVHR3e6aRewCdGg09bZ3A==" spinCount="100000" sheet="1" objects="1" scenarios="1" selectLockedCells="1" selectUnlockedCells="1"/>
  <mergeCells count="1">
    <mergeCell ref="A1:H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A1:AMJ17"/>
  <sheetViews>
    <sheetView zoomScale="75" zoomScaleNormal="75" workbookViewId="0">
      <selection activeCell="E17" sqref="E17"/>
    </sheetView>
  </sheetViews>
  <sheetFormatPr baseColWidth="10" defaultColWidth="11" defaultRowHeight="15"/>
  <cols>
    <col min="1" max="1024" width="11" style="26"/>
  </cols>
  <sheetData>
    <row r="1" spans="1:1">
      <c r="A1" s="26" t="s">
        <v>22</v>
      </c>
    </row>
    <row r="2" spans="1:1">
      <c r="A2" s="26">
        <v>1.5</v>
      </c>
    </row>
    <row r="3" spans="1:1">
      <c r="A3" s="26">
        <v>2.5</v>
      </c>
    </row>
    <row r="4" spans="1:1">
      <c r="A4" s="26">
        <v>3</v>
      </c>
    </row>
    <row r="5" spans="1:1">
      <c r="A5" s="26">
        <v>3.5</v>
      </c>
    </row>
    <row r="6" spans="1:1">
      <c r="A6" s="26">
        <v>4</v>
      </c>
    </row>
    <row r="7" spans="1:1">
      <c r="A7" s="26">
        <v>4.5</v>
      </c>
    </row>
    <row r="8" spans="1:1">
      <c r="A8" s="26">
        <v>5</v>
      </c>
    </row>
    <row r="9" spans="1:1">
      <c r="A9" s="26">
        <v>10</v>
      </c>
    </row>
    <row r="10" spans="1:1">
      <c r="A10" s="26">
        <v>12</v>
      </c>
    </row>
    <row r="11" spans="1:1">
      <c r="A11" s="26">
        <v>12.5</v>
      </c>
    </row>
    <row r="12" spans="1:1">
      <c r="A12" s="26">
        <v>16</v>
      </c>
    </row>
    <row r="13" spans="1:1">
      <c r="A13" s="26">
        <v>18</v>
      </c>
    </row>
    <row r="14" spans="1:1">
      <c r="A14" s="26">
        <v>20</v>
      </c>
    </row>
    <row r="15" spans="1:1">
      <c r="A15" s="26">
        <v>24</v>
      </c>
    </row>
    <row r="16" spans="1:1">
      <c r="A16" s="26">
        <v>25</v>
      </c>
    </row>
    <row r="17" spans="1:1">
      <c r="A17" s="26">
        <v>30</v>
      </c>
    </row>
  </sheetData>
  <sheetProtection algorithmName="SHA-512" hashValue="enDT8bvH/Ms3fExNYS6u9awNTX+coGYO//YgqV7YxXQF0bkW8vQbQlhe0Td1lTSn4Ry63/hOFPEaJi9KJcO2jQ==" saltValue="/yXJFG7d9tqgi2Wf0eqVJA==" spinCount="100000" sheet="1" objects="1" scenarios="1" selectLockedCells="1" selectUnlockedCells="1"/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7"/>
  <dimension ref="A2:AMJ16"/>
  <sheetViews>
    <sheetView zoomScale="75" zoomScaleNormal="75" workbookViewId="0">
      <selection activeCell="D14" sqref="D14"/>
    </sheetView>
  </sheetViews>
  <sheetFormatPr baseColWidth="10" defaultColWidth="11" defaultRowHeight="15"/>
  <cols>
    <col min="1" max="1" width="11" style="26"/>
    <col min="2" max="4" width="11.625" style="26" customWidth="1"/>
    <col min="5" max="6" width="25.625" style="26" customWidth="1"/>
    <col min="7" max="1024" width="11" style="26"/>
  </cols>
  <sheetData>
    <row r="2" spans="1:6" ht="18.75">
      <c r="A2" s="87" t="s">
        <v>88</v>
      </c>
      <c r="B2" s="87"/>
    </row>
    <row r="3" spans="1:6" ht="18.75">
      <c r="A3" s="87" t="s">
        <v>89</v>
      </c>
      <c r="B3" s="87"/>
    </row>
    <row r="5" spans="1:6" s="29" customFormat="1" ht="36" customHeight="1">
      <c r="B5" s="109" t="s">
        <v>90</v>
      </c>
      <c r="C5" s="109"/>
      <c r="D5" s="110" t="s">
        <v>91</v>
      </c>
      <c r="E5" s="111" t="s">
        <v>92</v>
      </c>
      <c r="F5" s="111"/>
    </row>
    <row r="6" spans="1:6" s="29" customFormat="1" ht="15" customHeight="1">
      <c r="B6" s="109"/>
      <c r="C6" s="109"/>
      <c r="D6" s="110"/>
      <c r="E6" s="112" t="s">
        <v>93</v>
      </c>
      <c r="F6" s="112" t="s">
        <v>94</v>
      </c>
    </row>
    <row r="7" spans="1:6" s="29" customFormat="1">
      <c r="B7" s="88" t="s">
        <v>95</v>
      </c>
      <c r="C7" s="88" t="s">
        <v>96</v>
      </c>
      <c r="D7" s="110"/>
      <c r="E7" s="112"/>
      <c r="F7" s="112"/>
    </row>
    <row r="8" spans="1:6">
      <c r="B8" s="89">
        <v>5.0000000000000001E-3</v>
      </c>
      <c r="C8" s="89">
        <v>0.05</v>
      </c>
      <c r="D8" s="90">
        <v>0.09</v>
      </c>
      <c r="E8" s="91">
        <v>9</v>
      </c>
      <c r="F8" s="91"/>
    </row>
    <row r="9" spans="1:6">
      <c r="B9" s="89">
        <v>0.05</v>
      </c>
      <c r="C9" s="89">
        <v>0.1</v>
      </c>
      <c r="D9" s="92">
        <v>4.4999999999999997E-3</v>
      </c>
      <c r="E9" s="91"/>
      <c r="F9" s="91">
        <v>4.5</v>
      </c>
    </row>
    <row r="10" spans="1:6">
      <c r="B10" s="89">
        <v>0.1</v>
      </c>
      <c r="C10" s="89">
        <v>0.2</v>
      </c>
      <c r="D10" s="90">
        <v>4.4999999999999998E-2</v>
      </c>
      <c r="E10" s="91">
        <v>4.5</v>
      </c>
      <c r="F10" s="91"/>
    </row>
    <row r="11" spans="1:6">
      <c r="B11" s="33">
        <v>0.2</v>
      </c>
      <c r="C11" s="33">
        <v>0.3</v>
      </c>
      <c r="D11" s="90">
        <v>8.9999999999999993E-3</v>
      </c>
      <c r="E11" s="32"/>
      <c r="F11" s="32">
        <v>9</v>
      </c>
    </row>
    <row r="12" spans="1:6">
      <c r="B12" s="33">
        <v>0.3</v>
      </c>
      <c r="C12" s="33">
        <v>0.5</v>
      </c>
      <c r="D12" s="90">
        <v>0.03</v>
      </c>
      <c r="E12" s="32">
        <v>3</v>
      </c>
      <c r="F12" s="32"/>
    </row>
    <row r="13" spans="1:6">
      <c r="B13" s="33">
        <v>0.5</v>
      </c>
      <c r="C13" s="33">
        <v>1</v>
      </c>
      <c r="D13" s="90">
        <v>1.5E-3</v>
      </c>
      <c r="E13" s="32"/>
      <c r="F13" s="32">
        <v>1.5</v>
      </c>
    </row>
    <row r="14" spans="1:6">
      <c r="B14" s="33">
        <v>1</v>
      </c>
      <c r="C14" s="33">
        <v>10</v>
      </c>
      <c r="D14" s="90">
        <v>1.4999999999999999E-2</v>
      </c>
      <c r="E14" s="32">
        <v>1.5</v>
      </c>
      <c r="F14" s="32"/>
    </row>
    <row r="15" spans="1:6">
      <c r="B15" s="33">
        <v>10</v>
      </c>
      <c r="C15" s="33">
        <v>15</v>
      </c>
      <c r="D15" s="90">
        <v>0.15</v>
      </c>
      <c r="E15" s="32"/>
      <c r="F15" s="32">
        <v>150</v>
      </c>
    </row>
    <row r="16" spans="1:6">
      <c r="B16" s="33">
        <v>15</v>
      </c>
      <c r="C16" s="33">
        <v>40</v>
      </c>
      <c r="D16" s="90">
        <v>0.01</v>
      </c>
      <c r="E16" s="32">
        <v>1</v>
      </c>
      <c r="F16" s="32"/>
    </row>
  </sheetData>
  <sheetProtection algorithmName="SHA-512" hashValue="GGI3tb2n29SdvrUyCRoCX40AWsc6ZtzUuhxEYVNjIloFnH12OGYT6HOkfFASPz+JPcsIWYN2jkVt44hQJ3EluA==" saltValue="PESEsIeg5TIohzHpcEdJcQ==" spinCount="100000" sheet="1" objects="1" scenarios="1" selectLockedCells="1" autoFilter="0" selectUnlockedCells="1"/>
  <mergeCells count="5">
    <mergeCell ref="B5:C6"/>
    <mergeCell ref="D5:D7"/>
    <mergeCell ref="E5:F5"/>
    <mergeCell ref="E6:E7"/>
    <mergeCell ref="F6:F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8"/>
  <dimension ref="A1:G56"/>
  <sheetViews>
    <sheetView zoomScale="75" zoomScaleNormal="75" workbookViewId="0">
      <selection activeCell="D9" sqref="D9"/>
    </sheetView>
  </sheetViews>
  <sheetFormatPr baseColWidth="10" defaultColWidth="11.25" defaultRowHeight="14.25"/>
  <cols>
    <col min="1" max="1" width="13.25" customWidth="1"/>
    <col min="2" max="2" width="13" customWidth="1"/>
    <col min="3" max="3" width="14.75" customWidth="1"/>
    <col min="4" max="7" width="10.75" customWidth="1"/>
  </cols>
  <sheetData>
    <row r="1" spans="1:7" ht="18.75" customHeight="1">
      <c r="A1" s="3"/>
      <c r="B1" s="97" t="s">
        <v>0</v>
      </c>
      <c r="C1" s="97"/>
      <c r="D1" s="97"/>
      <c r="E1" s="97"/>
      <c r="F1" s="97"/>
      <c r="G1" s="4" t="s">
        <v>1</v>
      </c>
    </row>
    <row r="2" spans="1:7" ht="15.75">
      <c r="A2" s="5" t="s">
        <v>2</v>
      </c>
      <c r="B2" s="98" t="s">
        <v>3</v>
      </c>
      <c r="C2" s="98"/>
      <c r="D2" s="99" t="s">
        <v>4</v>
      </c>
      <c r="E2" s="99"/>
      <c r="F2" s="99"/>
      <c r="G2" s="2" t="s">
        <v>97</v>
      </c>
    </row>
    <row r="3" spans="1:7" ht="15.75">
      <c r="A3" s="6"/>
      <c r="B3" s="7"/>
      <c r="C3" s="7"/>
      <c r="D3" s="8"/>
      <c r="E3" s="8"/>
      <c r="F3" s="8"/>
      <c r="G3" s="7"/>
    </row>
    <row r="4" spans="1:7" ht="15">
      <c r="A4" s="10" t="s">
        <v>6</v>
      </c>
      <c r="B4" s="93"/>
      <c r="C4" s="93"/>
      <c r="D4" s="93"/>
      <c r="E4" s="93"/>
      <c r="F4" s="94"/>
      <c r="G4" s="94"/>
    </row>
    <row r="5" spans="1:7" ht="15">
      <c r="A5" s="15" t="s">
        <v>13</v>
      </c>
      <c r="B5" s="93"/>
      <c r="C5" s="93"/>
      <c r="D5" s="93"/>
      <c r="E5" s="93"/>
      <c r="F5" s="94"/>
      <c r="G5" s="94"/>
    </row>
    <row r="6" spans="1:7" ht="15">
      <c r="A6" s="17" t="s">
        <v>15</v>
      </c>
      <c r="B6" s="95"/>
      <c r="C6" s="95"/>
      <c r="D6" s="95"/>
      <c r="E6" s="95"/>
      <c r="F6" s="96"/>
      <c r="G6" s="96"/>
    </row>
    <row r="7" spans="1:7">
      <c r="A7" s="23">
        <v>1</v>
      </c>
      <c r="B7" s="25"/>
      <c r="C7" s="25"/>
      <c r="D7" s="25"/>
      <c r="E7" s="25"/>
      <c r="F7" s="25"/>
      <c r="G7" s="25"/>
    </row>
    <row r="8" spans="1:7">
      <c r="A8" s="23">
        <v>2</v>
      </c>
      <c r="B8" s="25"/>
      <c r="C8" s="25"/>
      <c r="D8" s="25"/>
      <c r="E8" s="25"/>
      <c r="F8" s="25"/>
      <c r="G8" s="25"/>
    </row>
    <row r="9" spans="1:7">
      <c r="A9" s="23">
        <v>3</v>
      </c>
      <c r="B9" s="25"/>
      <c r="C9" s="25"/>
      <c r="D9" s="25"/>
      <c r="E9" s="25"/>
      <c r="F9" s="25"/>
      <c r="G9" s="25"/>
    </row>
    <row r="10" spans="1:7">
      <c r="A10" s="23">
        <v>4</v>
      </c>
      <c r="B10" s="25"/>
      <c r="C10" s="25"/>
      <c r="D10" s="25"/>
      <c r="E10" s="25"/>
      <c r="F10" s="25"/>
      <c r="G10" s="25"/>
    </row>
    <row r="11" spans="1:7">
      <c r="A11" s="23">
        <v>5</v>
      </c>
      <c r="B11" s="25"/>
      <c r="C11" s="25"/>
      <c r="D11" s="25"/>
      <c r="E11" s="25"/>
      <c r="F11" s="25"/>
      <c r="G11" s="25"/>
    </row>
    <row r="12" spans="1:7">
      <c r="A12" s="23">
        <v>6</v>
      </c>
      <c r="B12" s="25"/>
      <c r="C12" s="25"/>
      <c r="D12" s="25"/>
      <c r="E12" s="25"/>
      <c r="F12" s="25"/>
      <c r="G12" s="25"/>
    </row>
    <row r="13" spans="1:7">
      <c r="A13" s="23">
        <v>7</v>
      </c>
      <c r="B13" s="25"/>
      <c r="C13" s="25"/>
      <c r="D13" s="25"/>
      <c r="E13" s="25"/>
      <c r="F13" s="25"/>
      <c r="G13" s="25"/>
    </row>
    <row r="14" spans="1:7">
      <c r="A14" s="23">
        <v>8</v>
      </c>
      <c r="B14" s="25"/>
      <c r="C14" s="25"/>
      <c r="D14" s="25"/>
      <c r="E14" s="25"/>
      <c r="F14" s="25"/>
      <c r="G14" s="25"/>
    </row>
    <row r="15" spans="1:7">
      <c r="A15" s="23">
        <v>9</v>
      </c>
      <c r="B15" s="25"/>
      <c r="C15" s="25"/>
      <c r="D15" s="25"/>
      <c r="E15" s="25"/>
      <c r="F15" s="25"/>
      <c r="G15" s="25"/>
    </row>
    <row r="16" spans="1:7">
      <c r="A16" s="23">
        <v>10</v>
      </c>
      <c r="B16" s="25"/>
      <c r="C16" s="25"/>
      <c r="D16" s="25"/>
      <c r="E16" s="25"/>
      <c r="F16" s="25"/>
      <c r="G16" s="25"/>
    </row>
    <row r="17" spans="1:7">
      <c r="A17" s="23">
        <v>11</v>
      </c>
      <c r="B17" s="25"/>
      <c r="C17" s="25"/>
      <c r="D17" s="25"/>
      <c r="E17" s="25"/>
      <c r="F17" s="25"/>
      <c r="G17" s="25"/>
    </row>
    <row r="18" spans="1:7">
      <c r="A18" s="23">
        <v>12</v>
      </c>
      <c r="B18" s="25"/>
      <c r="C18" s="25"/>
      <c r="D18" s="25"/>
      <c r="E18" s="25"/>
      <c r="F18" s="25"/>
      <c r="G18" s="25"/>
    </row>
    <row r="19" spans="1:7">
      <c r="A19" s="23">
        <v>13</v>
      </c>
      <c r="B19" s="25"/>
      <c r="C19" s="25"/>
      <c r="D19" s="25"/>
      <c r="E19" s="25"/>
      <c r="F19" s="25"/>
      <c r="G19" s="25"/>
    </row>
    <row r="20" spans="1:7">
      <c r="A20" s="23">
        <v>14</v>
      </c>
      <c r="B20" s="25"/>
      <c r="C20" s="25"/>
      <c r="D20" s="25"/>
      <c r="E20" s="25"/>
      <c r="F20" s="25"/>
      <c r="G20" s="25"/>
    </row>
    <row r="21" spans="1:7">
      <c r="A21" s="23">
        <v>15</v>
      </c>
      <c r="B21" s="25"/>
      <c r="C21" s="25"/>
      <c r="D21" s="25"/>
      <c r="E21" s="25"/>
      <c r="F21" s="25"/>
      <c r="G21" s="25"/>
    </row>
    <row r="22" spans="1:7">
      <c r="A22" s="23">
        <v>16</v>
      </c>
      <c r="B22" s="25"/>
      <c r="C22" s="25"/>
      <c r="D22" s="25"/>
      <c r="E22" s="25"/>
      <c r="F22" s="25"/>
      <c r="G22" s="25"/>
    </row>
    <row r="23" spans="1:7">
      <c r="A23" s="23">
        <v>17</v>
      </c>
      <c r="B23" s="25"/>
      <c r="C23" s="25"/>
      <c r="D23" s="25"/>
      <c r="E23" s="25"/>
      <c r="F23" s="25"/>
      <c r="G23" s="25"/>
    </row>
    <row r="24" spans="1:7">
      <c r="A24" s="23">
        <v>18</v>
      </c>
      <c r="B24" s="25"/>
      <c r="C24" s="25"/>
      <c r="D24" s="25"/>
      <c r="E24" s="25"/>
      <c r="F24" s="25"/>
      <c r="G24" s="25"/>
    </row>
    <row r="25" spans="1:7">
      <c r="A25" s="23">
        <v>19</v>
      </c>
      <c r="B25" s="25"/>
      <c r="C25" s="25"/>
      <c r="D25" s="25"/>
      <c r="E25" s="25"/>
      <c r="F25" s="25"/>
      <c r="G25" s="25"/>
    </row>
    <row r="26" spans="1:7">
      <c r="A26" s="23">
        <v>20</v>
      </c>
      <c r="B26" s="25"/>
      <c r="C26" s="25"/>
      <c r="D26" s="25"/>
      <c r="E26" s="25"/>
      <c r="F26" s="25"/>
      <c r="G26" s="25"/>
    </row>
    <row r="27" spans="1:7">
      <c r="A27" s="23">
        <v>21</v>
      </c>
      <c r="B27" s="25"/>
      <c r="C27" s="25"/>
      <c r="D27" s="25"/>
      <c r="E27" s="25"/>
      <c r="F27" s="25"/>
      <c r="G27" s="25"/>
    </row>
    <row r="28" spans="1:7">
      <c r="A28" s="23">
        <v>22</v>
      </c>
      <c r="B28" s="25"/>
      <c r="C28" s="25"/>
      <c r="D28" s="25"/>
      <c r="E28" s="25"/>
      <c r="F28" s="25"/>
      <c r="G28" s="25"/>
    </row>
    <row r="29" spans="1:7">
      <c r="A29" s="23">
        <v>23</v>
      </c>
      <c r="B29" s="25"/>
      <c r="C29" s="25"/>
      <c r="D29" s="25"/>
      <c r="E29" s="25"/>
      <c r="F29" s="25"/>
      <c r="G29" s="25"/>
    </row>
    <row r="30" spans="1:7">
      <c r="A30" s="23">
        <v>24</v>
      </c>
      <c r="B30" s="25"/>
      <c r="C30" s="25"/>
      <c r="D30" s="25"/>
      <c r="E30" s="25"/>
      <c r="F30" s="25"/>
      <c r="G30" s="25"/>
    </row>
    <row r="31" spans="1:7">
      <c r="A31" s="23">
        <v>25</v>
      </c>
      <c r="B31" s="25"/>
      <c r="C31" s="25"/>
      <c r="D31" s="25"/>
      <c r="E31" s="25"/>
      <c r="F31" s="25"/>
      <c r="G31" s="25"/>
    </row>
    <row r="32" spans="1:7">
      <c r="A32" s="23">
        <v>26</v>
      </c>
      <c r="B32" s="25"/>
      <c r="C32" s="25"/>
      <c r="D32" s="25"/>
      <c r="E32" s="25"/>
      <c r="F32" s="25"/>
      <c r="G32" s="25"/>
    </row>
    <row r="33" spans="1:7">
      <c r="A33" s="23">
        <v>27</v>
      </c>
      <c r="B33" s="25"/>
      <c r="C33" s="25"/>
      <c r="D33" s="25"/>
      <c r="E33" s="25"/>
      <c r="F33" s="25"/>
      <c r="G33" s="25"/>
    </row>
    <row r="34" spans="1:7">
      <c r="A34" s="23">
        <v>28</v>
      </c>
      <c r="B34" s="25"/>
      <c r="C34" s="25"/>
      <c r="D34" s="25"/>
      <c r="E34" s="25"/>
      <c r="F34" s="25"/>
      <c r="G34" s="25"/>
    </row>
    <row r="35" spans="1:7">
      <c r="A35" s="23">
        <v>29</v>
      </c>
      <c r="B35" s="25"/>
      <c r="C35" s="25"/>
      <c r="D35" s="25"/>
      <c r="E35" s="25"/>
      <c r="F35" s="25"/>
      <c r="G35" s="25"/>
    </row>
    <row r="36" spans="1:7">
      <c r="A36" s="23">
        <v>30</v>
      </c>
      <c r="B36" s="25"/>
      <c r="C36" s="25"/>
      <c r="D36" s="25"/>
      <c r="E36" s="25"/>
      <c r="F36" s="25"/>
      <c r="G36" s="25"/>
    </row>
    <row r="37" spans="1:7">
      <c r="A37" s="23">
        <v>31</v>
      </c>
      <c r="B37" s="25"/>
      <c r="C37" s="25"/>
      <c r="D37" s="25"/>
      <c r="E37" s="25"/>
      <c r="F37" s="25"/>
      <c r="G37" s="25"/>
    </row>
    <row r="38" spans="1:7">
      <c r="A38" s="23">
        <v>32</v>
      </c>
      <c r="B38" s="25"/>
      <c r="C38" s="25"/>
      <c r="D38" s="25"/>
      <c r="E38" s="25"/>
      <c r="F38" s="25"/>
      <c r="G38" s="25"/>
    </row>
    <row r="39" spans="1:7">
      <c r="A39" s="23">
        <v>33</v>
      </c>
      <c r="B39" s="25"/>
      <c r="C39" s="25"/>
      <c r="D39" s="25"/>
      <c r="E39" s="25"/>
      <c r="F39" s="25"/>
      <c r="G39" s="25"/>
    </row>
    <row r="40" spans="1:7">
      <c r="A40" s="23">
        <v>34</v>
      </c>
      <c r="B40" s="25"/>
      <c r="C40" s="25"/>
      <c r="D40" s="25"/>
      <c r="E40" s="25"/>
      <c r="F40" s="25"/>
      <c r="G40" s="25"/>
    </row>
    <row r="41" spans="1:7">
      <c r="A41" s="23">
        <v>35</v>
      </c>
      <c r="B41" s="25"/>
      <c r="C41" s="25"/>
      <c r="D41" s="25"/>
      <c r="E41" s="25"/>
      <c r="F41" s="25"/>
      <c r="G41" s="25"/>
    </row>
    <row r="42" spans="1:7">
      <c r="A42" s="23">
        <v>36</v>
      </c>
      <c r="B42" s="25"/>
      <c r="C42" s="25"/>
      <c r="D42" s="25"/>
      <c r="E42" s="25"/>
      <c r="F42" s="25"/>
      <c r="G42" s="25"/>
    </row>
    <row r="43" spans="1:7">
      <c r="A43" s="23">
        <v>37</v>
      </c>
      <c r="B43" s="25"/>
      <c r="C43" s="25"/>
      <c r="D43" s="25"/>
      <c r="E43" s="25"/>
      <c r="F43" s="25"/>
      <c r="G43" s="25"/>
    </row>
    <row r="44" spans="1:7">
      <c r="A44" s="23">
        <v>38</v>
      </c>
      <c r="B44" s="25"/>
      <c r="C44" s="25"/>
      <c r="D44" s="25"/>
      <c r="E44" s="25"/>
      <c r="F44" s="25"/>
      <c r="G44" s="25"/>
    </row>
    <row r="45" spans="1:7">
      <c r="A45" s="23">
        <v>39</v>
      </c>
      <c r="B45" s="25"/>
      <c r="C45" s="25"/>
      <c r="D45" s="25"/>
      <c r="E45" s="25"/>
      <c r="F45" s="25"/>
      <c r="G45" s="25"/>
    </row>
    <row r="46" spans="1:7">
      <c r="A46" s="23">
        <v>40</v>
      </c>
      <c r="B46" s="25"/>
      <c r="C46" s="25"/>
      <c r="D46" s="25"/>
      <c r="E46" s="25"/>
      <c r="F46" s="25"/>
      <c r="G46" s="25"/>
    </row>
    <row r="47" spans="1:7">
      <c r="A47" s="23">
        <v>41</v>
      </c>
      <c r="B47" s="25"/>
      <c r="C47" s="25"/>
      <c r="D47" s="25"/>
      <c r="E47" s="25"/>
      <c r="F47" s="25"/>
      <c r="G47" s="25"/>
    </row>
    <row r="48" spans="1:7">
      <c r="A48" s="23">
        <v>42</v>
      </c>
      <c r="B48" s="25"/>
      <c r="C48" s="25"/>
      <c r="D48" s="25"/>
      <c r="E48" s="25"/>
      <c r="F48" s="25"/>
      <c r="G48" s="25"/>
    </row>
    <row r="49" spans="1:7">
      <c r="A49" s="23">
        <v>43</v>
      </c>
      <c r="B49" s="25"/>
      <c r="C49" s="25"/>
      <c r="D49" s="25"/>
      <c r="E49" s="25"/>
      <c r="F49" s="25"/>
      <c r="G49" s="25"/>
    </row>
    <row r="50" spans="1:7">
      <c r="A50" s="23">
        <v>44</v>
      </c>
      <c r="B50" s="25"/>
      <c r="C50" s="25"/>
      <c r="D50" s="25"/>
      <c r="E50" s="25"/>
      <c r="F50" s="25"/>
      <c r="G50" s="25"/>
    </row>
    <row r="51" spans="1:7">
      <c r="A51" s="23">
        <v>45</v>
      </c>
      <c r="B51" s="25"/>
      <c r="C51" s="25"/>
      <c r="D51" s="25"/>
      <c r="E51" s="25"/>
      <c r="F51" s="25"/>
      <c r="G51" s="25"/>
    </row>
    <row r="52" spans="1:7">
      <c r="A52" s="23">
        <v>46</v>
      </c>
      <c r="B52" s="25"/>
      <c r="C52" s="25"/>
      <c r="D52" s="25"/>
      <c r="E52" s="25"/>
      <c r="F52" s="25"/>
      <c r="G52" s="25"/>
    </row>
    <row r="53" spans="1:7">
      <c r="A53" s="23">
        <v>47</v>
      </c>
      <c r="B53" s="25"/>
      <c r="C53" s="25"/>
      <c r="D53" s="25"/>
      <c r="E53" s="25"/>
      <c r="F53" s="25"/>
      <c r="G53" s="25"/>
    </row>
    <row r="54" spans="1:7">
      <c r="A54" s="23">
        <v>48</v>
      </c>
      <c r="B54" s="25"/>
      <c r="C54" s="25"/>
      <c r="D54" s="25"/>
      <c r="E54" s="25"/>
      <c r="F54" s="25"/>
      <c r="G54" s="25"/>
    </row>
    <row r="55" spans="1:7">
      <c r="A55" s="23">
        <v>49</v>
      </c>
      <c r="B55" s="25"/>
      <c r="C55" s="25"/>
      <c r="D55" s="25"/>
      <c r="E55" s="25"/>
      <c r="F55" s="25"/>
      <c r="G55" s="25"/>
    </row>
    <row r="56" spans="1:7">
      <c r="A56" s="23">
        <v>50</v>
      </c>
      <c r="B56" s="25"/>
      <c r="C56" s="25"/>
      <c r="D56" s="25"/>
      <c r="E56" s="25"/>
      <c r="F56" s="25"/>
      <c r="G56" s="25"/>
    </row>
  </sheetData>
  <mergeCells count="3">
    <mergeCell ref="B1:F1"/>
    <mergeCell ref="B2:C2"/>
    <mergeCell ref="D2:F2"/>
  </mergeCells>
  <conditionalFormatting sqref="A7:A56">
    <cfRule type="cellIs" dxfId="0" priority="2" operator="lessThan">
      <formula>$A$6</formula>
    </cfRule>
  </conditionalFormatting>
  <pageMargins left="0" right="0" top="0.39374999999999999" bottom="0.39374999999999999" header="0" footer="0"/>
  <pageSetup paperSize="9" orientation="portrait" horizontalDpi="300" verticalDpi="30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168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Feuille1</vt:lpstr>
      <vt:lpstr>archive</vt:lpstr>
      <vt:lpstr>poids_échantillon</vt:lpstr>
      <vt:lpstr>notice</vt:lpstr>
      <vt:lpstr>g_annexe</vt:lpstr>
      <vt:lpstr>contrôle</vt:lpstr>
      <vt:lpstr>liste</vt:lpstr>
      <vt:lpstr>tolérance</vt:lpstr>
      <vt:lpstr>A_imprimer</vt:lpstr>
      <vt:lpstr>Tare</vt:lpstr>
      <vt:lpstr>Valeur_g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Production</dc:creator>
  <dc:description/>
  <cp:lastModifiedBy>Maintenance</cp:lastModifiedBy>
  <cp:revision>13</cp:revision>
  <cp:lastPrinted>2024-11-06T11:52:44Z</cp:lastPrinted>
  <dcterms:created xsi:type="dcterms:W3CDTF">2022-02-16T12:11:16Z</dcterms:created>
  <dcterms:modified xsi:type="dcterms:W3CDTF">2026-06-12T07:03:22Z</dcterms:modified>
  <dc:language>fr-FR</dc:language>
</cp:coreProperties>
</file>